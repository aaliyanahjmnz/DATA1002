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Summary_by_Postcode" sheetId="2" state="visible" r:id="rId4"/>
    <sheet name="EV_Chargers" sheetId="3" state="visible" r:id="rId5"/>
    <sheet name="Transport_Stops" sheetId="4" state="visible" r:id="rId6"/>
    <sheet name="Sports_Facilities" sheetId="5" state="visible" r:id="rId7"/>
    <sheet name="Taxi_Ranks" sheetId="6" state="visible" r:id="rId8"/>
    <sheet name="All_Points" sheetId="7" state="visible" r:id="rId9"/>
  </sheets>
  <definedNames>
    <definedName function="false" hidden="true" localSheetId="6" name="_xlnm._FilterDatabase" vbProcedure="false">All_Points!$A$1:$H$3024</definedName>
    <definedName function="false" hidden="true" localSheetId="2" name="_xlnm._FilterDatabase" vbProcedure="false">EV_Chargers!$A$1:$P$1959</definedName>
    <definedName function="false" hidden="true" localSheetId="4" name="_xlnm._FilterDatabase" vbProcedure="false">Sports_Facilities!$A$1:$G$71</definedName>
    <definedName function="false" hidden="true" localSheetId="1" name="_xlnm._FilterDatabase" vbProcedure="false">Summary_by_Postcode!$A$1:$H$544</definedName>
    <definedName function="false" hidden="true" localSheetId="5" name="_xlnm._FilterDatabase" vbProcedure="false">Taxi_Ranks!$A$1:$G$199</definedName>
    <definedName function="false" hidden="true" localSheetId="3" name="_xlnm._FilterDatabase" vbProcedure="false">Transport_Stops!$A$1:$O$798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<sst xmlns="http://schemas.openxmlformats.org/spreadsheetml/2006/main" count="36953" uniqueCount="7175">
  <si>
    <t xml:space="preserve">Cleaning &amp; postcode coding notes</t>
  </si>
  <si>
    <t xml:space="preserve">Dataset</t>
  </si>
  <si>
    <t xml:space="preserve">Rows in</t>
  </si>
  <si>
    <t xml:space="preserve">Rows out</t>
  </si>
  <si>
    <t xml:space="preserve">Postcode method</t>
  </si>
  <si>
    <t xml:space="preserve">EV chargers (ev_20251216_updated.csv)</t>
  </si>
  <si>
    <t xml:space="preserve">Parsed from street address (1,956); original PCODE used where address had none (1); nearest-point inference (1)</t>
  </si>
  <si>
    <t xml:space="preserve">Transport stops (locationfacilitydata.csv)</t>
  </si>
  <si>
    <t xml:space="preserve">Parsed from address (796); 1 address had no postcode, filled from nearest EV charger</t>
  </si>
  <si>
    <t xml:space="preserve">Sports facilities (table.xlsx)</t>
  </si>
  <si>
    <t xml:space="preserve">Postcode supplied in source</t>
  </si>
  <si>
    <t xml:space="preserve">Taxi ranks (taxi-rank-locations_0.csv)</t>
  </si>
  <si>
    <t xml:space="preserve">No postcode in source. Inferred from nearest EV/transport point with a known postcode. See Postcode_confidence; treat "low" as needing a manual check</t>
  </si>
  <si>
    <t xml:space="preserve">Building complexes (BuildingComplexPoint.csv)</t>
  </si>
  <si>
    <t xml:space="preserve">NOT coded: file has no coordinates, address or postcode (only names/codes). Cleaned separately as building_complex_cleaned.csv</t>
  </si>
  <si>
    <t xml:space="preserve">Cleaning applied</t>
  </si>
  <si>
    <t xml:space="preserve">- Collapsed line breaks / extra whitespace in addresses and text; trimmed; blanks to empty</t>
  </si>
  <si>
    <t xml:space="preserve">- EV: removed trailing ", Australia" from addresses; standardised "NRMA Electric" to "NRMA"; added Max_rating_kW (parsed from Charger_rating) and Is_upcoming</t>
  </si>
  <si>
    <t xml:space="preserve">- EV: 25 rows had an original PCODE that contradicted the address postcode (e.g. Wilcannia address says 2836, PCODE said 2350). Address postcode used; flagged in PCODE_conflict</t>
  </si>
  <si>
    <t xml:space="preserve">- Transport: standardised MORNING_PEAK "6.30-10am" to "6.30am-10am"; deduplicated on TSN</t>
  </si>
  <si>
    <t xml:space="preserve">- Sports: postcodes stored as numbers; text tidied</t>
  </si>
  <si>
    <t xml:space="preserve">- Buildings: dropped fully empty and constant columns, parsed dates, removed 1 duplicate topoid</t>
  </si>
  <si>
    <t xml:space="preserve">Caveats</t>
  </si>
  <si>
    <t xml:space="preserve">- 18 transport stops and 2 EV chargers have postcodes outside NSW/ACT (interstate coach stops, e.g. Melbourne, Brisbane). They are genuine, not errors.</t>
  </si>
  <si>
    <t xml:space="preserve">- Summary_by_Postcode uses live COUNTIF/SUMIF formulas against the data sheets. Sports facilities cover only City of Sydney area postcodes.</t>
  </si>
  <si>
    <t xml:space="preserve">Postcode</t>
  </si>
  <si>
    <t xml:space="preserve">EV stations</t>
  </si>
  <si>
    <t xml:space="preserve">EV plugs</t>
  </si>
  <si>
    <t xml:space="preserve">Transport stops</t>
  </si>
  <si>
    <t xml:space="preserve">Sports facilities</t>
  </si>
  <si>
    <t xml:space="preserve">Taxi ranks</t>
  </si>
  <si>
    <t xml:space="preserve">Total points</t>
  </si>
  <si>
    <t xml:space="preserve">Datasets present</t>
  </si>
  <si>
    <t xml:space="preserve">TOTAL</t>
  </si>
  <si>
    <t xml:space="preserve">OBJECTID</t>
  </si>
  <si>
    <t xml:space="preserve">Station_name</t>
  </si>
  <si>
    <t xml:space="preserve">Station_address</t>
  </si>
  <si>
    <t xml:space="preserve">Postcode_source</t>
  </si>
  <si>
    <t xml:space="preserve">PCODE_conflict</t>
  </si>
  <si>
    <t xml:space="preserve">LGANAME</t>
  </si>
  <si>
    <t xml:space="preserve">Operator</t>
  </si>
  <si>
    <t xml:space="preserve">Number_of_plugs</t>
  </si>
  <si>
    <t xml:space="preserve">Charger_Type</t>
  </si>
  <si>
    <t xml:space="preserve">Charger_rating</t>
  </si>
  <si>
    <t xml:space="preserve">Max_rating_kW</t>
  </si>
  <si>
    <t xml:space="preserve">Is_upcoming</t>
  </si>
  <si>
    <t xml:space="preserve">Source</t>
  </si>
  <si>
    <t xml:space="preserve">Latitude</t>
  </si>
  <si>
    <t xml:space="preserve">Longitude</t>
  </si>
  <si>
    <t xml:space="preserve">129 Pacific Hwy Ourimbah NSW 2258</t>
  </si>
  <si>
    <t xml:space="preserve">parsed from address</t>
  </si>
  <si>
    <t xml:space="preserve">NRMA</t>
  </si>
  <si>
    <t xml:space="preserve">Upcoming</t>
  </si>
  <si>
    <t xml:space="preserve">2x350kW &amp; 2x175kW</t>
  </si>
  <si>
    <t xml:space="preserve">1-5 Hill Rd Sydney Olympic Park NSW 2127</t>
  </si>
  <si>
    <t xml:space="preserve">2x350kW &amp; 6x175kW</t>
  </si>
  <si>
    <t xml:space="preserve">16 Cooper St Macksville NSW 2447</t>
  </si>
  <si>
    <t xml:space="preserve">2 Macquarie St Parramatta NSW 2150</t>
  </si>
  <si>
    <t xml:space="preserve">203 Holt Rd Taren Point NSW 2229</t>
  </si>
  <si>
    <t xml:space="preserve">25 Anglo Rd Campsie NSW 2194</t>
  </si>
  <si>
    <t xml:space="preserve">29 Church St, Maitland NSW 2320</t>
  </si>
  <si>
    <t xml:space="preserve">33 Village Cct Gregory Hills NSW 2557</t>
  </si>
  <si>
    <t xml:space="preserve">37-39 Bong Bong Street,, Dapto NSW 2023</t>
  </si>
  <si>
    <t xml:space="preserve">3A Cowell St Gladesville NSW 2111</t>
  </si>
  <si>
    <t xml:space="preserve">50 Pitt St Singleton NSW 2330</t>
  </si>
  <si>
    <t xml:space="preserve">57 Manchester Rd Gymea NSW 2227</t>
  </si>
  <si>
    <t xml:space="preserve">88 Smithfield Rd Smithfield NSW 2164</t>
  </si>
  <si>
    <t xml:space="preserve">Alexander St Crows Nest NSW 2065</t>
  </si>
  <si>
    <t xml:space="preserve">Clarence St, Moss Vale NSW 2577</t>
  </si>
  <si>
    <t xml:space="preserve">1 - 7 Ross St, Wilcannia NSW 2836</t>
  </si>
  <si>
    <t xml:space="preserve">Central Darling Shire Council</t>
  </si>
  <si>
    <t xml:space="preserve">DC</t>
  </si>
  <si>
    <t xml:space="preserve">50 kW</t>
  </si>
  <si>
    <t xml:space="preserve">TfNSW Regional</t>
  </si>
  <si>
    <t xml:space="preserve">1 Kendall Ave, Bathurst, 2795</t>
  </si>
  <si>
    <t xml:space="preserve">Bathurst Regional Council</t>
  </si>
  <si>
    <t xml:space="preserve">Existing Fast Chargers</t>
  </si>
  <si>
    <t xml:space="preserve">1 Little Walker St, Casino, NSW 2470</t>
  </si>
  <si>
    <t xml:space="preserve">Richmond Valley Council</t>
  </si>
  <si>
    <t xml:space="preserve">10W Apsley St, Walcha NSW 2354</t>
  </si>
  <si>
    <t xml:space="preserve">Walcha Council</t>
  </si>
  <si>
    <t xml:space="preserve">11 Ewingsdale Rd, Ewingsdale, 2481</t>
  </si>
  <si>
    <t xml:space="preserve">Byron Shire Council</t>
  </si>
  <si>
    <t xml:space="preserve">75 kW</t>
  </si>
  <si>
    <t xml:space="preserve">116 Liverpool St, Scone, NSW 2337</t>
  </si>
  <si>
    <t xml:space="preserve">Upper Hunter Shire Council</t>
  </si>
  <si>
    <t xml:space="preserve">132 Pound Street, Grafton, 2460</t>
  </si>
  <si>
    <t xml:space="preserve">Clarence Valley Council</t>
  </si>
  <si>
    <t xml:space="preserve">134 Lachlan St, Hay, 2711</t>
  </si>
  <si>
    <t xml:space="preserve">Hay Shire Council</t>
  </si>
  <si>
    <t xml:space="preserve">180 kW</t>
  </si>
  <si>
    <t xml:space="preserve">140 Queen St, Berry, 2535</t>
  </si>
  <si>
    <t xml:space="preserve">Shoalhaven City Council</t>
  </si>
  <si>
    <t xml:space="preserve">15 Victory St, Braidwood, NSW 2622</t>
  </si>
  <si>
    <t xml:space="preserve">Queanbeyan-Palerang Regional Council</t>
  </si>
  <si>
    <t xml:space="preserve">157 Rouse Street, Tenterfield, NSW 2372</t>
  </si>
  <si>
    <t xml:space="preserve">Tenterfield Shire Council</t>
  </si>
  <si>
    <t xml:space="preserve">15c Mitchell St, Bourke, NSW 2840</t>
  </si>
  <si>
    <t xml:space="preserve">Bourke Shire Council</t>
  </si>
  <si>
    <t xml:space="preserve">16 Berry St, Nowra, 2541</t>
  </si>
  <si>
    <t xml:space="preserve">160 kW</t>
  </si>
  <si>
    <t xml:space="preserve">17 Stewart St, Wollongong NSW 2500</t>
  </si>
  <si>
    <t xml:space="preserve">Wollongong City Council</t>
  </si>
  <si>
    <t xml:space="preserve">18 Dandaloo St, Nyngan, NSW 2825</t>
  </si>
  <si>
    <t xml:space="preserve">Bogan Shire Council</t>
  </si>
  <si>
    <t xml:space="preserve">2 Perry St, Euston, 2737</t>
  </si>
  <si>
    <t xml:space="preserve">Balranald Shire Council</t>
  </si>
  <si>
    <t xml:space="preserve">AC</t>
  </si>
  <si>
    <t xml:space="preserve">22 kW</t>
  </si>
  <si>
    <t xml:space="preserve">Existing Destination Chargers</t>
  </si>
  <si>
    <t xml:space="preserve">2090 Broke Rd, Pokolbin, 2320</t>
  </si>
  <si>
    <t xml:space="preserve">Cessnock City Council</t>
  </si>
  <si>
    <t xml:space="preserve">26 Neilly St, Walgett, NSW 2832</t>
  </si>
  <si>
    <t xml:space="preserve">Walgett Shire Council</t>
  </si>
  <si>
    <t xml:space="preserve">28 Auburn Street, Moree, NSW 2400</t>
  </si>
  <si>
    <t xml:space="preserve">Moree Plains Shire Council</t>
  </si>
  <si>
    <t xml:space="preserve">29 Perry St, Euston NSW 2737</t>
  </si>
  <si>
    <t xml:space="preserve">175 kW</t>
  </si>
  <si>
    <t xml:space="preserve">Fast Charging R1</t>
  </si>
  <si>
    <t xml:space="preserve">Narrandera Park</t>
  </si>
  <si>
    <t xml:space="preserve">29-55 Twynam St, Narrandera, 2700</t>
  </si>
  <si>
    <t xml:space="preserve">Narrandera Shire Council</t>
  </si>
  <si>
    <t xml:space="preserve">2A Beach Rd, Batemans Bay, 2536</t>
  </si>
  <si>
    <t xml:space="preserve">Eurobodalla Shire Council</t>
  </si>
  <si>
    <t xml:space="preserve">3 Broomfield St, Cobar, NSW 2835</t>
  </si>
  <si>
    <t xml:space="preserve">Cobar Shire Council</t>
  </si>
  <si>
    <t xml:space="preserve">Nabiac Park</t>
  </si>
  <si>
    <t xml:space="preserve">35 Nabiac Street, Nabiac NSW 2312</t>
  </si>
  <si>
    <t xml:space="preserve">Mid-Coast Council</t>
  </si>
  <si>
    <t xml:space="preserve">424 Hoxton Park Rd, Prestons, NSW, 2170</t>
  </si>
  <si>
    <t xml:space="preserve">Liverpool City Council</t>
  </si>
  <si>
    <t xml:space="preserve">50 Bathurst St, Brewarrina, NSW 2839</t>
  </si>
  <si>
    <t xml:space="preserve">Brewarrina Shire Council</t>
  </si>
  <si>
    <t xml:space="preserve">50 Lowe St, Queanbeyan, 2620</t>
  </si>
  <si>
    <t xml:space="preserve">528 John Oxley Dr, Thrumster, 2444</t>
  </si>
  <si>
    <t xml:space="preserve">Port Macquarie-Hastings Council</t>
  </si>
  <si>
    <t xml:space="preserve">6 Castlereagh St Gilgandra, NSW 2827</t>
  </si>
  <si>
    <t xml:space="preserve">Gilgandra Shire Council</t>
  </si>
  <si>
    <t xml:space="preserve">7 Tank St, Lithgow, 2790</t>
  </si>
  <si>
    <t xml:space="preserve">Lithgow Council, City of</t>
  </si>
  <si>
    <t xml:space="preserve">76 Cowper St, Wallsend, 2287</t>
  </si>
  <si>
    <t xml:space="preserve">Newcastle City Council</t>
  </si>
  <si>
    <t xml:space="preserve">77 Darling St, Cowra, 2794</t>
  </si>
  <si>
    <t xml:space="preserve">Cowra Shire Council</t>
  </si>
  <si>
    <t xml:space="preserve">8 Stanley St, Bathurst, 2795</t>
  </si>
  <si>
    <t xml:space="preserve">8 Stanley St, Bathurst, NSW, 2795</t>
  </si>
  <si>
    <t xml:space="preserve">8/24 Cross St, Wagga Wagga, NSW 2650</t>
  </si>
  <si>
    <t xml:space="preserve">Wagga Wagga City Council</t>
  </si>
  <si>
    <t xml:space="preserve">80 Little Barber St, Gunnedah, 2380</t>
  </si>
  <si>
    <t xml:space="preserve">Gunnedah Shire Council</t>
  </si>
  <si>
    <t xml:space="preserve">81 Hickory St, Dorrigo, NSW 2453</t>
  </si>
  <si>
    <t xml:space="preserve">Bellingen Shire Council</t>
  </si>
  <si>
    <t xml:space="preserve">81 Meehan St, Yass NSW 2582</t>
  </si>
  <si>
    <t xml:space="preserve">Yass Valley Council</t>
  </si>
  <si>
    <t xml:space="preserve">82 Marsh St, Armidale, NSW 2350</t>
  </si>
  <si>
    <t xml:space="preserve">Armidale Regional Council</t>
  </si>
  <si>
    <t xml:space="preserve">82 Mulgoa Rd, Jamisontown NSW 2750</t>
  </si>
  <si>
    <t xml:space="preserve">89 Barwan St, Narrabri, NSW 2390, Australia,</t>
  </si>
  <si>
    <t xml:space="preserve">Narrabri Shire Council</t>
  </si>
  <si>
    <t xml:space="preserve">89 Market St, Balranald, 2715</t>
  </si>
  <si>
    <t xml:space="preserve">9 Bessemer St, Mittagong, 2575</t>
  </si>
  <si>
    <t xml:space="preserve">Wingecarribee Shire Council</t>
  </si>
  <si>
    <t xml:space="preserve">20 kW</t>
  </si>
  <si>
    <t xml:space="preserve">Cabarita Beach Bowls and Sports Club, Cabarita Beach NSW 2488</t>
  </si>
  <si>
    <t xml:space="preserve">Tweed Shire Council</t>
  </si>
  <si>
    <t xml:space="preserve">Cabarita Rd, Bogangar, 2488</t>
  </si>
  <si>
    <t xml:space="preserve">Car Park behind the Civic Centre, Orange, 2800</t>
  </si>
  <si>
    <t xml:space="preserve">Orange City Council</t>
  </si>
  <si>
    <t xml:space="preserve">Car park, 51 Evans St (Victoria Park), Inverell, NSW 2360</t>
  </si>
  <si>
    <t xml:space="preserve">Inverell Shire Council</t>
  </si>
  <si>
    <t xml:space="preserve">Car park, Little Hoskins St, Temora, NSW 2666</t>
  </si>
  <si>
    <t xml:space="preserve">Temora Shire Council</t>
  </si>
  <si>
    <t xml:space="preserve">Commercial St, Walla Walla, 2659</t>
  </si>
  <si>
    <t xml:space="preserve">Greater Hume Shire Council</t>
  </si>
  <si>
    <t xml:space="preserve">Coonabarabran Visitor Cntr, Coonabarabran, 2357</t>
  </si>
  <si>
    <t xml:space="preserve">Warrumbungle Shire Council</t>
  </si>
  <si>
    <t xml:space="preserve">Corner of Snowy River Avenue and Kalkite St, Jindabyne, 2627</t>
  </si>
  <si>
    <t xml:space="preserve">Snowy Monaro Regional Council</t>
  </si>
  <si>
    <t xml:space="preserve">Council Car Park Lot 4 / DP251076 between 46 Lowe Street Queanbeyan NSW 2620</t>
  </si>
  <si>
    <t xml:space="preserve">27 Dalton St, Parkes NSW 2870</t>
  </si>
  <si>
    <t xml:space="preserve">Parkes Shire Council</t>
  </si>
  <si>
    <t xml:space="preserve">14 Darling Dr, Sydney NSW 2000</t>
  </si>
  <si>
    <t xml:space="preserve">Sydney, Council of the City of</t>
  </si>
  <si>
    <t xml:space="preserve">52B Eskbank St, Lithgow NSW 2790</t>
  </si>
  <si>
    <t xml:space="preserve">Gasworks Ln, Molong, 2866</t>
  </si>
  <si>
    <t xml:space="preserve">Cabonne Council</t>
  </si>
  <si>
    <t xml:space="preserve">Gasworks Ln, Molong, NSW, 2866</t>
  </si>
  <si>
    <t xml:space="preserve">81 Gipps St, Bega NSW 2550</t>
  </si>
  <si>
    <t xml:space="preserve">Bega Valley Shire Council</t>
  </si>
  <si>
    <t xml:space="preserve">42 Hastings St, Wauchope NSW 2446</t>
  </si>
  <si>
    <t xml:space="preserve">60 kW</t>
  </si>
  <si>
    <t xml:space="preserve">2 Kable Ave, Tamworth NSW 2340</t>
  </si>
  <si>
    <t xml:space="preserve">Tamworth Regional Council</t>
  </si>
  <si>
    <t xml:space="preserve">441 Kiewa St, Albury NSW 2640</t>
  </si>
  <si>
    <t xml:space="preserve">Albury City Council</t>
  </si>
  <si>
    <t xml:space="preserve">51 Bromide St, Broken Hill NSW 2880</t>
  </si>
  <si>
    <t xml:space="preserve">Broken Hill City Council</t>
  </si>
  <si>
    <t xml:space="preserve">Club Mudgee Car Park</t>
  </si>
  <si>
    <t xml:space="preserve">99 Mortimer St, Mudgee NSW 2850</t>
  </si>
  <si>
    <t xml:space="preserve">Mid-Western Regional Council</t>
  </si>
  <si>
    <t xml:space="preserve">Sydney Olympic Park</t>
  </si>
  <si>
    <t xml:space="preserve">9 Murray Rose Ave, Sydney Olympic Park NSW 2127</t>
  </si>
  <si>
    <t xml:space="preserve">Parramatta, Council of the City of</t>
  </si>
  <si>
    <t xml:space="preserve">7 Prospect St, Holbrook NSW 2644</t>
  </si>
  <si>
    <t xml:space="preserve">Jugiong Playground &amp; Swimming Pool</t>
  </si>
  <si>
    <t xml:space="preserve">319 Riverside Dr, Jugiong NSW 2726</t>
  </si>
  <si>
    <t xml:space="preserve">Hilltops Council</t>
  </si>
  <si>
    <t xml:space="preserve">Lovell St Car Park</t>
  </si>
  <si>
    <t xml:space="preserve">88 Lovell St, Young NSW 2594</t>
  </si>
  <si>
    <t xml:space="preserve">Shire St Parking</t>
  </si>
  <si>
    <t xml:space="preserve">13-15 Shire St, West Wyalong NSW 2671</t>
  </si>
  <si>
    <t xml:space="preserve">Bland Shire Council</t>
  </si>
  <si>
    <t xml:space="preserve">47 Short St, Mudgee NSW 2850</t>
  </si>
  <si>
    <t xml:space="preserve">125 kW</t>
  </si>
  <si>
    <t xml:space="preserve">Skillman's Lane Car Park</t>
  </si>
  <si>
    <t xml:space="preserve">Skillman's Lane, Coonamble, NSW 2829</t>
  </si>
  <si>
    <t xml:space="preserve">Coonamble Shire Council</t>
  </si>
  <si>
    <t xml:space="preserve">Glen Innes Town Hall</t>
  </si>
  <si>
    <t xml:space="preserve">Sommerlad Ln, Glen Innes, 2370</t>
  </si>
  <si>
    <t xml:space="preserve">Glen Innes Severn Council</t>
  </si>
  <si>
    <t xml:space="preserve">Batemans Bay Regional Arts Aquatic &amp; Leisure Centre</t>
  </si>
  <si>
    <t xml:space="preserve">12 Vesper St, Batemans Bay NSW 2536</t>
  </si>
  <si>
    <t xml:space="preserve">Walton Lane Car Park</t>
  </si>
  <si>
    <t xml:space="preserve">5 Walton Lane, Picton NSW 2571</t>
  </si>
  <si>
    <t xml:space="preserve">Wollondilly Shire Council</t>
  </si>
  <si>
    <t xml:space="preserve">Western Plains Cultural Centre</t>
  </si>
  <si>
    <t xml:space="preserve">76 Wingewarra St, Dubbo NSW 2830</t>
  </si>
  <si>
    <t xml:space="preserve">Dubbo Regional Council</t>
  </si>
  <si>
    <t xml:space="preserve">, Muswellbrook, 2333</t>
  </si>
  <si>
    <t xml:space="preserve">Muswellbrook Shire Council</t>
  </si>
  <si>
    <t xml:space="preserve">EVUp</t>
  </si>
  <si>
    <t xml:space="preserve">01 Wallgrove Road, Sydney, 2766</t>
  </si>
  <si>
    <t xml:space="preserve">Blacktown City Council</t>
  </si>
  <si>
    <t xml:space="preserve">BP</t>
  </si>
  <si>
    <t xml:space="preserve">150 kW</t>
  </si>
  <si>
    <t xml:space="preserve">1 Balfour St, Sydney, 2070</t>
  </si>
  <si>
    <t xml:space="preserve">Ku-ring-gai Council</t>
  </si>
  <si>
    <t xml:space="preserve">Chargefox</t>
  </si>
  <si>
    <t xml:space="preserve">1 Bay Ln, Byron Bay, 2481</t>
  </si>
  <si>
    <t xml:space="preserve">Tesla</t>
  </si>
  <si>
    <t xml:space="preserve">19 kW</t>
  </si>
  <si>
    <t xml:space="preserve">1 Bay St, Sydney, 2037</t>
  </si>
  <si>
    <t xml:space="preserve">130 kW</t>
  </si>
  <si>
    <t xml:space="preserve">1 Bells Blvd, Kingscliff, 2487</t>
  </si>
  <si>
    <t xml:space="preserve">Evie</t>
  </si>
  <si>
    <t xml:space="preserve">1 Bradleys Head Rd, Sydney, 2088</t>
  </si>
  <si>
    <t xml:space="preserve">Mosman Municipal Council</t>
  </si>
  <si>
    <t xml:space="preserve">1 Cathedral Sq, Sydney, 2000</t>
  </si>
  <si>
    <t xml:space="preserve">AXCharge</t>
  </si>
  <si>
    <t xml:space="preserve">1 Dalgal Way, Sydney, 2037</t>
  </si>
  <si>
    <t xml:space="preserve">250 kW</t>
  </si>
  <si>
    <t xml:space="preserve">1 Eels Pl, Sydney, 2150</t>
  </si>
  <si>
    <t xml:space="preserve">Everty</t>
  </si>
  <si>
    <t xml:space="preserve">1 Elizabeth St, Merimbula, 2548</t>
  </si>
  <si>
    <t xml:space="preserve">8 kW</t>
  </si>
  <si>
    <t xml:space="preserve">1 Ferguson Cres, Mittagong, 2575</t>
  </si>
  <si>
    <t xml:space="preserve">1 Ferrers Rd, Sydney, 2766</t>
  </si>
  <si>
    <t xml:space="preserve">1 Frederick St, Sydney, 2064</t>
  </si>
  <si>
    <t xml:space="preserve">Willoughby City Council</t>
  </si>
  <si>
    <t xml:space="preserve">1 Friday Dr, Thredbo, 2625</t>
  </si>
  <si>
    <t xml:space="preserve">Exploren</t>
  </si>
  <si>
    <t xml:space="preserve">1 Golf Club Rd, Deniliquin, 2710</t>
  </si>
  <si>
    <t xml:space="preserve">Edward River Council</t>
  </si>
  <si>
    <t xml:space="preserve">1 Greenbridge Dr, Wilton, 2571</t>
  </si>
  <si>
    <t xml:space="preserve">1 Hargreaves St, Wollongong, 2526</t>
  </si>
  <si>
    <t xml:space="preserve">1 Hay St, Port Macquarie, 2444</t>
  </si>
  <si>
    <t xml:space="preserve">1 Hollinsworth Rd, Sydney, 2765</t>
  </si>
  <si>
    <t xml:space="preserve">1 Ingham Dr, Casula NSW 2170</t>
  </si>
  <si>
    <t xml:space="preserve">ARENA - Driving the Nation</t>
  </si>
  <si>
    <t xml:space="preserve">1 Jondaryan Ave, Griffith, 2680</t>
  </si>
  <si>
    <t xml:space="preserve">Griffith City Council</t>
  </si>
  <si>
    <t xml:space="preserve">1 Kiaora Ln, Sydney, 2028</t>
  </si>
  <si>
    <t xml:space="preserve">Woollahra Municipal Council</t>
  </si>
  <si>
    <t xml:space="preserve">1 Laman St, Newcastle, 2300</t>
  </si>
  <si>
    <t xml:space="preserve">1 Littlebourne St, Bathurst, 2795</t>
  </si>
  <si>
    <t xml:space="preserve">1 Magenta Dr, Central Coast, 2261</t>
  </si>
  <si>
    <t xml:space="preserve">Central Coast Council</t>
  </si>
  <si>
    <t xml:space="preserve">6 kW</t>
  </si>
  <si>
    <t xml:space="preserve">1 Martin Pl, Sydney, 2000</t>
  </si>
  <si>
    <t xml:space="preserve">1 Matong St, Dareton, 2717</t>
  </si>
  <si>
    <t xml:space="preserve">Wentworth Shire Council</t>
  </si>
  <si>
    <t xml:space="preserve">Chargestar</t>
  </si>
  <si>
    <t xml:space="preserve">1 Molly Morgan Dr, Maitland, 2323</t>
  </si>
  <si>
    <t xml:space="preserve">Maitland City Council</t>
  </si>
  <si>
    <t xml:space="preserve">1 Pambula Beach Rd, Pambula Beach, 2549</t>
  </si>
  <si>
    <t xml:space="preserve">1 Park St, Sydney, 2103</t>
  </si>
  <si>
    <t xml:space="preserve">Northern Beaches Council</t>
  </si>
  <si>
    <t xml:space="preserve">JOLT</t>
  </si>
  <si>
    <t xml:space="preserve">25 kW</t>
  </si>
  <si>
    <t xml:space="preserve">1 Perry St, Batemans Bay, 2536</t>
  </si>
  <si>
    <t xml:space="preserve">1 Plunkett St, Sydney, 2065</t>
  </si>
  <si>
    <t xml:space="preserve">1 Porter St, Byron Bay, 2481</t>
  </si>
  <si>
    <t xml:space="preserve">1 Railway Pde, Sydney, 2217</t>
  </si>
  <si>
    <t xml:space="preserve">Georges River Council</t>
  </si>
  <si>
    <t xml:space="preserve">1 Reina Street, Sydney, 2026</t>
  </si>
  <si>
    <t xml:space="preserve">Waverley Council</t>
  </si>
  <si>
    <t xml:space="preserve">1 Rider Blvd, Sydney, 2138</t>
  </si>
  <si>
    <t xml:space="preserve">Canada Bay Council, City of</t>
  </si>
  <si>
    <t xml:space="preserve">1 Salisbury Rd, Sydney, 2154</t>
  </si>
  <si>
    <t xml:space="preserve">The Hills Shire Council</t>
  </si>
  <si>
    <t xml:space="preserve">1 Seabeach Ave, Sydney, 2103</t>
  </si>
  <si>
    <t xml:space="preserve">1 Stanley St, Sydney, 2025</t>
  </si>
  <si>
    <t xml:space="preserve">EVX</t>
  </si>
  <si>
    <t xml:space="preserve">1 Sterling Cct, Sydney, 2050</t>
  </si>
  <si>
    <t xml:space="preserve">Saascharge</t>
  </si>
  <si>
    <t xml:space="preserve">1 Sublime Point Rd, Leura, 2780</t>
  </si>
  <si>
    <t xml:space="preserve">Blue Mountains City Council</t>
  </si>
  <si>
    <t xml:space="preserve">1 Wharf St, Tweed Heads, 2485</t>
  </si>
  <si>
    <t xml:space="preserve">1 Williamtown Drive, Williamtown, 2318</t>
  </si>
  <si>
    <t xml:space="preserve">Port Stephens Council</t>
  </si>
  <si>
    <t xml:space="preserve">1/9 Railway Parade, Kogarah NSW 2217</t>
  </si>
  <si>
    <t xml:space="preserve">10 Brookfield Rd, Minto NSW 2566</t>
  </si>
  <si>
    <t xml:space="preserve">Campbelltown City Council</t>
  </si>
  <si>
    <t xml:space="preserve">10 Burkinshaw St, Barooga, 3644</t>
  </si>
  <si>
    <t xml:space="preserve">Berrigan Shire Council</t>
  </si>
  <si>
    <t xml:space="preserve">10 Colden Dr, Albion Park Rail, 2527</t>
  </si>
  <si>
    <t xml:space="preserve">Shellharbour City Council</t>
  </si>
  <si>
    <t xml:space="preserve">10 Elizabeth St, Bathurst, 2795</t>
  </si>
  <si>
    <t xml:space="preserve">10 Rugby Rd, Newcastle, 2305</t>
  </si>
  <si>
    <t xml:space="preserve">10 Seymour street, Laurieton, 2443</t>
  </si>
  <si>
    <t xml:space="preserve">10 Tryon Rd, Sydney, 2070</t>
  </si>
  <si>
    <t xml:space="preserve">10 Victoria St, Wollongong , NSW 2500</t>
  </si>
  <si>
    <t xml:space="preserve">10 Winery Dr, Port Macquarie, 2444</t>
  </si>
  <si>
    <t xml:space="preserve">100 Weakleys Dr, Beresfield, 2322</t>
  </si>
  <si>
    <t xml:space="preserve">101 Goulburn St, Sydney, 2000</t>
  </si>
  <si>
    <t xml:space="preserve">101 Grafton St, Sydney, 2022</t>
  </si>
  <si>
    <t xml:space="preserve">102 Volt Lane, Albury, 2640</t>
  </si>
  <si>
    <t xml:space="preserve">103 Sandy Flat Rd, Sandy Flat, 2372</t>
  </si>
  <si>
    <t xml:space="preserve">1034 The Escort Way, Borenore, 2800</t>
  </si>
  <si>
    <t xml:space="preserve">105 Station Rd, Sydney, 2147</t>
  </si>
  <si>
    <t xml:space="preserve">Ampol</t>
  </si>
  <si>
    <t xml:space="preserve">106 Parraween St, Sydney, 2090</t>
  </si>
  <si>
    <t xml:space="preserve">North Sydney Council</t>
  </si>
  <si>
    <t xml:space="preserve">1067 Oxley Hwy, Thrumster, 2444</t>
  </si>
  <si>
    <t xml:space="preserve">1068 Pittwater Rd, Sydney, 2097</t>
  </si>
  <si>
    <t xml:space="preserve">107 John St, Singleton, 2330</t>
  </si>
  <si>
    <t xml:space="preserve">Singleton Council</t>
  </si>
  <si>
    <t xml:space="preserve">108 Ingleburn Rd, Leppington, 2179</t>
  </si>
  <si>
    <t xml:space="preserve">Camden Council</t>
  </si>
  <si>
    <t xml:space="preserve">109 Beecroft Rd, Sydney, 2119</t>
  </si>
  <si>
    <t xml:space="preserve">Hornsby, The Council of the Shire of</t>
  </si>
  <si>
    <t xml:space="preserve">109 Cobra St, Dubbo, 2830</t>
  </si>
  <si>
    <t xml:space="preserve">14 kW</t>
  </si>
  <si>
    <t xml:space="preserve">109 Whylandra St, Dubbo, 2830</t>
  </si>
  <si>
    <t xml:space="preserve">10B Charles St, Sydney, 2193</t>
  </si>
  <si>
    <t xml:space="preserve">Canterbury Bankstown Council</t>
  </si>
  <si>
    <t xml:space="preserve">11 Coolangatta Rd, Coolangatta, 2535</t>
  </si>
  <si>
    <t xml:space="preserve">11 Hickson Rd, Sydney, 2000</t>
  </si>
  <si>
    <t xml:space="preserve">11 Jamison St, Sydney, 2000</t>
  </si>
  <si>
    <t xml:space="preserve">11 Renown Rd, Sydney, 2153</t>
  </si>
  <si>
    <t xml:space="preserve">11 Scott St, Sydney, 2170</t>
  </si>
  <si>
    <t xml:space="preserve">11 West St, Wollongong, 2500</t>
  </si>
  <si>
    <t xml:space="preserve">23 kW</t>
  </si>
  <si>
    <t xml:space="preserve">11 William St, Bellingen, 2454</t>
  </si>
  <si>
    <t xml:space="preserve">110 Anzac Pde, Sydney, 2033</t>
  </si>
  <si>
    <t xml:space="preserve">Randwick City Council</t>
  </si>
  <si>
    <t xml:space="preserve">1106 Barrenjoey Rd, Sydney, 2108</t>
  </si>
  <si>
    <t xml:space="preserve">1-11 Lexington Dr, Sydney, 2153</t>
  </si>
  <si>
    <t xml:space="preserve">ChargePoint</t>
  </si>
  <si>
    <t xml:space="preserve">111 Park Beach Rd, Coffs Harbour, 2450</t>
  </si>
  <si>
    <t xml:space="preserve">Coffs Harbour City Council</t>
  </si>
  <si>
    <t xml:space="preserve">113 Hanwood Ave, Hanwood, 2680</t>
  </si>
  <si>
    <t xml:space="preserve">11-37 Alexandria Pde, Sydney, 2077</t>
  </si>
  <si>
    <t xml:space="preserve">115 Rowe St, Sydney, 2122</t>
  </si>
  <si>
    <t xml:space="preserve">Ryde, Council of the City of</t>
  </si>
  <si>
    <t xml:space="preserve">115-133 Dunning Ave, Sydney, 2018</t>
  </si>
  <si>
    <t xml:space="preserve">117 Glenayr Ave, Sydney, 2026</t>
  </si>
  <si>
    <t xml:space="preserve">117 Macquarie St, Sydney, 2000</t>
  </si>
  <si>
    <t xml:space="preserve">118 Allambie Rd, Sydney, 2100</t>
  </si>
  <si>
    <t xml:space="preserve">1183-1187 The Horsley Dr, Sydney, 2164</t>
  </si>
  <si>
    <t xml:space="preserve">Fairfield City Council</t>
  </si>
  <si>
    <t xml:space="preserve">1183-1187 The Horsley Dr, Wetherill Park NSW 2164</t>
  </si>
  <si>
    <t xml:space="preserve">Engie</t>
  </si>
  <si>
    <t xml:space="preserve">119 Borella Rd East Albury NSW 2640</t>
  </si>
  <si>
    <t xml:space="preserve">Destination Charging R1</t>
  </si>
  <si>
    <t xml:space="preserve">119 Greenwell Point Rd, Greenwell Point, 2540</t>
  </si>
  <si>
    <t xml:space="preserve">119 Stenhouse Drive, Cameron Park, 2285</t>
  </si>
  <si>
    <t xml:space="preserve">Lake Macquarie City Council</t>
  </si>
  <si>
    <t xml:space="preserve">350 kW</t>
  </si>
  <si>
    <t xml:space="preserve">12 Arncliffe St, Sydney, 2205</t>
  </si>
  <si>
    <t xml:space="preserve">Bayside Council</t>
  </si>
  <si>
    <t xml:space="preserve">12 Carabella St, Sydney, 2061</t>
  </si>
  <si>
    <t xml:space="preserve">North Sydney, Council of the City of Council</t>
  </si>
  <si>
    <t xml:space="preserve">12 Cooper Park Rd, Sydney, 2023</t>
  </si>
  <si>
    <t xml:space="preserve">12 Hume Hwy, Pheasants Nest, 2574</t>
  </si>
  <si>
    <t xml:space="preserve">12 Jacksons Rd, Sydney, 2102</t>
  </si>
  <si>
    <t xml:space="preserve">12 Jacksons Rd, Warriewood NSW 2102</t>
  </si>
  <si>
    <t xml:space="preserve">12 Lord St, Botany NSW 2019</t>
  </si>
  <si>
    <t xml:space="preserve">12 Rosenthal Ave, Sydney, 2066</t>
  </si>
  <si>
    <t xml:space="preserve">Lane Cove Municipal Council</t>
  </si>
  <si>
    <t xml:space="preserve">12 Trinity Ave, Dawes Point, 2000</t>
  </si>
  <si>
    <t xml:space="preserve">12 Yulong Ave, Sydney, 2084</t>
  </si>
  <si>
    <t xml:space="preserve">120 Rouse St, Tenterfield, 2372</t>
  </si>
  <si>
    <t xml:space="preserve">1-21 Bay St, Sydney, 2037</t>
  </si>
  <si>
    <t xml:space="preserve">121 Howick St, Bathurst, 2795</t>
  </si>
  <si>
    <t xml:space="preserve">121 Princes Hwy, Wollongong, 2519</t>
  </si>
  <si>
    <t xml:space="preserve">Reflections Coffs Harbour</t>
  </si>
  <si>
    <t xml:space="preserve">123 Pacific Hwy Coffs Harbour NSW 2450</t>
  </si>
  <si>
    <t xml:space="preserve">Non-networked</t>
  </si>
  <si>
    <t xml:space="preserve">Destination Charging R2</t>
  </si>
  <si>
    <t xml:space="preserve">123 Wharf St, Tweed Heads, 2485</t>
  </si>
  <si>
    <t xml:space="preserve">123 Wharf Street, Tweed Heads, 2485</t>
  </si>
  <si>
    <t xml:space="preserve">124 Wallace St, Nowra, 2541</t>
  </si>
  <si>
    <t xml:space="preserve">126 Havannah St, Bathurst, 2795</t>
  </si>
  <si>
    <t xml:space="preserve">126 Mackay Ave, Yoogali, 2680</t>
  </si>
  <si>
    <t xml:space="preserve">24 kW</t>
  </si>
  <si>
    <t xml:space="preserve">127 Conadilly St, Gunnedah, 2380</t>
  </si>
  <si>
    <t xml:space="preserve">47 kW</t>
  </si>
  <si>
    <t xml:space="preserve">128 Bonnydoon Rd, Uki, 2484</t>
  </si>
  <si>
    <t xml:space="preserve">128 Flood Street, Leichhardt NSW 2040</t>
  </si>
  <si>
    <t xml:space="preserve">Inner West Council</t>
  </si>
  <si>
    <t xml:space="preserve">1-3 Dural St, Hornsby NSW 2077</t>
  </si>
  <si>
    <t xml:space="preserve">13 Kalinya Street, Sydney, 2106</t>
  </si>
  <si>
    <t xml:space="preserve">13 Mitchell St, Bourke, 2840</t>
  </si>
  <si>
    <t xml:space="preserve">13 Park Rd, Speers Point, 2284</t>
  </si>
  <si>
    <t xml:space="preserve">1-3 Warners Ave, Sydney, 2026</t>
  </si>
  <si>
    <t xml:space="preserve">130 Glenayr Ave, Sydney, 2026</t>
  </si>
  <si>
    <t xml:space="preserve">13125 Hume Hwy, Sutton Forest, 2577</t>
  </si>
  <si>
    <t xml:space="preserve">13-15 Castlefield St, Sydney, 2026</t>
  </si>
  <si>
    <t xml:space="preserve">13-17 Princes Hwy, Albion Park Rail NSW 2527</t>
  </si>
  <si>
    <t xml:space="preserve">133 Liverpool Rd, Sydney, 2134</t>
  </si>
  <si>
    <t xml:space="preserve">Burwood Council</t>
  </si>
  <si>
    <t xml:space="preserve">133 Samantha Riley Dr, Sydney, 2155</t>
  </si>
  <si>
    <t xml:space="preserve">133 Wyndham St Cnr Mcevoy St, Alexandria, NSW, 2015</t>
  </si>
  <si>
    <t xml:space="preserve">134 Wallace Ln, Canobolas, 2800</t>
  </si>
  <si>
    <t xml:space="preserve">134-136 Grafton St, Coffs Harbour, 2450</t>
  </si>
  <si>
    <t xml:space="preserve">134-140 Francis St, Sydney, 2026</t>
  </si>
  <si>
    <t xml:space="preserve">135 King St, Sydney, 2000</t>
  </si>
  <si>
    <t xml:space="preserve">137 Beamish St, Sydney, 2194</t>
  </si>
  <si>
    <t xml:space="preserve">137 Bronte Rd, Sydney, 2022</t>
  </si>
  <si>
    <t xml:space="preserve">14 Aquatic Dr, Sydney, 2086</t>
  </si>
  <si>
    <t xml:space="preserve">14 Cross St, Forbes, 2871</t>
  </si>
  <si>
    <t xml:space="preserve">Forbes Shire Council</t>
  </si>
  <si>
    <t xml:space="preserve">14 Everton Rd, Sydney, 2135</t>
  </si>
  <si>
    <t xml:space="preserve">14 George St, Wollongong, NSW 2500</t>
  </si>
  <si>
    <t xml:space="preserve">Denman Van Village</t>
  </si>
  <si>
    <t xml:space="preserve">14 Macauley St Denman NSW 2328</t>
  </si>
  <si>
    <t xml:space="preserve">140 Denison St, Sydney, 2036</t>
  </si>
  <si>
    <t xml:space="preserve">120 kW</t>
  </si>
  <si>
    <t xml:space="preserve">141 Morgan St, Sydney, 2209</t>
  </si>
  <si>
    <t xml:space="preserve">141 Roselands Ave, Roselands NSW 2196</t>
  </si>
  <si>
    <t xml:space="preserve">14-16 Darling St, Wentworth, 2648</t>
  </si>
  <si>
    <t xml:space="preserve">142 Addison Rd, Sydney, 2204</t>
  </si>
  <si>
    <t xml:space="preserve">142 Glenayr Ave, Sydney, 2026</t>
  </si>
  <si>
    <t xml:space="preserve">143 Johnston St, Casino, 2470</t>
  </si>
  <si>
    <t xml:space="preserve">143 Terralong St, Kiama, 2533</t>
  </si>
  <si>
    <t xml:space="preserve">Kiama, The Council of the Municipality of</t>
  </si>
  <si>
    <t xml:space="preserve">1442 George Downes Dr, Kulnura, 2250</t>
  </si>
  <si>
    <t xml:space="preserve">145 Old Pittwater Rd, Sydney, 2100</t>
  </si>
  <si>
    <t xml:space="preserve">147 Princes Hwy, Bodalla, 2545</t>
  </si>
  <si>
    <t xml:space="preserve">147 Soldiers Point Rd, Soldiers Point, 2317</t>
  </si>
  <si>
    <t xml:space="preserve">149 Alison Rd, Sydney, 2031</t>
  </si>
  <si>
    <t xml:space="preserve">149 Coward St, Sydney, 2020</t>
  </si>
  <si>
    <t xml:space="preserve">1498 Cullinga Rd, Wallendbeen, 2588</t>
  </si>
  <si>
    <t xml:space="preserve">Cootamundra-gundagai Regional Council</t>
  </si>
  <si>
    <t xml:space="preserve">1-5 Capper St, Tumut, 2720</t>
  </si>
  <si>
    <t xml:space="preserve">Snowy Valleys Council</t>
  </si>
  <si>
    <t xml:space="preserve">15 Chancellors Dr, Thrumster , 2444</t>
  </si>
  <si>
    <t xml:space="preserve">15 Edwin Flack Ave, Sydney, 2127</t>
  </si>
  <si>
    <t xml:space="preserve">15 Greenwich Rd, Greenwich , 2065</t>
  </si>
  <si>
    <t xml:space="preserve">15 Little Street, Sydney, 2066</t>
  </si>
  <si>
    <t xml:space="preserve">15 Merriville Rd, Sydney, 2155</t>
  </si>
  <si>
    <t xml:space="preserve">15 Mort St, Port Macquarie, 2444</t>
  </si>
  <si>
    <t xml:space="preserve">15 Ridge St, Sydney, 2060</t>
  </si>
  <si>
    <t xml:space="preserve">15 Victoria St, Sydney, 2019</t>
  </si>
  <si>
    <t xml:space="preserve">1509-1511 Pittwater Rd, Sydney, 2101</t>
  </si>
  <si>
    <t xml:space="preserve">151 Beauchamp Rd, Sydney, 2036</t>
  </si>
  <si>
    <t xml:space="preserve">152 Church St, Glen Innes, 2370</t>
  </si>
  <si>
    <t xml:space="preserve">152 Green Street W, Lockhart, 2656</t>
  </si>
  <si>
    <t xml:space="preserve">Lockhart Shire Council</t>
  </si>
  <si>
    <t xml:space="preserve">152 Pacific Hwy, 36 Josephson St, Swansea NSW 2281</t>
  </si>
  <si>
    <t xml:space="preserve">153 Coreen Ave Cnr Castlereagh Rd, Penrith, NSW, 2750</t>
  </si>
  <si>
    <t xml:space="preserve">Penrith City Council</t>
  </si>
  <si>
    <t xml:space="preserve">153 Fitzmaurice St, Wagga Wagga, 2650</t>
  </si>
  <si>
    <t xml:space="preserve">154 Canterbury St, Casino, 2470</t>
  </si>
  <si>
    <t xml:space="preserve">155 Governor Macquarie Dr, Sydney, 2170</t>
  </si>
  <si>
    <t xml:space="preserve">156 Melbourne St, Mulwala, 2647</t>
  </si>
  <si>
    <t xml:space="preserve">Federation Council</t>
  </si>
  <si>
    <t xml:space="preserve">Wevolt</t>
  </si>
  <si>
    <t xml:space="preserve">80 kW</t>
  </si>
  <si>
    <t xml:space="preserve">15620 Hume Hwy, Marulan, 2579</t>
  </si>
  <si>
    <t xml:space="preserve">Goulburn Mulwaree Council</t>
  </si>
  <si>
    <t xml:space="preserve">15666 Hume Hwy, Marulan, 2579</t>
  </si>
  <si>
    <t xml:space="preserve">1596 Broke Rd, Pokolbin, 2320</t>
  </si>
  <si>
    <t xml:space="preserve">1-5R Knowles Ave, Sydney, 2036</t>
  </si>
  <si>
    <t xml:space="preserve">11 kW</t>
  </si>
  <si>
    <t xml:space="preserve">16 Charlton St, Central Coast, 2261</t>
  </si>
  <si>
    <t xml:space="preserve">16 Kent St, Millers Point, 2000</t>
  </si>
  <si>
    <t xml:space="preserve">16 Nettin Cct, Jindabyne, 2627</t>
  </si>
  <si>
    <t xml:space="preserve">16 Oaks Ave, Sydney, 2099</t>
  </si>
  <si>
    <t xml:space="preserve">161 Elizabeth St, Sydney, 2000</t>
  </si>
  <si>
    <t xml:space="preserve">161 Elizabeth Street, Sydney, 2000</t>
  </si>
  <si>
    <t xml:space="preserve">16-20 Goodhope St, Sydney, 2021</t>
  </si>
  <si>
    <t xml:space="preserve">30 kW</t>
  </si>
  <si>
    <t xml:space="preserve">164 Camp Drewe Road, Lennox Head, 2478</t>
  </si>
  <si>
    <t xml:space="preserve">Ballina Shire Council</t>
  </si>
  <si>
    <t xml:space="preserve">164 Mona Vale Rd, St Ives, NSW, 2075</t>
  </si>
  <si>
    <t xml:space="preserve">165 Oberon Street, Sydney, 2034</t>
  </si>
  <si>
    <t xml:space="preserve">1650 Alpine Way, Crackenback, 2627</t>
  </si>
  <si>
    <t xml:space="preserve">166 Mona Vale Rd, Sydney, 2075</t>
  </si>
  <si>
    <t xml:space="preserve">169 Willoughby Rd, Sydney, 2065</t>
  </si>
  <si>
    <t xml:space="preserve">169-179 Thomas St, Sydney, 2000</t>
  </si>
  <si>
    <t xml:space="preserve">17 Roberts Rd, Sydney, 2766</t>
  </si>
  <si>
    <t xml:space="preserve">17 Smith St, Sydney, 2067</t>
  </si>
  <si>
    <t xml:space="preserve">17 Stanley St, Sydney, 2210</t>
  </si>
  <si>
    <t xml:space="preserve">170 Riversdale Rd, Illaroo, 2540</t>
  </si>
  <si>
    <t xml:space="preserve">173 The Vineyards Rd, Lake George, 2581</t>
  </si>
  <si>
    <t xml:space="preserve">176 Sutherland St, Sydney, 2021</t>
  </si>
  <si>
    <t xml:space="preserve">1760 Joadja Road, Joadja, 2575</t>
  </si>
  <si>
    <t xml:space="preserve">177-179 Glenayr Ave, Sydney, 2026</t>
  </si>
  <si>
    <t xml:space="preserve">179 Gillards Rd, Pokolbin, 2320</t>
  </si>
  <si>
    <t xml:space="preserve">179 Gordon St, Port Macquarie, 2444</t>
  </si>
  <si>
    <t xml:space="preserve">18 Alfred St, Dubbo, 2830</t>
  </si>
  <si>
    <t xml:space="preserve">18 Imlay St, Broulee, 2537</t>
  </si>
  <si>
    <t xml:space="preserve">18 Silver St, Sydney, 2031</t>
  </si>
  <si>
    <t xml:space="preserve">42 kW</t>
  </si>
  <si>
    <t xml:space="preserve">18 Station St, Sydney, 2766</t>
  </si>
  <si>
    <t xml:space="preserve">18 Victoria Avenue, Castle Hill NSW 2154</t>
  </si>
  <si>
    <t xml:space="preserve">18 Yango St, Cessnock, 2325</t>
  </si>
  <si>
    <t xml:space="preserve">180 Campbell Pde, Sydney, 2026</t>
  </si>
  <si>
    <t xml:space="preserve">180 George St, Sydney, 2150</t>
  </si>
  <si>
    <t xml:space="preserve">184 Forbes St, Sydney, 2010</t>
  </si>
  <si>
    <t xml:space="preserve">18-40 Anderson St, Sydney, 2150</t>
  </si>
  <si>
    <t xml:space="preserve">185 O'Riordan St, Sydney, 2020</t>
  </si>
  <si>
    <t xml:space="preserve">185 Princes Hwy, Narooma , 2546</t>
  </si>
  <si>
    <t xml:space="preserve">187 Rickard Rd, Leppington, 2179</t>
  </si>
  <si>
    <t xml:space="preserve">188 Fernleigh Rd, Wagga Wagga, 2650</t>
  </si>
  <si>
    <t xml:space="preserve">188 Raglan St, Sydney, 2088</t>
  </si>
  <si>
    <t xml:space="preserve">189 Newcastle Rd, Newcastle, 2299</t>
  </si>
  <si>
    <t xml:space="preserve">ChargeHub</t>
  </si>
  <si>
    <t xml:space="preserve">18A Gould Dr, Lemon Tree Passage, 2319</t>
  </si>
  <si>
    <t xml:space="preserve">19 Bourke Rd, Sydney, 2020</t>
  </si>
  <si>
    <t xml:space="preserve">19 Buchanan Drive, South West Rocks, 2431</t>
  </si>
  <si>
    <t xml:space="preserve">Kempsey Shire Council</t>
  </si>
  <si>
    <t xml:space="preserve">19 Ebsworth St, Redhead, 2290</t>
  </si>
  <si>
    <t xml:space="preserve">19 Narabang Way, Sydney, 2085</t>
  </si>
  <si>
    <t xml:space="preserve">19 Princes Hwy, Figtree NSW 2525</t>
  </si>
  <si>
    <t xml:space="preserve">1-9 Railway Parade, Kogarah NSW 2217</t>
  </si>
  <si>
    <t xml:space="preserve">19 Richmond Rd, Sydney, 2140</t>
  </si>
  <si>
    <t xml:space="preserve">Strathfield</t>
  </si>
  <si>
    <t xml:space="preserve">19 Windsor Rd, Sydney, 2155</t>
  </si>
  <si>
    <t xml:space="preserve">19/287 Victoria Rd, Sydney, 2116</t>
  </si>
  <si>
    <t xml:space="preserve">190 Portland Dr, Cameron Park, 2285</t>
  </si>
  <si>
    <t xml:space="preserve">191 Mitchell Pde, Mollymook Beach, 2539</t>
  </si>
  <si>
    <t xml:space="preserve">193 George St, Quirindi, 2343</t>
  </si>
  <si>
    <t xml:space="preserve">Liverpool Plains Shire Council</t>
  </si>
  <si>
    <t xml:space="preserve">197-215 Condamine St Balgowlah NSW 2093</t>
  </si>
  <si>
    <t xml:space="preserve">Fast Charging R3</t>
  </si>
  <si>
    <t xml:space="preserve">197-215 Condamine St, Sydney, 2093</t>
  </si>
  <si>
    <t xml:space="preserve">198 Great Western Highway, Hazelbrook, NSW, 2779</t>
  </si>
  <si>
    <t xml:space="preserve">1985 Camden Valley Way, Prestons NSW 2170</t>
  </si>
  <si>
    <t xml:space="preserve">19A Sirius Rd, Sydney, 2066</t>
  </si>
  <si>
    <t xml:space="preserve">1A Bridges Rd, Gerringong, 2534</t>
  </si>
  <si>
    <t xml:space="preserve">1a Duck St, Sydney, 2144</t>
  </si>
  <si>
    <t xml:space="preserve">Cumberland Council</t>
  </si>
  <si>
    <t xml:space="preserve">1A Keith St Dulwich Hill NSW 2203</t>
  </si>
  <si>
    <t xml:space="preserve">EVE Australia</t>
  </si>
  <si>
    <t xml:space="preserve">Kerbside Charging R1</t>
  </si>
  <si>
    <t xml:space="preserve">2 Baptist St, Sydney, 2016</t>
  </si>
  <si>
    <t xml:space="preserve">2 Central Ave, Sydney, 2015</t>
  </si>
  <si>
    <t xml:space="preserve">2 Coast Hospital Rd, Sydney, 2036</t>
  </si>
  <si>
    <t xml:space="preserve">2 Corkwood Rd, Valla, 2448</t>
  </si>
  <si>
    <t xml:space="preserve">Nambucca Valley Council</t>
  </si>
  <si>
    <t xml:space="preserve">2 Crofts Ave, Sydney, 2220</t>
  </si>
  <si>
    <t xml:space="preserve">2 Cross St, Sydney, 2100</t>
  </si>
  <si>
    <t xml:space="preserve">2 Hannabus Pl, Windsor, 2756</t>
  </si>
  <si>
    <t xml:space="preserve">Hawkesbury City Council</t>
  </si>
  <si>
    <t xml:space="preserve">2 Hector Ct, Sydney, 2155</t>
  </si>
  <si>
    <t xml:space="preserve">2 Hercules Street, Murrumbateman, 2582</t>
  </si>
  <si>
    <t xml:space="preserve">2 Huntley St, Alexandria, 2015</t>
  </si>
  <si>
    <t xml:space="preserve">2 John St, Shellharbour, 2529</t>
  </si>
  <si>
    <t xml:space="preserve">2 Lachlan Valley Way, Cowra, 2794</t>
  </si>
  <si>
    <t xml:space="preserve">2 Little St, Sydney, 2066</t>
  </si>
  <si>
    <t xml:space="preserve">2 Murray St, Port Macquarie, 2444</t>
  </si>
  <si>
    <t xml:space="preserve">2 Ocean Dr, Kew, 2439</t>
  </si>
  <si>
    <t xml:space="preserve">2 Premier St, Sydney, 2217</t>
  </si>
  <si>
    <t xml:space="preserve">2 Quay St, Sydney, 2000</t>
  </si>
  <si>
    <t xml:space="preserve">2 Riddell St, Sydney, 2023</t>
  </si>
  <si>
    <t xml:space="preserve">40 kW</t>
  </si>
  <si>
    <t xml:space="preserve">2 Robsons Rd, Wollongong, 2500</t>
  </si>
  <si>
    <t xml:space="preserve">2 Rosenthal Ave, Lane Cove NSW 2066</t>
  </si>
  <si>
    <t xml:space="preserve">2 Rosenthal Ave, Sydney, 2066</t>
  </si>
  <si>
    <t xml:space="preserve">2 Sentry Dr, Sydney, 2768</t>
  </si>
  <si>
    <t xml:space="preserve">2 Shepherd St, Ulladulla, 2539</t>
  </si>
  <si>
    <t xml:space="preserve">2 Stewart St, Lithgow, 2790</t>
  </si>
  <si>
    <t xml:space="preserve">2 Stockton St, Nelson Bay, 2315</t>
  </si>
  <si>
    <t xml:space="preserve">2 Ween St, Peak Hill, 2869</t>
  </si>
  <si>
    <t xml:space="preserve">2 West St, Bermagui, 2546</t>
  </si>
  <si>
    <t xml:space="preserve">17 kW</t>
  </si>
  <si>
    <t xml:space="preserve">20 Bay St, Byron Bay, 2481</t>
  </si>
  <si>
    <t xml:space="preserve">20 Bridge St, Sydney, 2073</t>
  </si>
  <si>
    <t xml:space="preserve">20 Ocean St, Merewether, NSW 2291</t>
  </si>
  <si>
    <t xml:space="preserve">20 Owen St, Sydney, 2761</t>
  </si>
  <si>
    <t xml:space="preserve">20 Park St, Port Macquarie, 2444</t>
  </si>
  <si>
    <t xml:space="preserve">20 Phoenix Street, Sydney, 2066</t>
  </si>
  <si>
    <t xml:space="preserve">20 Smidmore St, Marrickville NSW 2204</t>
  </si>
  <si>
    <t xml:space="preserve">20 Wentworth St, Sydney, 2142</t>
  </si>
  <si>
    <t xml:space="preserve">200 Crown St, Wollongong NSW 2500</t>
  </si>
  <si>
    <t xml:space="preserve">200 Gilchrist Drive, Sydney, 2560</t>
  </si>
  <si>
    <t xml:space="preserve">200 Horderns Rd, Bowral, 2576</t>
  </si>
  <si>
    <t xml:space="preserve">201 Manning River Drive, Taree, 2430</t>
  </si>
  <si>
    <t xml:space="preserve">201 Sloane St, Goulburn , 2580</t>
  </si>
  <si>
    <t xml:space="preserve">201 Sussex St, Sydney, 2000</t>
  </si>
  <si>
    <t xml:space="preserve">20-22 Camden Rd Campbelltown NSW 2560</t>
  </si>
  <si>
    <t xml:space="preserve">203 Victoria St, Potts Point, 2011</t>
  </si>
  <si>
    <t xml:space="preserve">2032 Camden Valley Way, Sydney, 2174</t>
  </si>
  <si>
    <t xml:space="preserve">205 Kelly St, Scone, 2337</t>
  </si>
  <si>
    <t xml:space="preserve">205 Old Hume Hwy, Mittagong, 2575</t>
  </si>
  <si>
    <t xml:space="preserve">205 O'Riordan St, Sydney, 2020</t>
  </si>
  <si>
    <t xml:space="preserve">2072 Camden Valley Way, Edmondson Park, NSW, 2174</t>
  </si>
  <si>
    <t xml:space="preserve">21 Alice St, Moree, 2400</t>
  </si>
  <si>
    <t xml:space="preserve">21 Ayrshire Cres, Newcastle, 2304</t>
  </si>
  <si>
    <t xml:space="preserve">21 Church St, Sydney, 2112</t>
  </si>
  <si>
    <t xml:space="preserve">21 Combo St, Goolgowi, 2652</t>
  </si>
  <si>
    <t xml:space="preserve">Carrathool Shire Council</t>
  </si>
  <si>
    <t xml:space="preserve">21 Hague Ave, Albury, 2640</t>
  </si>
  <si>
    <t xml:space="preserve">21 Morgo St, Urunga, 2455</t>
  </si>
  <si>
    <t xml:space="preserve">21 Roselands Ave, Sydney, 2196</t>
  </si>
  <si>
    <t xml:space="preserve">2-10 Wentworth St, Sydney, 2150</t>
  </si>
  <si>
    <t xml:space="preserve">211 Lake Entrance Rd, Shellharbour City Centre, 2529</t>
  </si>
  <si>
    <t xml:space="preserve">2-110 Ben Boyd Pde, Boydtown, 2551</t>
  </si>
  <si>
    <t xml:space="preserve">2-14 Cliff Rd, Wollongong, 2500</t>
  </si>
  <si>
    <t xml:space="preserve">2197 Giinagay Way, Nambucca Heads, 2448</t>
  </si>
  <si>
    <t xml:space="preserve">22 Buchanan St, Kandos, 2848</t>
  </si>
  <si>
    <t xml:space="preserve">22 Carillon St, Camperdown, 2042</t>
  </si>
  <si>
    <t xml:space="preserve">22 Cook Ln, Sydney, 2223</t>
  </si>
  <si>
    <t xml:space="preserve">22 Giffnock Ave, Sydney, 2113</t>
  </si>
  <si>
    <t xml:space="preserve">220 Taren Point Rd, Caringbah NSW 2229</t>
  </si>
  <si>
    <t xml:space="preserve">Sutherland Shire Council</t>
  </si>
  <si>
    <t xml:space="preserve">221 Wolseley St, Jamisontown NSW 2750</t>
  </si>
  <si>
    <t xml:space="preserve">22-24 Park Ave, Sydney, 2134</t>
  </si>
  <si>
    <t xml:space="preserve">224 Princes Hwy, Wollongong, 2519</t>
  </si>
  <si>
    <t xml:space="preserve">224 Prospect Hwy, Seven Hills NSW 2147</t>
  </si>
  <si>
    <t xml:space="preserve">224 Railway Pde, Sydney, 2166</t>
  </si>
  <si>
    <t xml:space="preserve">225 George St, Sydney, 2000</t>
  </si>
  <si>
    <t xml:space="preserve">2260 Camden Valley Way, Sydney, 2170</t>
  </si>
  <si>
    <t xml:space="preserve">227 Railway Terrace, Schofields NSW 2762</t>
  </si>
  <si>
    <t xml:space="preserve">228-234 Pacific Hwy, Swansea NSW, 2281</t>
  </si>
  <si>
    <t xml:space="preserve">2285 Pacific Hwy, Heatherbrae, 2324</t>
  </si>
  <si>
    <t xml:space="preserve">22A Clovelly Rd, Sydney, 2031</t>
  </si>
  <si>
    <t xml:space="preserve">23 Morwick St, Sydney, 2135</t>
  </si>
  <si>
    <t xml:space="preserve">23 Roma Ave, Sydney, 2033</t>
  </si>
  <si>
    <t xml:space="preserve">230 Arden St, Sydney, 2034</t>
  </si>
  <si>
    <t xml:space="preserve">23-25 Oxley St, Taree, 2430</t>
  </si>
  <si>
    <t xml:space="preserve">233 Wharf Rd, Newcastle, 2300</t>
  </si>
  <si>
    <t xml:space="preserve">2352 George Bass Dr, Broulee, 2537</t>
  </si>
  <si>
    <t xml:space="preserve">235-285 New South Head Rd, Sydney, 2027</t>
  </si>
  <si>
    <t xml:space="preserve">2398 Pacific Hwy, Heatherbrae, 2324</t>
  </si>
  <si>
    <t xml:space="preserve">23A Roylston Street, Sydney, 2021</t>
  </si>
  <si>
    <t xml:space="preserve">24 Cooper St, Macksville, 2447</t>
  </si>
  <si>
    <t xml:space="preserve">24 Golf Pl, Wollongong, 2502</t>
  </si>
  <si>
    <t xml:space="preserve">24 Princes Hwy, Ulladulla, 2539</t>
  </si>
  <si>
    <t xml:space="preserve">24 Sallys Corner Rd, Exeter , 2579</t>
  </si>
  <si>
    <t xml:space="preserve">240 Hillsborough Rd, Warners Bay NSW 2282</t>
  </si>
  <si>
    <t xml:space="preserve">241 Keen St, Lismore, 2480</t>
  </si>
  <si>
    <t xml:space="preserve">Lismore City Council</t>
  </si>
  <si>
    <t xml:space="preserve">241 Waterworth Dr, Mount Annan NSW 2567</t>
  </si>
  <si>
    <t xml:space="preserve">Viva Energy A</t>
  </si>
  <si>
    <t xml:space="preserve">Fast Charging R2</t>
  </si>
  <si>
    <t xml:space="preserve">242 Arden St, Sydney, 2034</t>
  </si>
  <si>
    <t xml:space="preserve">24-28 Burns Bay Rd, Sydney, 2066</t>
  </si>
  <si>
    <t xml:space="preserve">243 Liverpool St, Sydney, 2010</t>
  </si>
  <si>
    <t xml:space="preserve">24-42 King Georges Rd, Sydney, 2195</t>
  </si>
  <si>
    <t xml:space="preserve">2457 Broke Rd, Pokolbin, 2320</t>
  </si>
  <si>
    <t xml:space="preserve">247 Belmore Rd, Riverwood NSW 2210</t>
  </si>
  <si>
    <t xml:space="preserve">25 Ashburner St, Sydney, 2095</t>
  </si>
  <si>
    <t xml:space="preserve">25 Childe St, Byron Bay , NSW 2481</t>
  </si>
  <si>
    <t xml:space="preserve">25 Frenchs Forest Rd E, Frenchs Forest NSW 2086</t>
  </si>
  <si>
    <t xml:space="preserve">250 Comur St, Yass, 2582</t>
  </si>
  <si>
    <t xml:space="preserve">250-318 Parramatta Rd, Sydney, 2140</t>
  </si>
  <si>
    <t xml:space="preserve">Strathfield Municipal Council</t>
  </si>
  <si>
    <t xml:space="preserve">251 Edgecliff Rd Woollahra NSW 2025</t>
  </si>
  <si>
    <t xml:space="preserve">252 Centennial Rd, Bowral, 2576</t>
  </si>
  <si>
    <t xml:space="preserve">253 Pacific Hwy, Coffs Harbour, 2450</t>
  </si>
  <si>
    <t xml:space="preserve">25-47 Ocean St, Sydney, 2101</t>
  </si>
  <si>
    <t xml:space="preserve">259 Pitt St, Sydney, 2000</t>
  </si>
  <si>
    <t xml:space="preserve">26 Aspect Dr, Coffs Harbour, 2450</t>
  </si>
  <si>
    <t xml:space="preserve">26 Bent St, Sydney, 2137</t>
  </si>
  <si>
    <t xml:space="preserve">26 Terry St, Sydney, 2041</t>
  </si>
  <si>
    <t xml:space="preserve">26 William St, Newcastle, 2304</t>
  </si>
  <si>
    <t xml:space="preserve">260 Craft Rd, Corrabare, 2325</t>
  </si>
  <si>
    <t xml:space="preserve">260 Jersey Rd, Plumpton NSW 2761</t>
  </si>
  <si>
    <t xml:space="preserve">260A Liverpool Rd, Ashfield NSW 2131</t>
  </si>
  <si>
    <t xml:space="preserve">26-30 Bayley St, Sydney, 2204</t>
  </si>
  <si>
    <t xml:space="preserve">266 Cressy St, Deniliquin, 2710</t>
  </si>
  <si>
    <t xml:space="preserve">27 Arthur St, Moss Vale, 2577</t>
  </si>
  <si>
    <t xml:space="preserve">27 Campbell Avenue, Sydney, 2021</t>
  </si>
  <si>
    <t xml:space="preserve">27 Fitzroy St, Grafton, 2460</t>
  </si>
  <si>
    <t xml:space="preserve">27 Munda St, Sydney, 2031</t>
  </si>
  <si>
    <t xml:space="preserve">27 Wyee Rd, Morisset, 2264</t>
  </si>
  <si>
    <t xml:space="preserve">27-33 Oaks Ave, Dee Why NSW 2099</t>
  </si>
  <si>
    <t xml:space="preserve">28 Albion Street, Sydney, 2010</t>
  </si>
  <si>
    <t xml:space="preserve">28 Blue Gum Rd, Newcastle, 2299</t>
  </si>
  <si>
    <t xml:space="preserve">28 Lawson St, Byron Bay, 2481</t>
  </si>
  <si>
    <t xml:space="preserve">100 kW</t>
  </si>
  <si>
    <t xml:space="preserve">28 Peppertree Dr, Pokolbin, 2320</t>
  </si>
  <si>
    <t xml:space="preserve">3 kW</t>
  </si>
  <si>
    <t xml:space="preserve">2-8 Turramurra Ave, Sydney, 2074</t>
  </si>
  <si>
    <t xml:space="preserve">28-32 Bowen St, Huskisson, 2540</t>
  </si>
  <si>
    <t xml:space="preserve">28-38 Powell St, Sydney, 2140</t>
  </si>
  <si>
    <t xml:space="preserve">2848 Pacific Hwy, Tyndale NSW, 2464</t>
  </si>
  <si>
    <t xml:space="preserve">286-288 New Line Rd, Sydney, 2158</t>
  </si>
  <si>
    <t xml:space="preserve">287 Mona Vale Rd, Sydney, 2084</t>
  </si>
  <si>
    <t xml:space="preserve">29 Windsor Rd, Sydney, 2155</t>
  </si>
  <si>
    <t xml:space="preserve">290 Pacific Hwy, Newcastle, 2290</t>
  </si>
  <si>
    <t xml:space="preserve">291 King St, Newcastle, 2300</t>
  </si>
  <si>
    <t xml:space="preserve">293 Belmore Rd, Sydney, 2210</t>
  </si>
  <si>
    <t xml:space="preserve">298 Lake Canobolas Rd, Canobolas, 2800</t>
  </si>
  <si>
    <t xml:space="preserve">2A Richmond Rd, Sydney, 2029</t>
  </si>
  <si>
    <t xml:space="preserve">2a Todman Ave, Sydney, 2033</t>
  </si>
  <si>
    <t xml:space="preserve">Thynk Beresfield</t>
  </si>
  <si>
    <t xml:space="preserve">3 Bowden Way Beresfield NSW 2322</t>
  </si>
  <si>
    <t xml:space="preserve">3 Brown St, Newtown, 2042</t>
  </si>
  <si>
    <t xml:space="preserve">3 Bungendore Rd, Queanbeyan NSW 2620</t>
  </si>
  <si>
    <t xml:space="preserve">3 Cavvanbah St, Byron Bay, 2481</t>
  </si>
  <si>
    <t xml:space="preserve">3 Columbia Way, Sydney, 2153</t>
  </si>
  <si>
    <t xml:space="preserve">3 Corkhill Pl, Bega, 2550</t>
  </si>
  <si>
    <t xml:space="preserve">3 Fordham Way, Sydney, 2570</t>
  </si>
  <si>
    <t xml:space="preserve">3 George St, North Strathfield NSW 2137</t>
  </si>
  <si>
    <t xml:space="preserve">3 Government Rd, Nelson Bay, 2315</t>
  </si>
  <si>
    <t xml:space="preserve">3 Hilltop Cres Fairlight NSW 2094</t>
  </si>
  <si>
    <t xml:space="preserve">3 Leisure Dr, Tweed Heads, 2486</t>
  </si>
  <si>
    <t xml:space="preserve">3 Lyttle St, Broulee, 2537</t>
  </si>
  <si>
    <t xml:space="preserve">3 Margaret St, Sydney, 2135</t>
  </si>
  <si>
    <t xml:space="preserve">3 Midway Dr, Buronga, 2739</t>
  </si>
  <si>
    <t xml:space="preserve">3 Paragon Ave, South West Rocks, 2431</t>
  </si>
  <si>
    <t xml:space="preserve">3 Thomas Holt Drive, Sydney, 2113</t>
  </si>
  <si>
    <t xml:space="preserve">30 Dowling St, Sydney, 2096</t>
  </si>
  <si>
    <t xml:space="preserve">30 Staples St, Shoalhaven Heads, 2535</t>
  </si>
  <si>
    <t xml:space="preserve">302-312 Parramatta Rd, Sydney, 2134</t>
  </si>
  <si>
    <t xml:space="preserve">303 Henry Parry Dr, Central Coast, 2250</t>
  </si>
  <si>
    <t xml:space="preserve">30-32 Beach St, Harrington, 2427</t>
  </si>
  <si>
    <t xml:space="preserve">30-36 Camperdown St, Coffs Harbour, 2450</t>
  </si>
  <si>
    <t xml:space="preserve">30-36 Sharp St, Cooma, 2630</t>
  </si>
  <si>
    <t xml:space="preserve">307 Lane Cove Rd, Sydney, 2113</t>
  </si>
  <si>
    <t xml:space="preserve">30A Richland St, Sydney, 2208</t>
  </si>
  <si>
    <t xml:space="preserve">31 Berrara Rd, Berrara, 2540</t>
  </si>
  <si>
    <t xml:space="preserve">31 Marsh St, Armidale, 2350</t>
  </si>
  <si>
    <t xml:space="preserve">31 Stonehaven Rd, Wollongong, 2508</t>
  </si>
  <si>
    <t xml:space="preserve">31 Treacy St, Sydney, 2220</t>
  </si>
  <si>
    <t xml:space="preserve">311 Ophir Rd, Stewarts Mount, 2795</t>
  </si>
  <si>
    <t xml:space="preserve">311-315 Marius St, Tamworth, 2340</t>
  </si>
  <si>
    <t xml:space="preserve">312 Mount View Rd, Mount View, 2325</t>
  </si>
  <si>
    <t xml:space="preserve">31-39 Macquarie St, Sydney, 2150</t>
  </si>
  <si>
    <t xml:space="preserve">315 Church St, Sydney, 2142</t>
  </si>
  <si>
    <t xml:space="preserve">315 The Entrance Rd, Central Coast, 2261</t>
  </si>
  <si>
    <t xml:space="preserve">316 Victoria Rd, Sydney, 2116</t>
  </si>
  <si>
    <t xml:space="preserve">3-19 Yurong St, Darlinghurst, 2010</t>
  </si>
  <si>
    <t xml:space="preserve">32 Cricketers Arms Rd, Sydney, 2148</t>
  </si>
  <si>
    <t xml:space="preserve">32 Military Rd, Sydney, 2026</t>
  </si>
  <si>
    <t xml:space="preserve">32 Sydney St, Tarcutta, 2652</t>
  </si>
  <si>
    <t xml:space="preserve">320 Princes Hwy, Bomaderry, 2541</t>
  </si>
  <si>
    <t xml:space="preserve">322 Woodville Rd, Guildford NSW 2161</t>
  </si>
  <si>
    <t xml:space="preserve">3241 Hume Hwy, Mount Adrah, 2729</t>
  </si>
  <si>
    <t xml:space="preserve">328 Main Rd, Newcastle, 2285</t>
  </si>
  <si>
    <t xml:space="preserve">329 Tinja Ln, Eurunderee, 2850</t>
  </si>
  <si>
    <t xml:space="preserve">329-339 Princes Hwy, Sydney, 2044</t>
  </si>
  <si>
    <t xml:space="preserve">33 Cross St, Double Bay, 2028</t>
  </si>
  <si>
    <t xml:space="preserve">Porsche Smart</t>
  </si>
  <si>
    <t xml:space="preserve">33 Moate St, Newcastle, 2298</t>
  </si>
  <si>
    <t xml:space="preserve">33 Smith St, Newcastle, 2290</t>
  </si>
  <si>
    <t xml:space="preserve">33 Smith Street, Sydney, 2036</t>
  </si>
  <si>
    <t xml:space="preserve">330 Pennant Hills Rd, Pennant Hills NSW 2120</t>
  </si>
  <si>
    <t xml:space="preserve">336 Oakey Creek Rd, Pokolbin, 2320</t>
  </si>
  <si>
    <t xml:space="preserve">338 King St, Sydney, 2020</t>
  </si>
  <si>
    <t xml:space="preserve">339 Warialda St, Moree, 2400</t>
  </si>
  <si>
    <t xml:space="preserve">34 Annie Pyers Dr, Gundagai , 2722</t>
  </si>
  <si>
    <t xml:space="preserve">34 Echo Point Rd, Katoomba, 2780</t>
  </si>
  <si>
    <t xml:space="preserve">34 Isabel Dr, Murrumbateman, 2582</t>
  </si>
  <si>
    <t xml:space="preserve">34 Macpherson St, Sydney, 2024</t>
  </si>
  <si>
    <t xml:space="preserve">34 Morley Ave, Rosebery, 2018</t>
  </si>
  <si>
    <t xml:space="preserve">342 Conadilly St, Gunnedah, 2380</t>
  </si>
  <si>
    <t xml:space="preserve">342 Kanahooka Rd, Brownsville, NSW, 2530</t>
  </si>
  <si>
    <t xml:space="preserve">345 Dangarsleigh Rd, Armidale, 2350</t>
  </si>
  <si>
    <t xml:space="preserve">345 Lawrence Hargrave Dr, Thirroul , NSW 2515</t>
  </si>
  <si>
    <t xml:space="preserve">345 Victoria Ave, Chatswood NSW 2067</t>
  </si>
  <si>
    <t xml:space="preserve">345 Victoria Ave, Sydney, 2067</t>
  </si>
  <si>
    <t xml:space="preserve">3483 Jerrys Plains Rd, Jerrys Plains, 2330</t>
  </si>
  <si>
    <t xml:space="preserve">35 Perry St, Mudgee, 2850</t>
  </si>
  <si>
    <t xml:space="preserve">3-5 Underwood Rd, Homebush NSW 2140</t>
  </si>
  <si>
    <t xml:space="preserve">3-5 Underwood Rd, Sydney, 2140</t>
  </si>
  <si>
    <t xml:space="preserve">35 Woodburn St, Evans Head, 2473</t>
  </si>
  <si>
    <t xml:space="preserve">350 Church St, Sydney, 2150</t>
  </si>
  <si>
    <t xml:space="preserve">351 Oran Park Drive, Sydney, 2570</t>
  </si>
  <si>
    <t xml:space="preserve">35-39 Lord St, Port Macquarie, 2444</t>
  </si>
  <si>
    <t xml:space="preserve">36 Blue St, Sydney, 2060</t>
  </si>
  <si>
    <t xml:space="preserve">36 College St, Sydney, 2010</t>
  </si>
  <si>
    <t xml:space="preserve">361 Milperra Rd, Sydney, 2200</t>
  </si>
  <si>
    <t xml:space="preserve">361A Bobbin Head Rd, Sydney, 2074</t>
  </si>
  <si>
    <t xml:space="preserve">368 Anzac Pde, Sydney, 2032</t>
  </si>
  <si>
    <t xml:space="preserve">37-39 Baird Ave, Sydney, 2036</t>
  </si>
  <si>
    <t xml:space="preserve">37-39 O'Donnell St, Sydney, 2026</t>
  </si>
  <si>
    <t xml:space="preserve">375-383 Windsor Rd, Sydney, 2153</t>
  </si>
  <si>
    <t xml:space="preserve">38 Abbott Rd, Seven Hills NSW 2147</t>
  </si>
  <si>
    <t xml:space="preserve">38 Flora St, Sydney, 2232</t>
  </si>
  <si>
    <t xml:space="preserve">38 Swift St, Holbrook, 2644</t>
  </si>
  <si>
    <t xml:space="preserve">387 Lake Rd, Newcastle, 2285</t>
  </si>
  <si>
    <t xml:space="preserve">387 Lake Road, Newcastle, 2285</t>
  </si>
  <si>
    <t xml:space="preserve">388 Edgecliff Rd, Sydney, 2025</t>
  </si>
  <si>
    <t xml:space="preserve">389 Pitt Street, Sydney, 2000</t>
  </si>
  <si>
    <t xml:space="preserve">39 Clarence St, Tabulam, 2469</t>
  </si>
  <si>
    <t xml:space="preserve">Kyogle Council</t>
  </si>
  <si>
    <t xml:space="preserve">39 East Espl, Sydney, 2095</t>
  </si>
  <si>
    <t xml:space="preserve">Gentari</t>
  </si>
  <si>
    <t xml:space="preserve">39 Seignior St, Junee, 2663</t>
  </si>
  <si>
    <t xml:space="preserve">Junee Shire Council</t>
  </si>
  <si>
    <t xml:space="preserve">3A Cowell St, Sydney, 2111</t>
  </si>
  <si>
    <t xml:space="preserve">Hunters Hill, The Council of the Municipality of</t>
  </si>
  <si>
    <t xml:space="preserve">4 Defries Ave, Sydney, 2017</t>
  </si>
  <si>
    <t xml:space="preserve">4 Finch Dr, Sydney, 2036</t>
  </si>
  <si>
    <t xml:space="preserve">4 Harris St, Newcastle, 2287</t>
  </si>
  <si>
    <t xml:space="preserve">4 Pinaroo Place, Sydney, 2066</t>
  </si>
  <si>
    <t xml:space="preserve">4 Tindall St, Sydney, 2560</t>
  </si>
  <si>
    <t xml:space="preserve">40 Blackbutts Rd, Sydney, 2086</t>
  </si>
  <si>
    <t xml:space="preserve">40 Gouldsbury St, Sydney, 2088</t>
  </si>
  <si>
    <t xml:space="preserve">40 Jersey Rd, Sydney, 2770</t>
  </si>
  <si>
    <t xml:space="preserve">40 Kingsway, Sydney, 2099</t>
  </si>
  <si>
    <t xml:space="preserve">40 Langlee Ave, Sydney, 2024</t>
  </si>
  <si>
    <t xml:space="preserve">40 Oxley Street, Sydney, 2570</t>
  </si>
  <si>
    <t xml:space="preserve">40 Panmure St, Sydney, 2155</t>
  </si>
  <si>
    <t xml:space="preserve">40 Wharf Rd, Newcastle, 2300</t>
  </si>
  <si>
    <t xml:space="preserve">40 William St, Port Macquarie, 2444</t>
  </si>
  <si>
    <t xml:space="preserve">400 Panorama Ave, Bathurst, 2795</t>
  </si>
  <si>
    <t xml:space="preserve">401 Cabramatta Rd W, Cabramatta NSW 2166</t>
  </si>
  <si>
    <t xml:space="preserve">403 Tarean Rd, Karuah, 2324</t>
  </si>
  <si>
    <t xml:space="preserve">185 kW</t>
  </si>
  <si>
    <t xml:space="preserve">405 Pacific Hwy, Sydney, 2064</t>
  </si>
  <si>
    <t xml:space="preserve">406 Moppett St Hay NSW 2711</t>
  </si>
  <si>
    <t xml:space="preserve">41 Bruxner Hwy, Ballina, 2478</t>
  </si>
  <si>
    <t xml:space="preserve">41 Endeavour Ave, La Perouse, 2036</t>
  </si>
  <si>
    <t xml:space="preserve">41 Violet St, Katoomba, 2780</t>
  </si>
  <si>
    <t xml:space="preserve">41 Yambo St, Morisset, 2264</t>
  </si>
  <si>
    <t xml:space="preserve">41 Yobarnie Ave, Richmond, 2754</t>
  </si>
  <si>
    <t xml:space="preserve">4-10 Hillcrest Rd, Sydney, 2120</t>
  </si>
  <si>
    <t xml:space="preserve">41-47 Shepherds Dr, Sydney, 2126</t>
  </si>
  <si>
    <t xml:space="preserve">417 Hinterland Way, Knockrow, 2479</t>
  </si>
  <si>
    <t xml:space="preserve">417-439 Bunnerong Rd, Sydney, 2035</t>
  </si>
  <si>
    <t xml:space="preserve">419 Captains Flat Rd, Carwoola, 2620</t>
  </si>
  <si>
    <t xml:space="preserve">42 Camden Rd, Sydney, 2560</t>
  </si>
  <si>
    <t xml:space="preserve">200 kW</t>
  </si>
  <si>
    <t xml:space="preserve">42 Cloete St, Young, 2594</t>
  </si>
  <si>
    <t xml:space="preserve">42 Lake Canobolas Rd, Nashdale, 2800</t>
  </si>
  <si>
    <t xml:space="preserve">42 Malakoff St, Sydney, 2204</t>
  </si>
  <si>
    <t xml:space="preserve">427 McDonalds Rd, Pokolbin, 2320</t>
  </si>
  <si>
    <t xml:space="preserve">43 Station St, Newcastle, 2293</t>
  </si>
  <si>
    <t xml:space="preserve">430 Marion St, Sydney, 2200</t>
  </si>
  <si>
    <t xml:space="preserve">430 Wine Country Drive, Lovedale, 2325</t>
  </si>
  <si>
    <t xml:space="preserve">433 Ulan Rd, Buckaroo, 2850</t>
  </si>
  <si>
    <t xml:space="preserve">44 Bangalow Rd, Ballina, 2478</t>
  </si>
  <si>
    <t xml:space="preserve">44 Broadarrow Rd, Sydney, 2209</t>
  </si>
  <si>
    <t xml:space="preserve">44 Cherry St, Ballina, 2478</t>
  </si>
  <si>
    <t xml:space="preserve">44 Mileham Ave, Sydney, 2153</t>
  </si>
  <si>
    <t xml:space="preserve">44 Molesworth St, Lismore, 2480</t>
  </si>
  <si>
    <t xml:space="preserve">44 Station St Wickham NSW 2293</t>
  </si>
  <si>
    <t xml:space="preserve">446 Dean St, Albury, 2640</t>
  </si>
  <si>
    <t xml:space="preserve">44-60 Allison Cres, Sydney, 2234</t>
  </si>
  <si>
    <t xml:space="preserve">45 Riverbank Dr, Sydney, 2769</t>
  </si>
  <si>
    <t xml:space="preserve">45 Syncarpia Cres, Central Coast, 2250</t>
  </si>
  <si>
    <t xml:space="preserve">455 George St, Sydney, 2000</t>
  </si>
  <si>
    <t xml:space="preserve">46 Dutruc Street, Sydney, 2031</t>
  </si>
  <si>
    <t xml:space="preserve">46 Hercules St, Sydney, 2067</t>
  </si>
  <si>
    <t xml:space="preserve">EV Meter</t>
  </si>
  <si>
    <t xml:space="preserve">4-6 New St, Lawson NSW 2783</t>
  </si>
  <si>
    <t xml:space="preserve">4-6 Niangala Cl, Belrose NSW 2085</t>
  </si>
  <si>
    <t xml:space="preserve">46 Peach Tree Rd, Megalong Valley, 2785</t>
  </si>
  <si>
    <t xml:space="preserve">46 Providence Rd, Providence Portal, 2629</t>
  </si>
  <si>
    <t xml:space="preserve">5 kW</t>
  </si>
  <si>
    <t xml:space="preserve">461 Victoria Rd, Sydney, 2111</t>
  </si>
  <si>
    <t xml:space="preserve">462 Chapel Rd N, Sydney, 2200</t>
  </si>
  <si>
    <t xml:space="preserve">4655 Jenolan Caves Road, Jenolan, 2790</t>
  </si>
  <si>
    <t xml:space="preserve">Oberon Council</t>
  </si>
  <si>
    <t xml:space="preserve">47 Airport Rd, Albion Park Rail, 2527</t>
  </si>
  <si>
    <t xml:space="preserve">472 Pacific Hwy, Sydney, 2066</t>
  </si>
  <si>
    <t xml:space="preserve">47-49A Cleary St, Newcastle, 2303</t>
  </si>
  <si>
    <t xml:space="preserve">481 Princes Hwy, Sydney, 2232</t>
  </si>
  <si>
    <t xml:space="preserve">487 Sydney Rd, Sydney, 2093</t>
  </si>
  <si>
    <t xml:space="preserve">49 Harrison St, Newcastle, 2285</t>
  </si>
  <si>
    <t xml:space="preserve">49 Macquarie Rd, Newcastle, 2285</t>
  </si>
  <si>
    <t xml:space="preserve">49 Nile St, Orange, 2800</t>
  </si>
  <si>
    <t xml:space="preserve">49 Tower Rd, Sydney, 2200</t>
  </si>
  <si>
    <t xml:space="preserve">490 Macleay Valley Way, South Kempsey, 2440</t>
  </si>
  <si>
    <t xml:space="preserve">4968 Mitchell Hwy, Orange, 2800</t>
  </si>
  <si>
    <t xml:space="preserve">5 Beames Ave, Sydney, 2766</t>
  </si>
  <si>
    <t xml:space="preserve">5 Bishop St, Sydney, 2106</t>
  </si>
  <si>
    <t xml:space="preserve">5 Footbridge Blvd, Sydney, 2127</t>
  </si>
  <si>
    <t xml:space="preserve">5 King St, Newcastle, 2300</t>
  </si>
  <si>
    <t xml:space="preserve">5 Norton Ln, Bowral, 2576</t>
  </si>
  <si>
    <t xml:space="preserve">5 Ray St, Sydney, 2074</t>
  </si>
  <si>
    <t xml:space="preserve">5 Snapper Dr, Lennox Head, 2478</t>
  </si>
  <si>
    <t xml:space="preserve">5 Tilba St, Narooma, 2546</t>
  </si>
  <si>
    <t xml:space="preserve">5 Willowdale Dr, Denham Court NSW 2565</t>
  </si>
  <si>
    <t xml:space="preserve">50 O'Sullivan Rd, Sydney, 2029</t>
  </si>
  <si>
    <t xml:space="preserve">50 Pembroke St, Sydney, 2131</t>
  </si>
  <si>
    <t xml:space="preserve">50 Wiley St, Sydney, 2024</t>
  </si>
  <si>
    <t xml:space="preserve">509-517 The Entrance Rd, Central Coast, 2261</t>
  </si>
  <si>
    <t xml:space="preserve">51 Bathurst St, Condobolin, 2877</t>
  </si>
  <si>
    <t xml:space="preserve">Lachlan Shire Council</t>
  </si>
  <si>
    <t xml:space="preserve">51 Metford Rd, Maitland, 2323</t>
  </si>
  <si>
    <t xml:space="preserve">516 Punchbowl Rd Cnr Wangee Rd, Lakemba, NSW, 2195</t>
  </si>
  <si>
    <t xml:space="preserve">52 Albert Ave, Sydney, 2067</t>
  </si>
  <si>
    <t xml:space="preserve">7 kW</t>
  </si>
  <si>
    <t xml:space="preserve">52 Pembroke St Ashfield NSW 2131</t>
  </si>
  <si>
    <t xml:space="preserve">52 Princes Hwy, Bodalla, 2545</t>
  </si>
  <si>
    <t xml:space="preserve">52 Taylor Rd, Albion Park, 2527</t>
  </si>
  <si>
    <t xml:space="preserve">520 David St Albury NSW 2640</t>
  </si>
  <si>
    <t xml:space="preserve">52-88 Great Western Hwy, Medlow Bath, 2780</t>
  </si>
  <si>
    <t xml:space="preserve">53 East St, Harden, 2587</t>
  </si>
  <si>
    <t xml:space="preserve">53 Sydney Rd, Goulburn, 2580</t>
  </si>
  <si>
    <t xml:space="preserve">536 New South Head Rd, Sydney, 2028</t>
  </si>
  <si>
    <t xml:space="preserve">53-71 Rowe Street, Sydney, 2122</t>
  </si>
  <si>
    <t xml:space="preserve">53A Orient St, Batemans Bay, 2536</t>
  </si>
  <si>
    <t xml:space="preserve">54 Brighton St, Sydney, 2132</t>
  </si>
  <si>
    <t xml:space="preserve">54 Gordon Cres, Lane Cove North, 2066</t>
  </si>
  <si>
    <t xml:space="preserve">54 Meninya St, Moama, 2731</t>
  </si>
  <si>
    <t xml:space="preserve">Murray River Council</t>
  </si>
  <si>
    <t xml:space="preserve">54 Minjungbal Dr, Tweed Heads, 2486</t>
  </si>
  <si>
    <t xml:space="preserve">54-76 Captain Cook Dr, Caringbah NSW 2229</t>
  </si>
  <si>
    <t xml:space="preserve">55 Campbell St, Sydney, 2148</t>
  </si>
  <si>
    <t xml:space="preserve">55 North Steyne, Sydney, 2095</t>
  </si>
  <si>
    <t xml:space="preserve">55 Pyrmont St, Pyrmont, 2009</t>
  </si>
  <si>
    <t xml:space="preserve">55 Train St, Broulee, 2537</t>
  </si>
  <si>
    <t xml:space="preserve">550 Bunnerong Rd, Sydney, 2036</t>
  </si>
  <si>
    <t xml:space="preserve">550 Kiewa Street, Albury, 2640</t>
  </si>
  <si>
    <t xml:space="preserve">555 Hermitage Rd, Pokolbin, 2320</t>
  </si>
  <si>
    <t xml:space="preserve">555 High St, Maitland, 2320</t>
  </si>
  <si>
    <t xml:space="preserve">55-65 Murray St, Sydney, 2009</t>
  </si>
  <si>
    <t xml:space="preserve">56 Morpeth St, Harwood , 2465</t>
  </si>
  <si>
    <t xml:space="preserve">561-583 Polding St, Sydney, 2176</t>
  </si>
  <si>
    <t xml:space="preserve">56-58 Frenchs Rd, Sydney, 2068</t>
  </si>
  <si>
    <t xml:space="preserve">5-7 Ascot St, Sydney, 2033</t>
  </si>
  <si>
    <t xml:space="preserve">57 Boronia St, Sawtell, 2452</t>
  </si>
  <si>
    <t xml:space="preserve">57 Ekerts Rd, Pokolbin, 2320</t>
  </si>
  <si>
    <t xml:space="preserve">57 Ellendon St, Bungendore, 2621</t>
  </si>
  <si>
    <t xml:space="preserve">574 Henry Lawson Dr, Eurunderee, 2850</t>
  </si>
  <si>
    <t xml:space="preserve">58 Phillip St, West Tamworth , 2340</t>
  </si>
  <si>
    <t xml:space="preserve">580 Parramatta Rd, Sydney, 2132</t>
  </si>
  <si>
    <t xml:space="preserve">580 Princes Hwy, Sydney, 2232</t>
  </si>
  <si>
    <t xml:space="preserve">59 Bridge Street, Morisset, 2264</t>
  </si>
  <si>
    <t xml:space="preserve">59 The Centre, Sydney, 2087</t>
  </si>
  <si>
    <t xml:space="preserve">593 Mount View Rd, Mount View, 2325</t>
  </si>
  <si>
    <t xml:space="preserve">594 Anzac Pde, Sydney, 2032</t>
  </si>
  <si>
    <t xml:space="preserve">59-61 Pacific Hwy Cnr Unwin Rd, Waitara, NSW, 2077</t>
  </si>
  <si>
    <t xml:space="preserve">6 Aeolia St, Sydney, 2031</t>
  </si>
  <si>
    <t xml:space="preserve">6 Airport Ave, Sydney, 2200</t>
  </si>
  <si>
    <t xml:space="preserve">6 Black Springs Rd, Eurunderee, 2850</t>
  </si>
  <si>
    <t xml:space="preserve">6 Boundary St, Sydney, 2081</t>
  </si>
  <si>
    <t xml:space="preserve">6 Budden St, Rockley, 2795</t>
  </si>
  <si>
    <t xml:space="preserve">6 Cecil Street, Sydney, 2021</t>
  </si>
  <si>
    <t xml:space="preserve">6 David St, Bowral, 2576</t>
  </si>
  <si>
    <t xml:space="preserve">6 McIntosh St, Sydney, 2067</t>
  </si>
  <si>
    <t xml:space="preserve">6 Myahgah Rd, Sydney, 2088</t>
  </si>
  <si>
    <t xml:space="preserve">6 Santa Ana Lane, Pokolbin, 2320</t>
  </si>
  <si>
    <t xml:space="preserve">6 The Avenue, Wentworth Falls, 2782</t>
  </si>
  <si>
    <t xml:space="preserve">60 Frenchs Rd Willoughby NSW 2068</t>
  </si>
  <si>
    <t xml:space="preserve">60 Glenwood Park Dr, Glenwood NSW 2768</t>
  </si>
  <si>
    <t xml:space="preserve">60 Miller St, Sydney, 2060</t>
  </si>
  <si>
    <t xml:space="preserve">60 Wilson Street, The Rock, 2655</t>
  </si>
  <si>
    <t xml:space="preserve">600 Kingsway, Sydney, 2228</t>
  </si>
  <si>
    <t xml:space="preserve">6056 Henry Parkes Way, Manildra, 2865</t>
  </si>
  <si>
    <t xml:space="preserve">60-62 Amherst St, Sydney, 2062</t>
  </si>
  <si>
    <t xml:space="preserve">61 Hawkesbury Valley Way, Windsor, 2756</t>
  </si>
  <si>
    <t xml:space="preserve">6-10 Fraser St, Nambucca Heads, 2448</t>
  </si>
  <si>
    <t xml:space="preserve">620-658 Terrigal Dr, Central Coast, 2250</t>
  </si>
  <si>
    <t xml:space="preserve">63 Crown St, Sydney, 2011</t>
  </si>
  <si>
    <t xml:space="preserve">63 Graham Street, Nowra, 2541</t>
  </si>
  <si>
    <t xml:space="preserve">634-726 Princes Hwy, Sydney, 2044</t>
  </si>
  <si>
    <t xml:space="preserve">634-726 Princes Hwy, Tempe NSW 2044</t>
  </si>
  <si>
    <t xml:space="preserve">66 Cliff Rd, Wollongong , NSW 2500</t>
  </si>
  <si>
    <t xml:space="preserve">66 Glen Innes Rd, Armidale, 2350</t>
  </si>
  <si>
    <t xml:space="preserve">66 Princes Hwy, Wollongong, 2519</t>
  </si>
  <si>
    <t xml:space="preserve">66 Queens Park Rd, Sydney, 2022</t>
  </si>
  <si>
    <t xml:space="preserve">67 Roberts Rd, Sydney, 2190</t>
  </si>
  <si>
    <t xml:space="preserve">67 Shirley St, Byron Bay, 2481</t>
  </si>
  <si>
    <t xml:space="preserve">67 Thomas St, Sydney, 2007</t>
  </si>
  <si>
    <t xml:space="preserve">670 Richmond Rd, Sydney, 2761</t>
  </si>
  <si>
    <t xml:space="preserve">676 Pacific Hwy, Sydney, 2067</t>
  </si>
  <si>
    <t xml:space="preserve">BMW</t>
  </si>
  <si>
    <t xml:space="preserve">69 Roxy Lane, Kyogle, 2474</t>
  </si>
  <si>
    <t xml:space="preserve">69-71 Central Coast Hwy, Gosford West, NSW, 2250</t>
  </si>
  <si>
    <t xml:space="preserve">7 Bungan St, Sydney, 2103</t>
  </si>
  <si>
    <t xml:space="preserve">7 Harbourne Lane, Sydney, 2032</t>
  </si>
  <si>
    <t xml:space="preserve">7 Hickson Rd, Sydney, 2000</t>
  </si>
  <si>
    <t xml:space="preserve">7 Laguna St, Sydney, 2030</t>
  </si>
  <si>
    <t xml:space="preserve">7 Pemell Street, Toronto, 2283</t>
  </si>
  <si>
    <t xml:space="preserve">7 Prospect Rd, Sydney, 2130</t>
  </si>
  <si>
    <t xml:space="preserve">70 Maitland St, Bingara, 2404</t>
  </si>
  <si>
    <t xml:space="preserve">Gwydir Shire Council</t>
  </si>
  <si>
    <t xml:space="preserve">71 Adelaide St, Sydney, 2025</t>
  </si>
  <si>
    <t xml:space="preserve">71 Bulahdelah Way, Bulahdelah, 2423</t>
  </si>
  <si>
    <t xml:space="preserve">71 Market St, Wollongong, 2500</t>
  </si>
  <si>
    <t xml:space="preserve">Symbio Wildlife Park</t>
  </si>
  <si>
    <t xml:space="preserve">7-11 Lawrence Hargrave Dr Helensburgh NSW 2508</t>
  </si>
  <si>
    <t xml:space="preserve">360 EV Charge</t>
  </si>
  <si>
    <t xml:space="preserve">72 Central Ave, Sydney, 2570</t>
  </si>
  <si>
    <t xml:space="preserve">72 Christie Street, Sydney, 2065</t>
  </si>
  <si>
    <t xml:space="preserve">72 South St, Ulladulla, 2539</t>
  </si>
  <si>
    <t xml:space="preserve">725 Pittwater Rd, Sydney, 2099</t>
  </si>
  <si>
    <t xml:space="preserve">72-78 Brook St, Muswellbrook, 2333</t>
  </si>
  <si>
    <t xml:space="preserve">73 Belmore Road, Randwick NSW 2031</t>
  </si>
  <si>
    <t xml:space="preserve">731-741 Military Rd, Sydney, 2088</t>
  </si>
  <si>
    <t xml:space="preserve">733 Pacific Hwy, Central Coast, 2250</t>
  </si>
  <si>
    <t xml:space="preserve">Roxy Theatre</t>
  </si>
  <si>
    <t xml:space="preserve">74 Maitland St Bingara NSW 2404</t>
  </si>
  <si>
    <t xml:space="preserve">741 George St, Windsor, 2756</t>
  </si>
  <si>
    <t xml:space="preserve">75 St Johns Rd, Glebe , 2037</t>
  </si>
  <si>
    <t xml:space="preserve">76 Cygnet Ave, Blackbutt, 2529</t>
  </si>
  <si>
    <t xml:space="preserve">76 Wingewarra St, Dubbo , 2830</t>
  </si>
  <si>
    <t xml:space="preserve">77 Broken Head Rd, Byron Bay, 2481</t>
  </si>
  <si>
    <t xml:space="preserve">77 Lagoon St, Goulburn, 2580</t>
  </si>
  <si>
    <t xml:space="preserve">772 Anzac Pde, Sydney, 2035</t>
  </si>
  <si>
    <t xml:space="preserve">773 Old South Head Rd, Sydney, 2030</t>
  </si>
  <si>
    <t xml:space="preserve">77-97 Broken Head Rd, Suffolk Park, 2481</t>
  </si>
  <si>
    <t xml:space="preserve">78 Great Western Hwy Cnr Ross St, Glenbrook, NSW, 2773</t>
  </si>
  <si>
    <t xml:space="preserve">7-9 Irvine Pl, Sydney, 2153</t>
  </si>
  <si>
    <t xml:space="preserve">7-9 New Beach Rd, Sydney, 2027</t>
  </si>
  <si>
    <t xml:space="preserve">8 Central Pl, Sydney, 2760</t>
  </si>
  <si>
    <t xml:space="preserve">8 Euston Rd, Sydney, 2015</t>
  </si>
  <si>
    <t xml:space="preserve">8 Federation Rd, Sydney, 2050</t>
  </si>
  <si>
    <t xml:space="preserve">8 Greenfield Pde, Sydney, 2200</t>
  </si>
  <si>
    <t xml:space="preserve">8 Kosciuszko Rd, Jindabyne, 2627</t>
  </si>
  <si>
    <t xml:space="preserve">8 Kylie Clos, Central Coast, 2263</t>
  </si>
  <si>
    <t xml:space="preserve">8 Soudan St, Sydney, 2031</t>
  </si>
  <si>
    <t xml:space="preserve">8 White Hart Dr, Sydney, 2155</t>
  </si>
  <si>
    <t xml:space="preserve">13 kW</t>
  </si>
  <si>
    <t xml:space="preserve">81 Eastern Rd, Sydney, 2766</t>
  </si>
  <si>
    <t xml:space="preserve">81 Merilba St, Tottenham, 2873</t>
  </si>
  <si>
    <t xml:space="preserve">8-10 Perkins St, Newcastle, 2300</t>
  </si>
  <si>
    <t xml:space="preserve">818-820 George St, Sydney , 2000</t>
  </si>
  <si>
    <t xml:space="preserve">819-827 Anzac Pde, Sydney, 2035</t>
  </si>
  <si>
    <t xml:space="preserve">82A O'Connell St, Sydney, 2747</t>
  </si>
  <si>
    <t xml:space="preserve">83 Mulgoa Rd, Sydney, 2750</t>
  </si>
  <si>
    <t xml:space="preserve">84 Market St, Mudgee, 2850</t>
  </si>
  <si>
    <t xml:space="preserve">85/91 Commissioner St, Cooma , 2630</t>
  </si>
  <si>
    <t xml:space="preserve">86 Arncliffe St, Sydney, 2205</t>
  </si>
  <si>
    <t xml:space="preserve">86 Meehan St, Yass, 2582</t>
  </si>
  <si>
    <t xml:space="preserve">86a Victoria Rd, Sydney, 2204</t>
  </si>
  <si>
    <t xml:space="preserve">87 De Vitre St, Newcastle, 2299</t>
  </si>
  <si>
    <t xml:space="preserve">87 Tallwood Ave, Mollymook Beach, 2539</t>
  </si>
  <si>
    <t xml:space="preserve">87 Winbourne Rd, Sydney, 2100</t>
  </si>
  <si>
    <t xml:space="preserve">872 Anzac Pde, Sydney, 2035</t>
  </si>
  <si>
    <t xml:space="preserve">875 Richmond Rd, Marsden Park, NSW, 2765</t>
  </si>
  <si>
    <t xml:space="preserve">87-91 Roberts Rd Cnr Moondo St, Greenacre, NSW, 2190</t>
  </si>
  <si>
    <t xml:space="preserve">88 Broadway, Sydney, 2008</t>
  </si>
  <si>
    <t xml:space="preserve">9 kW</t>
  </si>
  <si>
    <t xml:space="preserve">88 Christie St, St Leonards NSW 2065</t>
  </si>
  <si>
    <t xml:space="preserve">88 Lockhart Rd, Tooleybuc, 2736</t>
  </si>
  <si>
    <t xml:space="preserve">88 Parker St, Sydney, 2747</t>
  </si>
  <si>
    <t xml:space="preserve">888 Pittwater Rd, Sydney, 2099</t>
  </si>
  <si>
    <t xml:space="preserve">88-90 Houston Rd, Sydney, 2032</t>
  </si>
  <si>
    <t xml:space="preserve">89 Williamson Rd, Sydney, 2565</t>
  </si>
  <si>
    <t xml:space="preserve">89-113 Kent St, Sydney, 2000</t>
  </si>
  <si>
    <t xml:space="preserve">895 South Dowling St, Sydney, 2017</t>
  </si>
  <si>
    <t xml:space="preserve">165 kW</t>
  </si>
  <si>
    <t xml:space="preserve">8s South Steyne, Sydney, 2095</t>
  </si>
  <si>
    <t xml:space="preserve">9 Anzac Ave, Sydney, 2097</t>
  </si>
  <si>
    <t xml:space="preserve">9 Barracluff Ave, Sydney, 2026</t>
  </si>
  <si>
    <t xml:space="preserve">9 Chilvers Rd, Sydney, 2120</t>
  </si>
  <si>
    <t xml:space="preserve">9 Eastern Valley Way, Northbridge NSW 2063</t>
  </si>
  <si>
    <t xml:space="preserve">9 Flinders St, Wollongong North, NSW, 2500</t>
  </si>
  <si>
    <t xml:space="preserve">9 Lagoon St, Sydney, 2101</t>
  </si>
  <si>
    <t xml:space="preserve">9 Oscar Pl, Sydney, 2036</t>
  </si>
  <si>
    <t xml:space="preserve">9 Studio Dr, Sydney, 2036</t>
  </si>
  <si>
    <t xml:space="preserve">9 Vickery Ave, Sydney, 2029</t>
  </si>
  <si>
    <t xml:space="preserve">90 Sydney Ave, Central Coast, 2257</t>
  </si>
  <si>
    <t xml:space="preserve">91 Centennial Cct, Byron Bay, 2481</t>
  </si>
  <si>
    <t xml:space="preserve">91 Spring St, Sydney, 2022</t>
  </si>
  <si>
    <t xml:space="preserve">9-13 Winbourne Rd, Sydney, 2100</t>
  </si>
  <si>
    <t xml:space="preserve">917-923 Old Northern Rd, Dural, NSW, 2158</t>
  </si>
  <si>
    <t xml:space="preserve">92 Houston Rd Kingsford NSW 2032</t>
  </si>
  <si>
    <t xml:space="preserve">Evie Networks</t>
  </si>
  <si>
    <t xml:space="preserve">Reflections Bonny Hills</t>
  </si>
  <si>
    <t xml:space="preserve">920 Ocean Dr Bonny Hills NSW 2445</t>
  </si>
  <si>
    <t xml:space="preserve">93 Byamee St, Dapto NSW 2530</t>
  </si>
  <si>
    <t xml:space="preserve">93 Princes Hwy, Ulladulla, 2539</t>
  </si>
  <si>
    <t xml:space="preserve">930 Old Northern Rd, Glenorie NSW 2157</t>
  </si>
  <si>
    <t xml:space="preserve">94 Booner St, Hawks Nest, NSW 2324</t>
  </si>
  <si>
    <t xml:space="preserve">94 Epsom Rd, Sydney, 2017</t>
  </si>
  <si>
    <t xml:space="preserve">94 Princes Hwy, Wollongong, 2500</t>
  </si>
  <si>
    <t xml:space="preserve">9-49 Chapel Rd, Bankstown NSW 2200</t>
  </si>
  <si>
    <t xml:space="preserve">95-97 Grafton St, Sydney, 2022</t>
  </si>
  <si>
    <t xml:space="preserve">96 Mackay Ave, Yoogali, 2680</t>
  </si>
  <si>
    <t xml:space="preserve">96 Ocean St, Dudley, 2290</t>
  </si>
  <si>
    <t xml:space="preserve">96-100 Centennial Cct, Byron Bay, 2481</t>
  </si>
  <si>
    <t xml:space="preserve">97 Cobra St, Dubbo, 2830</t>
  </si>
  <si>
    <t xml:space="preserve">97 Glenayr Ave, Sydney, 2026</t>
  </si>
  <si>
    <t xml:space="preserve">972 Hermitage Rd, Pokolbin, 2320</t>
  </si>
  <si>
    <t xml:space="preserve">97R Brook St, Sydney, 2034</t>
  </si>
  <si>
    <t xml:space="preserve">98-100 Windsor Rd Cnr Lombard Rd, Northmead, NSW, 2152</t>
  </si>
  <si>
    <t xml:space="preserve">9913 Kosciuszko Rd, Perisher Valley, 2624</t>
  </si>
  <si>
    <t xml:space="preserve">997 Milbrodale Rd, Broke, 2330</t>
  </si>
  <si>
    <t xml:space="preserve">9A Elizabeth Bay Rd, Sydney, 2011</t>
  </si>
  <si>
    <t xml:space="preserve">A/2 Macquarie St, Sydney, 2150</t>
  </si>
  <si>
    <t xml:space="preserve">Albert Pde, Sydney, 2131</t>
  </si>
  <si>
    <t xml:space="preserve">Alford St, Currabubula, 2342</t>
  </si>
  <si>
    <t xml:space="preserve">Alleyne St, Sydney, 2067</t>
  </si>
  <si>
    <t xml:space="preserve">Alpha Street, Sydney, 2148</t>
  </si>
  <si>
    <t xml:space="preserve">Anderson St, Sydney, 2067</t>
  </si>
  <si>
    <t xml:space="preserve">Arthur St, Moss Vale, 2577</t>
  </si>
  <si>
    <t xml:space="preserve">Ascot St, Sydney, 2033</t>
  </si>
  <si>
    <t xml:space="preserve">Avenue Rd, Sydney, 2088</t>
  </si>
  <si>
    <t xml:space="preserve">B640 Princes Hwy, Berry, 2535</t>
  </si>
  <si>
    <t xml:space="preserve">B640 Princes Hwy, Jaspers Brush, 2535</t>
  </si>
  <si>
    <t xml:space="preserve">Banyandah St, South Durras, 2536</t>
  </si>
  <si>
    <t xml:space="preserve">Bay St, Sydney, 2007</t>
  </si>
  <si>
    <t xml:space="preserve">Beachside Dr, Caves Beach, 2281</t>
  </si>
  <si>
    <t xml:space="preserve">Bellambi Ln, Wollongong, 2518</t>
  </si>
  <si>
    <t xml:space="preserve">Berowra Railway Station, Pacific Highway, Berowra, New South Wales 2081</t>
  </si>
  <si>
    <t xml:space="preserve">TfNSW Commuter Car Parks</t>
  </si>
  <si>
    <t xml:space="preserve">Bradleys Head Road, Sydney, 2088</t>
  </si>
  <si>
    <t xml:space="preserve">Breese Pde, Forster, 2428</t>
  </si>
  <si>
    <t xml:space="preserve">Brunswick Ter, Brunswick Heads, 2483</t>
  </si>
  <si>
    <t xml:space="preserve">Bryant Dr, Central Coast, 2259</t>
  </si>
  <si>
    <t xml:space="preserve">Buchanan Dr South West Rocks NSW 2431</t>
  </si>
  <si>
    <t xml:space="preserve">Bunnerong Rd, Sydney, 2036</t>
  </si>
  <si>
    <t xml:space="preserve">Camden Valley Way &amp;, Somerset Ave, Narellan NSW 2567</t>
  </si>
  <si>
    <t xml:space="preserve">Campbell St, Sydney, 2150</t>
  </si>
  <si>
    <t xml:space="preserve">Carrington Pde, Sydney, 2096</t>
  </si>
  <si>
    <t xml:space="preserve">Castlereagh Rd, Sydney, 2750</t>
  </si>
  <si>
    <t xml:space="preserve">Central Ave 2, Sydney, 2015</t>
  </si>
  <si>
    <t xml:space="preserve">Church St, Glen Innes, 2370</t>
  </si>
  <si>
    <t xml:space="preserve">Church St, Sydney, 2024</t>
  </si>
  <si>
    <t xml:space="preserve">Civic Dr, Sydney, 2099</t>
  </si>
  <si>
    <t xml:space="preserve">Cnr Beggs Road &amp; Rooty Hill Road, Sydney, 2766</t>
  </si>
  <si>
    <t xml:space="preserve">Cnr Compton Drive &amp; Cedar Cres, Ballina, 2478</t>
  </si>
  <si>
    <t xml:space="preserve">Cnr Dunheved Rd &amp; Henry Lawson Dr, Werrington, NSW, 2747</t>
  </si>
  <si>
    <t xml:space="preserve">Cnr Elara Bvd &amp;, Northbourne Dr, Sydney, 2765</t>
  </si>
  <si>
    <t xml:space="preserve">Cnr Herring &amp; Waterloo Rd, North Ryde NSW 2113</t>
  </si>
  <si>
    <t xml:space="preserve">Cnr Herring Rd &amp; Waterloo Rd, Sydney, 2113</t>
  </si>
  <si>
    <t xml:space="preserve">Cnr Miller &amp; Amherst St, Cammeray NSW 2062</t>
  </si>
  <si>
    <t xml:space="preserve">Cnr Trafalgar St &amp; Pembroke St, Sydney, 2024</t>
  </si>
  <si>
    <t xml:space="preserve">Cowper Street, Warrawong, NSW 2502</t>
  </si>
  <si>
    <t xml:space="preserve">Cronulla Railway Station, Tonkin Street, Cronulla, New South Wales 2230</t>
  </si>
  <si>
    <t xml:space="preserve">Cypress Dr, Pokolbin, 2320</t>
  </si>
  <si>
    <t xml:space="preserve">Darling Cswy, Mount Victoria, 2786</t>
  </si>
  <si>
    <t xml:space="preserve">Darwin St, Cessnock, 2325</t>
  </si>
  <si>
    <t xml:space="preserve">Date St, Newcastle, 2289</t>
  </si>
  <si>
    <t xml:space="preserve">Don Kendell Dr, Forest Hill, 2651</t>
  </si>
  <si>
    <t xml:space="preserve">Dorhauer Ln, Sydney, 2025</t>
  </si>
  <si>
    <t xml:space="preserve">Eric Felton St, Sydney, 2154</t>
  </si>
  <si>
    <t xml:space="preserve">f 419 Hinterland Wy, Knockrow , 2479</t>
  </si>
  <si>
    <t xml:space="preserve">Ferguson Cres, Mittagong, 2575</t>
  </si>
  <si>
    <t xml:space="preserve">First Ave, Gundagai, 2722</t>
  </si>
  <si>
    <t xml:space="preserve">Franklin St, Sydney, 2036</t>
  </si>
  <si>
    <t xml:space="preserve">Gallagher St, Byron Bay, 2481</t>
  </si>
  <si>
    <t xml:space="preserve">Gardeners Rd, Sydney, 2020</t>
  </si>
  <si>
    <t xml:space="preserve">Goobarabah Ave, Central Coast, 2263</t>
  </si>
  <si>
    <t xml:space="preserve">Grandview Lane, Bowen Mountain, 2753</t>
  </si>
  <si>
    <t xml:space="preserve">Porsche Desti</t>
  </si>
  <si>
    <t xml:space="preserve">Grenache Way, Murrumbateman, 2582</t>
  </si>
  <si>
    <t xml:space="preserve">Griffith St, Tweed Heads, 2485</t>
  </si>
  <si>
    <t xml:space="preserve">Halls Rd, Pokolbin, 2320</t>
  </si>
  <si>
    <t xml:space="preserve">Harbour Boulevard, Shell Cove, 2529</t>
  </si>
  <si>
    <t xml:space="preserve">Hassall St, Sydney, 2142</t>
  </si>
  <si>
    <t xml:space="preserve">Hassall Street &amp; James Rouse Drive, Sydney, 2142</t>
  </si>
  <si>
    <t xml:space="preserve">Havenview Rd, Central Coast, 2260</t>
  </si>
  <si>
    <t xml:space="preserve">Headland Ave, Austinmer, 2515</t>
  </si>
  <si>
    <t xml:space="preserve">Henderson Rd, Sydney, 2174</t>
  </si>
  <si>
    <t xml:space="preserve">Herbert St, Tooleybuc, 2736</t>
  </si>
  <si>
    <t xml:space="preserve">Hermitage Rd, Pokolbin, 2320</t>
  </si>
  <si>
    <t xml:space="preserve">Hermitage Road, Pokolbin, 2320</t>
  </si>
  <si>
    <t xml:space="preserve">Holborn Ct, Sydney, 2557</t>
  </si>
  <si>
    <t xml:space="preserve">Horderns Rd, Bowral, 2576</t>
  </si>
  <si>
    <t xml:space="preserve">Innovation Way, Wollongong, 2500</t>
  </si>
  <si>
    <t xml:space="preserve">Jean Wailes Ave, Sydney, 2138</t>
  </si>
  <si>
    <t xml:space="preserve">Jersey St, Sydney, 2077</t>
  </si>
  <si>
    <t xml:space="preserve">John Renshaw Dr, Beresfield, 2322</t>
  </si>
  <si>
    <t xml:space="preserve">King St, Newcastle, 2300</t>
  </si>
  <si>
    <t xml:space="preserve">Kokera St, Newcastle, 2287</t>
  </si>
  <si>
    <t xml:space="preserve">Koonya Cct, Sydney, 2229</t>
  </si>
  <si>
    <t xml:space="preserve">Kowara Cres, Merimbula, 2548</t>
  </si>
  <si>
    <t xml:space="preserve">Lake Haven Dr, Lake Haven NSW 2263</t>
  </si>
  <si>
    <t xml:space="preserve">Lampe St, Talbingo, 2720</t>
  </si>
  <si>
    <t xml:space="preserve">Larkin Ln, Lismore, 2480</t>
  </si>
  <si>
    <t xml:space="preserve">Lauder St, Tumbarumba, 2653</t>
  </si>
  <si>
    <t xml:space="preserve">Leisure Haven Caravan Pk, Woollamia, 2540</t>
  </si>
  <si>
    <t xml:space="preserve">Library Walk, Sydney, 2033</t>
  </si>
  <si>
    <t xml:space="preserve">Link Road, Sydney, 2113</t>
  </si>
  <si>
    <t xml:space="preserve">Lovedale Rd, Lovedale, 2325</t>
  </si>
  <si>
    <t xml:space="preserve">M4 Motorway Westbound, Sydney, 2766</t>
  </si>
  <si>
    <t xml:space="preserve">400 kW</t>
  </si>
  <si>
    <t xml:space="preserve">Market St, Merimbula, 2548</t>
  </si>
  <si>
    <t xml:space="preserve">McFarlane St, Sydney, 2160</t>
  </si>
  <si>
    <t xml:space="preserve">Megalong Rd, Megalong Valley, 2785</t>
  </si>
  <si>
    <t xml:space="preserve">Melyra Street, Grenfell, 2810</t>
  </si>
  <si>
    <t xml:space="preserve">Weddin Shire Council</t>
  </si>
  <si>
    <t xml:space="preserve">Merewether St &amp; Wharf Rd, Newcastle , 2300</t>
  </si>
  <si>
    <t xml:space="preserve">Merry Beach Rd, Kioloa, 2539</t>
  </si>
  <si>
    <t xml:space="preserve">Methul St N, Coolamon, 2701</t>
  </si>
  <si>
    <t xml:space="preserve">Coolamon Shire Council</t>
  </si>
  <si>
    <t xml:space="preserve">Milbrodale Road 1100, Broke, 2330</t>
  </si>
  <si>
    <t xml:space="preserve">Mitchell Pde, Mollymook Beach, 2539</t>
  </si>
  <si>
    <t xml:space="preserve">Moore St, Banksmeadow , 2019</t>
  </si>
  <si>
    <t xml:space="preserve">Mount View Rd, Mount View, 2325</t>
  </si>
  <si>
    <t xml:space="preserve">Mowamba Pl, Thredbo, 2625</t>
  </si>
  <si>
    <t xml:space="preserve">Muir St, Medowie, 2318</t>
  </si>
  <si>
    <t xml:space="preserve">Mulgoa Rd &amp; Wolseley St, Sydney, 2750</t>
  </si>
  <si>
    <t xml:space="preserve">Napier St, Sydney, 2021</t>
  </si>
  <si>
    <t xml:space="preserve">NARELLAN RD CNR MAXWELL PL, Sydney, 2567</t>
  </si>
  <si>
    <t xml:space="preserve">Newbridge Road 216, Sydney, 2170</t>
  </si>
  <si>
    <t xml:space="preserve">North Ter, Sydney, 2200</t>
  </si>
  <si>
    <t xml:space="preserve">Nowra Rd, Moss Vale, 2577</t>
  </si>
  <si>
    <t xml:space="preserve">Oatley Railway Station, Oatley Pde, Oatley, New South Wales 2223</t>
  </si>
  <si>
    <t xml:space="preserve">Oberon St, Oberon, 2787</t>
  </si>
  <si>
    <t xml:space="preserve">Obley Road, Dubbo, 2830</t>
  </si>
  <si>
    <t xml:space="preserve">Orchard Ct, Bathurst, 2795</t>
  </si>
  <si>
    <t xml:space="preserve">Ordnance St, Newcastle, 2300</t>
  </si>
  <si>
    <t xml:space="preserve">Pacific Hwy Cnr, 13-15 Costa Ave, Charmhaven NSW 2263</t>
  </si>
  <si>
    <t xml:space="preserve">Pacific Hwy, Boambee, 2450</t>
  </si>
  <si>
    <t xml:space="preserve">270 kW</t>
  </si>
  <si>
    <t xml:space="preserve">Parramatta Rd 214, Sydney, 2134</t>
  </si>
  <si>
    <t xml:space="preserve">Penrith Railway Station, Jane St, Penrith, New South Wales 2750</t>
  </si>
  <si>
    <t xml:space="preserve">Pine Tree Ln, Central Coast, 2260</t>
  </si>
  <si>
    <t xml:space="preserve">Pittwater Road, Sydney, 2101</t>
  </si>
  <si>
    <t xml:space="preserve">Pole Ln, Sydney, 2065</t>
  </si>
  <si>
    <t xml:space="preserve">Popran Rd, Glenworth Valley, 2250</t>
  </si>
  <si>
    <t xml:space="preserve">Prince of Wales Dr, Sydney, 2073</t>
  </si>
  <si>
    <t xml:space="preserve">Princes Highway, Gerringong, 2534</t>
  </si>
  <si>
    <t xml:space="preserve">Princes Hwy, Ulladulla, 2539</t>
  </si>
  <si>
    <t xml:space="preserve">Prospect Hwy, Sydney, 2147</t>
  </si>
  <si>
    <t xml:space="preserve">Queen Elizabeth Dr, Sydney, 2026</t>
  </si>
  <si>
    <t xml:space="preserve">Railway St, Sydney, 2067</t>
  </si>
  <si>
    <t xml:space="preserve">Rankine St, Crescent Head, 2440</t>
  </si>
  <si>
    <t xml:space="preserve">Ring Rd, Newcastle, 2308</t>
  </si>
  <si>
    <t xml:space="preserve">Robey St, Sydney, 2035</t>
  </si>
  <si>
    <t xml:space="preserve">Robinsons Ln, Tenterfield, 2372</t>
  </si>
  <si>
    <t xml:space="preserve">Rosevillle Railway Station, Hill Street, Roseville, New South Wales 2069</t>
  </si>
  <si>
    <t xml:space="preserve">Ross St, Goulburn, 2580</t>
  </si>
  <si>
    <t xml:space="preserve">Salisbury Rd, Sydney, 2154</t>
  </si>
  <si>
    <t xml:space="preserve">Science Rd, Sydney, 2113</t>
  </si>
  <si>
    <t xml:space="preserve">Shiers Ave, Sydney, 2020</t>
  </si>
  <si>
    <t xml:space="preserve">Shop 2140, Newcastle, 2289</t>
  </si>
  <si>
    <t xml:space="preserve">Smith St, Newcastle West, NSW 2303</t>
  </si>
  <si>
    <t xml:space="preserve">Soldiers Pde, Sydney, 2174</t>
  </si>
  <si>
    <t xml:space="preserve">Soldiers Point Road, Soldiers Point, 2317</t>
  </si>
  <si>
    <t xml:space="preserve">Stuart St, Wagga Wagga, 2650</t>
  </si>
  <si>
    <t xml:space="preserve">Sunset Blvd, Soldiers Point, 2317</t>
  </si>
  <si>
    <t xml:space="preserve">Sussex St, Sydney, 2000</t>
  </si>
  <si>
    <t xml:space="preserve">Tathra Bermagui Rd, Tathra, 2550</t>
  </si>
  <si>
    <t xml:space="preserve">The Boulevarde, Sydney, 2216</t>
  </si>
  <si>
    <t xml:space="preserve">Unicentre Ln, Wollongong, 2500</t>
  </si>
  <si>
    <t xml:space="preserve">Unit 10/1A Mitchell, Mollymook , 2539</t>
  </si>
  <si>
    <t xml:space="preserve">University Dr, Newcastle, 2308</t>
  </si>
  <si>
    <t xml:space="preserve">University of Wollongong, Northfields Avenue, Wollongong NSW 2522</t>
  </si>
  <si>
    <t xml:space="preserve">Valder Way, Charles Sturt University, 2678</t>
  </si>
  <si>
    <t xml:space="preserve">Victoria Hill Rd, Adelong, 2729</t>
  </si>
  <si>
    <t xml:space="preserve">Waddells Ave, Singleton, 2330</t>
  </si>
  <si>
    <t xml:space="preserve">Wallace Lane, Canobolas, 2800</t>
  </si>
  <si>
    <t xml:space="preserve">Western Motorway, Sydney, 2766</t>
  </si>
  <si>
    <t xml:space="preserve">240 kW</t>
  </si>
  <si>
    <t xml:space="preserve">William St, Sydney, 2046</t>
  </si>
  <si>
    <t xml:space="preserve">Wolgan Rd, Wolgan Valley, 2790</t>
  </si>
  <si>
    <t xml:space="preserve">Wordsworth St, Byron Bay, NSW 2481</t>
  </si>
  <si>
    <t xml:space="preserve">Wyong Rd, Central Coast, 2261</t>
  </si>
  <si>
    <t xml:space="preserve">Jac &amp; Jones Wines Hunter Valley</t>
  </si>
  <si>
    <t xml:space="preserve">771 Hermitage Rd, Pokolbin NSW 2320</t>
  </si>
  <si>
    <t xml:space="preserve">Narara Ecovillage</t>
  </si>
  <si>
    <t xml:space="preserve">33 Gugandi Rd, Narara NSW 2250</t>
  </si>
  <si>
    <t xml:space="preserve">Quest Griffith</t>
  </si>
  <si>
    <t xml:space="preserve">53 Railway St, Griffith NSW 2680</t>
  </si>
  <si>
    <t xml:space="preserve">422 Pacific Hwy, Artarmon NSW 2064</t>
  </si>
  <si>
    <t xml:space="preserve">BP Australia</t>
  </si>
  <si>
    <t xml:space="preserve">4974 Pacific Hwy, Halfway Creek NSW 2460</t>
  </si>
  <si>
    <t xml:space="preserve">Stoney Creek Road Car Park, 497 Forest Rd, Bexley, 2207, NSW</t>
  </si>
  <si>
    <t xml:space="preserve">Fast Cities A</t>
  </si>
  <si>
    <t xml:space="preserve">491 Masonite Rd, Heatherbrae NSW 2324</t>
  </si>
  <si>
    <t xml:space="preserve">Tesla Motors</t>
  </si>
  <si>
    <t xml:space="preserve">Ross Smith Ave Mascot NSW 2020</t>
  </si>
  <si>
    <t xml:space="preserve">3 Carlton Cres, Summer Hill, NSW, 2130</t>
  </si>
  <si>
    <t xml:space="preserve">135 Fairfield Rd, Guildford West 2161, NSW</t>
  </si>
  <si>
    <t xml:space="preserve">Campbell Pde Bondi Beach NSW 2026</t>
  </si>
  <si>
    <t xml:space="preserve">Ewingsdale Rd, Byron Bay NSW 2481</t>
  </si>
  <si>
    <t xml:space="preserve">100 Pacific Hwy Tuggerah NSW 2259</t>
  </si>
  <si>
    <t xml:space="preserve">Charter Hall Lake Macquarie, 46 Wilson Road, Mount Hutton NSW 2290</t>
  </si>
  <si>
    <t xml:space="preserve">52 Pembroke St, Ashfield NSW 2131</t>
  </si>
  <si>
    <t xml:space="preserve">22</t>
  </si>
  <si>
    <t xml:space="preserve">19-21 Tennyson Rd Breakfast Point NSW 2137</t>
  </si>
  <si>
    <t xml:space="preserve">107 Erskine St Dubbo NSW 2830</t>
  </si>
  <si>
    <t xml:space="preserve">478 Pacific Hwy Killara NSW 2071</t>
  </si>
  <si>
    <t xml:space="preserve">1/3 Brady St Mosman NSW 2088</t>
  </si>
  <si>
    <t xml:space="preserve">214 Sydney Rd, Kelso NSW 2795</t>
  </si>
  <si>
    <t xml:space="preserve">89 Darley St, Mona Vale, NSW, 2103</t>
  </si>
  <si>
    <t xml:space="preserve">Bp Young, Cnr Zouch and Edward Streets, Young NSW 2594</t>
  </si>
  <si>
    <t xml:space="preserve">Buchanan Dr, South West Rocks NSW 2431</t>
  </si>
  <si>
    <t xml:space="preserve">16 Terminus St, Castle Hill, 2154, NSW</t>
  </si>
  <si>
    <t xml:space="preserve">180 Stacey Street &amp; Stanley Street, Bankstown, NSW 2200</t>
  </si>
  <si>
    <t xml:space="preserve">Energy Austra</t>
  </si>
  <si>
    <t xml:space="preserve">28 Blue Gum Rd, Jesmond NSW 2299</t>
  </si>
  <si>
    <t xml:space="preserve">4 Carter St Lidcombe NSW 2141</t>
  </si>
  <si>
    <t xml:space="preserve">PLUS ES Manag</t>
  </si>
  <si>
    <t xml:space="preserve">2 Macquarie Pl, Haywards Bay NSW 2530</t>
  </si>
  <si>
    <t xml:space="preserve">West Ryde Marketplace 14 Anthony Rd, West Ryde NSW 2114</t>
  </si>
  <si>
    <t xml:space="preserve">273 Fowler Rd, Illawong NSW 2234</t>
  </si>
  <si>
    <t xml:space="preserve">526 Smollett St, Albury NSW 2640</t>
  </si>
  <si>
    <t xml:space="preserve">7</t>
  </si>
  <si>
    <t xml:space="preserve">3-5 Underwood Rd Homebush NSW 2140</t>
  </si>
  <si>
    <t xml:space="preserve">Ozone St, Chinderah NSW 2487</t>
  </si>
  <si>
    <t xml:space="preserve">131 Monaro St Queanbeyan NSW 2620</t>
  </si>
  <si>
    <t xml:space="preserve">Butler Rd Mascot NSW 2020</t>
  </si>
  <si>
    <t xml:space="preserve">13 Boundary St Macksville NSW 2447</t>
  </si>
  <si>
    <t xml:space="preserve">Adelong Motel</t>
  </si>
  <si>
    <t xml:space="preserve">351 Pacific Hwy, Coffs Harbour NSW 2450</t>
  </si>
  <si>
    <t xml:space="preserve">Non-Networked</t>
  </si>
  <si>
    <t xml:space="preserve">9-11 Roberts Rd, Greenacre NSW 2190</t>
  </si>
  <si>
    <t xml:space="preserve">238-262 Bunnerong Rd, Hillsdale NSW 2036</t>
  </si>
  <si>
    <t xml:space="preserve">6 Ferdinand Ln Jerrabomberra NSW 2619</t>
  </si>
  <si>
    <t xml:space="preserve">797 Pacific Hwy, Belmont South NSW 2280</t>
  </si>
  <si>
    <t xml:space="preserve">450 Quakers Hill Pkwy, Quakers Hill NSW 2763</t>
  </si>
  <si>
    <t xml:space="preserve">205 Old Hume Hwy, Mittagong NSW 2575</t>
  </si>
  <si>
    <t xml:space="preserve">Bells at Killcare</t>
  </si>
  <si>
    <t xml:space="preserve">107 The Scenic Rd, Killcare Heights NSW 2257</t>
  </si>
  <si>
    <t xml:space="preserve">52–58 Gardeners Rd, Kingsford NSW 2032</t>
  </si>
  <si>
    <t xml:space="preserve">92 Houston Rd, Kingsford NSW 2032</t>
  </si>
  <si>
    <t xml:space="preserve">50</t>
  </si>
  <si>
    <t xml:space="preserve">260A Liverpool Rd Ashfield NSW 2131</t>
  </si>
  <si>
    <t xml:space="preserve">79/113 Sailors Bay Rd Northbridge NSW 2063</t>
  </si>
  <si>
    <t xml:space="preserve">15 Crawford St Jindabyne NSW 2627</t>
  </si>
  <si>
    <t xml:space="preserve">King St Warrawong NSW 2502</t>
  </si>
  <si>
    <t xml:space="preserve">528 Kent St Sydney NSW 2000</t>
  </si>
  <si>
    <t xml:space="preserve">Serenity Diamond Beach</t>
  </si>
  <si>
    <t xml:space="preserve">3 Government Rd, Nelson Bay NSW 2315</t>
  </si>
  <si>
    <t xml:space="preserve">658 Terrigal Dr, Erina NSW 2250</t>
  </si>
  <si>
    <t xml:space="preserve">712 Pennant Hills Rd, Carlingford NSW 2118</t>
  </si>
  <si>
    <t xml:space="preserve">Bp Kennedy Drive, CNR KENNEDY DVE &amp; DUCAT ST, Tweed Heads NSW 2485</t>
  </si>
  <si>
    <t xml:space="preserve">1 Kiaora Lane Double Bay NSW 2028</t>
  </si>
  <si>
    <t xml:space="preserve">1 Frederick St, Artarmon, NSW, 2064</t>
  </si>
  <si>
    <t xml:space="preserve">Elizabeth Motor Inn Adamstown</t>
  </si>
  <si>
    <t xml:space="preserve">Mitchell Ave, Khancoban NSW 2642</t>
  </si>
  <si>
    <t xml:space="preserve">60 Frenchs Rd, Willoughby NSW 2068</t>
  </si>
  <si>
    <t xml:space="preserve">190 Princes Hwy, South Nowra, NSW, 2541</t>
  </si>
  <si>
    <t xml:space="preserve">Bp Rozelle, Cnr VIC Rd &amp; Evans St, Rozelle NSW 2039</t>
  </si>
  <si>
    <t xml:space="preserve">Bp Marsden Park, 851 Richmond Road, Marsden Park NSW 2765</t>
  </si>
  <si>
    <t xml:space="preserve">16/20 New England Hwy Willow Tree NSW 2339</t>
  </si>
  <si>
    <t xml:space="preserve">1A Keith St Dulwich Hill NSW</t>
  </si>
  <si>
    <t xml:space="preserve">inferred: nearest EV/transport point</t>
  </si>
  <si>
    <t xml:space="preserve">88 Mortimer St Mudgee NSW 2850</t>
  </si>
  <si>
    <t xml:space="preserve">Bp Dundas, 256 Kissing Point Rd, Dundas Valley NSW 2117</t>
  </si>
  <si>
    <t xml:space="preserve">3 Hilltop Cres, Fairlight NSW 2094</t>
  </si>
  <si>
    <t xml:space="preserve">Charter Hall Rutherford Marketplace, 1 Hillview St, Rutherford NSW 2320</t>
  </si>
  <si>
    <t xml:space="preserve">University of</t>
  </si>
  <si>
    <t xml:space="preserve">Cnr Swallow &amp; Peppertree Drive, Erskine Park NSW 2759</t>
  </si>
  <si>
    <t xml:space="preserve">Talbingo Tourist Park</t>
  </si>
  <si>
    <t xml:space="preserve">7-11 Lawrence Hargrave Dr, Helensburgh NSW 2508</t>
  </si>
  <si>
    <t xml:space="preserve">Hillston Township - Library Carpark</t>
  </si>
  <si>
    <t xml:space="preserve">14 Macauley St, Denman NSW 2328</t>
  </si>
  <si>
    <t xml:space="preserve">Hill St Picton NSW 2571</t>
  </si>
  <si>
    <t xml:space="preserve">Bp Mortdale, 21 Boundary Rd, Mortdale NSW 2223</t>
  </si>
  <si>
    <t xml:space="preserve">Allegiance Wines</t>
  </si>
  <si>
    <t xml:space="preserve">74 Maitland St, Bingara NSW 2404</t>
  </si>
  <si>
    <t xml:space="preserve">4/6 Niangala Clos Belrose NSW 2085</t>
  </si>
  <si>
    <t xml:space="preserve">Auckland St Bega NSW 2550</t>
  </si>
  <si>
    <t xml:space="preserve">Grafton St, Coffs Harbour NSW 2450</t>
  </si>
  <si>
    <t xml:space="preserve">406 Moppett St, Hay NSW 2711</t>
  </si>
  <si>
    <t xml:space="preserve">251 Edgecliff Rd, Woollahra NSW 2025</t>
  </si>
  <si>
    <t xml:space="preserve">Boorowa Ex-services and Citizens Club Ltd</t>
  </si>
  <si>
    <t xml:space="preserve">55-59 Pudman St, Boorowa NSW 2586</t>
  </si>
  <si>
    <t xml:space="preserve">Elanga</t>
  </si>
  <si>
    <t xml:space="preserve">347 Great Western Hwy South Wentworthville NSW 2145</t>
  </si>
  <si>
    <t xml:space="preserve">11 The Boulevarde Strathfield NSW 2135</t>
  </si>
  <si>
    <t xml:space="preserve">Bp Rydalmere, 265 Victoria Rd, Rydalmere, NSW, 2116</t>
  </si>
  <si>
    <t xml:space="preserve">Charter Hall Carnes Hill Marketplace, Corner Cowpasture &amp; Kurrajong Roads, Horningsea Park NSW 2171</t>
  </si>
  <si>
    <t xml:space="preserve">Cargo Road Wines</t>
  </si>
  <si>
    <t xml:space="preserve">East St, Harden NSW 2587</t>
  </si>
  <si>
    <t xml:space="preserve">Bp Bonnyrigg, CNR COWPASTURE &amp; NTH LIVERPOOL RDS, Bonnyrigg NSW 2177</t>
  </si>
  <si>
    <t xml:space="preserve">Bp Moorebank, 226/228 Newbridge Rd, Moorebank NSW 2170</t>
  </si>
  <si>
    <t xml:space="preserve">Bp Potts Hill Truckstop, 155-157 Rockwood Road, Yagoona NSW 2199</t>
  </si>
  <si>
    <t xml:space="preserve">520 David St, Albury NSW 2640</t>
  </si>
  <si>
    <t xml:space="preserve">2 Orchard Ave Singleton NSW 2330</t>
  </si>
  <si>
    <t xml:space="preserve">245/259 Pittwater Rd, Manly NSW 2095</t>
  </si>
  <si>
    <t xml:space="preserve">Bp Normanhurst, 155 Pennant Hills Rd, Normanhurst NSW 2076</t>
  </si>
  <si>
    <t xml:space="preserve">Avenue of Europe, Newington NSW 2127</t>
  </si>
  <si>
    <t xml:space="preserve">55 Norton St Leichhardt NSW 2040</t>
  </si>
  <si>
    <t xml:space="preserve">PLUS ES</t>
  </si>
  <si>
    <t xml:space="preserve">180 Darling St, Balmain NSW 2041</t>
  </si>
  <si>
    <t xml:space="preserve">386 Pennant Hills Rd, Pennant Hills NSW 2120</t>
  </si>
  <si>
    <t xml:space="preserve">14 Anzac Ave Fairfield NSW 2165</t>
  </si>
  <si>
    <t xml:space="preserve">44 Station St, Wickham NSW 2293</t>
  </si>
  <si>
    <t xml:space="preserve">134 Seven Hills Rd, Baulkham Hills NSW 2153</t>
  </si>
  <si>
    <t xml:space="preserve">D.G BENYON &amp; D.M BENYON &amp; The Trustee for Benyon Family Trust</t>
  </si>
  <si>
    <t xml:space="preserve">119 Borella Rd, East Albury NSW 2640</t>
  </si>
  <si>
    <t xml:space="preserve">19A Evans Evans Ave Eastlakes NSW 2018</t>
  </si>
  <si>
    <t xml:space="preserve">215 Anzac Pde Kensington NSW 2033</t>
  </si>
  <si>
    <t xml:space="preserve">Tropical Fruit World</t>
  </si>
  <si>
    <t xml:space="preserve">29 Duranbah Rd, Duranbah NSW 2487</t>
  </si>
  <si>
    <t xml:space="preserve">Pacific Garage</t>
  </si>
  <si>
    <t xml:space="preserve">17 Piper Dr, Ballina NSW 2478</t>
  </si>
  <si>
    <t xml:space="preserve">Daleys Fruit Tree Nursery</t>
  </si>
  <si>
    <t xml:space="preserve">36 Daleys Ln Geneva NSW 2474</t>
  </si>
  <si>
    <t xml:space="preserve">Rainbow Power Company</t>
  </si>
  <si>
    <t xml:space="preserve">1 Alternative Way, Nimbin NSW 2480</t>
  </si>
  <si>
    <t xml:space="preserve">Elements of Byron</t>
  </si>
  <si>
    <t xml:space="preserve">144 Bayshore Dr, Byron Bay NSW 2481</t>
  </si>
  <si>
    <t xml:space="preserve">Big 4 Holiday Park</t>
  </si>
  <si>
    <t xml:space="preserve">282 O'Keefes Ln, Palmers Island NSW 2463</t>
  </si>
  <si>
    <t xml:space="preserve">Barrons Tyre &amp; Mechanical</t>
  </si>
  <si>
    <t xml:space="preserve">74/76 Dalgarno St, Coonabarabran NSW 2357</t>
  </si>
  <si>
    <t xml:space="preserve">Narrabri &amp; District Citizens Boys Club</t>
  </si>
  <si>
    <t xml:space="preserve">65A Barwan Street Narrabri NSW</t>
  </si>
  <si>
    <t xml:space="preserve">original PCODE</t>
  </si>
  <si>
    <t xml:space="preserve">Quest Tamworth</t>
  </si>
  <si>
    <t xml:space="preserve">337 Armidale Rd, Tamworth NSW 2340</t>
  </si>
  <si>
    <t xml:space="preserve">Forster Community Charger</t>
  </si>
  <si>
    <t xml:space="preserve">2/19 Boundary St, Forster NSW 2428</t>
  </si>
  <si>
    <t xml:space="preserve">Mid Coast Council</t>
  </si>
  <si>
    <t xml:space="preserve">2 Pulteney St, Taree NSW 2430</t>
  </si>
  <si>
    <t xml:space="preserve">Peak Coffee Brew Lab &amp; Roastery.</t>
  </si>
  <si>
    <t xml:space="preserve">30 Jambali Rd Port Macquarie NSW 2444</t>
  </si>
  <si>
    <t xml:space="preserve">Upper Hunter Automotive</t>
  </si>
  <si>
    <t xml:space="preserve">15-17 Rutherford Rd, Muswellbrook NSW 2333</t>
  </si>
  <si>
    <t xml:space="preserve">Flynns on Surf Beach Villas</t>
  </si>
  <si>
    <t xml:space="preserve">25 Surf St, Port Macquarie NSW 2444</t>
  </si>
  <si>
    <t xml:space="preserve">1 Biripi Wy, Taree South NSW 2430</t>
  </si>
  <si>
    <t xml:space="preserve">Skimstone Wines</t>
  </si>
  <si>
    <t xml:space="preserve">1307 Castlereagh Hwy, Apple Tree Flat NSW 2850</t>
  </si>
  <si>
    <t xml:space="preserve">Mudgee Meat</t>
  </si>
  <si>
    <t xml:space="preserve">82 Depot Rd Mudgee NSW 2850</t>
  </si>
  <si>
    <t xml:space="preserve">ThumbPrint Wines</t>
  </si>
  <si>
    <t xml:space="preserve">491 Ulan Rd Eurunderee NSW 2850</t>
  </si>
  <si>
    <t xml:space="preserve">SPS Solar Pumping Solutions</t>
  </si>
  <si>
    <t xml:space="preserve">28 B55, Mudgee NSW 2850</t>
  </si>
  <si>
    <t xml:space="preserve">Coles Huntlee</t>
  </si>
  <si>
    <t xml:space="preserve">22 Empire St, Branxton NSW 2335</t>
  </si>
  <si>
    <t xml:space="preserve">McCaffrey's Estate Winery</t>
  </si>
  <si>
    <t xml:space="preserve">614 Hermitage Rd Pokolbin NSW 2320</t>
  </si>
  <si>
    <t xml:space="preserve">Hunter Gleann - Hunter Valley Farm Stay Accommodation</t>
  </si>
  <si>
    <t xml:space="preserve">545 Hermitage Rd Pokolbin NSW 2320</t>
  </si>
  <si>
    <t xml:space="preserve">Albatross Marina</t>
  </si>
  <si>
    <t xml:space="preserve">44 Cook Parade, Lemon Tree Passage NSW 2319</t>
  </si>
  <si>
    <t xml:space="preserve">HIES Electrical Services</t>
  </si>
  <si>
    <t xml:space="preserve">22-24 Almond St, Denman NSW 2328</t>
  </si>
  <si>
    <t xml:space="preserve">Zig Zag Railway</t>
  </si>
  <si>
    <t xml:space="preserve">840 Chifley Rd, Clarence NSW 2790</t>
  </si>
  <si>
    <t xml:space="preserve">The Remington Orange</t>
  </si>
  <si>
    <t xml:space="preserve">1517 Forest Rd, Orange NSW 2800</t>
  </si>
  <si>
    <t xml:space="preserve">Angullong Wines</t>
  </si>
  <si>
    <t xml:space="preserve">37 Victoria St, Millthorpe NSW 2798</t>
  </si>
  <si>
    <t xml:space="preserve">Blayney Shire Council</t>
  </si>
  <si>
    <t xml:space="preserve">Landcare &amp; Sustainable Living Centre</t>
  </si>
  <si>
    <t xml:space="preserve">110 York St, Booragul NSW 2284</t>
  </si>
  <si>
    <t xml:space="preserve">Trading Post Laguna</t>
  </si>
  <si>
    <t xml:space="preserve">3718 Great N Rd, Laguna NSW 2325</t>
  </si>
  <si>
    <t xml:space="preserve">Hunter Wetlands Centre Australia</t>
  </si>
  <si>
    <t xml:space="preserve">1 Wetlands Pl, Shortland NSW 2307</t>
  </si>
  <si>
    <t xml:space="preserve">Kinda Kapers</t>
  </si>
  <si>
    <t xml:space="preserve">200 Pacific Hwy, Belmont North NSW 2280</t>
  </si>
  <si>
    <t xml:space="preserve">Caves Coastal Bar and Bungalows</t>
  </si>
  <si>
    <t xml:space="preserve">27 Mawson Cl, Caves Beach NSW 2281</t>
  </si>
  <si>
    <t xml:space="preserve">Fenwick's Marina</t>
  </si>
  <si>
    <t xml:space="preserve">31-33 Brooklyn Rd, Brooklyn NSW 2083</t>
  </si>
  <si>
    <t xml:space="preserve">1190 Tunnel Rd Talmalmo NSW 2640</t>
  </si>
  <si>
    <t xml:space="preserve">Mount Airlie</t>
  </si>
  <si>
    <t xml:space="preserve">34 Woodstock Rd, Woodstock NSW 2538</t>
  </si>
  <si>
    <t xml:space="preserve">Queanbeyan Performing Arts Centre</t>
  </si>
  <si>
    <t xml:space="preserve">253 Crawford St, Queanbeyan NSW 2620</t>
  </si>
  <si>
    <t xml:space="preserve">Broulee Brewhouse</t>
  </si>
  <si>
    <t xml:space="preserve">71 Coronation Dr Broulee NSW 2537</t>
  </si>
  <si>
    <t xml:space="preserve">Mollymook Caravan Park</t>
  </si>
  <si>
    <t xml:space="preserve">32 Ilett St, Mollymook NSW 2539</t>
  </si>
  <si>
    <t xml:space="preserve">Next Tech Group Albury</t>
  </si>
  <si>
    <t xml:space="preserve">3/314 Kiewa St, South Albury NSW 2640</t>
  </si>
  <si>
    <t xml:space="preserve">Talbingo Caravan Park</t>
  </si>
  <si>
    <t xml:space="preserve">24 Whitty St, Talbingo NSW 2720</t>
  </si>
  <si>
    <t xml:space="preserve">Rainer Kwast Building &amp; Design</t>
  </si>
  <si>
    <t xml:space="preserve">1211 Oallen Rd Oallen NSW 2622</t>
  </si>
  <si>
    <t xml:space="preserve">Penrose Village General Store</t>
  </si>
  <si>
    <t xml:space="preserve">901 Penrose Rd, Penrose NSW 2579</t>
  </si>
  <si>
    <t xml:space="preserve">Kiama Community Charger</t>
  </si>
  <si>
    <t xml:space="preserve">19 Farmer St, Kiama NSW 2533</t>
  </si>
  <si>
    <t xml:space="preserve">Top Shops Kiama</t>
  </si>
  <si>
    <t xml:space="preserve">162 Manning St, Kiama NSW 2533</t>
  </si>
  <si>
    <t xml:space="preserve">Southern Highlands Visitor Information Centre</t>
  </si>
  <si>
    <t xml:space="preserve">62-70 Main St, Mittagong NSW 2575</t>
  </si>
  <si>
    <t xml:space="preserve">The Argyle Inn</t>
  </si>
  <si>
    <t xml:space="preserve">80 Orchard St Taralga NSW 2580</t>
  </si>
  <si>
    <t xml:space="preserve">Upper Lachlan Shire Council</t>
  </si>
  <si>
    <t xml:space="preserve">Figtree Grove Shopping Centre</t>
  </si>
  <si>
    <t xml:space="preserve">Woolworths Tahmoor</t>
  </si>
  <si>
    <t xml:space="preserve">117 Remembrance Driveway, Tahmoor NSW 2573</t>
  </si>
  <si>
    <t xml:space="preserve">Bay Central</t>
  </si>
  <si>
    <t xml:space="preserve">453A Captain Cook Dr, Woolooware NSW 2230</t>
  </si>
  <si>
    <t xml:space="preserve">Royal Motor Yacht Club Port Hacking</t>
  </si>
  <si>
    <t xml:space="preserve">228-232 Woolooware Rd, Burraneer NSW 2230</t>
  </si>
  <si>
    <t xml:space="preserve">Emerald Hills Shopping Village</t>
  </si>
  <si>
    <t xml:space="preserve">5 Emerald Hills Blvd, Leppington NSW 2179</t>
  </si>
  <si>
    <t xml:space="preserve">25A Rowley St, Brighton-Le-Sands NSW 2216</t>
  </si>
  <si>
    <t xml:space="preserve">Bombay Bloomers</t>
  </si>
  <si>
    <t xml:space="preserve">49 St Pauls St, Randwick NSW 2031</t>
  </si>
  <si>
    <t xml:space="preserve">St Kilda Street</t>
  </si>
  <si>
    <t xml:space="preserve">1A St Kilda St, Bexley North NSW 2207</t>
  </si>
  <si>
    <t xml:space="preserve">Dutton Plaza</t>
  </si>
  <si>
    <t xml:space="preserve">8 Dutton Ln, Cabramatta NSW 2166</t>
  </si>
  <si>
    <t xml:space="preserve">Beauty by Jackie</t>
  </si>
  <si>
    <t xml:space="preserve">118 Mountview Ave, Narwee NSW 2209</t>
  </si>
  <si>
    <t xml:space="preserve">InterPark Thomas Street</t>
  </si>
  <si>
    <t xml:space="preserve">25 Thomas St, Ultimo NSW 2007</t>
  </si>
  <si>
    <t xml:space="preserve">Strathfield Square</t>
  </si>
  <si>
    <t xml:space="preserve">5 Churchill Ave, Strathfield NSW 2135</t>
  </si>
  <si>
    <t xml:space="preserve">Bressington Park Dog Park</t>
  </si>
  <si>
    <t xml:space="preserve">Bressington Park, Underwood Rd, Homebush NSW 2140</t>
  </si>
  <si>
    <t xml:space="preserve">CIRCA 1928 Art Hotel</t>
  </si>
  <si>
    <t xml:space="preserve">588 Dean St Albury NSW 2640</t>
  </si>
  <si>
    <t xml:space="preserve">Lake Albert Picnic Area</t>
  </si>
  <si>
    <t xml:space="preserve">29 Lake St, Lake Albert NSW 2650</t>
  </si>
  <si>
    <t xml:space="preserve">Bridges on Meninya</t>
  </si>
  <si>
    <t xml:space="preserve">38 Meninya St Moama NSW 2731</t>
  </si>
  <si>
    <t xml:space="preserve">Eddy’s of Canowindra</t>
  </si>
  <si>
    <t xml:space="preserve">13 Tilga St, Canowindra NSW 2804</t>
  </si>
  <si>
    <t xml:space="preserve">Transgrid Discovery Hub</t>
  </si>
  <si>
    <t xml:space="preserve">27 Kincaid St, Wagga Wagga NSW 2650</t>
  </si>
  <si>
    <t xml:space="preserve">Royal Hotel</t>
  </si>
  <si>
    <t xml:space="preserve">14 Olive St, Mandurama NSW 2792</t>
  </si>
  <si>
    <t xml:space="preserve">GT Tooling</t>
  </si>
  <si>
    <t xml:space="preserve">34 Railway Rd S, Mulgrave NSW 2756</t>
  </si>
  <si>
    <t xml:space="preserve">Blacktown Animal Rehoming Centre</t>
  </si>
  <si>
    <t xml:space="preserve">20 Owen St, Glendenning NSW 2761</t>
  </si>
  <si>
    <t xml:space="preserve">Granville Place</t>
  </si>
  <si>
    <t xml:space="preserve">38 Cowper St, Granville NSW 2142</t>
  </si>
  <si>
    <t xml:space="preserve">Tallawong Village Retail</t>
  </si>
  <si>
    <t xml:space="preserve">2 Conferta Ave Tallawong NSW 2762</t>
  </si>
  <si>
    <t xml:space="preserve">Wenty Leagues</t>
  </si>
  <si>
    <t xml:space="preserve">50 Smith St, Wentworthville NSW 2145</t>
  </si>
  <si>
    <t xml:space="preserve">Hartley Green Power</t>
  </si>
  <si>
    <t xml:space="preserve">22 Coxs River Rd, Little Hartley NSW 2790</t>
  </si>
  <si>
    <t xml:space="preserve">Eastern Creek Quarter XL</t>
  </si>
  <si>
    <t xml:space="preserve">181 Rooty Hill Rd S, Eastern Creek NSW 2766</t>
  </si>
  <si>
    <t xml:space="preserve">Parramatta Station Car Park</t>
  </si>
  <si>
    <t xml:space="preserve">17 Wentworth St, Parramatta NSW 2150</t>
  </si>
  <si>
    <t xml:space="preserve">The Quays Marina</t>
  </si>
  <si>
    <t xml:space="preserve">1856 Pittwater Rd, Church Point NSW 2105</t>
  </si>
  <si>
    <t xml:space="preserve">Collaroy Park and Ride</t>
  </si>
  <si>
    <t xml:space="preserve">1068 Pittwater Rd, Collaroy NSW 2097</t>
  </si>
  <si>
    <t xml:space="preserve">Alchemy Charge</t>
  </si>
  <si>
    <t xml:space="preserve">230 Harbord Rd, Brookvale NSW 2100</t>
  </si>
  <si>
    <t xml:space="preserve">Blackmores Campus</t>
  </si>
  <si>
    <t xml:space="preserve">20 Jubilee Ave, Warriewood NSW 2102</t>
  </si>
  <si>
    <t xml:space="preserve">KFC Frenchs Forest</t>
  </si>
  <si>
    <t xml:space="preserve">20 Frenchs Forest Rd E, Frenchs Forest NSW 2086</t>
  </si>
  <si>
    <t xml:space="preserve">Col Crawford BMW</t>
  </si>
  <si>
    <t xml:space="preserve">485 Pittwater Rd, Brookvale NSW 2100</t>
  </si>
  <si>
    <t xml:space="preserve">Pullman Sydney Airport</t>
  </si>
  <si>
    <t xml:space="preserve">191 O'Riordan St, Mascot NSW 2020</t>
  </si>
  <si>
    <t xml:space="preserve">TLE Electrical - Artarmon</t>
  </si>
  <si>
    <t xml:space="preserve">C/65 Reserve Rd, St Leonards NSW 2065</t>
  </si>
  <si>
    <t xml:space="preserve">19 Nicholson St, Wollstonecraft, NSW 2065</t>
  </si>
  <si>
    <t xml:space="preserve">Top Ryde City Shopping Centre</t>
  </si>
  <si>
    <t xml:space="preserve">129 Blaxland Rd, Ryde NSW 2112</t>
  </si>
  <si>
    <t xml:space="preserve">Hume Street Park</t>
  </si>
  <si>
    <t xml:space="preserve">44 Hume St, Crows Nest NSW 2065</t>
  </si>
  <si>
    <t xml:space="preserve">Chatswood Place</t>
  </si>
  <si>
    <t xml:space="preserve">260 Victoria Ave, Chatswood NSW 2067</t>
  </si>
  <si>
    <t xml:space="preserve">Sub Base Platypus</t>
  </si>
  <si>
    <t xml:space="preserve">120 High St, North Sydney NSW 2060</t>
  </si>
  <si>
    <t xml:space="preserve">Sydney Opera House</t>
  </si>
  <si>
    <t xml:space="preserve">2A Macquarie St, Sydney NSW 2000</t>
  </si>
  <si>
    <t xml:space="preserve">Darling Square Car Park</t>
  </si>
  <si>
    <t xml:space="preserve">35 Tumbalong Bvd, Haymarket NSW 2000</t>
  </si>
  <si>
    <t xml:space="preserve">Four Points by Sheraton Sydney</t>
  </si>
  <si>
    <t xml:space="preserve">4 Central Park Ave, Chippendale NSW 2008</t>
  </si>
  <si>
    <t xml:space="preserve">Willows Motel Goulburn and Cultural Holiday Park</t>
  </si>
  <si>
    <t xml:space="preserve">1 Day St Goulburn NSW 2580</t>
  </si>
  <si>
    <t xml:space="preserve">Zane Gray Caravan Park</t>
  </si>
  <si>
    <t xml:space="preserve">1 Lamont St Bermagui NSW 2546</t>
  </si>
  <si>
    <t xml:space="preserve">Gundagai Tourist Park</t>
  </si>
  <si>
    <t xml:space="preserve">1 Nangus Rd Gundagai NSW 2722</t>
  </si>
  <si>
    <t xml:space="preserve">Stone &amp; Wood Brewery Byron Bay</t>
  </si>
  <si>
    <t xml:space="preserve">100 Centennial Cirt Byron Bay NSW 2481</t>
  </si>
  <si>
    <t xml:space="preserve">Garden Motor Inn</t>
  </si>
  <si>
    <t xml:space="preserve">101 West St Gundagai NSW 2722</t>
  </si>
  <si>
    <t xml:space="preserve">Valley House</t>
  </si>
  <si>
    <t xml:space="preserve">10A Whiffens Ln Central Tilba NSW 2546</t>
  </si>
  <si>
    <t xml:space="preserve">Sandbar Restaurant &amp; Bar</t>
  </si>
  <si>
    <t xml:space="preserve">11 Hawke St Huskisson NSW 2540</t>
  </si>
  <si>
    <t xml:space="preserve">Waterview Motel</t>
  </si>
  <si>
    <t xml:space="preserve">121 River St Maclean NSW 2463</t>
  </si>
  <si>
    <t xml:space="preserve">Rosby Wines, Gallery &amp; Sculpture Garden</t>
  </si>
  <si>
    <t xml:space="preserve">122 Strikes Ln Eurunderee NSW 2850</t>
  </si>
  <si>
    <t xml:space="preserve">Reflections Coffs Harbour - Holiday Park</t>
  </si>
  <si>
    <t xml:space="preserve">13 Glasford Cres Kioloa NSW 2539</t>
  </si>
  <si>
    <t xml:space="preserve">Kyah Hotel</t>
  </si>
  <si>
    <t xml:space="preserve">13-17 Brightlands Ave Blackheath NSW 2785</t>
  </si>
  <si>
    <t xml:space="preserve">Pet Medical</t>
  </si>
  <si>
    <t xml:space="preserve">14 Aberdeen St Muswellbrook NSW 2333</t>
  </si>
  <si>
    <t xml:space="preserve">Nimmitavel Motel</t>
  </si>
  <si>
    <t xml:space="preserve">15 Stanton St Nimmitabel NSW 2631</t>
  </si>
  <si>
    <t xml:space="preserve">Nicholas Royal Motel</t>
  </si>
  <si>
    <t xml:space="preserve">152 Lachlan St Hay NSW 2711</t>
  </si>
  <si>
    <t xml:space="preserve">Newell Motor Inn</t>
  </si>
  <si>
    <t xml:space="preserve">16294 Newell Hwy Gillenbah NSW 2700</t>
  </si>
  <si>
    <t xml:space="preserve">Palm View</t>
  </si>
  <si>
    <t xml:space="preserve">17 Babs Rd Killcare Heights NSW 2257</t>
  </si>
  <si>
    <t xml:space="preserve">Hobby Sheep Farm</t>
  </si>
  <si>
    <t xml:space="preserve">170 Fernleigh Clos Windellama NSW 2580</t>
  </si>
  <si>
    <t xml:space="preserve">Heritage House Motel</t>
  </si>
  <si>
    <t xml:space="preserve">178 Imlay St Eden NSW 2551</t>
  </si>
  <si>
    <t xml:space="preserve">Reflections Evans Head - Holiday Park</t>
  </si>
  <si>
    <t xml:space="preserve">18 Park St Evans Head NSW 2473</t>
  </si>
  <si>
    <t xml:space="preserve">Sapphire Palms</t>
  </si>
  <si>
    <t xml:space="preserve">180 The Entrance Rd The Entrance NSW 2261</t>
  </si>
  <si>
    <t xml:space="preserve">Acacia Rose Motor Inn</t>
  </si>
  <si>
    <t xml:space="preserve">18-20 Thule St Barham NSW 2732</t>
  </si>
  <si>
    <t xml:space="preserve">Hunter Valley Lodge</t>
  </si>
  <si>
    <t xml:space="preserve">188 Lomas Ln Nulkaba NSW 2325</t>
  </si>
  <si>
    <t xml:space="preserve">Twin Swans Motel</t>
  </si>
  <si>
    <t xml:space="preserve">189 Glen Innes Rd Inverell NSW 2360</t>
  </si>
  <si>
    <t xml:space="preserve">Bega Motel</t>
  </si>
  <si>
    <t xml:space="preserve">191 Newtown Rd Bega NSW 2550</t>
  </si>
  <si>
    <t xml:space="preserve">193 Great Western Hwy Blackheath NSW 2785</t>
  </si>
  <si>
    <t xml:space="preserve">Club McLean</t>
  </si>
  <si>
    <t xml:space="preserve">1A McLachlan St Maclean NSW 2463</t>
  </si>
  <si>
    <t xml:space="preserve">Jervis Bay Mariners</t>
  </si>
  <si>
    <t xml:space="preserve">21 Beach St Huskisson NSW 2540</t>
  </si>
  <si>
    <t xml:space="preserve">Palmers Lane Estate Hunter Valley</t>
  </si>
  <si>
    <t xml:space="preserve">212 Palmers Ln Pokolbin NSW 2320</t>
  </si>
  <si>
    <t xml:space="preserve">Quest Dubbo</t>
  </si>
  <si>
    <t xml:space="preserve">22 Bultje St Dubbo NSW 2830</t>
  </si>
  <si>
    <t xml:space="preserve">Griffith Golf Club</t>
  </si>
  <si>
    <t xml:space="preserve">22 Lloyd Prest Dr Griffith NSW 2680</t>
  </si>
  <si>
    <t xml:space="preserve">Blackheath BnB</t>
  </si>
  <si>
    <t xml:space="preserve">22 Murri St Blackheath NSW 2785</t>
  </si>
  <si>
    <t xml:space="preserve">Bay Escapes | Echoes @ Fingal Bay</t>
  </si>
  <si>
    <t xml:space="preserve">23 Bent St Fingal Bay NSW 2315</t>
  </si>
  <si>
    <t xml:space="preserve">Darlington Point Motel</t>
  </si>
  <si>
    <t xml:space="preserve">23 Demamiel St Darlington Point NSW 2706</t>
  </si>
  <si>
    <t xml:space="preserve">Murrumbidgee Council</t>
  </si>
  <si>
    <t xml:space="preserve">Endeavour Restaurant</t>
  </si>
  <si>
    <t xml:space="preserve">233 Newcastle Rd East Maitland NSW 2323</t>
  </si>
  <si>
    <t xml:space="preserve">Elbourne Wines</t>
  </si>
  <si>
    <t xml:space="preserve">236 Marrowbone Rd Pokolbin NSW 2320</t>
  </si>
  <si>
    <t xml:space="preserve">Holiday Rental, Hyams Beach</t>
  </si>
  <si>
    <t xml:space="preserve">24 Hyam Rd Hyams Beach NSW 2540</t>
  </si>
  <si>
    <t xml:space="preserve">Summerhill Motor Inn</t>
  </si>
  <si>
    <t xml:space="preserve">24-26 Merimbula Dr Merimbula NSW 2548</t>
  </si>
  <si>
    <t xml:space="preserve">Brewarrina RSL</t>
  </si>
  <si>
    <t xml:space="preserve">25 Bourke St Brewarrina NSW 2839</t>
  </si>
  <si>
    <t xml:space="preserve">Pacific Palms</t>
  </si>
  <si>
    <t xml:space="preserve">26 Windsor St Tarbuck Bay NSW 2428</t>
  </si>
  <si>
    <t xml:space="preserve">Golf Links Motel</t>
  </si>
  <si>
    <t xml:space="preserve">260 Bridge St West Tamworth NSW 2340</t>
  </si>
  <si>
    <t xml:space="preserve">Moby Dick Motel</t>
  </si>
  <si>
    <t xml:space="preserve">27-29 Yamba Rd Yamba NSW 2464</t>
  </si>
  <si>
    <t xml:space="preserve">Harrington Hotel</t>
  </si>
  <si>
    <t xml:space="preserve">28 Beach St Harrington NSW 2427</t>
  </si>
  <si>
    <t xml:space="preserve">Huskisson Beach Escape</t>
  </si>
  <si>
    <t xml:space="preserve">28 Jervis St Huskisson NSW 2540</t>
  </si>
  <si>
    <t xml:space="preserve">El Motor Inn</t>
  </si>
  <si>
    <t xml:space="preserve">29 Clarence St Port Macquarie NSW 2444</t>
  </si>
  <si>
    <t xml:space="preserve">THYNK Cafe + Bar</t>
  </si>
  <si>
    <t xml:space="preserve">Sapphire City Motor Inn</t>
  </si>
  <si>
    <t xml:space="preserve">30/34 Glen Innes Rd Inverell NSW 2360</t>
  </si>
  <si>
    <t xml:space="preserve">312 Tomakin Rd Mogo (South) NSW 2536</t>
  </si>
  <si>
    <t xml:space="preserve">Walcha Motel</t>
  </si>
  <si>
    <t xml:space="preserve">31w Fitzroy Street Walcha NSW 2354</t>
  </si>
  <si>
    <t xml:space="preserve">Reflections Tuncurry - Holiday Park</t>
  </si>
  <si>
    <t xml:space="preserve">32 Beach St Tuncurry NSW 2428</t>
  </si>
  <si>
    <t xml:space="preserve">Port Macquarie Library</t>
  </si>
  <si>
    <t xml:space="preserve">32 Grant St Port Macquarie NSW 2444</t>
  </si>
  <si>
    <t xml:space="preserve">Fairway Views Motor Inn</t>
  </si>
  <si>
    <t xml:space="preserve">32/34 Barooga Rd Tocumwal NSW 2714</t>
  </si>
  <si>
    <t xml:space="preserve">33 High View Rd Pretty Beach NSW 2257</t>
  </si>
  <si>
    <t xml:space="preserve">Federation Motel</t>
  </si>
  <si>
    <t xml:space="preserve">330 Honour Ave Corowa NSW 2646</t>
  </si>
  <si>
    <t xml:space="preserve">Cotswold Gardens</t>
  </si>
  <si>
    <t xml:space="preserve">34 Marsh St Armidale NSW 2350</t>
  </si>
  <si>
    <t xml:space="preserve">3446 Jingellic Rd Mannus NSW 2653</t>
  </si>
  <si>
    <t xml:space="preserve">Adelaide Hotel</t>
  </si>
  <si>
    <t xml:space="preserve">36-38 Vulcan St Moruya NSW 2537</t>
  </si>
  <si>
    <t xml:space="preserve">37 West St Gundagai NSW 2722</t>
  </si>
  <si>
    <t xml:space="preserve">38 Long Brush Rd Jerrara NSW 2533</t>
  </si>
  <si>
    <t xml:space="preserve">The Council Of The Municipality Of Kiama</t>
  </si>
  <si>
    <t xml:space="preserve">Melaleuca Cottage and Retreat</t>
  </si>
  <si>
    <t xml:space="preserve">381 Pinnacle Rd Orange NSW 2800</t>
  </si>
  <si>
    <t xml:space="preserve">Oyster Catcher Huskisson</t>
  </si>
  <si>
    <t xml:space="preserve">4 Jervis St Huskisson NSW 2540</t>
  </si>
  <si>
    <t xml:space="preserve">CRU Lake Mac Camp and Conference Centre</t>
  </si>
  <si>
    <t xml:space="preserve">40 Yarrawonga Park Rd Balcolyn NSW 2264</t>
  </si>
  <si>
    <t xml:space="preserve">Scone Equine Hospital</t>
  </si>
  <si>
    <t xml:space="preserve">406 Bunnan Rd Scone NSW 2337</t>
  </si>
  <si>
    <t xml:space="preserve">Bellingen Farmstay</t>
  </si>
  <si>
    <t xml:space="preserve">417 Martells Rd Brierfield NSW 2454</t>
  </si>
  <si>
    <t xml:space="preserve">Cedar Lodge Cabins</t>
  </si>
  <si>
    <t xml:space="preserve">42 Great Western Hwy Mount Victoria NSW 2786</t>
  </si>
  <si>
    <t xml:space="preserve">Clock Tower Motor Inn</t>
  </si>
  <si>
    <t xml:space="preserve">47 Dalgarno St Coonabarabran NSW 2357</t>
  </si>
  <si>
    <t xml:space="preserve">Golf View Motel</t>
  </si>
  <si>
    <t xml:space="preserve">49 Paradise Beach Rd Sanctuary Point NSW 2540</t>
  </si>
  <si>
    <t xml:space="preserve">Snowbound</t>
  </si>
  <si>
    <t xml:space="preserve">5 Crackenback Dr Thredbo NSW 2625</t>
  </si>
  <si>
    <t xml:space="preserve">Valley View</t>
  </si>
  <si>
    <t xml:space="preserve">5 Somerville St Wentworth Falls NSW 2782</t>
  </si>
  <si>
    <t xml:space="preserve">Wombat Crossing Vineyard</t>
  </si>
  <si>
    <t xml:space="preserve">530 Hermitage Rd Pokolbin NSW 2320</t>
  </si>
  <si>
    <t xml:space="preserve">Glenella Heritage House</t>
  </si>
  <si>
    <t xml:space="preserve">56 Govetts Leap Rd Blackheath NSW 2785</t>
  </si>
  <si>
    <t xml:space="preserve">Rip Curl North Wollongong</t>
  </si>
  <si>
    <t xml:space="preserve">57-61 Flinders St, Wollongong NSW 2500</t>
  </si>
  <si>
    <t xml:space="preserve">Cedars Mount View</t>
  </si>
  <si>
    <t xml:space="preserve">60 Mitchells Rd Mount View NSW 2325</t>
  </si>
  <si>
    <t xml:space="preserve">The Barn</t>
  </si>
  <si>
    <t xml:space="preserve">610 Waverley Rd Gundy NSW 2337</t>
  </si>
  <si>
    <t xml:space="preserve">The Albury Regent Motel</t>
  </si>
  <si>
    <t xml:space="preserve">666 Dean St Albury NSW 2640</t>
  </si>
  <si>
    <t xml:space="preserve">Tumut Farrington Motel</t>
  </si>
  <si>
    <t xml:space="preserve">71-73 Capper St Tumut NSW 2720</t>
  </si>
  <si>
    <t xml:space="preserve">de Russie Boutique Hotel Orange</t>
  </si>
  <si>
    <t xml:space="preserve">72 Hill St Orange NSW 2800</t>
  </si>
  <si>
    <t xml:space="preserve">75 Sundew Ave Diamond Beach NSW 2430</t>
  </si>
  <si>
    <t xml:space="preserve">Lake Macquarie Motor Inn</t>
  </si>
  <si>
    <t xml:space="preserve">798 Pacific Hwy Marks Point NSW 2280</t>
  </si>
  <si>
    <t xml:space="preserve">Cobb Inlander Motel</t>
  </si>
  <si>
    <t xml:space="preserve">83 Lachlan St Hay NSW 2711</t>
  </si>
  <si>
    <t xml:space="preserve">Common People Brewing Co</t>
  </si>
  <si>
    <t xml:space="preserve">9 Dudgeons Ln Bangalow NSW 2479</t>
  </si>
  <si>
    <t xml:space="preserve">The Old Convent Guesthouse</t>
  </si>
  <si>
    <t xml:space="preserve">9 John St Largs NSW 2320</t>
  </si>
  <si>
    <t xml:space="preserve">The Midge Tallong</t>
  </si>
  <si>
    <t xml:space="preserve">90 Caoura Rd Tallong NSW 2579</t>
  </si>
  <si>
    <t xml:space="preserve">Greenacres Motel</t>
  </si>
  <si>
    <t xml:space="preserve">91 Federation Ave Corowa NSW 2646</t>
  </si>
  <si>
    <t xml:space="preserve">Lyrebird's Nest Campground</t>
  </si>
  <si>
    <t xml:space="preserve">91 Koolilabah Ln Penrose NSW 2579</t>
  </si>
  <si>
    <t xml:space="preserve">Hunter Moon Country House</t>
  </si>
  <si>
    <t xml:space="preserve">919 Milbrodale Rd Broke NSW 2330</t>
  </si>
  <si>
    <t xml:space="preserve">Reflections Bonny Hills - Holiday Park</t>
  </si>
  <si>
    <t xml:space="preserve">Mercure Orange</t>
  </si>
  <si>
    <t xml:space="preserve">94 Byng St Orange NSW 2800</t>
  </si>
  <si>
    <t xml:space="preserve">Reflections Eden</t>
  </si>
  <si>
    <t xml:space="preserve">Aslings Beach Rd Eden NSW 2551</t>
  </si>
  <si>
    <t xml:space="preserve">Mollymook Motel</t>
  </si>
  <si>
    <t xml:space="preserve">Cnr Princes Hwy &amp; Golf Ave Mollymook NSW 2539</t>
  </si>
  <si>
    <t xml:space="preserve">Reflections Lennox Head</t>
  </si>
  <si>
    <t xml:space="preserve">Cnr Ross Street &amp; Pacific Parade LENNOX HEAD NSW 2478</t>
  </si>
  <si>
    <t xml:space="preserve">Oberon Military Museum</t>
  </si>
  <si>
    <t xml:space="preserve">Dudley St Oberon NSW 2787</t>
  </si>
  <si>
    <t xml:space="preserve">Lockhart Rd Tooleybuc NSW 2736</t>
  </si>
  <si>
    <t xml:space="preserve">Opal Blvd Korora NSW 2450</t>
  </si>
  <si>
    <t xml:space="preserve">Riverside Cres Brunswick Heads NSW 2483</t>
  </si>
  <si>
    <t xml:space="preserve">Robertson St Mudgee NSW 2850</t>
  </si>
  <si>
    <t xml:space="preserve">Stockton St Nelson Bay NSW 2315</t>
  </si>
  <si>
    <t xml:space="preserve">Kurrara Guest House</t>
  </si>
  <si>
    <t xml:space="preserve">17 Coomonderry St Katoomba NSW 2780</t>
  </si>
  <si>
    <t xml:space="preserve">17 Holmwood St Newtown NSW 2042</t>
  </si>
  <si>
    <t xml:space="preserve">Tathra Beach House Apartments</t>
  </si>
  <si>
    <t xml:space="preserve">17 John Taylor Cres Tathra NSW 2550</t>
  </si>
  <si>
    <t xml:space="preserve">17 Joseph St, Lilyfield, NSW, 2040</t>
  </si>
  <si>
    <t xml:space="preserve">17 Nicholson St Wollstonecraft NSW 2065</t>
  </si>
  <si>
    <t xml:space="preserve">ChargePost</t>
  </si>
  <si>
    <t xml:space="preserve">1-7 Waratah Ave Randwick NSW 2031</t>
  </si>
  <si>
    <t xml:space="preserve">Thrive Medical</t>
  </si>
  <si>
    <t xml:space="preserve">170 Crystal St Broken Hill NSW 2880</t>
  </si>
  <si>
    <t xml:space="preserve">Smart Charge</t>
  </si>
  <si>
    <t xml:space="preserve">170 Hawthorne Pde Haberfield NSW 2045</t>
  </si>
  <si>
    <t xml:space="preserve">173 Canterbury Road, Bankstown NSW 2200</t>
  </si>
  <si>
    <t xml:space="preserve">174 Maitland St Narrabri NSW 2390</t>
  </si>
  <si>
    <t xml:space="preserve">175 High St Hillston NSW 2675</t>
  </si>
  <si>
    <t xml:space="preserve">176 Beach St Coogee NSW 2034</t>
  </si>
  <si>
    <t xml:space="preserve">176 Darling St Balmain NSW 2041</t>
  </si>
  <si>
    <t xml:space="preserve">176 Mons Ave Maroubra NSW 2035</t>
  </si>
  <si>
    <t xml:space="preserve">Albion Park Bowling CLub</t>
  </si>
  <si>
    <t xml:space="preserve">178 Tongarra Rd Albion Park NSW 2527</t>
  </si>
  <si>
    <t xml:space="preserve">178A Campbell Pde Bondi Beach NSW 2026</t>
  </si>
  <si>
    <t xml:space="preserve">Gillards Road</t>
  </si>
  <si>
    <t xml:space="preserve">179 Gillards Rd Pokolbin NSW 2320</t>
  </si>
  <si>
    <t xml:space="preserve">179-183 Hume St, Goulburn NSW 2580</t>
  </si>
  <si>
    <t xml:space="preserve">18 Bishop St Newport NSW 2106</t>
  </si>
  <si>
    <t xml:space="preserve">18 Council St Bondi Junction NSW 2022</t>
  </si>
  <si>
    <t xml:space="preserve">Sydney Ski Club</t>
  </si>
  <si>
    <t xml:space="preserve">18 Diggings Ter Thredbo NSW 2625</t>
  </si>
  <si>
    <t xml:space="preserve">Echo Point Discovery Motel</t>
  </si>
  <si>
    <t xml:space="preserve">18 Echo Point Rd Katoomba NSW 2780</t>
  </si>
  <si>
    <t xml:space="preserve">18 Holbeche Rd Arndell Park NSW 2148</t>
  </si>
  <si>
    <t xml:space="preserve">Pelican Motor Inn</t>
  </si>
  <si>
    <t xml:space="preserve">18 Merimbula Dr Merimbula NSW 2548</t>
  </si>
  <si>
    <t xml:space="preserve">18 Morwick St Strathfield NSW 2135</t>
  </si>
  <si>
    <t xml:space="preserve">180 Darling St Balmain NSW 2041</t>
  </si>
  <si>
    <t xml:space="preserve">Lake Conjola Bowling and Recreation Club</t>
  </si>
  <si>
    <t xml:space="preserve">180 Lake Conjola Entrance Rd Lake Conjola NSW 2539</t>
  </si>
  <si>
    <t xml:space="preserve">Blue Mountain Highway Motel</t>
  </si>
  <si>
    <t xml:space="preserve">181 Great Western Hwy Katoomba NSW 2780</t>
  </si>
  <si>
    <t xml:space="preserve">182 Evans St Rozelle NSW 2039</t>
  </si>
  <si>
    <t xml:space="preserve">183 Tarcutta St Wagga Wagga NSW 2650</t>
  </si>
  <si>
    <t xml:space="preserve">Parkes International Motel</t>
  </si>
  <si>
    <t xml:space="preserve">18-32 Peak Hill Rd Parkes NSW 2870</t>
  </si>
  <si>
    <t xml:space="preserve">Tyrrell's Vineyards</t>
  </si>
  <si>
    <t xml:space="preserve">1838 Broke Rd Pokolbin NSW 2320</t>
  </si>
  <si>
    <t xml:space="preserve">185 Carrington Rd Coogee NSW 2034 Commonwealth of</t>
  </si>
  <si>
    <t xml:space="preserve">Howlong Golf Resort</t>
  </si>
  <si>
    <t xml:space="preserve">186 Golf Club Dr Howlong NSW 2643</t>
  </si>
  <si>
    <t xml:space="preserve">Charge Hub</t>
  </si>
  <si>
    <t xml:space="preserve">188 Beattie St Rozelle NSW 2039</t>
  </si>
  <si>
    <t xml:space="preserve">188 Fernleigh Rd Glenfield Park NSW 2650</t>
  </si>
  <si>
    <t xml:space="preserve">19 Bloore St Kyogle NSW 2474</t>
  </si>
  <si>
    <t xml:space="preserve">19 Queen St Randwick NSW 2031</t>
  </si>
  <si>
    <t xml:space="preserve">19 Roseby St, Sydney, 2047</t>
  </si>
  <si>
    <t xml:space="preserve">19 Spring St, Forbes, 2871</t>
  </si>
  <si>
    <t xml:space="preserve">Victoria and Albert Guest House</t>
  </si>
  <si>
    <t xml:space="preserve">19 Station St Wentworth Falls NSW 2782</t>
  </si>
  <si>
    <t xml:space="preserve">EVNet</t>
  </si>
  <si>
    <t xml:space="preserve">Skylodge</t>
  </si>
  <si>
    <t xml:space="preserve">1-9 Tom Moon Ave Temora NSW 2666</t>
  </si>
  <si>
    <t xml:space="preserve">Dungog Visitor Information Centre</t>
  </si>
  <si>
    <t xml:space="preserve">191 Dowling St Dungog NSW 2420</t>
  </si>
  <si>
    <t xml:space="preserve">Dungog Shire Council</t>
  </si>
  <si>
    <t xml:space="preserve">Best Western Plus All Settlers</t>
  </si>
  <si>
    <t xml:space="preserve">191 Goonoo Goonoo Rd South Tamworth NSW 2340</t>
  </si>
  <si>
    <t xml:space="preserve">Quirindi Library</t>
  </si>
  <si>
    <t xml:space="preserve">193 George St Quirindi NSW 2343</t>
  </si>
  <si>
    <t xml:space="preserve">1A Gloucester Ave Burwood NSW 2134</t>
  </si>
  <si>
    <t xml:space="preserve">1R Marine Pde Maroubra NSW 2035</t>
  </si>
  <si>
    <t xml:space="preserve">2 Alice St Newtown NSW 2042</t>
  </si>
  <si>
    <t xml:space="preserve">2 Allman Ave Summer Hill NSW 2130</t>
  </si>
  <si>
    <t xml:space="preserve">Tathra Beachfront Holiday Park</t>
  </si>
  <si>
    <t xml:space="preserve">2 Andy Poole Dr Tathra NSW 2550</t>
  </si>
  <si>
    <t xml:space="preserve">Yalawanyi Gunya</t>
  </si>
  <si>
    <t xml:space="preserve">2 Biripi Way Taree South NSW 2430</t>
  </si>
  <si>
    <t xml:space="preserve">Eden Motel</t>
  </si>
  <si>
    <t xml:space="preserve">2 Blue Marlin Ct Eden NSW 2551</t>
  </si>
  <si>
    <t xml:space="preserve">The Pavilion Kiama</t>
  </si>
  <si>
    <t xml:space="preserve">2 Bong Bong St Kiama NSW 2533</t>
  </si>
  <si>
    <t xml:space="preserve">2 Bridge Rd Griffith NSW 2680</t>
  </si>
  <si>
    <t xml:space="preserve">2 Cavendish St Enmore NSW 2042</t>
  </si>
  <si>
    <t xml:space="preserve">Parkes Shire Council Public Parking</t>
  </si>
  <si>
    <t xml:space="preserve">2 Cecile St Parkes NSW 2870</t>
  </si>
  <si>
    <t xml:space="preserve">2 Coast Hospital Rd Little Bay NSW 2036</t>
  </si>
  <si>
    <t xml:space="preserve">Cunningham Park</t>
  </si>
  <si>
    <t xml:space="preserve">2 Copeton Dam Rd Bingara NSW 2404</t>
  </si>
  <si>
    <t xml:space="preserve">2 Davids Rd, Haberfield NSW 2045</t>
  </si>
  <si>
    <t xml:space="preserve">2 Diamond Bay Rd Vaucluse NSW 2030</t>
  </si>
  <si>
    <t xml:space="preserve">2 George St Marrickville NSW 2204</t>
  </si>
  <si>
    <t xml:space="preserve">2 Greycliffe Ave, Vaucluse, NSW, 2030</t>
  </si>
  <si>
    <t xml:space="preserve">2 Hollywood Ave Bondi Junction NSW 2022</t>
  </si>
  <si>
    <t xml:space="preserve">2 Kelrose Ln North Sydney NSW 2060</t>
  </si>
  <si>
    <t xml:space="preserve">2 King St Balmain NSW 2041</t>
  </si>
  <si>
    <t xml:space="preserve">2 King St Bondi NSW 2026</t>
  </si>
  <si>
    <t xml:space="preserve">2 Marion St Leichhardt NSW 2040</t>
  </si>
  <si>
    <t xml:space="preserve">The Sebel Kiama</t>
  </si>
  <si>
    <t xml:space="preserve">2 Minnamurra St Kiama NSW 2533</t>
  </si>
  <si>
    <t xml:space="preserve">2 Moonee Beach Rd Moonee Beach NSW 2450</t>
  </si>
  <si>
    <t xml:space="preserve">2 Moyes St Marrickville NSW 2204</t>
  </si>
  <si>
    <t xml:space="preserve">2 Quarry St Paddington NSW 2021</t>
  </si>
  <si>
    <t xml:space="preserve">The Surf Yamba</t>
  </si>
  <si>
    <t xml:space="preserve">2 Queen St Yamba NSW 2464</t>
  </si>
  <si>
    <t xml:space="preserve">2 Rickard Ave Bondi Beach NSW 2026</t>
  </si>
  <si>
    <t xml:space="preserve">Merimbula Beach Holiday Resort</t>
  </si>
  <si>
    <t xml:space="preserve">2 Short Point Rd Merimbula NSW 2548</t>
  </si>
  <si>
    <t xml:space="preserve">The Levee Central Maitland</t>
  </si>
  <si>
    <t xml:space="preserve">2 St Andrews St Maitland NSW 2320</t>
  </si>
  <si>
    <t xml:space="preserve">2 Tebbutt St Leichhardt NSW 2040</t>
  </si>
  <si>
    <t xml:space="preserve">Bridgeview Motel</t>
  </si>
  <si>
    <t xml:space="preserve">2 The Corso Gorokan NSW 2263</t>
  </si>
  <si>
    <t xml:space="preserve">Wallsend Diggers Car Park</t>
  </si>
  <si>
    <t xml:space="preserve">2 Tyrrell St Wallsend NSW 2287</t>
  </si>
  <si>
    <t xml:space="preserve">Scenic World</t>
  </si>
  <si>
    <t xml:space="preserve">2 Violet St Katoomba NSW 2780</t>
  </si>
  <si>
    <t xml:space="preserve">2 Wauhope Cres South Coogee NSW 2034</t>
  </si>
  <si>
    <t xml:space="preserve">Twin Towns Services Club</t>
  </si>
  <si>
    <t xml:space="preserve">2 Wharf St Tweed Heads NSW 2485</t>
  </si>
  <si>
    <t xml:space="preserve">20 Arthur St Marrickville NSW 2204</t>
  </si>
  <si>
    <t xml:space="preserve">20 Federation Rd Camperdown NSW 2050</t>
  </si>
  <si>
    <t xml:space="preserve">20 Johnston St Balmain East NSW 2041</t>
  </si>
  <si>
    <t xml:space="preserve">Windale Hub</t>
  </si>
  <si>
    <t xml:space="preserve">20 Lake St Windale NSW 2306</t>
  </si>
  <si>
    <t xml:space="preserve">Wandana Brewing Co.</t>
  </si>
  <si>
    <t xml:space="preserve">20 Manns Rd Mullumbimby NSW 2482</t>
  </si>
  <si>
    <t xml:space="preserve">Noodoe</t>
  </si>
  <si>
    <t xml:space="preserve">Ingenia Holiday Parks - Lake Macquarie</t>
  </si>
  <si>
    <t xml:space="preserve">20 Monterey Ave Mannering Park NSW 2259</t>
  </si>
  <si>
    <t xml:space="preserve">Ourimbah RSL Club Carpark</t>
  </si>
  <si>
    <t xml:space="preserve">20 Pacific Hwy Ourimbah NSW 2258</t>
  </si>
  <si>
    <t xml:space="preserve">Wollongong Surf Leisure Resort</t>
  </si>
  <si>
    <t xml:space="preserve">201 Pioneer Rd Fairy Meadow NSW 2519</t>
  </si>
  <si>
    <t xml:space="preserve">202 Parramatta Rd, Sydney, 2131</t>
  </si>
  <si>
    <t xml:space="preserve">Corrigans Cove Resort</t>
  </si>
  <si>
    <t xml:space="preserve">204 Beach Rd Batehaven NSW 2536</t>
  </si>
  <si>
    <t xml:space="preserve">Printhie Wines</t>
  </si>
  <si>
    <t xml:space="preserve">208 Nancarrow Ln Nashdale NSW 2800</t>
  </si>
  <si>
    <t xml:space="preserve">Alloggio Hotel Thornton</t>
  </si>
  <si>
    <t xml:space="preserve">21 Poynton Pl Thornton NSW 2322</t>
  </si>
  <si>
    <t xml:space="preserve">Bay and Bush</t>
  </si>
  <si>
    <t xml:space="preserve">21 Pritchard Ave Woollamia NSW 2540</t>
  </si>
  <si>
    <t xml:space="preserve">21 Russell St Lilyfield NSW 2040</t>
  </si>
  <si>
    <t xml:space="preserve">21-23 Corunna Rd Stanmore NSW 2048</t>
  </si>
  <si>
    <t xml:space="preserve">Boathouse Resort</t>
  </si>
  <si>
    <t xml:space="preserve">21-23 Marine Dr Tea Gardens NSW 2324</t>
  </si>
  <si>
    <t xml:space="preserve">Katoomba Town Centre Motel</t>
  </si>
  <si>
    <t xml:space="preserve">214 Katoomba St Katoomba NSW 2780</t>
  </si>
  <si>
    <t xml:space="preserve">218 Katoomba St, Katoomba NSW 2780</t>
  </si>
  <si>
    <t xml:space="preserve">Zeus Renewabl</t>
  </si>
  <si>
    <t xml:space="preserve">218 Norton St Leichhardt NSW 2040</t>
  </si>
  <si>
    <t xml:space="preserve">Orange Aquatic Centre</t>
  </si>
  <si>
    <t xml:space="preserve">21A Hill St Orange NSW 2800</t>
  </si>
  <si>
    <t xml:space="preserve">EVSE</t>
  </si>
  <si>
    <t xml:space="preserve">22 Bellevue Ave Greenwich NSW 2065</t>
  </si>
  <si>
    <t xml:space="preserve">22 Church St Burwood NSW 2134</t>
  </si>
  <si>
    <t xml:space="preserve">The Wallangulla Motel</t>
  </si>
  <si>
    <t xml:space="preserve">22 Morilla St Lightning Ridge NSW 2834</t>
  </si>
  <si>
    <t xml:space="preserve">22 Stafford St Paddington NSW 2021</t>
  </si>
  <si>
    <t xml:space="preserve">22 Ward St North Sydney NSW 2060</t>
  </si>
  <si>
    <t xml:space="preserve">Milton Ulladulla Ex Services Club</t>
  </si>
  <si>
    <t xml:space="preserve">222 Princes Hwy Ulladulla NSW 2539</t>
  </si>
  <si>
    <t xml:space="preserve">Stockmans Motel Tamworth</t>
  </si>
  <si>
    <t xml:space="preserve">2-24 Spains Ln Kingswood NSW 2340</t>
  </si>
  <si>
    <t xml:space="preserve">225 Darley Rd Randwick NSW 2031</t>
  </si>
  <si>
    <t xml:space="preserve">228 Moore Park Rd Paddington NSW 2021</t>
  </si>
  <si>
    <t xml:space="preserve">229 Denison St Queens Park NSW 2022</t>
  </si>
  <si>
    <t xml:space="preserve">23 See St Kingsford NSW 2032</t>
  </si>
  <si>
    <t xml:space="preserve">23 Terrace Rd Dulwich Hill NSW 2203</t>
  </si>
  <si>
    <t xml:space="preserve">231 Darling St Dubbo NSW 2830</t>
  </si>
  <si>
    <t xml:space="preserve">234 Miller St North Sydney NSW 2060</t>
  </si>
  <si>
    <t xml:space="preserve">24 Annandale St Annandale NSW 2038</t>
  </si>
  <si>
    <t xml:space="preserve">Ingenia Holiday Park - Bonny Hills</t>
  </si>
  <si>
    <t xml:space="preserve">24 Beach St Bonny Hills NSW 2445</t>
  </si>
  <si>
    <t xml:space="preserve">Evans Beach House</t>
  </si>
  <si>
    <t xml:space="preserve">24 Cedar St Evans Head NSW 2473</t>
  </si>
  <si>
    <t xml:space="preserve">24 Fourth Ave Seven Hills NSW 2147</t>
  </si>
  <si>
    <t xml:space="preserve">Budgewoi Bungelow</t>
  </si>
  <si>
    <t xml:space="preserve">24 Kewalo Ave Budgewoi NSW 2262</t>
  </si>
  <si>
    <t xml:space="preserve">Mandarin Motel Macksville</t>
  </si>
  <si>
    <t xml:space="preserve">24 Princess St Macksville NSW 2447</t>
  </si>
  <si>
    <t xml:space="preserve">2-4 Stuart St Tweed Heads NSW 2485</t>
  </si>
  <si>
    <t xml:space="preserve">Hungerford Hill</t>
  </si>
  <si>
    <t xml:space="preserve">2450 Broke Rd Pokolbin NSW 2320</t>
  </si>
  <si>
    <t xml:space="preserve">Town Square Motel</t>
  </si>
  <si>
    <t xml:space="preserve">246 Anson St Orange NSW 2800</t>
  </si>
  <si>
    <t xml:space="preserve">Powerhouse Hotel Tamworth by Rydges</t>
  </si>
  <si>
    <t xml:space="preserve">248 Armidale Rd East Tamworth NSW 2340</t>
  </si>
  <si>
    <t xml:space="preserve">Clancy's Cottage- Talbingo</t>
  </si>
  <si>
    <t xml:space="preserve">25 Bowman St Talbingo NSW 2720</t>
  </si>
  <si>
    <t xml:space="preserve">Mingara Recreation Club</t>
  </si>
  <si>
    <t xml:space="preserve">25 Buller St Port Macquarie NSW 2444</t>
  </si>
  <si>
    <t xml:space="preserve">25 Danks St Waterloo NSW 2017</t>
  </si>
  <si>
    <t xml:space="preserve">Heritage Motor Inn Corowa</t>
  </si>
  <si>
    <t xml:space="preserve">25 Edward St Corowa NSW 2646</t>
  </si>
  <si>
    <t xml:space="preserve">25 Llandaff St Bondi Junction NSW 2022</t>
  </si>
  <si>
    <t xml:space="preserve">Bonn Abbey</t>
  </si>
  <si>
    <t xml:space="preserve">25 Nelson St Broke NSW 2330</t>
  </si>
  <si>
    <t xml:space="preserve">Ingenia Holiday Parks - Old Bar Beach</t>
  </si>
  <si>
    <t xml:space="preserve">25 Old Bar Rd Old Bar NSW 2430</t>
  </si>
  <si>
    <t xml:space="preserve">Gillieston Heights Community Hub</t>
  </si>
  <si>
    <t xml:space="preserve">25 Redwood Dr Gillieston Heights NSW 2321</t>
  </si>
  <si>
    <t xml:space="preserve">25 Rockleigh Rd Exeter NSW 2579</t>
  </si>
  <si>
    <t xml:space="preserve">NRMA Parks and Resorts</t>
  </si>
  <si>
    <t xml:space="preserve">250 Sydney Rd Kelso NSW 2795</t>
  </si>
  <si>
    <t xml:space="preserve">The Fitz Cafe &amp; Bar</t>
  </si>
  <si>
    <t xml:space="preserve">251 Princes Hwy Bulli NSW 2516</t>
  </si>
  <si>
    <t xml:space="preserve">Club Maitland City</t>
  </si>
  <si>
    <t xml:space="preserve">258 New England Hwy Rutherford NSW 2320</t>
  </si>
  <si>
    <t xml:space="preserve">Gosford RSL Club</t>
  </si>
  <si>
    <t xml:space="preserve">26 Central Coast Hwy West Gosford NSW 2250</t>
  </si>
  <si>
    <t xml:space="preserve">26 Manion Ave Rose Bay NSW 2029</t>
  </si>
  <si>
    <t xml:space="preserve">26 Nelson St Annandale NSW 2038</t>
  </si>
  <si>
    <t xml:space="preserve">26 Terry St Balmain NSW 2041</t>
  </si>
  <si>
    <t xml:space="preserve">260 Victoria Avenue, Chatswood, NSW 2067</t>
  </si>
  <si>
    <t xml:space="preserve">261 Clovelly Rd Clovelly NSW 2031</t>
  </si>
  <si>
    <t xml:space="preserve">Maitland Town Hall</t>
  </si>
  <si>
    <t xml:space="preserve">263 High St Maitland NSW 2320</t>
  </si>
  <si>
    <t xml:space="preserve">RedGround Truffle Hunting Lodge</t>
  </si>
  <si>
    <t xml:space="preserve">264 Titania Rd Oberon NSW 2787</t>
  </si>
  <si>
    <t xml:space="preserve">CasaCharge</t>
  </si>
  <si>
    <t xml:space="preserve">266 Johnston St Annandale NSW 2038</t>
  </si>
  <si>
    <t xml:space="preserve">267 Maroubra Rd Maroubra NSW 2035</t>
  </si>
  <si>
    <t xml:space="preserve">27 Bennett St Bondi NSW 2026</t>
  </si>
  <si>
    <t xml:space="preserve">27 Campbell Pde Manly Vale NSW 2093</t>
  </si>
  <si>
    <t xml:space="preserve">270 Johnston St Annandale NSW 2038</t>
  </si>
  <si>
    <t xml:space="preserve">272 Johnston St Annandale NSW 2038</t>
  </si>
  <si>
    <t xml:space="preserve">276 Birrell St Bondi NSW 2026</t>
  </si>
  <si>
    <t xml:space="preserve">279 New England Hwy Rutherford NSW 2320</t>
  </si>
  <si>
    <t xml:space="preserve">RIKARD Wines</t>
  </si>
  <si>
    <t xml:space="preserve">279 Old Canobolas Rd Nashdale NSW 2800</t>
  </si>
  <si>
    <t xml:space="preserve">28 Kenneth St Tamarama NSW 2026</t>
  </si>
  <si>
    <t xml:space="preserve">2-8 Turramurra Ave Turramurra NSW 2074</t>
  </si>
  <si>
    <t xml:space="preserve">284 Old South Head Rd Watsons Bay NSW 2030</t>
  </si>
  <si>
    <t xml:space="preserve">287 Ramsay St Haberfield NSW 2045</t>
  </si>
  <si>
    <t xml:space="preserve">Five Mile Hotel</t>
  </si>
  <si>
    <t xml:space="preserve">289 Armidale Rd South Grafton NSW 2460</t>
  </si>
  <si>
    <t xml:space="preserve">Moruya Golf Club</t>
  </si>
  <si>
    <t xml:space="preserve">28A Evans St Moruya NSW 2537</t>
  </si>
  <si>
    <t xml:space="preserve">29 Carrington Road Waverley NSW 2024</t>
  </si>
  <si>
    <t xml:space="preserve">29 Day St Leichhardt NSW 2040</t>
  </si>
  <si>
    <t xml:space="preserve">Sapphire Valley Caravan Park</t>
  </si>
  <si>
    <t xml:space="preserve">29 Sapphire Coast Dr Merimbula NSW 2548</t>
  </si>
  <si>
    <t xml:space="preserve">29 Woodenbong Rd Bonalbo NSW 2469</t>
  </si>
  <si>
    <t xml:space="preserve">291 on King</t>
  </si>
  <si>
    <t xml:space="preserve">291 King St Newcastle NSW 2300</t>
  </si>
  <si>
    <t xml:space="preserve">Hanging Tree Wines</t>
  </si>
  <si>
    <t xml:space="preserve">294 O'Connors Rd Pokolbin NSW 2320</t>
  </si>
  <si>
    <t xml:space="preserve">2A Central St Naremburn NSW 2065</t>
  </si>
  <si>
    <t xml:space="preserve">2A Frances St Randwick NSW 2031</t>
  </si>
  <si>
    <t xml:space="preserve">2A Liverpool St Rose Bay NSW 2029</t>
  </si>
  <si>
    <t xml:space="preserve">Redhead Beach Carpark</t>
  </si>
  <si>
    <t xml:space="preserve">2B Beach Rd Redhead NSW 2290</t>
  </si>
  <si>
    <t xml:space="preserve">Club Lithgow</t>
  </si>
  <si>
    <t xml:space="preserve">2C Lithgow St Lithgow NSW 2790</t>
  </si>
  <si>
    <t xml:space="preserve">The Entrance Leagues Club</t>
  </si>
  <si>
    <t xml:space="preserve">3 Bay Village Rd Bateau Bay NSW 2261</t>
  </si>
  <si>
    <t xml:space="preserve">3 Botany St Bondi Junction NSW 2022</t>
  </si>
  <si>
    <t xml:space="preserve">3 Carlton St Kensington NSW 2033</t>
  </si>
  <si>
    <t xml:space="preserve">3 Gladstone St Newtown NSW 2042</t>
  </si>
  <si>
    <t xml:space="preserve">3 Wardell Rd Lewisham NSW 2049</t>
  </si>
  <si>
    <t xml:space="preserve">3 Weston St Balmain East NSW 2041</t>
  </si>
  <si>
    <t xml:space="preserve">3 William St Randwick NSW 2031</t>
  </si>
  <si>
    <t xml:space="preserve">Muswellbrook Accommodation</t>
  </si>
  <si>
    <t xml:space="preserve">3/47 Scott St Muswellbrook NSW 2333</t>
  </si>
  <si>
    <t xml:space="preserve">Corowa RSL Club</t>
  </si>
  <si>
    <t xml:space="preserve">30 Betterment Pde Corowa NSW 2646</t>
  </si>
  <si>
    <t xml:space="preserve">Lake Macquarie Council</t>
  </si>
  <si>
    <t xml:space="preserve">30 Gommera St Blacksmiths NSW 2281</t>
  </si>
  <si>
    <t xml:space="preserve">30 Hill St Marrickville NSW 2204</t>
  </si>
  <si>
    <t xml:space="preserve">30 Little St Lane Cove NSW 2066</t>
  </si>
  <si>
    <t xml:space="preserve">30 Military Road North Bondi NSW 2026</t>
  </si>
  <si>
    <t xml:space="preserve">30 The Esplanade Narrabeen NSW 2101</t>
  </si>
  <si>
    <t xml:space="preserve">Orange Botanic Gardens</t>
  </si>
  <si>
    <t xml:space="preserve">300 Hill St Orange NSW 2800</t>
  </si>
  <si>
    <t xml:space="preserve">Ingenia Holiday Park - Ulladulla</t>
  </si>
  <si>
    <t xml:space="preserve">300 Kings Point Dr Ulladulla NSW 2539</t>
  </si>
  <si>
    <t xml:space="preserve">Antikvorem</t>
  </si>
  <si>
    <t xml:space="preserve">3020 Old Hume Hwy Berrima NSW 2577</t>
  </si>
  <si>
    <t xml:space="preserve">31 Boronia St Kensington NSW 2033</t>
  </si>
  <si>
    <t xml:space="preserve">31 Cobra St Dubbo NSW 2830</t>
  </si>
  <si>
    <t xml:space="preserve">The Mudgee Homestead Guesthouse</t>
  </si>
  <si>
    <t xml:space="preserve">31 Coorumbene Rd Buckaroo NSW 2850</t>
  </si>
  <si>
    <t xml:space="preserve">31 Diamond Bay Rd Vaucluse NSW 2030</t>
  </si>
  <si>
    <t xml:space="preserve">31 Duxford St Paddington NSW 2021</t>
  </si>
  <si>
    <t xml:space="preserve">31 Mallett St Camperdown NSW 2050</t>
  </si>
  <si>
    <t xml:space="preserve">31 Moate St Georgetown NSW 2298</t>
  </si>
  <si>
    <t xml:space="preserve">Strikes</t>
  </si>
  <si>
    <t xml:space="preserve">31 Strikes Ln Eurunderee NSW 2850</t>
  </si>
  <si>
    <t xml:space="preserve">CH Boutique Apartments The Ringers Road</t>
  </si>
  <si>
    <t xml:space="preserve">31 The Ringers Rd Hillvue NSW 2340</t>
  </si>
  <si>
    <t xml:space="preserve">32 Belmore St Enmore NSW 2042</t>
  </si>
  <si>
    <t xml:space="preserve">32 Liverpool St Rose Bay NSW 2029</t>
  </si>
  <si>
    <t xml:space="preserve">32 Riverstone Pde Riverstone NSW 2765</t>
  </si>
  <si>
    <t xml:space="preserve">322 Bourke St Surry Hills NSW 2010</t>
  </si>
  <si>
    <t xml:space="preserve">326 Birrell St Bondi NSW 2026</t>
  </si>
  <si>
    <t xml:space="preserve">33 Gugandi Rd Narara NSW 2250</t>
  </si>
  <si>
    <t xml:space="preserve">The Bay Hotel</t>
  </si>
  <si>
    <t xml:space="preserve">330 Fishery Point Rd Bonnells Bay NSW 2264</t>
  </si>
  <si>
    <t xml:space="preserve">Nimbo Fork Lodge</t>
  </si>
  <si>
    <t xml:space="preserve">330 Nimbo Rd Killimicat NSW 2720</t>
  </si>
  <si>
    <t xml:space="preserve">Four Cats Coffee</t>
  </si>
  <si>
    <t xml:space="preserve">33-35 Warne St Wellington NSW 2820</t>
  </si>
  <si>
    <t xml:space="preserve">34 Chandos St Ashfield NSW 2131</t>
  </si>
  <si>
    <t xml:space="preserve">34 Myra Rd Dulwich Hill NSW 2203</t>
  </si>
  <si>
    <t xml:space="preserve">34 Spencer St Rose Bay NSW 2029</t>
  </si>
  <si>
    <t xml:space="preserve">34C Taylor St Annandale NSW 2038</t>
  </si>
  <si>
    <t xml:space="preserve">35 Diamond Bay Rd Vaucluse NSW 2030</t>
  </si>
  <si>
    <t xml:space="preserve">35 Fitzroy St Marrickville NSW 2204</t>
  </si>
  <si>
    <t xml:space="preserve">35 Gould Ave Lewisham NSW 2049</t>
  </si>
  <si>
    <t xml:space="preserve">35 Holmwood St Newtown NSW 2042</t>
  </si>
  <si>
    <t xml:space="preserve">Bendalong (Manchester Lane Nashdale)</t>
  </si>
  <si>
    <t xml:space="preserve">35 Manchester Ln Nashdale NSW 2800</t>
  </si>
  <si>
    <t xml:space="preserve">35 Metropolitan Rd Enmore NSW 2042</t>
  </si>
  <si>
    <t xml:space="preserve">JETTY MOTEL THE ENTRANCE</t>
  </si>
  <si>
    <t xml:space="preserve">353 The Entrance Rd Long Jetty NSW 2261</t>
  </si>
  <si>
    <t xml:space="preserve">35-37 Ocean St Bondi NSW 2026</t>
  </si>
  <si>
    <t xml:space="preserve">Gowing Bros</t>
  </si>
  <si>
    <t xml:space="preserve">35-61 Harbour Dr Coffs Harbour NSW 2450</t>
  </si>
  <si>
    <t xml:space="preserve">Tamburlaine Organic Wines</t>
  </si>
  <si>
    <t xml:space="preserve">358 McDonalds Rd Pokolbin NSW 2320</t>
  </si>
  <si>
    <t xml:space="preserve">36 Hopewell St Paddington NSW 2021</t>
  </si>
  <si>
    <t xml:space="preserve">36 Napier St Paddington NSW 2021</t>
  </si>
  <si>
    <t xml:space="preserve">Orange Waratah Sports Club</t>
  </si>
  <si>
    <t xml:space="preserve">36 Telopea Way Orange NSW 2800</t>
  </si>
  <si>
    <t xml:space="preserve">Rosevale</t>
  </si>
  <si>
    <t xml:space="preserve">361 Rankin St Bathurst NSW 2795</t>
  </si>
  <si>
    <t xml:space="preserve">363-367 Bronte Rd, Bronte, NSW, 2024</t>
  </si>
  <si>
    <t xml:space="preserve">36R Dudley St Randwick NSW 2031</t>
  </si>
  <si>
    <t xml:space="preserve">Goulburn Health Hub</t>
  </si>
  <si>
    <t xml:space="preserve">37 Ross St Goulburn NSW 2580</t>
  </si>
  <si>
    <t xml:space="preserve">374 Peel St, Tamworth NSW 2340</t>
  </si>
  <si>
    <t xml:space="preserve">Dunedoo Bowling Club Carpark</t>
  </si>
  <si>
    <t xml:space="preserve">39 Cobborah St Dunedoo NSW 2844</t>
  </si>
  <si>
    <t xml:space="preserve">Charge OS</t>
  </si>
  <si>
    <t xml:space="preserve">39 Dulwich St Dulwich Hill NSW 2203</t>
  </si>
  <si>
    <t xml:space="preserve">39 Grove St Birchgrove NSW 2041</t>
  </si>
  <si>
    <t xml:space="preserve">3-9 Spring St Chatswood NSW 2067</t>
  </si>
  <si>
    <t xml:space="preserve">392 Manns Road, West Gosford NSW 2250</t>
  </si>
  <si>
    <t xml:space="preserve">396 Mowbray Rd Lane Cove North NSW 2066</t>
  </si>
  <si>
    <t xml:space="preserve">Centrepoint Motel Deniliquin</t>
  </si>
  <si>
    <t xml:space="preserve">399 Cressy St Deniliquin NSW 2710</t>
  </si>
  <si>
    <t xml:space="preserve">3A Hunter St Stockton NSW 2295</t>
  </si>
  <si>
    <t xml:space="preserve">Batemans Bay Soldiers Club</t>
  </si>
  <si>
    <t xml:space="preserve">4 Beach Rd Batemans Bay NSW 2536</t>
  </si>
  <si>
    <t xml:space="preserve">4 Guihen St Annandale NSW 2038</t>
  </si>
  <si>
    <t xml:space="preserve">Ingenia Holiday Park - Hunter Valley</t>
  </si>
  <si>
    <t xml:space="preserve">137 Mount View Rd Cessnock NSW 2325</t>
  </si>
  <si>
    <t xml:space="preserve">4 Stanley St Queens Park NSW 2022</t>
  </si>
  <si>
    <t xml:space="preserve">40 Albert Pde Ashfield NSW 2131</t>
  </si>
  <si>
    <t xml:space="preserve">40 Malakoff St Marrickville NSW 2204</t>
  </si>
  <si>
    <t xml:space="preserve">402 Mowbray Rd Lane Cove North NSW 2066</t>
  </si>
  <si>
    <t xml:space="preserve">Harvest Lodge Motel</t>
  </si>
  <si>
    <t xml:space="preserve">404 Conadilly St Gunnedah NSW 2380</t>
  </si>
  <si>
    <t xml:space="preserve">Village Fair Maitland Plaza</t>
  </si>
  <si>
    <t xml:space="preserve">405 High St Maitland NSW 2320</t>
  </si>
  <si>
    <t xml:space="preserve">407 New Canterbury Rd Dulwich Hill NSW 2203</t>
  </si>
  <si>
    <t xml:space="preserve">The Lane Retreat</t>
  </si>
  <si>
    <t xml:space="preserve">409 Palmers Ln Pokolbin NSW 2320</t>
  </si>
  <si>
    <t xml:space="preserve">41 Owen St Huskisson NSW 2540</t>
  </si>
  <si>
    <t xml:space="preserve">41 St Marks Rd Randwick NSW 2031</t>
  </si>
  <si>
    <t xml:space="preserve">Siesta Unit Trust</t>
  </si>
  <si>
    <t xml:space="preserve">416 Wagga Rd Lavington NSW 2641</t>
  </si>
  <si>
    <t xml:space="preserve">42 Carrington Pde Curl Curl NSW 2096</t>
  </si>
  <si>
    <t xml:space="preserve">42 Horton St Port Macquarie NSW 2444</t>
  </si>
  <si>
    <t xml:space="preserve">Cellar Door</t>
  </si>
  <si>
    <t xml:space="preserve">42 Lake Canobolas Rd Nashdale NSW 2800</t>
  </si>
  <si>
    <t xml:space="preserve">42 New Beach Rd, Darling Point, NSW, 2027</t>
  </si>
  <si>
    <t xml:space="preserve">Cabins in the Clouds</t>
  </si>
  <si>
    <t xml:space="preserve">424 Moonabung Rd Vacy NSW 2421</t>
  </si>
  <si>
    <t xml:space="preserve">Ingenia Holiday Parks - One Mile Beach</t>
  </si>
  <si>
    <t xml:space="preserve">426 Gan Gan Rd One Mile NSW 2316</t>
  </si>
  <si>
    <t xml:space="preserve">429 Old South Head Rd Rose Bay NSW 2029</t>
  </si>
  <si>
    <t xml:space="preserve">43 Eastlake Dr Lake Albert NSW 2650</t>
  </si>
  <si>
    <t xml:space="preserve">Emma's Cottage</t>
  </si>
  <si>
    <t xml:space="preserve">438 Wilderness Rd Lovedale NSW 2325</t>
  </si>
  <si>
    <t xml:space="preserve">44 Anderson St Chatswood NSW 2067</t>
  </si>
  <si>
    <t xml:space="preserve">Ballina Beach Nature Resort</t>
  </si>
  <si>
    <t xml:space="preserve">440 SOUTH BALLINA BEACH ROAD South Ballina NSW 2478</t>
  </si>
  <si>
    <t xml:space="preserve">Eden Beachfront</t>
  </si>
  <si>
    <t xml:space="preserve">441 Princes Hwy Eden NSW 2551</t>
  </si>
  <si>
    <t xml:space="preserve">442-446 Edgecliff Rd Edgecliff NSW 2027</t>
  </si>
  <si>
    <t xml:space="preserve">45 Whitty St Talbingo NSW 2720</t>
  </si>
  <si>
    <t xml:space="preserve">Imperial Hotel</t>
  </si>
  <si>
    <t xml:space="preserve">458 High St Maitland NSW 2320</t>
  </si>
  <si>
    <t xml:space="preserve">Young Services Club</t>
  </si>
  <si>
    <t xml:space="preserve">46 Cloete St Young NSW 2594</t>
  </si>
  <si>
    <t xml:space="preserve">Ingenia Holiday Parks - Merry Beach</t>
  </si>
  <si>
    <t xml:space="preserve">46 Merry Beach Rd Kioloa NSW 2539</t>
  </si>
  <si>
    <t xml:space="preserve">46 Wynter St, Taree NSW 2430</t>
  </si>
  <si>
    <t xml:space="preserve">47-49 Archer St Chatswood NSW 2067</t>
  </si>
  <si>
    <t xml:space="preserve">47-49A Cleary St Hamilton NSW 2303</t>
  </si>
  <si>
    <t xml:space="preserve">477 Coolac Rd Coolac NSW 2727</t>
  </si>
  <si>
    <t xml:space="preserve">Federation of Community Sporting and Workers Clubs Limited</t>
  </si>
  <si>
    <t xml:space="preserve">48 Marine Dr Fingal Bay NSW 2315</t>
  </si>
  <si>
    <t xml:space="preserve">Oberon Visitor Information Centre</t>
  </si>
  <si>
    <t xml:space="preserve">48 Ross St Oberon NSW 2787</t>
  </si>
  <si>
    <t xml:space="preserve">481 Pacific Hwy, Wyoming NSW 2250</t>
  </si>
  <si>
    <t xml:space="preserve">Leisure Inn Pokolbin</t>
  </si>
  <si>
    <t xml:space="preserve">485 McDonalds Road Pokolbin NSW 2320</t>
  </si>
  <si>
    <t xml:space="preserve">Talbingo Shopping Centre</t>
  </si>
  <si>
    <t xml:space="preserve">49 Lampe St Talbingo NSW 2720</t>
  </si>
  <si>
    <t xml:space="preserve">49 Llandaff St Bondi Junction NSW 2022</t>
  </si>
  <si>
    <t xml:space="preserve">49A Bondi Rd Bondi Junction NSW 2022</t>
  </si>
  <si>
    <t xml:space="preserve">Forster Visitor Information Centre</t>
  </si>
  <si>
    <t xml:space="preserve">4A Lake St Forster NSW 2428</t>
  </si>
  <si>
    <t xml:space="preserve">5 Broughton Rd Artarmon NSW 2064</t>
  </si>
  <si>
    <t xml:space="preserve">Bella Vista Motel</t>
  </si>
  <si>
    <t xml:space="preserve">5 Central Coast Hwy Kariong NSW 2250</t>
  </si>
  <si>
    <t xml:space="preserve">Cessnock Hospitality Group</t>
  </si>
  <si>
    <t xml:space="preserve">5 Darwin St Cessnock NSW 2325</t>
  </si>
  <si>
    <t xml:space="preserve">5 Grove St Dulwich Hill NSW 2203</t>
  </si>
  <si>
    <t xml:space="preserve">Club Charlestown</t>
  </si>
  <si>
    <t xml:space="preserve">5 Lincoln St Charlestown NSW 2290</t>
  </si>
  <si>
    <t xml:space="preserve">5 Pearson St Balmain East NSW 2041</t>
  </si>
  <si>
    <t xml:space="preserve">5 Portland St Dover Heights NSW 2030</t>
  </si>
  <si>
    <t xml:space="preserve">5 Robey St Maroubra NSW 2035</t>
  </si>
  <si>
    <t xml:space="preserve">50 Cascade St Paddington NSW 2021</t>
  </si>
  <si>
    <t xml:space="preserve">50 Chandos St Ashfield NSW 2131</t>
  </si>
  <si>
    <t xml:space="preserve">50 Cook St Randwick NSW 2031</t>
  </si>
  <si>
    <t xml:space="preserve">50 Edward St Wagga Wagga NSW 2650</t>
  </si>
  <si>
    <t xml:space="preserve">50 Nelson St Annandale NSW 2038</t>
  </si>
  <si>
    <t xml:space="preserve">50 O'Sullivan Rd Rose Bay NSW 2029</t>
  </si>
  <si>
    <t xml:space="preserve">51 Albert St Petersham NSW 2049</t>
  </si>
  <si>
    <t xml:space="preserve">Bathurst Street, Condobolin</t>
  </si>
  <si>
    <t xml:space="preserve">51 Bathurst St Condobolin NSW 2877</t>
  </si>
  <si>
    <t xml:space="preserve">West Wallsend Workers club</t>
  </si>
  <si>
    <t xml:space="preserve">51 Carrington St West Wallsend NSW 2286</t>
  </si>
  <si>
    <t xml:space="preserve">Select Inn Gosford</t>
  </si>
  <si>
    <t xml:space="preserve">512 Pacific Hwy Wyoming NSW 2250</t>
  </si>
  <si>
    <t xml:space="preserve">Happy Hallidays</t>
  </si>
  <si>
    <t xml:space="preserve">517 Blackhead Rd Hallidays Point NSW 2430</t>
  </si>
  <si>
    <t xml:space="preserve">CH Boutique Hotel</t>
  </si>
  <si>
    <t xml:space="preserve">52 Brisbane St Tamworth NSW 2340</t>
  </si>
  <si>
    <t xml:space="preserve">52 Dudley St Coogee NSW 2034</t>
  </si>
  <si>
    <t xml:space="preserve">Uralla Bowlo</t>
  </si>
  <si>
    <t xml:space="preserve">52 Hill St Uralla NSW 2358</t>
  </si>
  <si>
    <t xml:space="preserve">Uralla Shire Council</t>
  </si>
  <si>
    <t xml:space="preserve">52 Spencer St Rose Bay NSW 2029</t>
  </si>
  <si>
    <t xml:space="preserve">The Cottage Motor Inn</t>
  </si>
  <si>
    <t xml:space="preserve">523 Hume St South Albury NSW 2640</t>
  </si>
  <si>
    <t xml:space="preserve">Mantra Albury Hotel</t>
  </si>
  <si>
    <t xml:space="preserve">524 Smollett St Albury NSW 2640</t>
  </si>
  <si>
    <t xml:space="preserve">Cobargo Co-operative Society</t>
  </si>
  <si>
    <t xml:space="preserve">52-54 Princes Hwy Cobargo NSW 2550</t>
  </si>
  <si>
    <t xml:space="preserve">526 Bronte Rd Bronte NSW 2024</t>
  </si>
  <si>
    <t xml:space="preserve">528 Illawarra Rd Marrickville NSW 2204</t>
  </si>
  <si>
    <t xml:space="preserve">Cardiff Executive Apartments</t>
  </si>
  <si>
    <t xml:space="preserve">53 Macquarie Rd Cardiff NSW 2285</t>
  </si>
  <si>
    <t xml:space="preserve">53 Railway St Griffith NSW 2680</t>
  </si>
  <si>
    <t xml:space="preserve">Hamilton's Queanbeyan Motel</t>
  </si>
  <si>
    <t xml:space="preserve">53 Tharwa Rd Queanbeyan West NSW 2620</t>
  </si>
  <si>
    <t xml:space="preserve">Arcadia Wilderness Retreat</t>
  </si>
  <si>
    <t xml:space="preserve">530 Moonabung Rd Vacy NSW 2421</t>
  </si>
  <si>
    <t xml:space="preserve">Ingenia Holiday Parks - Byron Bay.</t>
  </si>
  <si>
    <t xml:space="preserve">5-37 Broken Head Rd Byron Bay NSW 2481</t>
  </si>
  <si>
    <t xml:space="preserve">54 Brown St Bronte NSW 2024</t>
  </si>
  <si>
    <t xml:space="preserve">55 Grafton St Bondi Junction NSW 2022</t>
  </si>
  <si>
    <t xml:space="preserve">55 Grove St Birchgrove NSW 2041</t>
  </si>
  <si>
    <t xml:space="preserve">551 Darling St Rozelle NSW 2039</t>
  </si>
  <si>
    <t xml:space="preserve">Ingenia Holiday Park - Middle Rock</t>
  </si>
  <si>
    <t xml:space="preserve">554 Gan Gan Rd One Mile NSW 2316</t>
  </si>
  <si>
    <t xml:space="preserve">Golden Age</t>
  </si>
  <si>
    <t xml:space="preserve">56 Macquoid St Queanbeyan East NSW 2620</t>
  </si>
  <si>
    <t xml:space="preserve">57 Mallett St Camperdown NSW 2050</t>
  </si>
  <si>
    <t xml:space="preserve">Tallawudjah Dog</t>
  </si>
  <si>
    <t xml:space="preserve">57-59 Coramba St Glenreagh NSW 2450</t>
  </si>
  <si>
    <t xml:space="preserve">58 Wharf Rd Newcastle East NSW 2300</t>
  </si>
  <si>
    <t xml:space="preserve">59 Church St Randwick NSW 2031</t>
  </si>
  <si>
    <t xml:space="preserve">THE CARRINGTON INN</t>
  </si>
  <si>
    <t xml:space="preserve">59 Ellendon St Bungendore NSW 2621</t>
  </si>
  <si>
    <t xml:space="preserve">59 Holmwood St Newtown NSW 2042</t>
  </si>
  <si>
    <t xml:space="preserve">59 Lennox St, Richmond, 2753</t>
  </si>
  <si>
    <t xml:space="preserve">Counties Ener</t>
  </si>
  <si>
    <t xml:space="preserve">59 Metropolitan Rd Enmore NSW 2042</t>
  </si>
  <si>
    <t xml:space="preserve">59 Windsor St Paddington NSW 2021</t>
  </si>
  <si>
    <t xml:space="preserve">592 Anzac Pde Kingsford NSW 2032</t>
  </si>
  <si>
    <t xml:space="preserve">6 Burt St Rozelle NSW 2039</t>
  </si>
  <si>
    <t xml:space="preserve">6 Kosciuszko Rd Jindabyne NSW 2627</t>
  </si>
  <si>
    <t xml:space="preserve">Broulee</t>
  </si>
  <si>
    <t xml:space="preserve">6 Lyttle St Broulee NSW 2537</t>
  </si>
  <si>
    <t xml:space="preserve">Buronga Midway Centre</t>
  </si>
  <si>
    <t xml:space="preserve">6 Midway Dr Buronga NSW 2739</t>
  </si>
  <si>
    <t xml:space="preserve">Cooma Motor Lodge</t>
  </si>
  <si>
    <t xml:space="preserve">6 Sharp St Cooma NSW 2630</t>
  </si>
  <si>
    <t xml:space="preserve">60-62 Amherst St Cammeray NSW 2062</t>
  </si>
  <si>
    <t xml:space="preserve">61 Broome St Maroubra NSW 2035</t>
  </si>
  <si>
    <t xml:space="preserve">The Builders Club</t>
  </si>
  <si>
    <t xml:space="preserve">61 Church St Wollongong NSW 2500</t>
  </si>
  <si>
    <t xml:space="preserve">61 Constitution Rd Dulwich Hill NSW 2203</t>
  </si>
  <si>
    <t xml:space="preserve">The Beach Rooms</t>
  </si>
  <si>
    <t xml:space="preserve">6-10 Fraser St Nambucca Heads NSW 2448</t>
  </si>
  <si>
    <t xml:space="preserve">Wentworth Civic Centre Carpark</t>
  </si>
  <si>
    <t xml:space="preserve">61-79 Darling St Wentworth NSW 2648</t>
  </si>
  <si>
    <t xml:space="preserve">618 Dean St Albury NSW 2640</t>
  </si>
  <si>
    <t xml:space="preserve">Alexander Motor inn</t>
  </si>
  <si>
    <t xml:space="preserve">62 Alice St Moree NSW 2400</t>
  </si>
  <si>
    <t xml:space="preserve">Dunghutti-Ngaku Aboriginal Art Gallery</t>
  </si>
  <si>
    <t xml:space="preserve">62-118 Lachlan St South Kempsey NSW 2440</t>
  </si>
  <si>
    <t xml:space="preserve">626 Mowbray Rd Lane Cove North NSW 2066</t>
  </si>
  <si>
    <t xml:space="preserve">Poet's Cottage</t>
  </si>
  <si>
    <t xml:space="preserve">63 Valley Rd Wentworth Falls NSW 2782</t>
  </si>
  <si>
    <t xml:space="preserve">63 Wild St Maroubra NSW 2035</t>
  </si>
  <si>
    <t xml:space="preserve">64 Coogee Bay Rd Randwick NSW 2031</t>
  </si>
  <si>
    <t xml:space="preserve">The Convent Hunter Valley Hotel</t>
  </si>
  <si>
    <t xml:space="preserve">64 Halls Rd Pokolbin NSW 2320</t>
  </si>
  <si>
    <t xml:space="preserve">64 Kensington Rd Summer Hill NSW 2130</t>
  </si>
  <si>
    <t xml:space="preserve">64-106 Mallett St, Camperdown, NSW, 2050</t>
  </si>
  <si>
    <t xml:space="preserve">642 Mowbray Rd Lane Cove North NSW 2066</t>
  </si>
  <si>
    <t xml:space="preserve">65 Booth St Annandale NSW 2038</t>
  </si>
  <si>
    <t xml:space="preserve">65 Elizabeth St Paddington NSW 2021</t>
  </si>
  <si>
    <t xml:space="preserve">65 Hume St Crows Nest NSW 2065</t>
  </si>
  <si>
    <t xml:space="preserve">66 Dover Rd Rose Bay NSW 2029</t>
  </si>
  <si>
    <t xml:space="preserve">The Commercial Hotel Wallerawang</t>
  </si>
  <si>
    <t xml:space="preserve">66 Main St Wallerawang NSW 2845</t>
  </si>
  <si>
    <t xml:space="preserve">66 Mill Hill Rd Bondi Junction NSW 2022</t>
  </si>
  <si>
    <t xml:space="preserve">67 Boomerang St Haberfield NSW 2045</t>
  </si>
  <si>
    <t xml:space="preserve">67 John St Leichhardt NSW 2040</t>
  </si>
  <si>
    <t xml:space="preserve">67 Lilyfield Rd Rozelle NSW 2039</t>
  </si>
  <si>
    <t xml:space="preserve">Bulahdelah Motor Lodge</t>
  </si>
  <si>
    <t xml:space="preserve">67-71 Bulahdelah Way Bulahdelah NSW 2423</t>
  </si>
  <si>
    <t xml:space="preserve">Woomargama Village Hotel Motel</t>
  </si>
  <si>
    <t xml:space="preserve">679 Woomargama Way Woomargama NSW 2644</t>
  </si>
  <si>
    <t xml:space="preserve">Deniliquin Country Club Motor Inn</t>
  </si>
  <si>
    <t xml:space="preserve">68 Crispe St Deniliquin NSW 2710</t>
  </si>
  <si>
    <t xml:space="preserve">68 Lead St, Yass NSW 2582</t>
  </si>
  <si>
    <t xml:space="preserve">Maranda Country Estate</t>
  </si>
  <si>
    <t xml:space="preserve">68 Wollombi St Broke NSW 2330</t>
  </si>
  <si>
    <t xml:space="preserve">69 Bay St Double Bay NSW 2028</t>
  </si>
  <si>
    <t xml:space="preserve">Glenworth Valley Outdoor Adventures</t>
  </si>
  <si>
    <t xml:space="preserve">69 Cooks Rd Glenworth Valley NSW 2250</t>
  </si>
  <si>
    <t xml:space="preserve">69 St Marks Rd Randwick NSW 2031</t>
  </si>
  <si>
    <t xml:space="preserve">Cael's Gate Wines</t>
  </si>
  <si>
    <t xml:space="preserve">697 Wollombi Rd Broke NSW 2330</t>
  </si>
  <si>
    <t xml:space="preserve">Park Proxi Gibraltar Bowral</t>
  </si>
  <si>
    <t xml:space="preserve">7 Boronia St Bowral NSW 2576</t>
  </si>
  <si>
    <t xml:space="preserve">7 Collingwood St Bronte NSW 2024</t>
  </si>
  <si>
    <t xml:space="preserve">7 Holmwood St Newtown NSW 2042</t>
  </si>
  <si>
    <t xml:space="preserve">7 Jersey Rd Woollahra NSW 2025</t>
  </si>
  <si>
    <t xml:space="preserve">Wanderers Retreat</t>
  </si>
  <si>
    <t xml:space="preserve">7 Koala Pl One Mile NSW 2316</t>
  </si>
  <si>
    <t xml:space="preserve">Gosford Palms Motor Inn</t>
  </si>
  <si>
    <t xml:space="preserve">7 Moore St West Gosford NSW 2250</t>
  </si>
  <si>
    <t xml:space="preserve">7 Northwood Rd, Longueville NSW 2066</t>
  </si>
  <si>
    <t xml:space="preserve">7 Poynton Pl Thornton NSW 2322</t>
  </si>
  <si>
    <t xml:space="preserve">ZIG ZAG MOTEL</t>
  </si>
  <si>
    <t xml:space="preserve">70 Chifley Rd Vale of Clwydd NSW 2790</t>
  </si>
  <si>
    <t xml:space="preserve">70 Lower Gibbes St Chatswood NSW 2067</t>
  </si>
  <si>
    <t xml:space="preserve">Byron Shire Council Administration Building Public Carpark</t>
  </si>
  <si>
    <t xml:space="preserve">70 Station St Mullumbimby NSW 2482</t>
  </si>
  <si>
    <t xml:space="preserve">Gartelmann Wines</t>
  </si>
  <si>
    <t xml:space="preserve">701 Lovedale Rd Lovedale NSW 2325</t>
  </si>
  <si>
    <t xml:space="preserve">7-11 Old Hume Hwy Mittagong NSW 2575</t>
  </si>
  <si>
    <t xml:space="preserve">Deniliquin RSL Club Ltd</t>
  </si>
  <si>
    <t xml:space="preserve">72 End St Deniliquin NSW 2710</t>
  </si>
  <si>
    <t xml:space="preserve">Hall St Carpark - Warialda</t>
  </si>
  <si>
    <t xml:space="preserve">72 Hope St Warialda NSW 2402</t>
  </si>
  <si>
    <t xml:space="preserve">72 Lachlan St Hay NSW 2711</t>
  </si>
  <si>
    <t xml:space="preserve">72 Watt St Newcastle NSW 2300</t>
  </si>
  <si>
    <t xml:space="preserve">726 Bourke St Redfern NSW 2016</t>
  </si>
  <si>
    <t xml:space="preserve">73 Louee St Rylstone NSW 2849</t>
  </si>
  <si>
    <t xml:space="preserve">Bermagui Fishermen's Co-Operative</t>
  </si>
  <si>
    <t xml:space="preserve">73-79 Lamont St Bermagui NSW 2546</t>
  </si>
  <si>
    <t xml:space="preserve">75 Corunna Rd Stanmore NSW 2048</t>
  </si>
  <si>
    <t xml:space="preserve">75 Park Rd Naremburn NSW 2065</t>
  </si>
  <si>
    <t xml:space="preserve">Tumut Riverina Highlands Building Public Car Park</t>
  </si>
  <si>
    <t xml:space="preserve">76 Capper St Tumut NSW 2720</t>
  </si>
  <si>
    <t xml:space="preserve">76 Ford St Ganmain NSW 2702</t>
  </si>
  <si>
    <t xml:space="preserve">Palms Oasis Motel Coopernook</t>
  </si>
  <si>
    <t xml:space="preserve">76 George Gibson Dr Coopernook NSW 2426</t>
  </si>
  <si>
    <t xml:space="preserve">76 Glossop St, North St Marys NSW 2760</t>
  </si>
  <si>
    <t xml:space="preserve">Latitude 32 Cellar Door</t>
  </si>
  <si>
    <t xml:space="preserve">771 Hermitage Rd Pokolbin NSW 2320</t>
  </si>
  <si>
    <t xml:space="preserve">Highlands Motor Inn</t>
  </si>
  <si>
    <t xml:space="preserve">77-79 Dart St Oberon NSW 2787</t>
  </si>
  <si>
    <t xml:space="preserve">Jervis Bay Holiday Park</t>
  </si>
  <si>
    <t xml:space="preserve">785 Woollamia Rd Woollamia NSW 2540</t>
  </si>
  <si>
    <t xml:space="preserve">Esca Bimbadgen</t>
  </si>
  <si>
    <t xml:space="preserve">790 McDonalds Rd Pokolbin NSW 2320</t>
  </si>
  <si>
    <t xml:space="preserve">8 Belmore St Enmore NSW 2042</t>
  </si>
  <si>
    <t xml:space="preserve">8 Eastbourne Ave Clovelly NSW 2031</t>
  </si>
  <si>
    <t xml:space="preserve">8 Federation Rd Camperdown NSW 2050</t>
  </si>
  <si>
    <t xml:space="preserve">8 Harris St Wallsend NSW 2287</t>
  </si>
  <si>
    <t xml:space="preserve">8 Holtermann St Crows Nest NSW 2065</t>
  </si>
  <si>
    <t xml:space="preserve">Acacia Snowy Motel</t>
  </si>
  <si>
    <t xml:space="preserve">8 Nettin Cct Jindabyne NSW 2627</t>
  </si>
  <si>
    <t xml:space="preserve">80 Victoria Rd Marrickville NSW 2204</t>
  </si>
  <si>
    <t xml:space="preserve">Camellia Motel</t>
  </si>
  <si>
    <t xml:space="preserve">80 Whitton St Narrandera NSW 2700</t>
  </si>
  <si>
    <t xml:space="preserve">801-899R Bunnerong Rd Chifley NSW 2036</t>
  </si>
  <si>
    <t xml:space="preserve">Vacy Rest Stop</t>
  </si>
  <si>
    <t xml:space="preserve">804 Gresford Rd Vacy NSW 2421</t>
  </si>
  <si>
    <t xml:space="preserve">81 De Vitre St Lambton NSW 2299</t>
  </si>
  <si>
    <t xml:space="preserve">Cootamundra Library Car Park</t>
  </si>
  <si>
    <t xml:space="preserve">81 Wallendoon St Cootamundra NSW 2590</t>
  </si>
  <si>
    <t xml:space="preserve">8-12 Bega St Tathra NSW 2550</t>
  </si>
  <si>
    <t xml:space="preserve">Singleton Diggers - Alroy Park Club</t>
  </si>
  <si>
    <t xml:space="preserve">8-14 Dorsman Dr Singleton Heights NSW 2330</t>
  </si>
  <si>
    <t xml:space="preserve">82 Summer St Orange NSW 2800</t>
  </si>
  <si>
    <t xml:space="preserve">The Charles Boutique Hotel &amp; Dining</t>
  </si>
  <si>
    <t xml:space="preserve">82 Tarcutta St Wagga Wagga NSW 2650</t>
  </si>
  <si>
    <t xml:space="preserve">8275 Pacific Hwy, New Italy NSW 2472</t>
  </si>
  <si>
    <t xml:space="preserve">The Civic</t>
  </si>
  <si>
    <t xml:space="preserve">83 Chandos St Gunnedah NSW 2380</t>
  </si>
  <si>
    <t xml:space="preserve">83 Macquarie Rd Springwood NSW 2777</t>
  </si>
  <si>
    <t xml:space="preserve">Albury Showground</t>
  </si>
  <si>
    <t xml:space="preserve">836 Mate St North Albury NSW 2640</t>
  </si>
  <si>
    <t xml:space="preserve">84 Frenchmans Rd Randwick NSW 2031</t>
  </si>
  <si>
    <t xml:space="preserve">Lovedale Wedding Chapel and Reception</t>
  </si>
  <si>
    <t xml:space="preserve">842 Lovedale Rd Allandale NSW 2320</t>
  </si>
  <si>
    <t xml:space="preserve">85 Cowper St Randwick NSW 2031</t>
  </si>
  <si>
    <t xml:space="preserve">85 Denison St Bondi Junction NSW 2022</t>
  </si>
  <si>
    <t xml:space="preserve">85 South St, Ulladulla NSW 2539</t>
  </si>
  <si>
    <t xml:space="preserve">850 Woodville Rd, Villawood 2163, NSW</t>
  </si>
  <si>
    <t xml:space="preserve">Sponars Chalet</t>
  </si>
  <si>
    <t xml:space="preserve">8568 Kosciuszko Rd Wilsons Valley NSW 2624</t>
  </si>
  <si>
    <t xml:space="preserve">86 Elswick St Leichhardt NSW 2040</t>
  </si>
  <si>
    <t xml:space="preserve">Lake Canobolas</t>
  </si>
  <si>
    <t xml:space="preserve">87 Lake Canobolas Rd Nashdale NSW 2800</t>
  </si>
  <si>
    <t xml:space="preserve">872 Anzac Pde, Maroubra, NSW, 2035</t>
  </si>
  <si>
    <t xml:space="preserve">88 Terry St Tempe NSW 2044</t>
  </si>
  <si>
    <t xml:space="preserve">88-120 Clovelly Rd Randwick NSW 2031</t>
  </si>
  <si>
    <t xml:space="preserve">89 Curlewis St Bondi Beach NSW 2026</t>
  </si>
  <si>
    <t xml:space="preserve">9 Ascot St Kensington NSW 2033</t>
  </si>
  <si>
    <t xml:space="preserve">9 Fort St Petersham NSW 2049</t>
  </si>
  <si>
    <t xml:space="preserve">Mantra on Salt Beach</t>
  </si>
  <si>
    <t xml:space="preserve">9 Gunnamatta Ave Kingscliff NSW 2487</t>
  </si>
  <si>
    <t xml:space="preserve">Toronto Workers Club</t>
  </si>
  <si>
    <t xml:space="preserve">9 James St Toronto NSW 2283</t>
  </si>
  <si>
    <t xml:space="preserve">9 Nicholson St Balmain East NSW 2041</t>
  </si>
  <si>
    <t xml:space="preserve">Tura Garden Centre</t>
  </si>
  <si>
    <t xml:space="preserve">9 Tura Beach Dr Tura Beach NSW 2548</t>
  </si>
  <si>
    <t xml:space="preserve">9 Vickery Ave Rose Bay NSW 2029</t>
  </si>
  <si>
    <t xml:space="preserve">90 Boundary St Paddington NSW 2021</t>
  </si>
  <si>
    <t xml:space="preserve">90 Market St Mudgee NSW 2850</t>
  </si>
  <si>
    <t xml:space="preserve">90 Rowntree St Birchgrove NSW 2041</t>
  </si>
  <si>
    <t xml:space="preserve">91 Annandale St Annandale NSW 2038</t>
  </si>
  <si>
    <t xml:space="preserve">Cousins Motor Inn</t>
  </si>
  <si>
    <t xml:space="preserve">9-11 Glen Innes Rd Inverell NSW 2360</t>
  </si>
  <si>
    <t xml:space="preserve">9-11 Layton St Camperdown NSW 2050</t>
  </si>
  <si>
    <t xml:space="preserve">9-17 Short St, Parkes NSW 2870</t>
  </si>
  <si>
    <t xml:space="preserve">924 Anzac Pde Maroubra NSW 2035</t>
  </si>
  <si>
    <t xml:space="preserve">Ingenia Holiday Parks - Wagga Wagga</t>
  </si>
  <si>
    <t xml:space="preserve">93 Hammond Ave Wagga Wagga NSW 2650</t>
  </si>
  <si>
    <t xml:space="preserve">93 Metropolitan Rd Enmore NSW 2042</t>
  </si>
  <si>
    <t xml:space="preserve">Ulan Village Green</t>
  </si>
  <si>
    <t xml:space="preserve">94 Main St Ulan NSW 2850</t>
  </si>
  <si>
    <t xml:space="preserve">Osborn House</t>
  </si>
  <si>
    <t xml:space="preserve">96 Osborn Ave Bundanoon NSW 2578</t>
  </si>
  <si>
    <t xml:space="preserve">96A Dudley St Coogee NSW 2034</t>
  </si>
  <si>
    <t xml:space="preserve">97 Cascade St Paddington NSW 2021</t>
  </si>
  <si>
    <t xml:space="preserve">Hermitage Road</t>
  </si>
  <si>
    <t xml:space="preserve">972 Hermitage Rd Pokolbin NSW 2320</t>
  </si>
  <si>
    <t xml:space="preserve">Pioneer Country</t>
  </si>
  <si>
    <t xml:space="preserve">98 Fraser Dr Tweed Heads South NSW 2486</t>
  </si>
  <si>
    <t xml:space="preserve">Hotel Metropole</t>
  </si>
  <si>
    <t xml:space="preserve">98 Keen St Lismore NSW 2480</t>
  </si>
  <si>
    <t xml:space="preserve">98 Rowntree St Birchgrove NSW 2041</t>
  </si>
  <si>
    <t xml:space="preserve">Dungowan</t>
  </si>
  <si>
    <t xml:space="preserve">99 Naval Pde Erowal Bay NSW 2540</t>
  </si>
  <si>
    <t xml:space="preserve">99 Percy St Wellington NSW 2820</t>
  </si>
  <si>
    <t xml:space="preserve">Eastcoast Beverages</t>
  </si>
  <si>
    <t xml:space="preserve">993 George Downes Dr Kulnura NSW 2250</t>
  </si>
  <si>
    <t xml:space="preserve">EAST MAITLAND BOWLING CLUB.</t>
  </si>
  <si>
    <t xml:space="preserve">Banks St East Maitland NSW 2323</t>
  </si>
  <si>
    <t xml:space="preserve">Birmingham St, Sydney, 2015</t>
  </si>
  <si>
    <t xml:space="preserve">Bombah Point Rd Bulahdelah NSW 2423</t>
  </si>
  <si>
    <t xml:space="preserve">Brewer St Concord NSW 2137</t>
  </si>
  <si>
    <t xml:space="preserve">City Of Canada Bay Council</t>
  </si>
  <si>
    <t xml:space="preserve">Brolga Pl Coleambally NSW 2707</t>
  </si>
  <si>
    <t xml:space="preserve">Budden St Rockley NSW 2795</t>
  </si>
  <si>
    <t xml:space="preserve">War Memorial Hall, Tottenham</t>
  </si>
  <si>
    <t xml:space="preserve">Bulbodney St Tottenham NSW 2873</t>
  </si>
  <si>
    <t xml:space="preserve">Berrigan Shire</t>
  </si>
  <si>
    <t xml:space="preserve">Burkinshaw St Barooga NSW 3644</t>
  </si>
  <si>
    <t xml:space="preserve">Caves Rd Mitchell Highway Wellington NSW 2820</t>
  </si>
  <si>
    <t xml:space="preserve">Clarence St Tabulam NSW 2469</t>
  </si>
  <si>
    <t xml:space="preserve">Cnr Cumberland Hwy &amp; Cabramatta Rd W, Cabramatta NSW 2166</t>
  </si>
  <si>
    <t xml:space="preserve">Goolgowi Caravan Park</t>
  </si>
  <si>
    <t xml:space="preserve">Combo St Goolgowi NSW 2652</t>
  </si>
  <si>
    <t xml:space="preserve">Corner Sturgeon St &amp; Glenelg St Raymond Terrace NSW 2324</t>
  </si>
  <si>
    <t xml:space="preserve">Cressy St Deniliquin NSW 2710</t>
  </si>
  <si>
    <t xml:space="preserve">Wallendbeen Park Farm</t>
  </si>
  <si>
    <t xml:space="preserve">Cullinga Rd Wallendbeen NSW 2588</t>
  </si>
  <si>
    <t xml:space="preserve">Cygnet Ave Shellharbour City Centre NSW 2529</t>
  </si>
  <si>
    <t xml:space="preserve">Currabubula Recreation Grounds</t>
  </si>
  <si>
    <t xml:space="preserve">Davis St Currabubula NSW 2342</t>
  </si>
  <si>
    <t xml:space="preserve">Early Start Discovery Space</t>
  </si>
  <si>
    <t xml:space="preserve">Early Start Discovery Space (Building 21) University of Wollongong Northfields Ave Wollongong NSW 2522</t>
  </si>
  <si>
    <t xml:space="preserve">Evans St Randwick NSW 2031</t>
  </si>
  <si>
    <t xml:space="preserve">Forbes St Grenfell NSW 2810</t>
  </si>
  <si>
    <t xml:space="preserve">Port Kembla Golf Club</t>
  </si>
  <si>
    <t xml:space="preserve">Golf Pl Primbee NSW 2502</t>
  </si>
  <si>
    <t xml:space="preserve">Ingenia Holiday Parks - South West Rocks.</t>
  </si>
  <si>
    <t xml:space="preserve">Gordon Young Dr South West Rocks NSW 2431</t>
  </si>
  <si>
    <t xml:space="preserve">Club Lemon Tree</t>
  </si>
  <si>
    <t xml:space="preserve">Gould Dr Lemon Tree Passage NSW 2319</t>
  </si>
  <si>
    <t xml:space="preserve">Gouldsbury St Mosman NSW 2088</t>
  </si>
  <si>
    <t xml:space="preserve">Ripples on the Creek</t>
  </si>
  <si>
    <t xml:space="preserve">Gradys Creek Rd Gradys Creek NSW 2474</t>
  </si>
  <si>
    <t xml:space="preserve">Green St Lockhart NSW 2656</t>
  </si>
  <si>
    <t xml:space="preserve">Wests Illawarra</t>
  </si>
  <si>
    <t xml:space="preserve">Hargreaves St Unanderra NSW 2526</t>
  </si>
  <si>
    <t xml:space="preserve">Hill St Muswellbrook NSW 2333</t>
  </si>
  <si>
    <t xml:space="preserve">Hope St, Blaxland NSW 2774</t>
  </si>
  <si>
    <t xml:space="preserve">Jessie St, Armidale NSW 2350</t>
  </si>
  <si>
    <t xml:space="preserve">Twin Towns Services Club Limited</t>
  </si>
  <si>
    <t xml:space="preserve">Leisure Dr Banora Point NSW 2486</t>
  </si>
  <si>
    <t xml:space="preserve">Loughnan St Coolamon NSW 2701</t>
  </si>
  <si>
    <t xml:space="preserve">Moree and District Services Club</t>
  </si>
  <si>
    <t xml:space="preserve">Morton St Moree NSW 2400</t>
  </si>
  <si>
    <t xml:space="preserve">Gerringong Bowlo</t>
  </si>
  <si>
    <t xml:space="preserve">Pacific Ave Gerringong NSW 2534</t>
  </si>
  <si>
    <t xml:space="preserve">Park Rd Speers Point NSW 2284</t>
  </si>
  <si>
    <t xml:space="preserve">Wagga Wagga Country Club</t>
  </si>
  <si>
    <t xml:space="preserve">Plumpton Rd Kooringal NSW 2650</t>
  </si>
  <si>
    <t xml:space="preserve">Queens Rd Five Dock NSW 2046</t>
  </si>
  <si>
    <t xml:space="preserve">Riverglade Caravan Park</t>
  </si>
  <si>
    <t xml:space="preserve">Riverglade Caravan Park 2 Fitzroy St Tumut NSW 2720</t>
  </si>
  <si>
    <t xml:space="preserve">UOW Science Space</t>
  </si>
  <si>
    <t xml:space="preserve">Squires Way North Wollongong NSW 2500</t>
  </si>
  <si>
    <t xml:space="preserve">Thornton Library</t>
  </si>
  <si>
    <t xml:space="preserve">Thornton Library Taylor Avenue Thornton NSW 2322</t>
  </si>
  <si>
    <t xml:space="preserve">Rich River Golf Club</t>
  </si>
  <si>
    <t xml:space="preserve">Twenty Four Ln Moama NSW 2731</t>
  </si>
  <si>
    <t xml:space="preserve">Tumbarumba Overnight Camper Parking</t>
  </si>
  <si>
    <t xml:space="preserve">Union Ln Tumbarumba NSW 2653</t>
  </si>
  <si>
    <t xml:space="preserve">Adelong Golden Gully Carpark</t>
  </si>
  <si>
    <t xml:space="preserve">Victoria Hill Rd Adelong NSW 2729</t>
  </si>
  <si>
    <t xml:space="preserve">The Old Bakery Guesthouse</t>
  </si>
  <si>
    <t xml:space="preserve">Whitton St Harden NSW 2587</t>
  </si>
  <si>
    <t xml:space="preserve">Whylandra St Dubbo NSW 2830</t>
  </si>
  <si>
    <t xml:space="preserve">Wilson St The Rock NSW 2655</t>
  </si>
  <si>
    <t xml:space="preserve">Woodriff St, Sydney, 2750</t>
  </si>
  <si>
    <t xml:space="preserve">Bridges Hill Park</t>
  </si>
  <si>
    <t xml:space="preserve">Yango St Cessnock NSW 2325</t>
  </si>
  <si>
    <t xml:space="preserve">Tathra Beach Country Club</t>
  </si>
  <si>
    <t xml:space="preserve">1 Andy Poole Dr Tathra NSW 2550</t>
  </si>
  <si>
    <t xml:space="preserve">1 Baird St Tuncurry NSW 2428</t>
  </si>
  <si>
    <t xml:space="preserve">Narooma Golf Club</t>
  </si>
  <si>
    <t xml:space="preserve">1 Ballingalla St Narooma NSW 2546</t>
  </si>
  <si>
    <t xml:space="preserve">1 Banyandah St South Durras NSW 2536</t>
  </si>
  <si>
    <t xml:space="preserve">Moama Riverside &amp; Tourist Holiday Park</t>
  </si>
  <si>
    <t xml:space="preserve">1 Cobb Hwy Moama NSW 2731</t>
  </si>
  <si>
    <t xml:space="preserve">Barham Bridge Motor Inn</t>
  </si>
  <si>
    <t xml:space="preserve">1 Cobwell St Barham NSW 2732</t>
  </si>
  <si>
    <t xml:space="preserve">1 Darley Rd Randwick NSW 2031</t>
  </si>
  <si>
    <t xml:space="preserve">1 Denison St Rozelle NSW 2039</t>
  </si>
  <si>
    <t xml:space="preserve">1 Dobinson Dr Swansea NSW 2281</t>
  </si>
  <si>
    <t xml:space="preserve">1 Ewell St Bondi NSW 2026</t>
  </si>
  <si>
    <t xml:space="preserve">Visitor Information Centre, Lake Cargelligo</t>
  </si>
  <si>
    <t xml:space="preserve">1 Foster St Lake Cargelligo NSW 2672</t>
  </si>
  <si>
    <t xml:space="preserve">Deni Golf Resort</t>
  </si>
  <si>
    <t xml:space="preserve">1 Golf Club Rd Deniliquin NSW 2710</t>
  </si>
  <si>
    <t xml:space="preserve">Yarrawonga Mulwala Golf Club Resort</t>
  </si>
  <si>
    <t xml:space="preserve">1 Golf Club Rd Mulwala NSW 2647</t>
  </si>
  <si>
    <t xml:space="preserve">1 Greenwood Ave South Coogee NSW 2034</t>
  </si>
  <si>
    <t xml:space="preserve">'"Lawson Street North" Public Carpark - Byron Bay</t>
  </si>
  <si>
    <t xml:space="preserve">1 Jonson St Byron Bay NSW 2481</t>
  </si>
  <si>
    <t xml:space="preserve">1 Kendall Ave, Bathurst , 2795</t>
  </si>
  <si>
    <t xml:space="preserve">1 Mears Ave Randwick NSW 2031</t>
  </si>
  <si>
    <t xml:space="preserve">1 Munster St Port Macquarie NSW 2444</t>
  </si>
  <si>
    <t xml:space="preserve">Motel Miramar</t>
  </si>
  <si>
    <t xml:space="preserve">1 Nelson St Nambucca Heads NSW 2448</t>
  </si>
  <si>
    <t xml:space="preserve">Alpine Resort Motel</t>
  </si>
  <si>
    <t xml:space="preserve">1 Nettin Cct Jindabyne NSW 2627</t>
  </si>
  <si>
    <t xml:space="preserve">Ingenia Holiday Parks - Lake Conjola</t>
  </si>
  <si>
    <t xml:space="preserve">1 Norman St Lake Conjola NSW 2539</t>
  </si>
  <si>
    <t xml:space="preserve">1 North Rocks Rd, Sydney, 2151</t>
  </si>
  <si>
    <t xml:space="preserve">1 Post Office Ln Crackenback NSW 2627</t>
  </si>
  <si>
    <t xml:space="preserve">Archys on the Lake</t>
  </si>
  <si>
    <t xml:space="preserve">1 Princess Ave Burrill Lake NSW 2539</t>
  </si>
  <si>
    <t xml:space="preserve">1 Rich St Marrickville NSW 2204</t>
  </si>
  <si>
    <t xml:space="preserve">1 Sandy Bay Rd Clontarf NSW 2093</t>
  </si>
  <si>
    <t xml:space="preserve">The Arabella North Coast</t>
  </si>
  <si>
    <t xml:space="preserve">1 Smiths Ln Wollongbar NSW 2477</t>
  </si>
  <si>
    <t xml:space="preserve">1 Station St Petersham NSW 2049</t>
  </si>
  <si>
    <t xml:space="preserve">Club Catalina</t>
  </si>
  <si>
    <t xml:space="preserve">1 Stilling St Rathmines NSW 2283</t>
  </si>
  <si>
    <t xml:space="preserve">Clairfield Hotel</t>
  </si>
  <si>
    <t xml:space="preserve">1 Sydney Rd Mudgee NSW 2850</t>
  </si>
  <si>
    <t xml:space="preserve">1 Tasman Rd, Gumly Gumly NSW 2652</t>
  </si>
  <si>
    <t xml:space="preserve">Nelson Bay Breeze Holiday Apartments</t>
  </si>
  <si>
    <t xml:space="preserve">1 Trafalgar St Nelson Bay NSW 2315</t>
  </si>
  <si>
    <t xml:space="preserve">1 Unumgar St Woodenbong NSW 2476</t>
  </si>
  <si>
    <t xml:space="preserve">1 York Rd Bondi Junction NSW 2022</t>
  </si>
  <si>
    <t xml:space="preserve">1/118 Bourke Rd, Alexandria NSW 2015</t>
  </si>
  <si>
    <t xml:space="preserve">10 Isabel Ave Vaucluse NSW 2030</t>
  </si>
  <si>
    <t xml:space="preserve">10 Lenox St Beresfield NSW 2322</t>
  </si>
  <si>
    <t xml:space="preserve">10 Morrow St Wagga Wagga NSW 2650</t>
  </si>
  <si>
    <t xml:space="preserve">Holbrook Motel</t>
  </si>
  <si>
    <t xml:space="preserve">10 Sydney Rd Holbrook NSW 2644</t>
  </si>
  <si>
    <t xml:space="preserve">100 Constitution Rd Dulwich Hill NSW 2203</t>
  </si>
  <si>
    <t xml:space="preserve">Winning Post Hotel</t>
  </si>
  <si>
    <t xml:space="preserve">101 Church St Mudgee NSW 2850</t>
  </si>
  <si>
    <t xml:space="preserve">102 Corowa Rd Mulwala NSW 2647</t>
  </si>
  <si>
    <t xml:space="preserve">103 Denison St Rozelle NSW 2039</t>
  </si>
  <si>
    <t xml:space="preserve">103 Ebley St Bondi Junction NSW 2022</t>
  </si>
  <si>
    <t xml:space="preserve">Cantrill Organics</t>
  </si>
  <si>
    <t xml:space="preserve">103 Old Canobolas Rd Nashdale NSW 2800</t>
  </si>
  <si>
    <t xml:space="preserve">Alchemy Charg</t>
  </si>
  <si>
    <t xml:space="preserve">Cadman Motor Inn and Apartments</t>
  </si>
  <si>
    <t xml:space="preserve">103-111 Ebsworth St West Tamworth NSW 2340</t>
  </si>
  <si>
    <t xml:space="preserve">4 Salisbury Rd Kensington NSW 2033</t>
  </si>
  <si>
    <t xml:space="preserve">104 Botany St Kingsford NSW 2032</t>
  </si>
  <si>
    <t xml:space="preserve">104 Mill Hill Rd Bondi Junction NSW 2022</t>
  </si>
  <si>
    <t xml:space="preserve">105-107 Alt St Ashfield NSW 2131</t>
  </si>
  <si>
    <t xml:space="preserve">Pender Lea Chalets</t>
  </si>
  <si>
    <t xml:space="preserve">1056 Alpine Way Crackenback NSW 2627</t>
  </si>
  <si>
    <t xml:space="preserve">106 Parraween St Cremorne NSW 2090</t>
  </si>
  <si>
    <t xml:space="preserve">The Sampson - Orange</t>
  </si>
  <si>
    <t xml:space="preserve">106 Sampson St Orange NSW 2800</t>
  </si>
  <si>
    <t xml:space="preserve">1064 Cargo Rd Lidster NSW 2800</t>
  </si>
  <si>
    <t xml:space="preserve">108 Herbert St Gulgong NSW 2852</t>
  </si>
  <si>
    <t xml:space="preserve">109 Green St Lockhart NSW 2656</t>
  </si>
  <si>
    <t xml:space="preserve">Young Federation Motor Inn</t>
  </si>
  <si>
    <t xml:space="preserve">109 Main St Young NSW 2594</t>
  </si>
  <si>
    <t xml:space="preserve">11 Beaumond Ave Maroubra NSW 2035</t>
  </si>
  <si>
    <t xml:space="preserve">11 Duxford St Paddington NSW 2021</t>
  </si>
  <si>
    <t xml:space="preserve">11 Fowler St Camperdown NSW 2050</t>
  </si>
  <si>
    <t xml:space="preserve">Mollymook Shores Hotel</t>
  </si>
  <si>
    <t xml:space="preserve">11 Golf Ave Mollymook NSW 2539</t>
  </si>
  <si>
    <t xml:space="preserve">Matador Motor Inn</t>
  </si>
  <si>
    <t xml:space="preserve">11 Grafton St Coffs Harbour NSW 2450</t>
  </si>
  <si>
    <t xml:space="preserve">Hotel Etico Australia</t>
  </si>
  <si>
    <t xml:space="preserve">11 Montgomery St Mount Victoria NSW 2786</t>
  </si>
  <si>
    <t xml:space="preserve">Liverpool Plains Visitor Information Centre</t>
  </si>
  <si>
    <t xml:space="preserve">11 New England Hwy Willow Tree NSW 2339</t>
  </si>
  <si>
    <t xml:space="preserve">Pro Shop Car Park</t>
  </si>
  <si>
    <t xml:space="preserve">11 Paradise Beach Rd Sanctuary Point NSW 2540</t>
  </si>
  <si>
    <t xml:space="preserve">110 Beach St Coogee NSW 2034</t>
  </si>
  <si>
    <t xml:space="preserve">110 Reserve Rd Artarmon NSW 2064</t>
  </si>
  <si>
    <t xml:space="preserve">Starline Alpacas Farmstay</t>
  </si>
  <si>
    <t xml:space="preserve">1100 Milbrodale Rd Broke NSW 2330</t>
  </si>
  <si>
    <t xml:space="preserve">Basalt Orange</t>
  </si>
  <si>
    <t xml:space="preserve">1100 Pinnacle Rd Canobolas NSW 2800</t>
  </si>
  <si>
    <t xml:space="preserve">111 Duncan St Maroubra NSW 2035</t>
  </si>
  <si>
    <t xml:space="preserve">Solomon Inn</t>
  </si>
  <si>
    <t xml:space="preserve">111 Princes Hwy Figtree NSW 2525</t>
  </si>
  <si>
    <t xml:space="preserve">Titania Motel</t>
  </si>
  <si>
    <t xml:space="preserve">11-13 Tarana Cres Oberon NSW 2787</t>
  </si>
  <si>
    <t xml:space="preserve">Metropole Guest House</t>
  </si>
  <si>
    <t xml:space="preserve">11-15 Gang Gang St Katoomba NSW 2780</t>
  </si>
  <si>
    <t xml:space="preserve">South Tamworth Bowling Club</t>
  </si>
  <si>
    <t xml:space="preserve">11-23 Margaret St South Tamworth NSW 2340</t>
  </si>
  <si>
    <t xml:space="preserve">112A Burton St Darlinghurst NSW 2010</t>
  </si>
  <si>
    <t xml:space="preserve">Bega Showground</t>
  </si>
  <si>
    <t xml:space="preserve">1-13 Upper St Bega NSW 2550</t>
  </si>
  <si>
    <t xml:space="preserve">117 Tibbereena St Narrabri NSW 2390</t>
  </si>
  <si>
    <t xml:space="preserve">118 Nelson St Annandale NSW 2038</t>
  </si>
  <si>
    <t xml:space="preserve">1-19 Dora St Mayfield NSW 2304</t>
  </si>
  <si>
    <t xml:space="preserve">Jack McLaughlin Oval - Edgeworth Sporting Complex</t>
  </si>
  <si>
    <t xml:space="preserve">11B Park St Edgeworth NSW 2285</t>
  </si>
  <si>
    <t xml:space="preserve">Small Acres Cyder</t>
  </si>
  <si>
    <t xml:space="preserve">12 Akhurst Rd Nashdale NSW 2800</t>
  </si>
  <si>
    <t xml:space="preserve">12 Boundary St Croydon NSW 2132</t>
  </si>
  <si>
    <t xml:space="preserve">12 Brown St Bronte NSW 2024</t>
  </si>
  <si>
    <t xml:space="preserve">12 Frederick St St Leonards NSW 2065</t>
  </si>
  <si>
    <t xml:space="preserve">12 Hipwood St Kirribilli NSW 2061</t>
  </si>
  <si>
    <t xml:space="preserve">12 Mingara Rd Tumbi Umbi NSW 2261</t>
  </si>
  <si>
    <t xml:space="preserve">12 Wilberforce Ave Rose Bay NSW 2029</t>
  </si>
  <si>
    <t xml:space="preserve">120 Marine Pde Maroubra NSW 2035</t>
  </si>
  <si>
    <t xml:space="preserve">121 Todman Ave Kensington NSW 2033</t>
  </si>
  <si>
    <t xml:space="preserve">12-14 Glen St Marrickville NSW 2204</t>
  </si>
  <si>
    <t xml:space="preserve">1215 Anzac Pde, Matraville, NSW, 2036</t>
  </si>
  <si>
    <t xml:space="preserve">The Wool Store</t>
  </si>
  <si>
    <t xml:space="preserve">121A Keppel St Bathurst NSW 2795</t>
  </si>
  <si>
    <t xml:space="preserve">Ingenia Holiday Parks - Soldiers Point.</t>
  </si>
  <si>
    <t xml:space="preserve">122 Soldiers Point Rd Soldiers Point NSW 2317</t>
  </si>
  <si>
    <t xml:space="preserve">1233 Victoria Rd, West Ryde NSW 2114</t>
  </si>
  <si>
    <t xml:space="preserve">1234 Princes Hwy, Engadine NSW 2233</t>
  </si>
  <si>
    <t xml:space="preserve">126 Jersey Rd Paddington NSW 2021</t>
  </si>
  <si>
    <t xml:space="preserve">Museum of Riverina-Botanic Garden Sites</t>
  </si>
  <si>
    <t xml:space="preserve">127 Lord Baden Powell Dr Turvey Park NSW 2650</t>
  </si>
  <si>
    <t xml:space="preserve">128 Rowntree St Birchgrove NSW 2041</t>
  </si>
  <si>
    <t xml:space="preserve">13 Beattie St Balmain NSW 2041</t>
  </si>
  <si>
    <t xml:space="preserve">13 Llandaff St Bondi Junction NSW 2022</t>
  </si>
  <si>
    <t xml:space="preserve">13 Neptune St Coogee NSW 2034</t>
  </si>
  <si>
    <t xml:space="preserve">13 Southey St, Jerilderie NSW 2716</t>
  </si>
  <si>
    <t xml:space="preserve">131 Annandale St Annandale NSW 2038</t>
  </si>
  <si>
    <t xml:space="preserve">SHOALHAVEN EX-SERVICEMEN'S CLUB LTD</t>
  </si>
  <si>
    <t xml:space="preserve">131 Greenwell Point Rd Worrigee NSW 2540</t>
  </si>
  <si>
    <t xml:space="preserve">133 Curlewis St Bondi Beach NSW 2026</t>
  </si>
  <si>
    <t xml:space="preserve">136 Young St Annandale NSW 2038</t>
  </si>
  <si>
    <t xml:space="preserve">14 Arthur St Rutherford NSW 2320</t>
  </si>
  <si>
    <t xml:space="preserve">140 Keppel St Bathurst NSW 2795</t>
  </si>
  <si>
    <t xml:space="preserve">Armidale Pines Motel</t>
  </si>
  <si>
    <t xml:space="preserve">141 Marsh St Armidale NSW 2350</t>
  </si>
  <si>
    <t xml:space="preserve">Willow Bend Caravan Park</t>
  </si>
  <si>
    <t xml:space="preserve">14-16 Darling St Wentworth NSW 2648</t>
  </si>
  <si>
    <t xml:space="preserve">144 Bayshore Dr, Byron Bay, 2481</t>
  </si>
  <si>
    <t xml:space="preserve">Ibis Styles Orange</t>
  </si>
  <si>
    <t xml:space="preserve">146 Bathurst Rd Orange NSW 2800</t>
  </si>
  <si>
    <t xml:space="preserve">Comfort Inn City Centre Armidale</t>
  </si>
  <si>
    <t xml:space="preserve">146 Dangar St Armidale NSW 2350</t>
  </si>
  <si>
    <t xml:space="preserve">146 Flood St Leichhardt NSW 2040</t>
  </si>
  <si>
    <t xml:space="preserve">146 Glenmore Rd Paddington NSW 2021</t>
  </si>
  <si>
    <t xml:space="preserve">Country Plaza Motel Queanbeyan</t>
  </si>
  <si>
    <t xml:space="preserve">147 Uriarra Rd Crestwood NSW 2620</t>
  </si>
  <si>
    <t xml:space="preserve">15 Barker St Kensington NSW 2033</t>
  </si>
  <si>
    <t xml:space="preserve">15 Boundary St Darlinghurst NSW 2010</t>
  </si>
  <si>
    <t xml:space="preserve">15 William St Randwick NSW 2031</t>
  </si>
  <si>
    <t xml:space="preserve">150 Bellevue Rd Bellevue Hill NSW 2023</t>
  </si>
  <si>
    <t xml:space="preserve">Orange Visitor Information Centre</t>
  </si>
  <si>
    <t xml:space="preserve">151 Byng St Orange NSW 2800</t>
  </si>
  <si>
    <t xml:space="preserve">153 Windsor St Paddington NSW 2021</t>
  </si>
  <si>
    <t xml:space="preserve">154 Beach Rd, Batemans Bay NSW 2536</t>
  </si>
  <si>
    <t xml:space="preserve">Mulwala Water Ski Club</t>
  </si>
  <si>
    <t xml:space="preserve">156 Melbourne St Mulwala NSW 2647</t>
  </si>
  <si>
    <t xml:space="preserve">157 Curlewis St Bondi Beach NSW 2026</t>
  </si>
  <si>
    <t xml:space="preserve">159 Birrell St Waverley NSW 2024</t>
  </si>
  <si>
    <t xml:space="preserve">16 Charlotte St Ashfield NSW 2131</t>
  </si>
  <si>
    <t xml:space="preserve">16 Duxford St Paddington NSW 2021</t>
  </si>
  <si>
    <t xml:space="preserve">16 Fletcher St Bondi NSW 2026</t>
  </si>
  <si>
    <t xml:space="preserve">16 Gower St Summer Hill NSW 2130</t>
  </si>
  <si>
    <t xml:space="preserve">16 Myra Rd Dulwich Hill NSW 2203</t>
  </si>
  <si>
    <t xml:space="preserve">160 Australia St Newtown NSW 2042</t>
  </si>
  <si>
    <t xml:space="preserve">Tallowood Cottages</t>
  </si>
  <si>
    <t xml:space="preserve">1600 BOWRAVILLE RD SPICKETTS CREEK NSW 2454</t>
  </si>
  <si>
    <t xml:space="preserve">De iuliis Wines</t>
  </si>
  <si>
    <t xml:space="preserve">1616 Broke Rd Pokolbin NSW 2320</t>
  </si>
  <si>
    <t xml:space="preserve">162 Canterbury St, Casino, 2470</t>
  </si>
  <si>
    <t xml:space="preserve">162 Rouse St, Tenterfield NSW 2372</t>
  </si>
  <si>
    <t xml:space="preserve">163 Windsor St Paddington NSW 2021</t>
  </si>
  <si>
    <t xml:space="preserve">164 Darling St Balmain NSW 2041</t>
  </si>
  <si>
    <t xml:space="preserve">Fisherman's Paradise In Australia</t>
  </si>
  <si>
    <t xml:space="preserve">164 River Rd Sussex Inlet NSW 2540</t>
  </si>
  <si>
    <t xml:space="preserve">165 Brunker Rd Adamstown NSW 2289</t>
  </si>
  <si>
    <t xml:space="preserve">165 Victoria Rd Bellevue Hill NSW 2023</t>
  </si>
  <si>
    <t xml:space="preserve">Angourie</t>
  </si>
  <si>
    <t xml:space="preserve">166 Angourie Rd Yamba NSW 2464</t>
  </si>
  <si>
    <t xml:space="preserve">166 Wyndham St Alexandria NSW 2015</t>
  </si>
  <si>
    <t xml:space="preserve">167 Darley Rd Randwick NSW 2031</t>
  </si>
  <si>
    <t xml:space="preserve">168 Beach St Coogee NSW 2034</t>
  </si>
  <si>
    <t xml:space="preserve">17 Dulwich St Dulwich Hill NSW 2203</t>
  </si>
  <si>
    <t xml:space="preserve">17 Flood St Bondi NSW 2026</t>
  </si>
  <si>
    <t xml:space="preserve">17 Grove St Dulwich Hill NSW 2203</t>
  </si>
  <si>
    <t xml:space="preserve">17 Hereward St Maroubra NSW 2035</t>
  </si>
  <si>
    <t xml:space="preserve">Teneco Hospitality</t>
  </si>
  <si>
    <t xml:space="preserve">95 Cherry St Ballina NSW 2478</t>
  </si>
  <si>
    <t xml:space="preserve">LOCATION_NAME</t>
  </si>
  <si>
    <t xml:space="preserve">TSN</t>
  </si>
  <si>
    <t xml:space="preserve">EFA_ID</t>
  </si>
  <si>
    <t xml:space="preserve">ADDRESS</t>
  </si>
  <si>
    <t xml:space="preserve">TRANSPORT_MODE</t>
  </si>
  <si>
    <t xml:space="preserve">FACILITIES</t>
  </si>
  <si>
    <t xml:space="preserve">ACCESSIBILITY</t>
  </si>
  <si>
    <t xml:space="preserve">PHONE</t>
  </si>
  <si>
    <t xml:space="preserve">MORNING_PEAK</t>
  </si>
  <si>
    <t xml:space="preserve">AFTERNOON_PEAK</t>
  </si>
  <si>
    <t xml:space="preserve">SHORT_PLATFORM</t>
  </si>
  <si>
    <t xml:space="preserve">LATITUDE</t>
  </si>
  <si>
    <t xml:space="preserve">LONGITUDE</t>
  </si>
  <si>
    <t xml:space="preserve">Abbotsford Wharf</t>
  </si>
  <si>
    <t xml:space="preserve">2046158</t>
  </si>
  <si>
    <t xml:space="preserve">10102011</t>
  </si>
  <si>
    <t xml:space="preserve">Great North Rd, Abbotsford NSW 2046</t>
  </si>
  <si>
    <t xml:space="preserve">Bus, Ferry</t>
  </si>
  <si>
    <t xml:space="preserve">Kiss and ride stopping area | Bike racks | Toilets | Emergency help point | Next service display</t>
  </si>
  <si>
    <t xml:space="preserve">This location is Independent Access | Wheelchair ramp boarding assistance | Hearing loop | PA system for announcements | Wharf edge tactiles</t>
  </si>
  <si>
    <t xml:space="preserve">Aberdeen Station</t>
  </si>
  <si>
    <t xml:space="preserve">233610</t>
  </si>
  <si>
    <t xml:space="preserve">10101192</t>
  </si>
  <si>
    <t xml:space="preserve">Macqueen St, Aberdeen NSW 2336</t>
  </si>
  <si>
    <t xml:space="preserve">Train, Bus, Coach</t>
  </si>
  <si>
    <t xml:space="preserve">Commuter car park | Emergency help point | No Opal card top up or single trip ticket sales</t>
  </si>
  <si>
    <t xml:space="preserve">This location is Independent Access | Wheelchair ramp boarding assistance | Hearing loop | PA system for announcements | Platform edge tactiles | Stairs</t>
  </si>
  <si>
    <t xml:space="preserve">02 6543 1018</t>
  </si>
  <si>
    <t xml:space="preserve">6am-10am</t>
  </si>
  <si>
    <t xml:space="preserve">3pm-7pm</t>
  </si>
  <si>
    <t xml:space="preserve">Adamstown Station</t>
  </si>
  <si>
    <t xml:space="preserve">228920</t>
  </si>
  <si>
    <t xml:space="preserve">10101159</t>
  </si>
  <si>
    <t xml:space="preserve">Park Ave, Adamstown NSW 2289</t>
  </si>
  <si>
    <t xml:space="preserve">Train, Bus</t>
  </si>
  <si>
    <t xml:space="preserve">Commuter car park | Wheelchair accessible car space | Kiss and ride stopping area | Bike racks | Emergency help point | Information point | Payphone | No Opal card top up or single trip ticket sales</t>
  </si>
  <si>
    <t xml:space="preserve">This location is Independent Access | Wheelchair ramp boarding assistance | Hearing loop | PA system for announcements | Platform edge tactiles | Level crossing | Stairs | Lift</t>
  </si>
  <si>
    <t xml:space="preserve">02 4962 9295</t>
  </si>
  <si>
    <t xml:space="preserve">Adelaide Central Bus Station</t>
  </si>
  <si>
    <t xml:space="preserve">50001</t>
  </si>
  <si>
    <t xml:space="preserve">10102932</t>
  </si>
  <si>
    <t xml:space="preserve">Franklin St, Adelaide SA 5000</t>
  </si>
  <si>
    <t xml:space="preserve">Coach</t>
  </si>
  <si>
    <t xml:space="preserve">This location is Not Accessible |</t>
  </si>
  <si>
    <t xml:space="preserve">Adelong Coach Stop</t>
  </si>
  <si>
    <t xml:space="preserve">272919</t>
  </si>
  <si>
    <t xml:space="preserve">10102814</t>
  </si>
  <si>
    <t xml:space="preserve">Neill St at Tumut St, Adelong NSW 2729</t>
  </si>
  <si>
    <t xml:space="preserve">Albion Park Station</t>
  </si>
  <si>
    <t xml:space="preserve">252710</t>
  </si>
  <si>
    <t xml:space="preserve">10101381</t>
  </si>
  <si>
    <t xml:space="preserve">Princes Hwy, Albion Park Rail NSW 2527</t>
  </si>
  <si>
    <t xml:space="preserve">Commuter car park | Wheelchair accessible car space | Kiss and ride stopping area | Bike racks | Toilets | Wheelchair accessible toilet | Baby change table | Emergency help point | Payphone | Opal card top up or single trip ticket machine (Card Payment only)</t>
  </si>
  <si>
    <t xml:space="preserve">This location is Assisted Access | Wheelchair ramp boarding assistance | PA system for announcements | Platform edge tactiles | Level crossing | Stairs</t>
  </si>
  <si>
    <t xml:space="preserve">02 4223 5416</t>
  </si>
  <si>
    <t xml:space="preserve">Albury Station</t>
  </si>
  <si>
    <t xml:space="preserve">26401</t>
  </si>
  <si>
    <t xml:space="preserve">10101849</t>
  </si>
  <si>
    <t xml:space="preserve">Railway Pl, East Albury NSW 2640</t>
  </si>
  <si>
    <t xml:space="preserve">Train, Coach, Taxi</t>
  </si>
  <si>
    <t xml:space="preserve">Commuter car park | Wheelchair accessible car space | Kiss and ride stopping area | Taxi rank | Bike racks | Toilets | Wheelchair accessible toilet | Baby change table | Emergency help point | Information point | Payphone | Next service display</t>
  </si>
  <si>
    <t xml:space="preserve">This location is Independent Access | Wheelchair ramp boarding assistance | Hearing loop | Hearing loop (ticket counter) | PA system for announcements | Platform edge tactiles | Stairs</t>
  </si>
  <si>
    <t xml:space="preserve">Alectown Coach Stop</t>
  </si>
  <si>
    <t xml:space="preserve">2870731</t>
  </si>
  <si>
    <t xml:space="preserve">10102823</t>
  </si>
  <si>
    <t xml:space="preserve">Goobang St before Cross St, Alectown NSW 2870</t>
  </si>
  <si>
    <t xml:space="preserve">Allawah Station</t>
  </si>
  <si>
    <t xml:space="preserve">222020</t>
  </si>
  <si>
    <t xml:space="preserve">10101338</t>
  </si>
  <si>
    <t xml:space="preserve">Railway Pde, Allawah NSW 2218</t>
  </si>
  <si>
    <t xml:space="preserve">Commuter car park | Wheelchair accessible car space | Kiss and ride stopping area | Bike racks | Toilets | Wheelchair accessible toilet | Baby change table | Emergency help point | Payphone | Next service display | Opal card top up or single trip ticket machine (Cash or Card Payment)</t>
  </si>
  <si>
    <t xml:space="preserve">This location is Independent Access | Wheelchair ramp boarding assistance | Hearing loop | PA system for announcements | Platform edge tactiles | Stairs | Lift</t>
  </si>
  <si>
    <t xml:space="preserve">02 9563 7415</t>
  </si>
  <si>
    <t xml:space="preserve">Allworth Coach Stop</t>
  </si>
  <si>
    <t xml:space="preserve">2425101</t>
  </si>
  <si>
    <t xml:space="preserve">10102780</t>
  </si>
  <si>
    <t xml:space="preserve">The Bucketts Way opp Allworth Rd, Allworth NSW 2425</t>
  </si>
  <si>
    <t xml:space="preserve">Alstonville Coach Stop</t>
  </si>
  <si>
    <t xml:space="preserve">2477393</t>
  </si>
  <si>
    <t xml:space="preserve">10102751</t>
  </si>
  <si>
    <t xml:space="preserve">Main St at Daley St, Alstonville NSW 2477</t>
  </si>
  <si>
    <t xml:space="preserve">Ardlethan Coach Stop</t>
  </si>
  <si>
    <t xml:space="preserve">266590</t>
  </si>
  <si>
    <t xml:space="preserve">10102847</t>
  </si>
  <si>
    <t xml:space="preserve">Ariah St before Yithan St, Ardlethan NSW 2665</t>
  </si>
  <si>
    <t xml:space="preserve">Ariah Park Coach Stop</t>
  </si>
  <si>
    <t xml:space="preserve">266591</t>
  </si>
  <si>
    <t xml:space="preserve">10102849</t>
  </si>
  <si>
    <t xml:space="preserve">Ariah Park Post Office, Coolamon St, Ariah Park NSW 2665</t>
  </si>
  <si>
    <t xml:space="preserve">Arlington Light Rail</t>
  </si>
  <si>
    <t xml:space="preserve">220322</t>
  </si>
  <si>
    <t xml:space="preserve">10101623</t>
  </si>
  <si>
    <t xml:space="preserve">Constitution Rd, Dulwich Hill NSW 2203</t>
  </si>
  <si>
    <t xml:space="preserve">Light rail</t>
  </si>
  <si>
    <t xml:space="preserve">Kiss and ride stopping area | Bike racks | Emergency help point</t>
  </si>
  <si>
    <t xml:space="preserve">This location is Independent Access | Hearing loop | PA system for announcements | Platform edge tactiles | Level crossing | Stairs</t>
  </si>
  <si>
    <t xml:space="preserve">6.30am-10am</t>
  </si>
  <si>
    <t xml:space="preserve">Armidale Station</t>
  </si>
  <si>
    <t xml:space="preserve">23501</t>
  </si>
  <si>
    <t xml:space="preserve">10101819</t>
  </si>
  <si>
    <t xml:space="preserve">Brown St, Armidale NSW 2350</t>
  </si>
  <si>
    <t xml:space="preserve">Commuter car park | Wheelchair accessible car space | Kiss and ride stopping area | Taxi rank | Bike racks | Toilets | Wheelchair accessible toilet | Baby change table | Emergency help point | Information point | Next service display</t>
  </si>
  <si>
    <t xml:space="preserve">Armidale Town Coach Stop</t>
  </si>
  <si>
    <t xml:space="preserve">2350869</t>
  </si>
  <si>
    <t xml:space="preserve">10102867</t>
  </si>
  <si>
    <t xml:space="preserve">Central Beardy Mall, Faulkner St, Armidale NSW 2350</t>
  </si>
  <si>
    <t xml:space="preserve">Arncliffe Station</t>
  </si>
  <si>
    <t xml:space="preserve">220520</t>
  </si>
  <si>
    <t xml:space="preserve">10101333</t>
  </si>
  <si>
    <t xml:space="preserve">Firth St, Arncliffe NSW 2205</t>
  </si>
  <si>
    <t xml:space="preserve">Train, Bus, Taxi</t>
  </si>
  <si>
    <t xml:space="preserve">Commuter car park | Wheelchair accessible car space | Kiss and ride stopping area | Taxi rank | Bike racks | Toilets | Wheelchair accessible toilet | Baby change table | Emergency help point | Payphone | Next service display | Opal card top up or single trip ticket machine (Card Payment only)</t>
  </si>
  <si>
    <t xml:space="preserve">02 9563 7431</t>
  </si>
  <si>
    <t xml:space="preserve">Artarmon Station</t>
  </si>
  <si>
    <t xml:space="preserve">206410</t>
  </si>
  <si>
    <t xml:space="preserve">10101116</t>
  </si>
  <si>
    <t xml:space="preserve">Hampden Rd, Artarmon NSW 2064</t>
  </si>
  <si>
    <t xml:space="preserve">Train, Taxi</t>
  </si>
  <si>
    <t xml:space="preserve">Wheelchair accessible car space | Kiss and ride stopping area | Taxi rank | Bike racks | Bike lockers | Wheelchair accessible toilet | Baby change table | Emergency help point | Payphone | Next service display | Opal card top up or single trip ticket machine (Card Payment only)</t>
  </si>
  <si>
    <t xml:space="preserve">02 9379 1140</t>
  </si>
  <si>
    <t xml:space="preserve">Ashfield Station</t>
  </si>
  <si>
    <t xml:space="preserve">213110</t>
  </si>
  <si>
    <t xml:space="preserve">10101209</t>
  </si>
  <si>
    <t xml:space="preserve">Brown St, Ashfield NSW 2131</t>
  </si>
  <si>
    <t xml:space="preserve">Commuter car park | Transport Park&amp;Ride | Wheelchair accessible car space | Kiss and ride stopping area | Taxi rank | Bike racks | Bike lockers | Bike shed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</si>
  <si>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02 9752 8356</t>
  </si>
  <si>
    <t xml:space="preserve">Asquith Station</t>
  </si>
  <si>
    <t xml:space="preserve">207730</t>
  </si>
  <si>
    <t xml:space="preserve">10101128</t>
  </si>
  <si>
    <t xml:space="preserve">Haldane St, Asquith NSW 2077</t>
  </si>
  <si>
    <t xml:space="preserve">Train</t>
  </si>
  <si>
    <t xml:space="preserve">Commuter car park | Wheelchair accessible car space | Kiss and ride stopping area | Toilets | Emergency help point | Payphone | Next service display | Opal card top up or single trip ticket machine (Card Payment only)</t>
  </si>
  <si>
    <t xml:space="preserve">This location is Assisted Access | Wheelchair ramp boarding assistance | Hearing loop | PA system for announcements | Platform edge tactiles</t>
  </si>
  <si>
    <t xml:space="preserve">02 9847 8495</t>
  </si>
  <si>
    <t xml:space="preserve">Attunga Coach Stop</t>
  </si>
  <si>
    <t xml:space="preserve">234523</t>
  </si>
  <si>
    <t xml:space="preserve">10102700</t>
  </si>
  <si>
    <t xml:space="preserve">Fossickers Way at Ridge St, Attunga NSW 2345</t>
  </si>
  <si>
    <t xml:space="preserve">Auburn Station</t>
  </si>
  <si>
    <t xml:space="preserve">214410</t>
  </si>
  <si>
    <t xml:space="preserve">10101219</t>
  </si>
  <si>
    <t xml:space="preserve">Rawson St, Auburn NSW 2144</t>
  </si>
  <si>
    <t xml:space="preserve">Wheelchair accessible car space | Kiss and ride stopping area | Taxi rank | Bike racks | Bike lockers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</si>
  <si>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02 9848 9206</t>
  </si>
  <si>
    <t xml:space="preserve">Austinmer Station</t>
  </si>
  <si>
    <t xml:space="preserve">251540</t>
  </si>
  <si>
    <t xml:space="preserve">10101363</t>
  </si>
  <si>
    <t xml:space="preserve">Railway Ave, Austinmer NSW 2515</t>
  </si>
  <si>
    <t xml:space="preserve">Commuter car park | Wheelchair accessible car space | Toilets | Emergency help point | Payphone | No Opal card top up or single trip ticket sales</t>
  </si>
  <si>
    <t xml:space="preserve">02 4223 5573</t>
  </si>
  <si>
    <t xml:space="preserve">Awaba Station</t>
  </si>
  <si>
    <t xml:space="preserve">228310</t>
  </si>
  <si>
    <t xml:space="preserve">10101150</t>
  </si>
  <si>
    <t xml:space="preserve">Adelaide St, Awaba NSW 2283</t>
  </si>
  <si>
    <t xml:space="preserve">Commuter car park | Emergency help point | Information point | No Opal card top up or single trip ticket sales</t>
  </si>
  <si>
    <t xml:space="preserve">This location is Not Accessible | Wheelchair ramp boarding assistance | Hearing loop | PA system for announcements | Stairs</t>
  </si>
  <si>
    <t xml:space="preserve">02 4349 9241</t>
  </si>
  <si>
    <t xml:space="preserve">Ballina Coach Stop</t>
  </si>
  <si>
    <t xml:space="preserve">2478673</t>
  </si>
  <si>
    <t xml:space="preserve">10102749</t>
  </si>
  <si>
    <t xml:space="preserve">Tamar St before Moon St, Ballina NSW 2478</t>
  </si>
  <si>
    <t xml:space="preserve">Bus, Coach</t>
  </si>
  <si>
    <t xml:space="preserve">Ballina West Coach Stop</t>
  </si>
  <si>
    <t xml:space="preserve">2478675</t>
  </si>
  <si>
    <t xml:space="preserve">10102750</t>
  </si>
  <si>
    <t xml:space="preserve">West Tower Tavern, River St, West Ballina NSW 2478</t>
  </si>
  <si>
    <t xml:space="preserve">Balmain East Wharf</t>
  </si>
  <si>
    <t xml:space="preserve">20414</t>
  </si>
  <si>
    <t xml:space="preserve">10102010</t>
  </si>
  <si>
    <t xml:space="preserve">Darling St, Balmain East NSW 2041</t>
  </si>
  <si>
    <t xml:space="preserve">Emergency help point | Next service display | Opal card top up or single trip ticket machine (Card Payment only)</t>
  </si>
  <si>
    <t xml:space="preserve">This location is Independent Access | Wheelchair ramp boarding assistance | Hearing loop | PA system for announcements | Wharf edge tactiles | Stairs</t>
  </si>
  <si>
    <t xml:space="preserve">Balmain West Wharf</t>
  </si>
  <si>
    <t xml:space="preserve">204155</t>
  </si>
  <si>
    <t xml:space="preserve">10102006</t>
  </si>
  <si>
    <t xml:space="preserve">Elliott St, Balmain West NSW 2041</t>
  </si>
  <si>
    <t xml:space="preserve">Ferry</t>
  </si>
  <si>
    <t xml:space="preserve">Toilets | Wheelchair accessible toilet | Emergency help point | Information point | Next service display</t>
  </si>
  <si>
    <t xml:space="preserve">This location is Assisted Access | Wheelchair ramp boarding assistance | Hearing loop | Wharf edge tactiles</t>
  </si>
  <si>
    <t xml:space="preserve">Balmain Wharf</t>
  </si>
  <si>
    <t xml:space="preserve">204157</t>
  </si>
  <si>
    <t xml:space="preserve">10102008</t>
  </si>
  <si>
    <t xml:space="preserve">Thames St, Balmain NSW 2041</t>
  </si>
  <si>
    <t xml:space="preserve">Wheelchair accessible car space | Kiss and ride stopping area | Bike racks | Emergency help point | Next service display | Opal card top up or single trip ticket machine (Card Payment only)</t>
  </si>
  <si>
    <t xml:space="preserve">Balranald Coach Stop</t>
  </si>
  <si>
    <t xml:space="preserve">271512</t>
  </si>
  <si>
    <t xml:space="preserve">10102854</t>
  </si>
  <si>
    <t xml:space="preserve">Balranald Information Centre, Market St, Balranald NSW 2715</t>
  </si>
  <si>
    <t xml:space="preserve">Bangalow Coach Stop</t>
  </si>
  <si>
    <t xml:space="preserve">2479103</t>
  </si>
  <si>
    <t xml:space="preserve">10102740</t>
  </si>
  <si>
    <t xml:space="preserve">Station St at Byron St, Bangalow NSW 2479</t>
  </si>
  <si>
    <t xml:space="preserve">Bank Street Light Rail</t>
  </si>
  <si>
    <t xml:space="preserve">200952</t>
  </si>
  <si>
    <t xml:space="preserve">10101635</t>
  </si>
  <si>
    <t xml:space="preserve">Miller St, Pyrmont NSW 2009</t>
  </si>
  <si>
    <t xml:space="preserve">Emergency help point | Opal card top up or single trip ticket machine (Card Payment only)</t>
  </si>
  <si>
    <t xml:space="preserve">This location is Independent Access | PA system for announcements | Platform edge tactiles | Level crossing | Stairs | Lift</t>
  </si>
  <si>
    <t xml:space="preserve">Banksia Station</t>
  </si>
  <si>
    <t xml:space="preserve">221610</t>
  </si>
  <si>
    <t xml:space="preserve">10101334</t>
  </si>
  <si>
    <t xml:space="preserve">Hattersley St, Banksia NSW 2216</t>
  </si>
  <si>
    <t xml:space="preserve">Wheelchair accessible car space | Kiss and ride stopping area | Taxi rank | Toilets | Wheelchair accessible toilet | Baby change table | Emergency help point | Next service display | Opal card top up or single trip ticket machine (Card Payment only)</t>
  </si>
  <si>
    <t xml:space="preserve">02 9563 7429</t>
  </si>
  <si>
    <t xml:space="preserve">Bankstown Station</t>
  </si>
  <si>
    <t xml:space="preserve">220010</t>
  </si>
  <si>
    <t xml:space="preserve">10101401</t>
  </si>
  <si>
    <t xml:space="preserve">North Tce, Bankstown NSW 2200</t>
  </si>
  <si>
    <t xml:space="preserve">Commuter car park | Wheelchair accessible car space | Kiss and ride stopping area | Taxi rank | Bike racks | Bike lockers | Toilets | Wheelchair accessible toilet | Baby change table | Emergency help point | Payphone | Next service display | Opal card top up or single trip ticket machine (Card Payment only) | Opal card top up machine (Card Payment only) | Free mobile phone charging</t>
  </si>
  <si>
    <t xml:space="preserve">This location is Independent Access | Wheelchair ramp boarding assistance | PA system for announcements | Platform edge tactiles | Stairs | Lift</t>
  </si>
  <si>
    <t xml:space="preserve">02 9563 7160</t>
  </si>
  <si>
    <t xml:space="preserve">Baradine Coach Stop</t>
  </si>
  <si>
    <t xml:space="preserve">239612</t>
  </si>
  <si>
    <t xml:space="preserve">10102664</t>
  </si>
  <si>
    <t xml:space="preserve">Wellington St at Darling St, Baradine NSW 2396</t>
  </si>
  <si>
    <t xml:space="preserve">Barangaroo Station</t>
  </si>
  <si>
    <t xml:space="preserve">200046</t>
  </si>
  <si>
    <t xml:space="preserve">10101513</t>
  </si>
  <si>
    <t xml:space="preserve">Hickson Rd, Barangaroo NSW 2000</t>
  </si>
  <si>
    <t xml:space="preserve">Metro, Bus, Ferry, Taxi</t>
  </si>
  <si>
    <t xml:space="preserve">Bike shed | Bike racks | Kiss and ride stopping area | Opal card top up or single trip ticket machine (Card Payment only) | Wheelchair accessible toilet | Baby change table | Taxi rank | Emergency help point | Next service display</t>
  </si>
  <si>
    <t xml:space="preserve">This location is Independent Access | Lift | Escalator | Hearing loop | Wheelchair ramp boarding assistance | Platform edge tactiles | PA system for announcements</t>
  </si>
  <si>
    <t xml:space="preserve">3.00-7pm</t>
  </si>
  <si>
    <t xml:space="preserve">Barangaroo Wharf</t>
  </si>
  <si>
    <t xml:space="preserve">2000441</t>
  </si>
  <si>
    <t xml:space="preserve">10102039</t>
  </si>
  <si>
    <t xml:space="preserve">Wulugul Walk, Barangaroo NSW 2000</t>
  </si>
  <si>
    <t xml:space="preserve">Emergency help point | Next service display | Opal card top up or single trip ticket machine (Cash or Card Payment) | Opal card top up or single trip ticket machine (Card Payment only)</t>
  </si>
  <si>
    <t xml:space="preserve">Bardwell Park Station</t>
  </si>
  <si>
    <t xml:space="preserve">220710</t>
  </si>
  <si>
    <t xml:space="preserve">10101410</t>
  </si>
  <si>
    <t xml:space="preserve">Hartill-Law Ave, Bardwell Park NSW 2207</t>
  </si>
  <si>
    <t xml:space="preserve">Commuter car park | Kiss and ride stopping area | Toilets | Wheelchair accessible toilet | Baby change table | Emergency help point | Next service display | Opal card top up or single trip ticket machine (Cash or Card Payment)</t>
  </si>
  <si>
    <t xml:space="preserve">02 9563 7428</t>
  </si>
  <si>
    <t xml:space="preserve">Barellan Coach Stop</t>
  </si>
  <si>
    <t xml:space="preserve">266592</t>
  </si>
  <si>
    <t xml:space="preserve">10102846</t>
  </si>
  <si>
    <t xml:space="preserve">Burley Griffin Way before Myall St, Barellan NSW 2665</t>
  </si>
  <si>
    <t xml:space="preserve">Bargo Station</t>
  </si>
  <si>
    <t xml:space="preserve">257420</t>
  </si>
  <si>
    <t xml:space="preserve">10101303</t>
  </si>
  <si>
    <t xml:space="preserve">Hume Hwy, Bargo NSW 2574</t>
  </si>
  <si>
    <t xml:space="preserve">Commuter car park | Wheelchair accessible car space | Bike racks | Toilets | Emergency help point | No Opal card top up or single trip ticket sales</t>
  </si>
  <si>
    <t xml:space="preserve">This location is Assisted Access | Wheelchair ramp boarding assistance | Hearing loop | PA system for announcements</t>
  </si>
  <si>
    <t xml:space="preserve">02 4684 1320</t>
  </si>
  <si>
    <t xml:space="preserve">Barmedman Coach Stop</t>
  </si>
  <si>
    <t xml:space="preserve">266812</t>
  </si>
  <si>
    <t xml:space="preserve">10102625</t>
  </si>
  <si>
    <t xml:space="preserve">Queen St after Star St, Barmedman NSW 2668</t>
  </si>
  <si>
    <t xml:space="preserve">Barooga Coach Stop</t>
  </si>
  <si>
    <t xml:space="preserve">364414</t>
  </si>
  <si>
    <t xml:space="preserve">10102827</t>
  </si>
  <si>
    <t xml:space="preserve">Vermont St at McFarland St, Barooga NSW 3644</t>
  </si>
  <si>
    <t xml:space="preserve">Barraba Coach Stop</t>
  </si>
  <si>
    <t xml:space="preserve">234712</t>
  </si>
  <si>
    <t xml:space="preserve">10102697</t>
  </si>
  <si>
    <t xml:space="preserve">Alice St before Queen St, Barraba NSW 2347</t>
  </si>
  <si>
    <t xml:space="preserve">Bathurst Station</t>
  </si>
  <si>
    <t xml:space="preserve">279538</t>
  </si>
  <si>
    <t xml:space="preserve">10101281</t>
  </si>
  <si>
    <t xml:space="preserve">Havannah St, Bathurst NSW 2795</t>
  </si>
  <si>
    <t xml:space="preserve">Train, Bus, Coach, Taxi</t>
  </si>
  <si>
    <t xml:space="preserve">Commuter car park | Wheelchair accessible car space | Kiss and ride stopping area | Taxi rank | Bike racks | Toilets | Wheelchair accessible toilet | Baby change table | Emergency help point | Information point | Payphone | Next service display | Opal card top up or single trip ticket machine (Card Payment only)</t>
  </si>
  <si>
    <t xml:space="preserve">This location is Independent Access | Wheelchair ramp boarding assistance | Hearing loop | PA system for announcements</t>
  </si>
  <si>
    <t xml:space="preserve">13 22 32</t>
  </si>
  <si>
    <t xml:space="preserve">Batlow Coach Stop</t>
  </si>
  <si>
    <t xml:space="preserve">273017</t>
  </si>
  <si>
    <t xml:space="preserve">10102816</t>
  </si>
  <si>
    <t xml:space="preserve">Memorial Ave at Pioneer St, Batlow NSW 2730</t>
  </si>
  <si>
    <t xml:space="preserve">Beckom Coach Stop</t>
  </si>
  <si>
    <t xml:space="preserve">266593</t>
  </si>
  <si>
    <t xml:space="preserve">10102848</t>
  </si>
  <si>
    <t xml:space="preserve">Service Station, Newell Hwy, Beckom NSW 2665</t>
  </si>
  <si>
    <t xml:space="preserve">Beecroft Station</t>
  </si>
  <si>
    <t xml:space="preserve">211910</t>
  </si>
  <si>
    <t xml:space="preserve">10101197</t>
  </si>
  <si>
    <t xml:space="preserve">Wongala Cres, Beecroft NSW 2119</t>
  </si>
  <si>
    <t xml:space="preserve">Commuter car park | Wheelchair accessible car space | Kiss and ride stopping area | Taxi rank | Bike racks | Bike lockers | Wheelchair accessible toilet | Baby change table | Emergency help point | Payphone | Next service display | Opal card top up or single trip ticket machine (Cash or Card Payment)</t>
  </si>
  <si>
    <t xml:space="preserve">02 9847 8421</t>
  </si>
  <si>
    <t xml:space="preserve">Beenleigh Coach Stop</t>
  </si>
  <si>
    <t xml:space="preserve">310035</t>
  </si>
  <si>
    <t xml:space="preserve">10102901</t>
  </si>
  <si>
    <t xml:space="preserve">Beenleigh Station, Coach Terminal, Alamein St, Beenleigh QLD 4207</t>
  </si>
  <si>
    <t xml:space="preserve">Bega Coach Stop</t>
  </si>
  <si>
    <t xml:space="preserve">2550748</t>
  </si>
  <si>
    <t xml:space="preserve">10102790</t>
  </si>
  <si>
    <t xml:space="preserve">Church St at Carp St, Bega NSW 2550</t>
  </si>
  <si>
    <t xml:space="preserve">Belbora Coach Stop</t>
  </si>
  <si>
    <t xml:space="preserve">242294</t>
  </si>
  <si>
    <t xml:space="preserve">10102772</t>
  </si>
  <si>
    <t xml:space="preserve">2767 The Bucketts Way, Belbora NSW 2422</t>
  </si>
  <si>
    <t xml:space="preserve">Belconnen Interchange</t>
  </si>
  <si>
    <t xml:space="preserve">5511</t>
  </si>
  <si>
    <t xml:space="preserve">10102916</t>
  </si>
  <si>
    <t xml:space="preserve">Cohen st, Belconnen ACT 2617</t>
  </si>
  <si>
    <t xml:space="preserve">Bell Station</t>
  </si>
  <si>
    <t xml:space="preserve">278620</t>
  </si>
  <si>
    <t xml:space="preserve">10101272</t>
  </si>
  <si>
    <t xml:space="preserve">Bells Line of Road, Bell NSW 2786</t>
  </si>
  <si>
    <t xml:space="preserve">Emergency help point | Information point | No Opal card top up or single trip ticket sales</t>
  </si>
  <si>
    <t xml:space="preserve">This location is Assisted Access | Wheelchair ramp boarding assistance | Hearing loop | PA system for announcements | Level crossing | Stairs</t>
  </si>
  <si>
    <t xml:space="preserve">02 4787 8452</t>
  </si>
  <si>
    <t xml:space="preserve">Bella Vista Station</t>
  </si>
  <si>
    <t xml:space="preserve">2153478</t>
  </si>
  <si>
    <t xml:space="preserve">10101503</t>
  </si>
  <si>
    <t xml:space="preserve">Mawson Ave, Bella Vista NSW 2153</t>
  </si>
  <si>
    <t xml:space="preserve">Metro, Bus, Taxi</t>
  </si>
  <si>
    <t xml:space="preserve">Bike shed | Bike racks | Commuter car park | Kiss and ride stopping area | Taxi rank | Opal card top up or single trip ticket machine (Cash or Card Payment) | Toilets | Wheelchair accessible toilet | Emergency help point | Payphone</t>
  </si>
  <si>
    <t xml:space="preserve">Bellambi Station</t>
  </si>
  <si>
    <t xml:space="preserve">251810</t>
  </si>
  <si>
    <t xml:space="preserve">10101367</t>
  </si>
  <si>
    <t xml:space="preserve">Bellambi Lane, Bellambi NSW 2518</t>
  </si>
  <si>
    <t xml:space="preserve">Commuter car park | Wheelchair accessible car space | Kiss and ride stopping area | Bike racks | Toilets | Wheelchair accessible toilet | Baby change table | Emergency help point | Payphone | Next service display | No Opal card top up or single trip ticket sales</t>
  </si>
  <si>
    <t xml:space="preserve">This location is Independent Access | Wheelchair ramp boarding assistance | Hearing loop | PA system for announcements | Platform edge tactiles | Level crossing</t>
  </si>
  <si>
    <t xml:space="preserve">02 4223 5579</t>
  </si>
  <si>
    <t xml:space="preserve">Bellata Coach Stop</t>
  </si>
  <si>
    <t xml:space="preserve">239717</t>
  </si>
  <si>
    <t xml:space="preserve">10102690</t>
  </si>
  <si>
    <t xml:space="preserve">Railway Pde opp Wilga St, Bellata NSW 2397</t>
  </si>
  <si>
    <t xml:space="preserve">Bellata Station</t>
  </si>
  <si>
    <t xml:space="preserve">23971</t>
  </si>
  <si>
    <t xml:space="preserve">10101815</t>
  </si>
  <si>
    <t xml:space="preserve">Newell Hwy, Bellata NSW 2397</t>
  </si>
  <si>
    <t xml:space="preserve">Belmore Station</t>
  </si>
  <si>
    <t xml:space="preserve">219210</t>
  </si>
  <si>
    <t xml:space="preserve">10101397</t>
  </si>
  <si>
    <t xml:space="preserve">Burwood Rd, Belmore NSW 2192</t>
  </si>
  <si>
    <t xml:space="preserve">Bus, Taxi</t>
  </si>
  <si>
    <t xml:space="preserve">Commuter car park | Wheelchair accessible car space | Kiss and ride stopping area | Taxi rank | Toilets | Wheelchair accessible toilet | Baby change table | Emergency help point | Payphone | Next service display</t>
  </si>
  <si>
    <t xml:space="preserve">02 9563 7578</t>
  </si>
  <si>
    <t xml:space="preserve">Bemboka Coach Stop</t>
  </si>
  <si>
    <t xml:space="preserve">2550749</t>
  </si>
  <si>
    <t xml:space="preserve">10102791</t>
  </si>
  <si>
    <t xml:space="preserve">General Store, Snowy Mountains Hwy, Bemboka NSW 2550</t>
  </si>
  <si>
    <t xml:space="preserve">Ben Bullen Coach Stop</t>
  </si>
  <si>
    <t xml:space="preserve">2790175</t>
  </si>
  <si>
    <t xml:space="preserve">10102683</t>
  </si>
  <si>
    <t xml:space="preserve">Castlereagh Hwy after Quarry Rd, Ben Bullen NSW 2790</t>
  </si>
  <si>
    <t xml:space="preserve">Benaud Oval Light Rail</t>
  </si>
  <si>
    <t xml:space="preserve">2151155</t>
  </si>
  <si>
    <t xml:space="preserve">10101712</t>
  </si>
  <si>
    <t xml:space="preserve">Cnr Church St &amp; Factory St, Parramatta NSW 2151</t>
  </si>
  <si>
    <t xml:space="preserve">Bike racks | Kiss and ride stopping area | No Opal card top up or single trip ticket sales | Next service display | Emergency help point</t>
  </si>
  <si>
    <t xml:space="preserve">This location is Independent Access | Level crossing | Hearing loop | Platform edge tactiles | PA system for announcements</t>
  </si>
  <si>
    <t xml:space="preserve">Bendemeer Coach Stop</t>
  </si>
  <si>
    <t xml:space="preserve">235521</t>
  </si>
  <si>
    <t xml:space="preserve">10102714</t>
  </si>
  <si>
    <t xml:space="preserve">Caroline St after Henry St, Bendemeer NSW 2355</t>
  </si>
  <si>
    <t xml:space="preserve">Bendick Murrell Coach Stop</t>
  </si>
  <si>
    <t xml:space="preserve">280314</t>
  </si>
  <si>
    <t xml:space="preserve">10102820</t>
  </si>
  <si>
    <t xml:space="preserve">Main St after Ewens St, Bendick Murrell NSW 2803</t>
  </si>
  <si>
    <t xml:space="preserve">Berala Station</t>
  </si>
  <si>
    <t xml:space="preserve">214120</t>
  </si>
  <si>
    <t xml:space="preserve">10101390</t>
  </si>
  <si>
    <t xml:space="preserve">Woodburn Rd, Berala NSW 2141</t>
  </si>
  <si>
    <t xml:space="preserve">Commuter car park | Wheelchair accessible car space | Kiss and ride stopping area | Taxi rank | Bike racks | Wheelchair accessible toilet | Baby change table | Emergency help point | Payphone | Next service display | Opal card top up or single trip ticket machine (Cash or Card Payment)</t>
  </si>
  <si>
    <t xml:space="preserve">02 9752 8813</t>
  </si>
  <si>
    <t xml:space="preserve">Beresfield Station</t>
  </si>
  <si>
    <t xml:space="preserve">232230</t>
  </si>
  <si>
    <t xml:space="preserve">10101172</t>
  </si>
  <si>
    <t xml:space="preserve">Addison St, Beresfield NSW 2322</t>
  </si>
  <si>
    <t xml:space="preserve">Commuter car park | Wheelchair accessible car space | Toilets | Wheelchair accessible toilet | Baby change table | Emergency help point | Information point | Payphone</t>
  </si>
  <si>
    <t xml:space="preserve">02 4962 9944</t>
  </si>
  <si>
    <t xml:space="preserve">Berowra Station</t>
  </si>
  <si>
    <t xml:space="preserve">208110</t>
  </si>
  <si>
    <t xml:space="preserve">10101131</t>
  </si>
  <si>
    <t xml:space="preserve">Pacific Hwy, Berowra NSW 2081</t>
  </si>
  <si>
    <t xml:space="preserve">Commuter car park | Wheelchair accessible car space | Bike racks | Bike lockers | Toilets | Wheelchair accessible toilet | Baby change table | Emergency help point | Payphone | Next service display</t>
  </si>
  <si>
    <t xml:space="preserve">02 9847 8496</t>
  </si>
  <si>
    <t xml:space="preserve">Berridale Coach Stop</t>
  </si>
  <si>
    <t xml:space="preserve">262835</t>
  </si>
  <si>
    <t xml:space="preserve">10102797</t>
  </si>
  <si>
    <t xml:space="preserve">Berridale Inn, Jindabyne Rd, Berridale NSW 2628</t>
  </si>
  <si>
    <t xml:space="preserve">Berrigan Coach Stop</t>
  </si>
  <si>
    <t xml:space="preserve">271215</t>
  </si>
  <si>
    <t xml:space="preserve">10102834</t>
  </si>
  <si>
    <t xml:space="preserve">Jerilderie St after Carter St, Berrigan NSW 2712</t>
  </si>
  <si>
    <t xml:space="preserve">Berry Station</t>
  </si>
  <si>
    <t xml:space="preserve">253510</t>
  </si>
  <si>
    <t xml:space="preserve">10101388</t>
  </si>
  <si>
    <t xml:space="preserve">Station Rd, Berry NSW 2535</t>
  </si>
  <si>
    <t xml:space="preserve">Commuter car park | Wheelchair accessible car space | Toilets | Wheelchair accessible toilet | Baby change table | Emergency help point | Payphone | No Opal card top up or single trip ticket sales</t>
  </si>
  <si>
    <t xml:space="preserve">This location is Independent Access | Wheelchair ramp boarding assistance | Hearing loop | PA system for announcements | Platform edge tactiles</t>
  </si>
  <si>
    <t xml:space="preserve">02 4464 1022</t>
  </si>
  <si>
    <t xml:space="preserve">Beverly Hills Station</t>
  </si>
  <si>
    <t xml:space="preserve">220910</t>
  </si>
  <si>
    <t xml:space="preserve">10101413</t>
  </si>
  <si>
    <t xml:space="preserve">Morgan St, Beverly Hills NSW 2209</t>
  </si>
  <si>
    <t xml:space="preserve">Commuter car park | Wheelchair accessible car space | Kiss and ride stopping area | Bike racks | Toilets | Wheelchair accessible toilet | Baby change table | Emergency help point | Payphone | Next service display | Opal card top up or single trip ticket machine (Card Payment only)</t>
  </si>
  <si>
    <t xml:space="preserve">02 9563 7650</t>
  </si>
  <si>
    <t xml:space="preserve">Bexhill Coach Stop</t>
  </si>
  <si>
    <t xml:space="preserve">24801092</t>
  </si>
  <si>
    <t xml:space="preserve">10102744</t>
  </si>
  <si>
    <t xml:space="preserve">Bexhill School, Banglow Rd, Bexhill NSW 2480</t>
  </si>
  <si>
    <t xml:space="preserve">Bexley North Station</t>
  </si>
  <si>
    <t xml:space="preserve">220720</t>
  </si>
  <si>
    <t xml:space="preserve">10101411</t>
  </si>
  <si>
    <t xml:space="preserve">Kingsgrove Ave, Bexley North NSW 2207</t>
  </si>
  <si>
    <t xml:space="preserve">Commuter car park | Wheelchair accessible car space | Kiss and ride stopping area | Bike racks | Toilets | Wheelchair accessible toilet | Baby change table | Emergency help point | Next service display | Opal card top up or single trip ticket machine (Cash or Card Payment)</t>
  </si>
  <si>
    <t xml:space="preserve">02 9563 7613</t>
  </si>
  <si>
    <t xml:space="preserve">Bibbenluke Coach Stop</t>
  </si>
  <si>
    <t xml:space="preserve">263225</t>
  </si>
  <si>
    <t xml:space="preserve">10102794</t>
  </si>
  <si>
    <t xml:space="preserve">Monaro Hwy opp Bukalong Siding Rd, Bibbenluke NSW 2632</t>
  </si>
  <si>
    <t xml:space="preserve">Billinudgel Coach Stop</t>
  </si>
  <si>
    <t xml:space="preserve">248375</t>
  </si>
  <si>
    <t xml:space="preserve">10102735</t>
  </si>
  <si>
    <t xml:space="preserve">Bonanza Dr opp Lucky Lane, Billinudgel NSW 2483</t>
  </si>
  <si>
    <t xml:space="preserve">Binalong Coach Stop</t>
  </si>
  <si>
    <t xml:space="preserve">258417</t>
  </si>
  <si>
    <t xml:space="preserve">10102806</t>
  </si>
  <si>
    <t xml:space="preserve">Stephens St before Monteagle St, Binalong NSW 2584</t>
  </si>
  <si>
    <t xml:space="preserve">Bingara Coach Stop</t>
  </si>
  <si>
    <t xml:space="preserve">240412</t>
  </si>
  <si>
    <t xml:space="preserve">10102695</t>
  </si>
  <si>
    <t xml:space="preserve">Cunningham St at Maitland St, Bingara NSW 2404</t>
  </si>
  <si>
    <t xml:space="preserve">Biniguy Coach Stop</t>
  </si>
  <si>
    <t xml:space="preserve">23992</t>
  </si>
  <si>
    <t xml:space="preserve">10102692</t>
  </si>
  <si>
    <t xml:space="preserve">Gwydir Hwy at Biniguy Ave, Biniguy NSW 2399</t>
  </si>
  <si>
    <t xml:space="preserve">Binna Burra Coach Stop</t>
  </si>
  <si>
    <t xml:space="preserve">2479104</t>
  </si>
  <si>
    <t xml:space="preserve">10102741</t>
  </si>
  <si>
    <t xml:space="preserve">Bangalow Rd before Friday Hut Rd, Binna Burra NSW 2479</t>
  </si>
  <si>
    <t xml:space="preserve">Binnaway Coach Stop</t>
  </si>
  <si>
    <t xml:space="preserve">239512</t>
  </si>
  <si>
    <t xml:space="preserve">10102666</t>
  </si>
  <si>
    <t xml:space="preserve">Binnaway Post Office, Bullinda St, Binnaway NSW 2395</t>
  </si>
  <si>
    <t xml:space="preserve">Binya Coach Stop</t>
  </si>
  <si>
    <t xml:space="preserve">266594</t>
  </si>
  <si>
    <t xml:space="preserve">10102845</t>
  </si>
  <si>
    <t xml:space="preserve">Binya Post Office, Francis St, Binya NSW 2665</t>
  </si>
  <si>
    <t xml:space="preserve">Birchgrove Wharf</t>
  </si>
  <si>
    <t xml:space="preserve">204156</t>
  </si>
  <si>
    <t xml:space="preserve">10102007</t>
  </si>
  <si>
    <t xml:space="preserve">Louisa Rd, Birchgrove NSW 2041</t>
  </si>
  <si>
    <t xml:space="preserve">Kiss and ride stopping area | Emergency help point | Next service display | No Opal card top up or single trip ticket sales</t>
  </si>
  <si>
    <t xml:space="preserve">This location is Not Accessible | Wheelchair ramp boarding assistance | Hearing loop | PA system for announcements | Wharf edge tactiles | Stairs</t>
  </si>
  <si>
    <t xml:space="preserve">Birrong Station</t>
  </si>
  <si>
    <t xml:space="preserve">214320</t>
  </si>
  <si>
    <t xml:space="preserve">10101403</t>
  </si>
  <si>
    <t xml:space="preserve">Rodd St, Birrong NSW 2143</t>
  </si>
  <si>
    <t xml:space="preserve">Commuter car park | Wheelchair accessible car space | Kiss and ride stopping area | Toilets | Wheelchair accessible toilet | Emergency help point | Next service display | Opal card top up or single trip ticket machine (Card Payment only) | Baby change table | Bike racks</t>
  </si>
  <si>
    <t xml:space="preserve">This location is Independent Access | Wheelchair ramp boarding assistance | PA system for announcements | Platform edge tactiles | Stairs | Lift | Hearing loop</t>
  </si>
  <si>
    <t xml:space="preserve">02 9379 7727</t>
  </si>
  <si>
    <t xml:space="preserve">Blackheath Station</t>
  </si>
  <si>
    <t xml:space="preserve">278510</t>
  </si>
  <si>
    <t xml:space="preserve">10101270</t>
  </si>
  <si>
    <t xml:space="preserve">Railway Pde, Blackheath NSW 2785</t>
  </si>
  <si>
    <t xml:space="preserve">Commuter car park | Wheelchair accessible car space | Kiss and ride stopping area | Taxi rank | Bike racks | Bike lockers | Toilets | Wheelchair accessible toilet | Emergency help point | Payphone | Next service display | No Opal card top up or single trip ticket sales</t>
  </si>
  <si>
    <t xml:space="preserve">02 4780 3992</t>
  </si>
  <si>
    <t xml:space="preserve">Blacktown Station</t>
  </si>
  <si>
    <t xml:space="preserve">214810</t>
  </si>
  <si>
    <t xml:space="preserve">10101235</t>
  </si>
  <si>
    <t xml:space="preserve">Main St, Blacktown NSW 2148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</si>
  <si>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(Card Payment only) | Opal card top up machine (Card Payment only) | Free mobile phone charging</t>
  </si>
  <si>
    <t xml:space="preserve">This location is Independent Access | Wheelchair ramp boarding assistance | Hearing loop | PA system for announcements | Platform edge tactiles | Stairs | Lift | Escalator</t>
  </si>
  <si>
    <t xml:space="preserve">02 9851 7212</t>
  </si>
  <si>
    <t xml:space="preserve">Blackwattle Bay Wharf</t>
  </si>
  <si>
    <t xml:space="preserve">203783</t>
  </si>
  <si>
    <t xml:space="preserve">10102058</t>
  </si>
  <si>
    <t xml:space="preserve">Leichhardt St, Glebe NSW 2037</t>
  </si>
  <si>
    <t xml:space="preserve">Wheelchair accessible car space | Kiss and ride stopping area | Bike racks | No Opal card top up or single trip ticket sales</t>
  </si>
  <si>
    <t xml:space="preserve">This location is Assisted Access | Wheelchair ramp boarding assistance | Stairs</t>
  </si>
  <si>
    <t xml:space="preserve">Blaxland Station</t>
  </si>
  <si>
    <t xml:space="preserve">277410</t>
  </si>
  <si>
    <t xml:space="preserve">10101256</t>
  </si>
  <si>
    <t xml:space="preserve">Station St, Blaxland NSW 2774</t>
  </si>
  <si>
    <t xml:space="preserve">Commuter car park | Wheelchair accessible car space | Kiss and ride stopping area | Taxi rank | Bike racks | Bike lockers | Toilets | Wheelchair accessible toilet | Baby change table | Emergency help point | Information point | Payphone | Next service display | Opal card top up or single trip ticket machine (Card Payment only)</t>
  </si>
  <si>
    <t xml:space="preserve">This location is Assisted Access | Wheelchair ramp boarding assistance | Hearing loop | PA system for announcements | Platform edge tactiles | Stairs | Lift</t>
  </si>
  <si>
    <t xml:space="preserve">02 4780 3253</t>
  </si>
  <si>
    <t xml:space="preserve">Blayney Station</t>
  </si>
  <si>
    <t xml:space="preserve">27991</t>
  </si>
  <si>
    <t xml:space="preserve">10101813</t>
  </si>
  <si>
    <t xml:space="preserve">Railway Lane, Blayney NSW 2799</t>
  </si>
  <si>
    <t xml:space="preserve">Commuter car park | Wheelchair accessible car space | Kiss and ride stopping area | Toilets | Wheelchair accessible toilet | Baby change table | Emergency help point</t>
  </si>
  <si>
    <t xml:space="preserve">Blighty Coach Stop</t>
  </si>
  <si>
    <t xml:space="preserve">271313</t>
  </si>
  <si>
    <t xml:space="preserve">10102832</t>
  </si>
  <si>
    <t xml:space="preserve">Blighty Pub, Riverina Hwy, Blighty NSW 2713</t>
  </si>
  <si>
    <t xml:space="preserve">Bogan Gate Coach Stop</t>
  </si>
  <si>
    <t xml:space="preserve">287646</t>
  </si>
  <si>
    <t xml:space="preserve">10102637</t>
  </si>
  <si>
    <t xml:space="preserve">General Store, Station St, Bogan Gate NSW 2876</t>
  </si>
  <si>
    <t xml:space="preserve">Bogangar Coach Stop</t>
  </si>
  <si>
    <t xml:space="preserve">248838</t>
  </si>
  <si>
    <t xml:space="preserve">10102732</t>
  </si>
  <si>
    <t xml:space="preserve">Tweed Coast Rd opp Pandanus Pde, Bogangar NSW 2488</t>
  </si>
  <si>
    <t xml:space="preserve">Boggabri Station</t>
  </si>
  <si>
    <t xml:space="preserve">23821</t>
  </si>
  <si>
    <t xml:space="preserve">10101817</t>
  </si>
  <si>
    <t xml:space="preserve">Oakham St, Boggabri NSW 2382</t>
  </si>
  <si>
    <t xml:space="preserve">Commuter car park | Toilets | Information point</t>
  </si>
  <si>
    <t xml:space="preserve">This location is Independent Access | Wheelchair ramp boarding assistance | PA system for announcements</t>
  </si>
  <si>
    <t xml:space="preserve">Bolivia Coach Stop</t>
  </si>
  <si>
    <t xml:space="preserve">237212</t>
  </si>
  <si>
    <t xml:space="preserve">10102719</t>
  </si>
  <si>
    <t xml:space="preserve">New England Hwy opp Mt Spirabo Rd, Bolivia NSW 2372</t>
  </si>
  <si>
    <t xml:space="preserve">Bomaderry Station</t>
  </si>
  <si>
    <t xml:space="preserve">254110</t>
  </si>
  <si>
    <t xml:space="preserve">10101389</t>
  </si>
  <si>
    <t xml:space="preserve">Meroo St, Bomaderry NSW 2541</t>
  </si>
  <si>
    <t xml:space="preserve">Commuter car park | Wheelchair accessible car space | Taxi rank | Bike lockers | Toilets | Wheelchair accessible toilet | Baby change table | Emergency help point | Payphone | Opal card top up or single trip ticket machine (Cash or Card Payment)</t>
  </si>
  <si>
    <t xml:space="preserve">02 4423 0141</t>
  </si>
  <si>
    <t xml:space="preserve">Bombala Coach Stop</t>
  </si>
  <si>
    <t xml:space="preserve">263226</t>
  </si>
  <si>
    <t xml:space="preserve">10102793</t>
  </si>
  <si>
    <t xml:space="preserve">Forbes St at Maybe St, Bombala NSW 2632</t>
  </si>
  <si>
    <t xml:space="preserve">Bombo Station</t>
  </si>
  <si>
    <t xml:space="preserve">253320</t>
  </si>
  <si>
    <t xml:space="preserve">10101385</t>
  </si>
  <si>
    <t xml:space="preserve">Princes Hwy, Bombo NSW 2533</t>
  </si>
  <si>
    <t xml:space="preserve">Commuter car park | Wheelchair accessible car space | Emergency help point | Information point | Payphone | No Opal card top up or single trip ticket sales</t>
  </si>
  <si>
    <t xml:space="preserve">This location is Independent Access | Wheelchair ramp boarding assistance | PA system for announcements | Platform edge tactiles | Stairs</t>
  </si>
  <si>
    <t xml:space="preserve">02 4223 5613</t>
  </si>
  <si>
    <t xml:space="preserve">Bondi Junction Station</t>
  </si>
  <si>
    <t xml:space="preserve">202210</t>
  </si>
  <si>
    <t xml:space="preserve">10101109</t>
  </si>
  <si>
    <t xml:space="preserve">Grafton St, Bondi Junction NSW 2022</t>
  </si>
  <si>
    <t xml:space="preserve">Taxi rank | Bike racks | Bike lockers | Toilets | Wheelchair accessible toilet | Baby change table | Emergency help point | Payphone | Next service display | Opal card top up or single trip ticket machine (Cash or Card Payment) | Opal card top up machine (Card Payment only) | Free mobile phone charging</t>
  </si>
  <si>
    <t xml:space="preserve">02 9379 4843</t>
  </si>
  <si>
    <t xml:space="preserve">Booragul Station</t>
  </si>
  <si>
    <t xml:space="preserve">228410</t>
  </si>
  <si>
    <t xml:space="preserve">10101152</t>
  </si>
  <si>
    <t xml:space="preserve">Station St, Booragul NSW 2284</t>
  </si>
  <si>
    <t xml:space="preserve">This location is Not Accessible | Wheelchair ramp boarding assistance | Hearing loop | PA system for announcements | Platform edge tactiles | Stairs</t>
  </si>
  <si>
    <t xml:space="preserve">02 4962 9437</t>
  </si>
  <si>
    <t xml:space="preserve">Booral Coach Stop</t>
  </si>
  <si>
    <t xml:space="preserve">2425102</t>
  </si>
  <si>
    <t xml:space="preserve">10102779</t>
  </si>
  <si>
    <t xml:space="preserve">The Bucketts Way at Booral Rd, Booral NSW 2425</t>
  </si>
  <si>
    <t xml:space="preserve">Boorowa Coach Stop</t>
  </si>
  <si>
    <t xml:space="preserve">2586229</t>
  </si>
  <si>
    <t xml:space="preserve">10102869</t>
  </si>
  <si>
    <t xml:space="preserve">Boorowa Court House, Marsden Street, Boorowa NSW 2586</t>
  </si>
  <si>
    <t xml:space="preserve">Boppy Mountain Coach Stop</t>
  </si>
  <si>
    <t xml:space="preserve">283517</t>
  </si>
  <si>
    <t xml:space="preserve">10102605</t>
  </si>
  <si>
    <t xml:space="preserve">Barrier Hwy after Booroomugga Rd, Canbelego NSW 2835</t>
  </si>
  <si>
    <t xml:space="preserve">Bourke Coach Stop</t>
  </si>
  <si>
    <t xml:space="preserve">284013</t>
  </si>
  <si>
    <t xml:space="preserve">10102612</t>
  </si>
  <si>
    <t xml:space="preserve">Central Park, Oxley St, Bourke NSW 2840</t>
  </si>
  <si>
    <t xml:space="preserve">Bowning Coach Stop</t>
  </si>
  <si>
    <t xml:space="preserve">2582144</t>
  </si>
  <si>
    <t xml:space="preserve">10102805</t>
  </si>
  <si>
    <t xml:space="preserve">Leake St opp Playfair St, Bowning NSW 2582</t>
  </si>
  <si>
    <t xml:space="preserve">Bowral Station</t>
  </si>
  <si>
    <t xml:space="preserve">257610</t>
  </si>
  <si>
    <t xml:space="preserve">10101306</t>
  </si>
  <si>
    <t xml:space="preserve">Station St, Bowral NSW 2576</t>
  </si>
  <si>
    <t xml:space="preserve">Commuter car park | Wheelchair accessible car space | Kiss and ride stopping area | Taxi rank | Toilets | Wheelchair accessible toilet | Baby change table | Emergency help point | Information point | Payphone | Opal card top up or single trip ticket machine (Card Payment only)</t>
  </si>
  <si>
    <t xml:space="preserve">02 4861 2045</t>
  </si>
  <si>
    <t xml:space="preserve">Branxton Station</t>
  </si>
  <si>
    <t xml:space="preserve">233510</t>
  </si>
  <si>
    <t xml:space="preserve">10101189</t>
  </si>
  <si>
    <t xml:space="preserve">Railway St, Branxton NSW 2335</t>
  </si>
  <si>
    <t xml:space="preserve">Bredbo Coach Stop</t>
  </si>
  <si>
    <t xml:space="preserve">262614</t>
  </si>
  <si>
    <t xml:space="preserve">10102799</t>
  </si>
  <si>
    <t xml:space="preserve">Service Station,Monaro Hwy, Bredbo NSW 2626</t>
  </si>
  <si>
    <t xml:space="preserve">Brewarrina Barwon 4 Coach Stop</t>
  </si>
  <si>
    <t xml:space="preserve">283951</t>
  </si>
  <si>
    <t xml:space="preserve">10102863</t>
  </si>
  <si>
    <t xml:space="preserve">Kamilaroi Hwy, Brewarrina NSW 2839</t>
  </si>
  <si>
    <t xml:space="preserve">Brewarrina Billabong Coach Stop</t>
  </si>
  <si>
    <t xml:space="preserve">283948</t>
  </si>
  <si>
    <t xml:space="preserve">10102860</t>
  </si>
  <si>
    <t xml:space="preserve">Park St, Brewarrina NSW 2839</t>
  </si>
  <si>
    <t xml:space="preserve">Brewarrina Bush Queen Village Coach Stop</t>
  </si>
  <si>
    <t xml:space="preserve">283949</t>
  </si>
  <si>
    <t xml:space="preserve">10102861</t>
  </si>
  <si>
    <t xml:space="preserve">Park Av, Brewarrina NSW 2839</t>
  </si>
  <si>
    <t xml:space="preserve">Brewarrina Coach Stop</t>
  </si>
  <si>
    <t xml:space="preserve">283914</t>
  </si>
  <si>
    <t xml:space="preserve">10102616</t>
  </si>
  <si>
    <t xml:space="preserve">Belmore St after Bathurst St, Brewarrina NSW 2839</t>
  </si>
  <si>
    <t xml:space="preserve">Brewarrina Newtown Coach Stop</t>
  </si>
  <si>
    <t xml:space="preserve">283950</t>
  </si>
  <si>
    <t xml:space="preserve">10102862</t>
  </si>
  <si>
    <t xml:space="preserve">Naveena St, Brewarrina NSW 2839</t>
  </si>
  <si>
    <t xml:space="preserve">Bridge Street Light Rail</t>
  </si>
  <si>
    <t xml:space="preserve">2000177</t>
  </si>
  <si>
    <t xml:space="preserve">10101601</t>
  </si>
  <si>
    <t xml:space="preserve">George St, Sydney NSW 2000</t>
  </si>
  <si>
    <t xml:space="preserve">Light rail, Taxi</t>
  </si>
  <si>
    <t xml:space="preserve">Bike racks | Emergency help point | Next service display | Opal card top up or single trip ticket machine (Card Payment only)</t>
  </si>
  <si>
    <t xml:space="preserve">This location is Independent Access | Hearing loop | Platform edge tactiles | Level crossing</t>
  </si>
  <si>
    <t xml:space="preserve">Brisbane (Roma Street) Station</t>
  </si>
  <si>
    <t xml:space="preserve">40001</t>
  </si>
  <si>
    <t xml:space="preserve">10101828</t>
  </si>
  <si>
    <t xml:space="preserve">Roma St, Brisbane QLD 4000</t>
  </si>
  <si>
    <t xml:space="preserve">Train, Coach</t>
  </si>
  <si>
    <t xml:space="preserve">Broadmeadow Station</t>
  </si>
  <si>
    <t xml:space="preserve">229210</t>
  </si>
  <si>
    <t xml:space="preserve">10101160</t>
  </si>
  <si>
    <t xml:space="preserve">Graham Rd, Broadmeadow NSW 2292</t>
  </si>
  <si>
    <t xml:space="preserve">Commuter car park | Wheelchair accessible car space | Kiss and ride stopping area | Taxi rank | Bike racks | Wheelchair accessible toilet | Baby change table | Emergency help point | Information point | Payphone | Next service display | Opal card top up or single trip ticket machine (Cash or Card Payment)</t>
  </si>
  <si>
    <t xml:space="preserve">02 4962 9122</t>
  </si>
  <si>
    <t xml:space="preserve">Broadwater Coach Stop</t>
  </si>
  <si>
    <t xml:space="preserve">247296</t>
  </si>
  <si>
    <t xml:space="preserve">10102755</t>
  </si>
  <si>
    <t xml:space="preserve">Pacific Hwy after Mathers Lane, Broadwater NSW 2472</t>
  </si>
  <si>
    <t xml:space="preserve">Broken Hill Station</t>
  </si>
  <si>
    <t xml:space="preserve">28801</t>
  </si>
  <si>
    <t xml:space="preserve">10101800</t>
  </si>
  <si>
    <t xml:space="preserve">Crystal St, Broken Hill NSW 2880</t>
  </si>
  <si>
    <t xml:space="preserve">Commuter car park | Wheelchair accessible car space | Kiss and ride stopping area | Taxi rank | Toilets | Wheelchair accessible toilet | Emergency help point | Information point</t>
  </si>
  <si>
    <t xml:space="preserve">This location is Independent Access | Wheelchair ramp boarding assistance | Hearing loop | PA system for announcements | Stairs</t>
  </si>
  <si>
    <t xml:space="preserve">Broken Hill Town Coach Stop</t>
  </si>
  <si>
    <t xml:space="preserve">2880115</t>
  </si>
  <si>
    <t xml:space="preserve">10102601</t>
  </si>
  <si>
    <t xml:space="preserve">Broken Hill Visitor Information Centre, Bromide St, Broken Hill NSW 2880</t>
  </si>
  <si>
    <t xml:space="preserve">Brunswick Heads Coach Stop</t>
  </si>
  <si>
    <t xml:space="preserve">248376</t>
  </si>
  <si>
    <t xml:space="preserve">10102737</t>
  </si>
  <si>
    <t xml:space="preserve">Brunswick Heads Information Centre, Park St, Brunswick Heads NSW 2483</t>
  </si>
  <si>
    <t xml:space="preserve">Bullaburra Station</t>
  </si>
  <si>
    <t xml:space="preserve">278410</t>
  </si>
  <si>
    <t xml:space="preserve">10101265</t>
  </si>
  <si>
    <t xml:space="preserve">Great Western Hwy, Bullaburra NSW 2784</t>
  </si>
  <si>
    <t xml:space="preserve">Commuter car park | Wheelchair accessible car space | Kiss and ride stopping area | Bike racks | Wheelchair accessible toilet | Baby change table | Emergency help point | Information point | Payphone | No Opal card top up or single trip ticket sales</t>
  </si>
  <si>
    <t xml:space="preserve">02 4759 1052</t>
  </si>
  <si>
    <t xml:space="preserve">Bulli Station</t>
  </si>
  <si>
    <t xml:space="preserve">251610</t>
  </si>
  <si>
    <t xml:space="preserve">10101365</t>
  </si>
  <si>
    <t xml:space="preserve">Railway St, Bulli NSW 2516</t>
  </si>
  <si>
    <t xml:space="preserve">Commuter car park | Wheelchair accessible car space | Kiss and ride stopping area | Taxi rank | Bike racks | Wheelchair accessible toilet | Baby change table | Emergency help point | Payphone | No Opal card top up or single trip ticket sales</t>
  </si>
  <si>
    <t xml:space="preserve">This location is Independent Access | Wheelchair ramp boarding assistance | Hearing loop | PA system for announcements | Platform edge tactiles | Lift</t>
  </si>
  <si>
    <t xml:space="preserve">02 4223 5577</t>
  </si>
  <si>
    <t xml:space="preserve">Bumbaldry Coach Stop</t>
  </si>
  <si>
    <t xml:space="preserve">2794107</t>
  </si>
  <si>
    <t xml:space="preserve">10102646</t>
  </si>
  <si>
    <t xml:space="preserve">Tyagong Creek Rest Area, Mid Western Hwy, Bumbaldry NSW 2794</t>
  </si>
  <si>
    <t xml:space="preserve">Bundanoon Station</t>
  </si>
  <si>
    <t xml:space="preserve">257810</t>
  </si>
  <si>
    <t xml:space="preserve">10101310</t>
  </si>
  <si>
    <t xml:space="preserve">Railway Ave, Bundanoon NSW 2578</t>
  </si>
  <si>
    <t xml:space="preserve">Commuter car park | Toilets | Emergency help point | No Opal card top up or single trip ticket sales</t>
  </si>
  <si>
    <t xml:space="preserve">This location is Assisted Access | Wheelchair ramp boarding assistance | Hearing loop | PA system for announcements | Platform edge tactiles | Level crossing</t>
  </si>
  <si>
    <t xml:space="preserve">02 4868 1115</t>
  </si>
  <si>
    <t xml:space="preserve">Bundarra Coach Stop</t>
  </si>
  <si>
    <t xml:space="preserve">235912</t>
  </si>
  <si>
    <t xml:space="preserve">10102707</t>
  </si>
  <si>
    <t xml:space="preserve">Bendemeer St at Oliver St, Bundarra NSW 2359</t>
  </si>
  <si>
    <t xml:space="preserve">Bungendore Station</t>
  </si>
  <si>
    <t xml:space="preserve">26211</t>
  </si>
  <si>
    <t xml:space="preserve">10101865</t>
  </si>
  <si>
    <t xml:space="preserve">Majara St, Bungendore NSW 2621</t>
  </si>
  <si>
    <t xml:space="preserve">Commuter car park | Toilets | Wheelchair accessible toilet | Baby change table | Emergency help point | Information point</t>
  </si>
  <si>
    <t xml:space="preserve">Burleigh Heads Coach Stop</t>
  </si>
  <si>
    <t xml:space="preserve">300017</t>
  </si>
  <si>
    <t xml:space="preserve">10102904</t>
  </si>
  <si>
    <t xml:space="preserve">Burleigh Heads Bowling Club, Gold Coast Hwy, Burleigh Heads QLD 4220</t>
  </si>
  <si>
    <t xml:space="preserve">Buronga Coach Stop</t>
  </si>
  <si>
    <t xml:space="preserve">273912</t>
  </si>
  <si>
    <t xml:space="preserve">10102852</t>
  </si>
  <si>
    <t xml:space="preserve">Hendy Rd at Murray Way, Buronga NSW 2739</t>
  </si>
  <si>
    <t xml:space="preserve">Burradoo Station</t>
  </si>
  <si>
    <t xml:space="preserve">257620</t>
  </si>
  <si>
    <t xml:space="preserve">10101307</t>
  </si>
  <si>
    <t xml:space="preserve">Station St, Burradoo NSW 2576</t>
  </si>
  <si>
    <t xml:space="preserve">Commuter car park | Wheelchair accessible car space | Emergency help point | Payphone | No Opal card top up or single trip ticket sales</t>
  </si>
  <si>
    <t xml:space="preserve">Burrawang Coach Stop</t>
  </si>
  <si>
    <t xml:space="preserve">2577242</t>
  </si>
  <si>
    <t xml:space="preserve">10102784</t>
  </si>
  <si>
    <t xml:space="preserve">Burrawang General Store, Hoddle St, Burrawang NSW 2577</t>
  </si>
  <si>
    <t xml:space="preserve">Burrell Creek Coach Stop</t>
  </si>
  <si>
    <t xml:space="preserve">2429648</t>
  </si>
  <si>
    <t xml:space="preserve">10102770</t>
  </si>
  <si>
    <t xml:space="preserve">The Bucketts Way, Burrell Creek NSW 2429</t>
  </si>
  <si>
    <t xml:space="preserve">Burren Junction Coach Stop</t>
  </si>
  <si>
    <t xml:space="preserve">238614</t>
  </si>
  <si>
    <t xml:space="preserve">10102688</t>
  </si>
  <si>
    <t xml:space="preserve">Alma St after Wateloo St, Burren Junction NSW 2386</t>
  </si>
  <si>
    <t xml:space="preserve">Burringbar Coach Stop</t>
  </si>
  <si>
    <t xml:space="preserve">248377</t>
  </si>
  <si>
    <t xml:space="preserve">10102729</t>
  </si>
  <si>
    <t xml:space="preserve">Tweed Valley Way at Cudgera Creek Rd, Burringbar NSW 2483</t>
  </si>
  <si>
    <t xml:space="preserve">Burwood Station</t>
  </si>
  <si>
    <t xml:space="preserve">213410</t>
  </si>
  <si>
    <t xml:space="preserve">10101207</t>
  </si>
  <si>
    <t xml:space="preserve">Railway Pde, Burwood NSW 2134</t>
  </si>
  <si>
    <t xml:space="preserve">Kiss and ride stopping area | Taxi rank | Bike racks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</si>
  <si>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02 9752 8734</t>
  </si>
  <si>
    <t xml:space="preserve">Byrock Coach Stop</t>
  </si>
  <si>
    <t xml:space="preserve">283155</t>
  </si>
  <si>
    <t xml:space="preserve">10102613</t>
  </si>
  <si>
    <t xml:space="preserve">Mitchell Hwy opp Byrock Post Office, Byrock NSW 2831</t>
  </si>
  <si>
    <t xml:space="preserve">Byron Bay Interchange</t>
  </si>
  <si>
    <t xml:space="preserve">248149</t>
  </si>
  <si>
    <t xml:space="preserve">10102739</t>
  </si>
  <si>
    <t xml:space="preserve">Byron Bay Interchange, Butler St, Byron Bay NSW 2481</t>
  </si>
  <si>
    <t xml:space="preserve">Bus, Coach, Taxi</t>
  </si>
  <si>
    <t xml:space="preserve">Toilets | Wheelchair accessible toilet | Kiss and ride stopping area | Taxi rank | Bike racks | Baby change table | Commuter car park</t>
  </si>
  <si>
    <t xml:space="preserve">This location is Independent Access | Platform edge tactiles</t>
  </si>
  <si>
    <t xml:space="preserve">Cabarita Wharf</t>
  </si>
  <si>
    <t xml:space="preserve">21371</t>
  </si>
  <si>
    <t xml:space="preserve">10102031</t>
  </si>
  <si>
    <t xml:space="preserve">Cabarita Rd, Cabarita NSW 2137</t>
  </si>
  <si>
    <t xml:space="preserve">Wheelchair accessible car space | Kiss and ride stopping area | Bike racks | Bike lockers | Emergency help point | Payphone | Next service display | Opal card top up or single trip ticket machine (Card Payment only)</t>
  </si>
  <si>
    <t xml:space="preserve">Cabramatta Station</t>
  </si>
  <si>
    <t xml:space="preserve">216620</t>
  </si>
  <si>
    <t xml:space="preserve">10101287</t>
  </si>
  <si>
    <t xml:space="preserve">Railway Pde, Cabramatta NSW 2166</t>
  </si>
  <si>
    <t xml:space="preserve">Commuter car park | Wheelchair accessible car space | Kiss and ride stopping area | Taxi rank | Bike racks | Toilets | Wheelchair accessible toilet | Baby change table | Emergency help point | Payphone | Next service display | Opal card top up or single trip ticket machine (Cash or Card Payment)</t>
  </si>
  <si>
    <t xml:space="preserve">02 9765 1644</t>
  </si>
  <si>
    <t xml:space="preserve">Campbelltown Station</t>
  </si>
  <si>
    <t xml:space="preserve">256020</t>
  </si>
  <si>
    <t xml:space="preserve">10101296</t>
  </si>
  <si>
    <t xml:space="preserve">Hurley St, Campbelltown NSW 2560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</si>
  <si>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(Cash or Card Payment) | Free mobile phone charging</t>
  </si>
  <si>
    <t xml:space="preserve">02 4629 0721</t>
  </si>
  <si>
    <t xml:space="preserve">Campsie Station</t>
  </si>
  <si>
    <t xml:space="preserve">219410</t>
  </si>
  <si>
    <t xml:space="preserve">10101396</t>
  </si>
  <si>
    <t xml:space="preserve">Beamish St, Campsie NSW 2194</t>
  </si>
  <si>
    <t xml:space="preserve">Commuter car park | Wheelchair accessible car space | Kiss and ride stopping area | Bike racks | Toilets | Wheelchair accessible toilet | Baby change table | Emergency help point | Payphone | Next service display</t>
  </si>
  <si>
    <t xml:space="preserve">02 9563 7440</t>
  </si>
  <si>
    <t xml:space="preserve">Canberra Airport</t>
  </si>
  <si>
    <t xml:space="preserve">3353</t>
  </si>
  <si>
    <t xml:space="preserve">10102917</t>
  </si>
  <si>
    <t xml:space="preserve">Terminal Ave, Majura ACT 2609</t>
  </si>
  <si>
    <t xml:space="preserve">This location is Independent Access |</t>
  </si>
  <si>
    <t xml:space="preserve">Canberra Calvary Hospital Bruce</t>
  </si>
  <si>
    <t xml:space="preserve">4803</t>
  </si>
  <si>
    <t xml:space="preserve">10102914</t>
  </si>
  <si>
    <t xml:space="preserve">Haydon Dr opp Mary Potter Cct, Bruce ACT 2617</t>
  </si>
  <si>
    <t xml:space="preserve">Canberra Civic Coach Stop</t>
  </si>
  <si>
    <t xml:space="preserve">26011</t>
  </si>
  <si>
    <t xml:space="preserve">10102913</t>
  </si>
  <si>
    <t xml:space="preserve">Canberra House, West Row, Canberra ACT 2601</t>
  </si>
  <si>
    <t xml:space="preserve">Canberra Hospital Coach Stop</t>
  </si>
  <si>
    <t xml:space="preserve">2264</t>
  </si>
  <si>
    <t xml:space="preserve">10102910</t>
  </si>
  <si>
    <t xml:space="preserve">Garran PS, Gilmore Cr, Garran ACT 2605</t>
  </si>
  <si>
    <t xml:space="preserve">Canberra John James Hospital Coach Stop</t>
  </si>
  <si>
    <t xml:space="preserve">26001</t>
  </si>
  <si>
    <t xml:space="preserve">10102912</t>
  </si>
  <si>
    <t xml:space="preserve">Strickland Cres, Deakin ACT 2600</t>
  </si>
  <si>
    <t xml:space="preserve">Canberra Station</t>
  </si>
  <si>
    <t xml:space="preserve">26041</t>
  </si>
  <si>
    <t xml:space="preserve">10101863</t>
  </si>
  <si>
    <t xml:space="preserve">Burke Cres, Kingston ACT 2604</t>
  </si>
  <si>
    <t xml:space="preserve">Canberra University</t>
  </si>
  <si>
    <t xml:space="preserve">4801</t>
  </si>
  <si>
    <t xml:space="preserve">10102915</t>
  </si>
  <si>
    <t xml:space="preserve">Bimbimbie St after Corinda St, Bruce ACT 2617</t>
  </si>
  <si>
    <t xml:space="preserve">Canley Vale Station</t>
  </si>
  <si>
    <t xml:space="preserve">216610</t>
  </si>
  <si>
    <t xml:space="preserve">10101286</t>
  </si>
  <si>
    <t xml:space="preserve">Railway Pde, Canley Vale NSW 2166</t>
  </si>
  <si>
    <t xml:space="preserve">Commuter car park | Wheelchair accessible car space | Kiss and ride stopping area | Taxi rank | Bike racks | Toilets | Wheelchair accessible toilet | Baby change table | Emergency help point | Next service display | Opal card top up or single trip ticket machine (Cash or Card Payment)</t>
  </si>
  <si>
    <t xml:space="preserve">02 9765 1102</t>
  </si>
  <si>
    <t xml:space="preserve">Canowindra Coach Stop</t>
  </si>
  <si>
    <t xml:space="preserve">280431</t>
  </si>
  <si>
    <t xml:space="preserve">10102644</t>
  </si>
  <si>
    <t xml:space="preserve">Museum Memorial Park, Blatchford St, Canowindra NSW 2804</t>
  </si>
  <si>
    <t xml:space="preserve">Canterbury Station</t>
  </si>
  <si>
    <t xml:space="preserve">219320</t>
  </si>
  <si>
    <t xml:space="preserve">10101395</t>
  </si>
  <si>
    <t xml:space="preserve">Canterbury Rd, Canterbury NSW 2193</t>
  </si>
  <si>
    <t xml:space="preserve">Bus</t>
  </si>
  <si>
    <t xml:space="preserve">Commuter car park | Wheelchair accessible car space | Kiss and ride stopping area | Bike racks | Bike lockers | Toilets | Wheelchair accessible toilet | Baby change table | Emergency help point | Next service display</t>
  </si>
  <si>
    <t xml:space="preserve">02 9563 7678</t>
  </si>
  <si>
    <t xml:space="preserve">Capertee Coach Stop</t>
  </si>
  <si>
    <t xml:space="preserve">284612</t>
  </si>
  <si>
    <t xml:space="preserve">10102682</t>
  </si>
  <si>
    <t xml:space="preserve">Castlereagh Hwy opp Glen Davis Rd, Capertee NSW 2846</t>
  </si>
  <si>
    <t xml:space="preserve">Capitol Square Light Rail</t>
  </si>
  <si>
    <t xml:space="preserve">2000200</t>
  </si>
  <si>
    <t xml:space="preserve">10101642</t>
  </si>
  <si>
    <t xml:space="preserve">Hay St, Haymarket NSW 2000</t>
  </si>
  <si>
    <t xml:space="preserve">This location is Independent Access | PA system for announcements | Platform edge tactiles</t>
  </si>
  <si>
    <t xml:space="preserve">Carcoar Coach Stop</t>
  </si>
  <si>
    <t xml:space="preserve">279124</t>
  </si>
  <si>
    <t xml:space="preserve">10102651</t>
  </si>
  <si>
    <t xml:space="preserve">Icely St opp South Belubula St, Carcoar NSW 2791</t>
  </si>
  <si>
    <t xml:space="preserve">Cardiff Station</t>
  </si>
  <si>
    <t xml:space="preserve">228520</t>
  </si>
  <si>
    <t xml:space="preserve">10101157</t>
  </si>
  <si>
    <t xml:space="preserve">Main Rd, Cardiff NSW 2285</t>
  </si>
  <si>
    <t xml:space="preserve">Commuter car park | Wheelchair accessible car space | Kiss and ride stopping area | Taxi rank | Bike racks | Wheelchair accessible toilet | Baby change table | Emergency help point | Payphone | Opal card top up or single trip ticket machine (Cash or Card Payment)</t>
  </si>
  <si>
    <t xml:space="preserve">Caringbah Station</t>
  </si>
  <si>
    <t xml:space="preserve">222910</t>
  </si>
  <si>
    <t xml:space="preserve">10101349</t>
  </si>
  <si>
    <t xml:space="preserve">The Kingsway, Caringbah NSW 2229</t>
  </si>
  <si>
    <t xml:space="preserve">Commuter car park | Wheelchair accessible car space | Kiss and ride stopping area | Taxi rank | Bike racks | Bike shed | Toilets | Wheelchair accessible toilet (MLAK) | Baby change table | Emergency help point | Payphone | Next service display | Opal card top up or single trip ticket machine (Card Payment only)</t>
  </si>
  <si>
    <t xml:space="preserve">02 9522 1249</t>
  </si>
  <si>
    <t xml:space="preserve">Carlingford Light Rail</t>
  </si>
  <si>
    <t xml:space="preserve">2118249</t>
  </si>
  <si>
    <t xml:space="preserve">10101701</t>
  </si>
  <si>
    <t xml:space="preserve">Lloyds Ave, Carlingford NSW 2118</t>
  </si>
  <si>
    <t xml:space="preserve">Bike racks | Kiss and ride stopping area | No Opal card top up or single trip ticket sales | Wheelchair accessible toilet | Baby change table | Emergency help point | Multi-modal next service display</t>
  </si>
  <si>
    <t xml:space="preserve">This location is Independent Access | Stairs | Level crossing | Hearing loop | Platform edge tactiles | PA system for announcements</t>
  </si>
  <si>
    <t xml:space="preserve">Carlton Station</t>
  </si>
  <si>
    <t xml:space="preserve">221810</t>
  </si>
  <si>
    <t xml:space="preserve">10101337</t>
  </si>
  <si>
    <t xml:space="preserve">Railway Pde, Carlton NSW 2218</t>
  </si>
  <si>
    <t xml:space="preserve">Commuter car park | Wheelchair accessible car space | Kiss and ride stopping area | Taxi rank | Toilets | Wheelchair accessible toilet | Baby change table | Emergency help point | Payphone | Next service display | Opal card top up or single trip ticket machine (Card Payment only)</t>
  </si>
  <si>
    <t xml:space="preserve">02 9563 7612</t>
  </si>
  <si>
    <t xml:space="preserve">Carramar Station</t>
  </si>
  <si>
    <t xml:space="preserve">216330</t>
  </si>
  <si>
    <t xml:space="preserve">10101408</t>
  </si>
  <si>
    <t xml:space="preserve">Wattle Ave, Carramar NSW 2163</t>
  </si>
  <si>
    <t xml:space="preserve">Commuter car park | Wheelchair accessible car space | Kiss and ride stopping area | Bike racks | Toilets | Emergency help point | Payphone | Next service display | Opal card top up or single trip ticket machine (Cash or Card Payment)</t>
  </si>
  <si>
    <t xml:space="preserve">02 9765 1168</t>
  </si>
  <si>
    <t xml:space="preserve">Carrathool turnoff Coach Stop</t>
  </si>
  <si>
    <t xml:space="preserve">271118</t>
  </si>
  <si>
    <t xml:space="preserve">10102856</t>
  </si>
  <si>
    <t xml:space="preserve">Sturt Hwy at Carrathool Rd, Carrathool NSW 2711</t>
  </si>
  <si>
    <t xml:space="preserve">Carroll Coach Stop</t>
  </si>
  <si>
    <t xml:space="preserve">23401752</t>
  </si>
  <si>
    <t xml:space="preserve">10102662</t>
  </si>
  <si>
    <t xml:space="preserve">Breeza St, Carroll NSW 2340</t>
  </si>
  <si>
    <t xml:space="preserve">Casino Station</t>
  </si>
  <si>
    <t xml:space="preserve">24701</t>
  </si>
  <si>
    <t xml:space="preserve">10101830</t>
  </si>
  <si>
    <t xml:space="preserve">Canterbury St, Casino NSW 2470</t>
  </si>
  <si>
    <t xml:space="preserve">Commuter car park | Wheelchair accessible car space | Kiss and ride stopping area | Taxi rank | Toilets | Wheelchair accessible toilet | Baby change table | Emergency help point | Information point | Payphone | Next service display</t>
  </si>
  <si>
    <t xml:space="preserve">Castle Hill Station</t>
  </si>
  <si>
    <t xml:space="preserve">2154391</t>
  </si>
  <si>
    <t xml:space="preserve">10101506</t>
  </si>
  <si>
    <t xml:space="preserve">Old Northern Rd, Castle Hill NSW 2154</t>
  </si>
  <si>
    <t xml:space="preserve">Bike shed | Bike racks | Kiss and ride stopping area | Taxi rank | Opal card top up or single trip ticket machine (Cash or Card Payment) | Toilets | Wheelchair accessible toilet | Emergency help point | Payphone</t>
  </si>
  <si>
    <t xml:space="preserve">Casula Station</t>
  </si>
  <si>
    <t xml:space="preserve">217030</t>
  </si>
  <si>
    <t xml:space="preserve">10101290</t>
  </si>
  <si>
    <t xml:space="preserve">Rushton Pl, Casula NSW 2170</t>
  </si>
  <si>
    <t xml:space="preserve">Commuter car park | Wheelchair accessible car space | Kiss and ride stopping area | Emergency help point | Information point | Next service display | No Opal card top up or single trip ticket sales</t>
  </si>
  <si>
    <t xml:space="preserve">02 9765 1655</t>
  </si>
  <si>
    <t xml:space="preserve">Central Station</t>
  </si>
  <si>
    <t xml:space="preserve">200060</t>
  </si>
  <si>
    <t xml:space="preserve">10101100</t>
  </si>
  <si>
    <t xml:space="preserve">Eddy Ave, Haymarket NSW 2000</t>
  </si>
  <si>
    <t xml:space="preserve">Metro, Train, Bus, Light rail, Taxi</t>
  </si>
  <si>
    <t xml:space="preserve">Wheelchair accessible car space | Kiss and ride stopping area | Taxi rank | Bike racks | Toilets | Wheelchair accessible toilet | Wheelchair accessible toilet (MLAK) | Baby change table | Emergency help point | Payphone | Next service display | Luggage storage | Opal card top up or single trip ticket machine (Cash or Card Payment) | Opal card top up machine (Card Payment only) | Free mobile phone charging</t>
  </si>
  <si>
    <t xml:space="preserve">This location is Independent Access | Wheelchair ramp boarding assistance | PA system for announcements | Platform edge tactiles | Stairs | Lift | Escalator</t>
  </si>
  <si>
    <t xml:space="preserve">02 9379 1777</t>
  </si>
  <si>
    <t xml:space="preserve">Charbon Coach Stop</t>
  </si>
  <si>
    <t xml:space="preserve">284812</t>
  </si>
  <si>
    <t xml:space="preserve">10102678</t>
  </si>
  <si>
    <t xml:space="preserve">Cooper Dr opp Cement Ave, Charbon NSW 2848</t>
  </si>
  <si>
    <t xml:space="preserve">Chatswood Station</t>
  </si>
  <si>
    <t xml:space="preserve">206710</t>
  </si>
  <si>
    <t xml:space="preserve">10101117</t>
  </si>
  <si>
    <t xml:space="preserve">Cnr Railway St &amp; Victoria Ave, Chatswood NSW 2067</t>
  </si>
  <si>
    <t xml:space="preserve">Metro, Train, Bus, Taxi</t>
  </si>
  <si>
    <t xml:space="preserve">Bike lockers | Bike racks | Emergency help point | Kiss and ride stopping area | Payphone | Opal card top up or single trip ticket machine (Cash or Card Payment) | Toilets | Wheelchair accessible payphone | Wheelchair accessible toilet (MLAK) | Baby change table | Taxi rank | Next service display | Free mobile phone charging</t>
  </si>
  <si>
    <t xml:space="preserve">This location is Independent Access | Escalator | Hearing loop | Lift | Wheelchair ramp boarding assistance | Stairs | Platform edge tactiles | PA system for announcements</t>
  </si>
  <si>
    <t xml:space="preserve">02 9379 3311</t>
  </si>
  <si>
    <t xml:space="preserve">Chatsworth Island Coach Stop</t>
  </si>
  <si>
    <t xml:space="preserve">246972</t>
  </si>
  <si>
    <t xml:space="preserve">10102760</t>
  </si>
  <si>
    <t xml:space="preserve">Chatsworth Rd opp Chatsworth Island General Store, Chatsworth NSW 2469</t>
  </si>
  <si>
    <t xml:space="preserve">Cheltenham Station</t>
  </si>
  <si>
    <t xml:space="preserve">211920</t>
  </si>
  <si>
    <t xml:space="preserve">10101198</t>
  </si>
  <si>
    <t xml:space="preserve">Sutherland Rd, Cheltenham NSW 2119</t>
  </si>
  <si>
    <t xml:space="preserve">02 9847 8417</t>
  </si>
  <si>
    <t xml:space="preserve">Cherrybrook Station</t>
  </si>
  <si>
    <t xml:space="preserve">2126158</t>
  </si>
  <si>
    <t xml:space="preserve">10101507</t>
  </si>
  <si>
    <t xml:space="preserve">Bradfield Pde, Cherrybrook NSW 2126</t>
  </si>
  <si>
    <t xml:space="preserve">This location is Independent Access | Lift | Hearing loop | Wheelchair ramp boarding assistance | Platform edge tactiles | PA system for announcements | Stairs</t>
  </si>
  <si>
    <t xml:space="preserve">Chester Hill Station</t>
  </si>
  <si>
    <t xml:space="preserve">216220</t>
  </si>
  <si>
    <t xml:space="preserve">10101405</t>
  </si>
  <si>
    <t xml:space="preserve">Chester Hill Rd, Chester Hill NSW 2162</t>
  </si>
  <si>
    <t xml:space="preserve">Kiss and ride stopping area | Taxi rank | Bike racks | Toilets | Emergency help point | Payphone | Next service display | Opal card top up or single trip ticket machine (Cash or Card Payment)</t>
  </si>
  <si>
    <t xml:space="preserve">02 9379 7703</t>
  </si>
  <si>
    <t xml:space="preserve">Children's Hospital Light Rail</t>
  </si>
  <si>
    <t xml:space="preserve">2145553</t>
  </si>
  <si>
    <t xml:space="preserve">10101714</t>
  </si>
  <si>
    <t xml:space="preserve">Hainsworth St, Westmead NSW 2145</t>
  </si>
  <si>
    <t xml:space="preserve">Bike racks | Opal card top up or single trip ticket machine (Cash or Card Payment) | Next service display | Emergency help point</t>
  </si>
  <si>
    <t xml:space="preserve">Chinatown Light Rail</t>
  </si>
  <si>
    <t xml:space="preserve">2000169</t>
  </si>
  <si>
    <t xml:space="preserve">10101605</t>
  </si>
  <si>
    <t xml:space="preserve">George St, Haymarket NSW 2000</t>
  </si>
  <si>
    <t xml:space="preserve">Chinderah Coach Stop</t>
  </si>
  <si>
    <t xml:space="preserve">2487106</t>
  </si>
  <si>
    <t xml:space="preserve">10102727</t>
  </si>
  <si>
    <t xml:space="preserve">Oxley Park, Chindera Bay Dr, Chinderah NSW 2487</t>
  </si>
  <si>
    <t xml:space="preserve">Chiswick Wharf</t>
  </si>
  <si>
    <t xml:space="preserve">2046159</t>
  </si>
  <si>
    <t xml:space="preserve">10102012</t>
  </si>
  <si>
    <t xml:space="preserve">Bortfield Dr, Chiswick NSW 2046</t>
  </si>
  <si>
    <t xml:space="preserve">Wheelchair accessible car space | Kiss and ride stopping area | Bike racks | Emergency help point | Next service display | No Opal card top up or single trip ticket sales</t>
  </si>
  <si>
    <t xml:space="preserve">Church Street Light Rail</t>
  </si>
  <si>
    <t xml:space="preserve">2150135</t>
  </si>
  <si>
    <t xml:space="preserve">10101709</t>
  </si>
  <si>
    <t xml:space="preserve">Church St, Parramatta NSW 2150</t>
  </si>
  <si>
    <t xml:space="preserve">Bike racks | No Opal card top up or single trip ticket sales | Next service display | Emergency help point</t>
  </si>
  <si>
    <t xml:space="preserve">Circular Quay Station</t>
  </si>
  <si>
    <t xml:space="preserve">200020</t>
  </si>
  <si>
    <t xml:space="preserve">10101103</t>
  </si>
  <si>
    <t xml:space="preserve">Alfred St, Sydney NSW 2000</t>
  </si>
  <si>
    <t xml:space="preserve">Train, Bus, Ferry, Light rail, Taxi</t>
  </si>
  <si>
    <t xml:space="preserve">Kiss and ride stopping area | Taxi rank | Bike racks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</si>
  <si>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02 9224 3553</t>
  </si>
  <si>
    <t xml:space="preserve">Civic Light Rail</t>
  </si>
  <si>
    <t xml:space="preserve">2300133</t>
  </si>
  <si>
    <t xml:space="preserve">10101742</t>
  </si>
  <si>
    <t xml:space="preserve">Hunter St, Newcastle NSW 2300</t>
  </si>
  <si>
    <t xml:space="preserve">Emergency help point | Opal card top up or single trip ticket machine (Cash or Card Payment)</t>
  </si>
  <si>
    <t xml:space="preserve">This location is Independent Access | Hearing loop | PA system for announcements | Platform edge tactiles | Level crossing</t>
  </si>
  <si>
    <t xml:space="preserve">Clandulla Coach Stop</t>
  </si>
  <si>
    <t xml:space="preserve">284813</t>
  </si>
  <si>
    <t xml:space="preserve">10102679</t>
  </si>
  <si>
    <t xml:space="preserve">Mead St after Neville St, Clandulla NSW 2848</t>
  </si>
  <si>
    <t xml:space="preserve">Clarendon Station</t>
  </si>
  <si>
    <t xml:space="preserve">275630</t>
  </si>
  <si>
    <t xml:space="preserve">10101243</t>
  </si>
  <si>
    <t xml:space="preserve">Racecourse Rd, Clarendon NSW 2756</t>
  </si>
  <si>
    <t xml:space="preserve">This location is Assisted Access | Wheelchair ramp boarding assistance | Hearing loop | PA system for announcements | Platform edge tactiles | Level crossing | Stairs</t>
  </si>
  <si>
    <t xml:space="preserve">02 9851 7249</t>
  </si>
  <si>
    <t xml:space="preserve">Clunes Coach Stop</t>
  </si>
  <si>
    <t xml:space="preserve">24801095</t>
  </si>
  <si>
    <t xml:space="preserve">10102742</t>
  </si>
  <si>
    <t xml:space="preserve">Clunes General Store, Main St, Clunes NSW 2480</t>
  </si>
  <si>
    <t xml:space="preserve">Clyde Station</t>
  </si>
  <si>
    <t xml:space="preserve">214230</t>
  </si>
  <si>
    <t xml:space="preserve">10101220</t>
  </si>
  <si>
    <t xml:space="preserve">Berry St, Granville NSW 2142</t>
  </si>
  <si>
    <t xml:space="preserve">Kiss and ride stopping area | Toilets | Emergency help point | Payphone | Next service display | Opal card top up or single trip ticket machine (Cash or Card Payment)</t>
  </si>
  <si>
    <t xml:space="preserve">This location is Not Accessible | Wheelchair ramp boarding assistance | Hearing loop | PA system for announcements | Platform edge tactiles | Stairs | Stair lift</t>
  </si>
  <si>
    <t xml:space="preserve">02 9848 9212</t>
  </si>
  <si>
    <t xml:space="preserve">Coalcliff Station</t>
  </si>
  <si>
    <t xml:space="preserve">250850</t>
  </si>
  <si>
    <t xml:space="preserve">10101359</t>
  </si>
  <si>
    <t xml:space="preserve">Lawrence Hargrave Dr, Coalcliff NSW 2508</t>
  </si>
  <si>
    <t xml:space="preserve">Commuter car park | Toilets | Emergency help point | Payphone | No Opal card top up or single trip ticket sales</t>
  </si>
  <si>
    <t xml:space="preserve">02 4223 5569</t>
  </si>
  <si>
    <t xml:space="preserve">Cobar Coach Stop</t>
  </si>
  <si>
    <t xml:space="preserve">283518</t>
  </si>
  <si>
    <t xml:space="preserve">10102604</t>
  </si>
  <si>
    <t xml:space="preserve">Linsley St at Marshall St, Cobar NSW 2835</t>
  </si>
  <si>
    <t xml:space="preserve">Coach, Taxi</t>
  </si>
  <si>
    <t xml:space="preserve">Cobbadah Coach Stop</t>
  </si>
  <si>
    <t xml:space="preserve">234713</t>
  </si>
  <si>
    <t xml:space="preserve">10102696</t>
  </si>
  <si>
    <t xml:space="preserve">Cobbadah Rd after Horton Rd, Cobbadah NSW 2347</t>
  </si>
  <si>
    <t xml:space="preserve">Cobram Coach Stop</t>
  </si>
  <si>
    <t xml:space="preserve">17569</t>
  </si>
  <si>
    <t xml:space="preserve">10102922</t>
  </si>
  <si>
    <t xml:space="preserve">Cobram Station, Punt Rd, Cobram VIC 3644</t>
  </si>
  <si>
    <t xml:space="preserve">Cockatoo Island Wharf</t>
  </si>
  <si>
    <t xml:space="preserve">20009</t>
  </si>
  <si>
    <t xml:space="preserve">10102002</t>
  </si>
  <si>
    <t xml:space="preserve">NSW</t>
  </si>
  <si>
    <t xml:space="preserve">inferred: nearest EV point</t>
  </si>
  <si>
    <t xml:space="preserve">Cockle Creek Station</t>
  </si>
  <si>
    <t xml:space="preserve">228430</t>
  </si>
  <si>
    <t xml:space="preserve">10101155</t>
  </si>
  <si>
    <t xml:space="preserve">Lake Rd, Boolaroo NSW 2284</t>
  </si>
  <si>
    <t xml:space="preserve">This location is Not Accessible | Wheelchair ramp boarding assistance | PA system for announcements | Stairs</t>
  </si>
  <si>
    <t xml:space="preserve">Coffs Harbour Coach Stop</t>
  </si>
  <si>
    <t xml:space="preserve">2450752</t>
  </si>
  <si>
    <t xml:space="preserve">10102858</t>
  </si>
  <si>
    <t xml:space="preserve">Pacific Hwy, Coffs Harbour NSW 2450</t>
  </si>
  <si>
    <t xml:space="preserve">Coffs Harbour Station</t>
  </si>
  <si>
    <t xml:space="preserve">24501</t>
  </si>
  <si>
    <t xml:space="preserve">10101832</t>
  </si>
  <si>
    <t xml:space="preserve">Angus McLeod Pl, Coffs Harbour NSW 2450</t>
  </si>
  <si>
    <t xml:space="preserve">Coledale Station</t>
  </si>
  <si>
    <t xml:space="preserve">251530</t>
  </si>
  <si>
    <t xml:space="preserve">10101423</t>
  </si>
  <si>
    <t xml:space="preserve">Cater St, Coledale NSW 2515</t>
  </si>
  <si>
    <t xml:space="preserve">Collaroy B-Line</t>
  </si>
  <si>
    <t xml:space="preserve">209742</t>
  </si>
  <si>
    <t xml:space="preserve">10102507</t>
  </si>
  <si>
    <t xml:space="preserve">Pittwater Rd, Collaroy NSW 2097</t>
  </si>
  <si>
    <t xml:space="preserve">Bike racks | Next service display</t>
  </si>
  <si>
    <t xml:space="preserve">Como Station</t>
  </si>
  <si>
    <t xml:space="preserve">222610</t>
  </si>
  <si>
    <t xml:space="preserve">10101343</t>
  </si>
  <si>
    <t xml:space="preserve">Como Pde, Como NSW 2226</t>
  </si>
  <si>
    <t xml:space="preserve">Commuter car park | Wheelchair accessible car space | Kiss and ride stopping area | Bike racks | Bike lockers | Toilets | Wheelchair accessible toilet | Baby change table | Emergency help point | Information point | Payphone | Next service display | Opal card top up or single trip ticket machine (Card Payment only)</t>
  </si>
  <si>
    <t xml:space="preserve">02 9522 1244</t>
  </si>
  <si>
    <t xml:space="preserve">Concord West Station</t>
  </si>
  <si>
    <t xml:space="preserve">213810</t>
  </si>
  <si>
    <t xml:space="preserve">10101204</t>
  </si>
  <si>
    <t xml:space="preserve">Queen St, Concord West NSW 2138</t>
  </si>
  <si>
    <t xml:space="preserve">Commuter car park | Wheelchair accessible car space | Kiss and ride stopping area | Bike racks | Bike lockers | Wheelchair accessible toilet | Baby change table | Emergency help point | Payphone | Next service display | Opal card top up or single trip ticket machine (Cash or Card Payment)</t>
  </si>
  <si>
    <t xml:space="preserve">02 9752 8421</t>
  </si>
  <si>
    <t xml:space="preserve">Condobolin Station</t>
  </si>
  <si>
    <t xml:space="preserve">28772</t>
  </si>
  <si>
    <t xml:space="preserve">10101805</t>
  </si>
  <si>
    <t xml:space="preserve">Denison St, Condobolin NSW 2877</t>
  </si>
  <si>
    <t xml:space="preserve">Commuter car park</t>
  </si>
  <si>
    <t xml:space="preserve">Condobolin Town Coach Stop</t>
  </si>
  <si>
    <t xml:space="preserve">287726</t>
  </si>
  <si>
    <t xml:space="preserve">10102633</t>
  </si>
  <si>
    <t xml:space="preserve">Condobolin Bowling Club, William St, Condobolin NSW 2877</t>
  </si>
  <si>
    <t xml:space="preserve">Coniston Station</t>
  </si>
  <si>
    <t xml:space="preserve">250030</t>
  </si>
  <si>
    <t xml:space="preserve">10101373</t>
  </si>
  <si>
    <t xml:space="preserve">Gladstone Ave, Coniston NSW 2500</t>
  </si>
  <si>
    <t xml:space="preserve">Commuter car park | Wheelchair accessible car space | Taxi rank | Bike lockers | Toilets | Emergency help point | Information point | Payphone | No Opal card top up or single trip ticket sales</t>
  </si>
  <si>
    <t xml:space="preserve">02 4223 5529</t>
  </si>
  <si>
    <t xml:space="preserve">Convention Light Rail</t>
  </si>
  <si>
    <t xml:space="preserve">2000204</t>
  </si>
  <si>
    <t xml:space="preserve">10101639</t>
  </si>
  <si>
    <t xml:space="preserve">Darling Dr, Sydney NSW 2000</t>
  </si>
  <si>
    <t xml:space="preserve">This location is Independent Access | PA system for announcements | Platform edge tactiles | Level crossing</t>
  </si>
  <si>
    <t xml:space="preserve">Coolabah Coach Stop</t>
  </si>
  <si>
    <t xml:space="preserve">283158</t>
  </si>
  <si>
    <t xml:space="preserve">10102614</t>
  </si>
  <si>
    <t xml:space="preserve">Gaffneys Store, Mitchell Hwy, Coolabah NSW 2831</t>
  </si>
  <si>
    <t xml:space="preserve">Coolac Coach Stop</t>
  </si>
  <si>
    <t xml:space="preserve">272719</t>
  </si>
  <si>
    <t xml:space="preserve">10102810</t>
  </si>
  <si>
    <t xml:space="preserve">General Store, Hume Hwy, Coolac NSW 2727</t>
  </si>
  <si>
    <t xml:space="preserve">Coolah Coach Stop</t>
  </si>
  <si>
    <t xml:space="preserve">284312</t>
  </si>
  <si>
    <t xml:space="preserve">10102667</t>
  </si>
  <si>
    <t xml:space="preserve">Binnia St before Booyamurra St, Coolah NSW 2843</t>
  </si>
  <si>
    <t xml:space="preserve">Coolamon Station</t>
  </si>
  <si>
    <t xml:space="preserve">27011</t>
  </si>
  <si>
    <t xml:space="preserve">10101857</t>
  </si>
  <si>
    <t xml:space="preserve">Wade St, Coolamon NSW 2701</t>
  </si>
  <si>
    <t xml:space="preserve">Commuter car park | Wheelchair accessible car space</t>
  </si>
  <si>
    <t xml:space="preserve">Cooma Coach Stop</t>
  </si>
  <si>
    <t xml:space="preserve">263081</t>
  </si>
  <si>
    <t xml:space="preserve">10102798</t>
  </si>
  <si>
    <t xml:space="preserve">Centennial Park, Bombala St, Cooma NSW 2630</t>
  </si>
  <si>
    <t xml:space="preserve">Coonabarabran Coach Stop</t>
  </si>
  <si>
    <t xml:space="preserve">235712</t>
  </si>
  <si>
    <t xml:space="preserve">10102665</t>
  </si>
  <si>
    <t xml:space="preserve">Coonabarabran Visitor Information Centre, Newell Hwy, Coonabarabran NSW 2357</t>
  </si>
  <si>
    <t xml:space="preserve">Coonamble Coach Stop</t>
  </si>
  <si>
    <t xml:space="preserve">282912</t>
  </si>
  <si>
    <t xml:space="preserve">10102620</t>
  </si>
  <si>
    <t xml:space="preserve">Castlereagh Hwy opp Namoi St, Coonamble NSW 2829</t>
  </si>
  <si>
    <t xml:space="preserve">Cootamundra Station</t>
  </si>
  <si>
    <t xml:space="preserve">25901</t>
  </si>
  <si>
    <t xml:space="preserve">10101859</t>
  </si>
  <si>
    <t xml:space="preserve">Hovell St, Cootamundra NSW 2590</t>
  </si>
  <si>
    <t xml:space="preserve">Commuter car park | Wheelchair accessible car space | Kiss and ride stopping area | Toilets | Wheelchair accessible toilet | Emergency help point | Information point | Payphone | Next service display</t>
  </si>
  <si>
    <t xml:space="preserve">Corowa Coach Stop</t>
  </si>
  <si>
    <t xml:space="preserve">2646172</t>
  </si>
  <si>
    <t xml:space="preserve">10102825</t>
  </si>
  <si>
    <t xml:space="preserve">River St at Sanger St, Corowa NSW 2646</t>
  </si>
  <si>
    <t xml:space="preserve">Corrimal Station</t>
  </si>
  <si>
    <t xml:space="preserve">251820</t>
  </si>
  <si>
    <t xml:space="preserve">10101368</t>
  </si>
  <si>
    <t xml:space="preserve">Murray Rd, Corrimal NSW 2518</t>
  </si>
  <si>
    <t xml:space="preserve">Commuter car park | Wheelchair accessible car space | Kiss and ride stopping area | Bike racks | Bike lockers | Toilets | Wheelchair accessible toilet | Baby change table | Emergency help point | Payphone | No Opal card top up or single trip ticket sales</t>
  </si>
  <si>
    <t xml:space="preserve">This location is Assisted Access | Wheelchair ramp boarding assistance | PA system for announcements | Platform edge tactiles | Level crossing</t>
  </si>
  <si>
    <t xml:space="preserve">02 4223 5580</t>
  </si>
  <si>
    <t xml:space="preserve">Cowan Station</t>
  </si>
  <si>
    <t xml:space="preserve">208120</t>
  </si>
  <si>
    <t xml:space="preserve">10101132</t>
  </si>
  <si>
    <t xml:space="preserve">Pacific Hwy, Cowan NSW 2081</t>
  </si>
  <si>
    <t xml:space="preserve">Commuter car park | Bike racks | Toilets | Emergency help point | Information point | Payphone | No Opal card top up or single trip ticket sales</t>
  </si>
  <si>
    <t xml:space="preserve">Cowper Coach Stop</t>
  </si>
  <si>
    <t xml:space="preserve">2460719</t>
  </si>
  <si>
    <t xml:space="preserve">10102766</t>
  </si>
  <si>
    <t xml:space="preserve">Pacific Hwy at Telegraph St, Cowper NSW 2460</t>
  </si>
  <si>
    <t xml:space="preserve">Cowra Coach Stop</t>
  </si>
  <si>
    <t xml:space="preserve">2794108</t>
  </si>
  <si>
    <t xml:space="preserve">10102647</t>
  </si>
  <si>
    <t xml:space="preserve">Macquarie St at Kendal St, Cowra NSW 2794</t>
  </si>
  <si>
    <t xml:space="preserve">Craboon Junction Coach Stop</t>
  </si>
  <si>
    <t xml:space="preserve">284414</t>
  </si>
  <si>
    <t xml:space="preserve">10102670</t>
  </si>
  <si>
    <t xml:space="preserve">Castlereagh Hwy before Golden Hwy, Dunedoo NSW 2844</t>
  </si>
  <si>
    <t xml:space="preserve">Craven Coach Stop</t>
  </si>
  <si>
    <t xml:space="preserve">242295</t>
  </si>
  <si>
    <t xml:space="preserve">10102775</t>
  </si>
  <si>
    <t xml:space="preserve">3065 The Bucketts Way, Craven NSW 2422</t>
  </si>
  <si>
    <t xml:space="preserve">Cremorne Point Wharf</t>
  </si>
  <si>
    <t xml:space="preserve">209037</t>
  </si>
  <si>
    <t xml:space="preserve">10102025</t>
  </si>
  <si>
    <t xml:space="preserve">Milson Rd, Cremorne Point NSW 2090</t>
  </si>
  <si>
    <t xml:space="preserve">Wheelchair accessible car space | Kiss and ride stopping area | Bike racks | Emergency help point | Payphone | Next service display | Opal card top up or single trip ticket machine (Card Payment only)</t>
  </si>
  <si>
    <t xml:space="preserve">Cringila Station</t>
  </si>
  <si>
    <t xml:space="preserve">250520</t>
  </si>
  <si>
    <t xml:space="preserve">10101375</t>
  </si>
  <si>
    <t xml:space="preserve">Five Islands Rd, Port Kembla NSW 2505</t>
  </si>
  <si>
    <t xml:space="preserve">Commuter car park | Toilets | Emergency help point | Information point | Payphone | No Opal card top up or single trip ticket sales</t>
  </si>
  <si>
    <t xml:space="preserve">02 4223 5694</t>
  </si>
  <si>
    <t xml:space="preserve">Cronulla Station</t>
  </si>
  <si>
    <t xml:space="preserve">223020</t>
  </si>
  <si>
    <t xml:space="preserve">10101351</t>
  </si>
  <si>
    <t xml:space="preserve">Cronulla St, Cronulla NSW 2230</t>
  </si>
  <si>
    <t xml:space="preserve">Train, Bus, Ferry, Taxi</t>
  </si>
  <si>
    <t xml:space="preserve">Commuter car park | Wheelchair accessible car space | Kiss and ride stopping area | Taxi rank | Bike racks | Toilets | Wheelchair accessible toilet (MLAK) | Baby change table | Emergency help point | Payphone | Next service display | Opal card top up or single trip ticket machine (Cash or Card Payment)</t>
  </si>
  <si>
    <t xml:space="preserve">02 9522 1245</t>
  </si>
  <si>
    <t xml:space="preserve">Crown Street Light Rail</t>
  </si>
  <si>
    <t xml:space="preserve">2300134</t>
  </si>
  <si>
    <t xml:space="preserve">10101743</t>
  </si>
  <si>
    <t xml:space="preserve">Crows Nest Station</t>
  </si>
  <si>
    <t xml:space="preserve">206516</t>
  </si>
  <si>
    <t xml:space="preserve">10101511</t>
  </si>
  <si>
    <t xml:space="preserve">Pacific Hwy, Crows Nest NSW 2065</t>
  </si>
  <si>
    <t xml:space="preserve">Croydon Station</t>
  </si>
  <si>
    <t xml:space="preserve">213210</t>
  </si>
  <si>
    <t xml:space="preserve">10101208</t>
  </si>
  <si>
    <t xml:space="preserve">Meta St, Croydon NSW 2132</t>
  </si>
  <si>
    <t xml:space="preserve">02 9752 8529</t>
  </si>
  <si>
    <t xml:space="preserve">Cudal Coach Stop</t>
  </si>
  <si>
    <t xml:space="preserve">286426</t>
  </si>
  <si>
    <t xml:space="preserve">10102645</t>
  </si>
  <si>
    <t xml:space="preserve">Main St opp Cudal Post Office, Cudal NSW 2864</t>
  </si>
  <si>
    <t xml:space="preserve">Culcairn Station</t>
  </si>
  <si>
    <t xml:space="preserve">26601</t>
  </si>
  <si>
    <t xml:space="preserve">10101850</t>
  </si>
  <si>
    <t xml:space="preserve">Balfour St, Culcairn NSW 2660</t>
  </si>
  <si>
    <t xml:space="preserve">Commuter car park | Toilets | Emergency help point | Information point</t>
  </si>
  <si>
    <t xml:space="preserve">Cullen Bullen Coach Stop</t>
  </si>
  <si>
    <t xml:space="preserve">2790176</t>
  </si>
  <si>
    <t xml:space="preserve">10102684</t>
  </si>
  <si>
    <t xml:space="preserve">Cullen Bullen Public School, Castlereagh Hwy, Cullen Bullen NSW 2790</t>
  </si>
  <si>
    <t xml:space="preserve">Dalgety Coach Stop</t>
  </si>
  <si>
    <t xml:space="preserve">262834</t>
  </si>
  <si>
    <t xml:space="preserve">10102795</t>
  </si>
  <si>
    <t xml:space="preserve">Campbell St at Briely St, Dalgety NSW 2628</t>
  </si>
  <si>
    <t xml:space="preserve">Dapto Station</t>
  </si>
  <si>
    <t xml:space="preserve">253020</t>
  </si>
  <si>
    <t xml:space="preserve">10101425</t>
  </si>
  <si>
    <t xml:space="preserve">Station St, Dapto NSW 2530</t>
  </si>
  <si>
    <t xml:space="preserve">Commuter car park | Wheelchair accessible car space | Kiss and ride stopping area | Taxi rank | Bike racks | Bike lockers | Toilets | Wheelchair accessible toilet | Baby change table | Emergency help point | Payphone | Next service display | Opal card top up or single trip ticket machine (Cash or Card Payment)</t>
  </si>
  <si>
    <t xml:space="preserve">02 4223 5544</t>
  </si>
  <si>
    <t xml:space="preserve">Darling Harbour - Wharf 1 and 2</t>
  </si>
  <si>
    <t xml:space="preserve">2000270</t>
  </si>
  <si>
    <t xml:space="preserve">10102052</t>
  </si>
  <si>
    <t xml:space="preserve">Lime St, Sydney NSW 2000</t>
  </si>
  <si>
    <t xml:space="preserve">Bus, Ferry, Taxi</t>
  </si>
  <si>
    <t xml:space="preserve">Emergency help point | Opal card top up machine (Card Payment only) | No Opal card top up or single trip ticket sales | Taxi rank</t>
  </si>
  <si>
    <t xml:space="preserve">This location is Independent Access | Wheelchair ramp boarding assistance | PA system for announcements | Stairs</t>
  </si>
  <si>
    <t xml:space="preserve">Darling Harbour, Aquarium Wharf</t>
  </si>
  <si>
    <t xml:space="preserve">2000268</t>
  </si>
  <si>
    <t xml:space="preserve">10102040</t>
  </si>
  <si>
    <t xml:space="preserve">Pyrmont NSW 2000</t>
  </si>
  <si>
    <t xml:space="preserve">Darling Harbour, Convention Center Wharf</t>
  </si>
  <si>
    <t xml:space="preserve">2000280</t>
  </si>
  <si>
    <t xml:space="preserve">10102045</t>
  </si>
  <si>
    <t xml:space="preserve">Darling Harbour, Pyrmont NSW 2000</t>
  </si>
  <si>
    <t xml:space="preserve">This location is Independent Access | Wheelchair ramp boarding assistance | Wharf edge tactiles | Stairs</t>
  </si>
  <si>
    <t xml:space="preserve">Darling Harbour, Pier 26</t>
  </si>
  <si>
    <t xml:space="preserve">2000269</t>
  </si>
  <si>
    <t xml:space="preserve">10102054</t>
  </si>
  <si>
    <t xml:space="preserve">This location is Not Accessible | Wheelchair ramp boarding assistance | Stairs</t>
  </si>
  <si>
    <t xml:space="preserve">Darling Point Wharf</t>
  </si>
  <si>
    <t xml:space="preserve">202727</t>
  </si>
  <si>
    <t xml:space="preserve">10102034</t>
  </si>
  <si>
    <t xml:space="preserve">Darling Point Rd, Darling Point NSW 2027</t>
  </si>
  <si>
    <t xml:space="preserve">Bike racks | Emergency help point | Next service display | No Opal card top up or single trip ticket sales</t>
  </si>
  <si>
    <t xml:space="preserve">Darlington Point Coach Stop</t>
  </si>
  <si>
    <t xml:space="preserve">270686</t>
  </si>
  <si>
    <t xml:space="preserve">10102857</t>
  </si>
  <si>
    <t xml:space="preserve">Bridge St opp Stock St, Darlington Point NSW 2706</t>
  </si>
  <si>
    <t xml:space="preserve">Darnick Station</t>
  </si>
  <si>
    <t xml:space="preserve">28781</t>
  </si>
  <si>
    <t xml:space="preserve">10101802</t>
  </si>
  <si>
    <t xml:space="preserve">Ivanhoe Menindee Rd, Ivanhoe NSW 2878</t>
  </si>
  <si>
    <t xml:space="preserve">Dee Why B-Line</t>
  </si>
  <si>
    <t xml:space="preserve">2099207</t>
  </si>
  <si>
    <t xml:space="preserve">10102508</t>
  </si>
  <si>
    <t xml:space="preserve">Pittwater Rd, Dee Why NSW 2099</t>
  </si>
  <si>
    <t xml:space="preserve">Commuter car park | Transport Park&amp;Ride | Wheelchair accessible car space | Next service display</t>
  </si>
  <si>
    <t xml:space="preserve">Deepwater Coach Stop</t>
  </si>
  <si>
    <t xml:space="preserve">237112</t>
  </si>
  <si>
    <t xml:space="preserve">10102720</t>
  </si>
  <si>
    <t xml:space="preserve">New England Hwy at Bourke St, Deepwater NSW 2371</t>
  </si>
  <si>
    <t xml:space="preserve">Delungra Coach Stop</t>
  </si>
  <si>
    <t xml:space="preserve">240312</t>
  </si>
  <si>
    <t xml:space="preserve">10102702</t>
  </si>
  <si>
    <t xml:space="preserve">Inverell St at Gunnee St, Delungra NSW 2403</t>
  </si>
  <si>
    <t xml:space="preserve">Deniliquin Coach Stop</t>
  </si>
  <si>
    <t xml:space="preserve">271052</t>
  </si>
  <si>
    <t xml:space="preserve">10102831</t>
  </si>
  <si>
    <t xml:space="preserve">Gorman Park, Whitelock St, Deniliquin NSW 2710</t>
  </si>
  <si>
    <t xml:space="preserve">Denistone Station</t>
  </si>
  <si>
    <t xml:space="preserve">211410</t>
  </si>
  <si>
    <t xml:space="preserve">10101200</t>
  </si>
  <si>
    <t xml:space="preserve">West Pde, Denistone NSW 2114</t>
  </si>
  <si>
    <t xml:space="preserve">Commuter car park | Wheelchair accessible car space | Kiss and ride stopping area | Bike racks | Toilets | Baby change table | Emergency help point | Next service display | Opal card top up or single trip ticket machine (Card Payment only)</t>
  </si>
  <si>
    <t xml:space="preserve">02 9752 8461</t>
  </si>
  <si>
    <t xml:space="preserve">Derriwong Coach Stop</t>
  </si>
  <si>
    <t xml:space="preserve">287727</t>
  </si>
  <si>
    <t xml:space="preserve">10102634</t>
  </si>
  <si>
    <t xml:space="preserve">Condobolin Rd, Derriwong, Derriwong NSW 2877</t>
  </si>
  <si>
    <t xml:space="preserve">Domestic Airport Station</t>
  </si>
  <si>
    <t xml:space="preserve">202020</t>
  </si>
  <si>
    <t xml:space="preserve">10101331</t>
  </si>
  <si>
    <t xml:space="preserve">Keith Smith Ave, Domestic Ariport, Mascot NSW 2020</t>
  </si>
  <si>
    <t xml:space="preserve">Kiss and ride stopping area | Taxi rank | Toilets | Wheelchair accessible toilet | Baby change table | Emergency help point | Payphone | Next service display | Opal card top up or single trip ticket machine (Cash or Card Payment) | Opal card top up or single trip ticket machine (Card Payment only) | Opal card top up machine (Card Payment only)</t>
  </si>
  <si>
    <t xml:space="preserve">This location is Independent Access | Wheelchair ramp boarding assistance | Hearing loop (ticket counter) | PA system for announcements | Platform edge tactiles | Stairs | Lift | Escalator</t>
  </si>
  <si>
    <t xml:space="preserve">02 8337 8450</t>
  </si>
  <si>
    <t xml:space="preserve">Doonside Station</t>
  </si>
  <si>
    <t xml:space="preserve">276710</t>
  </si>
  <si>
    <t xml:space="preserve">10101246</t>
  </si>
  <si>
    <t xml:space="preserve">Doonside Cres, Doonside NSW 2767</t>
  </si>
  <si>
    <t xml:space="preserve">Commuter car park | Wheelchair accessible car space | Kiss and ride stopping area | Taxi rank | Bike lockers | Bike racks | Toilets | Wheelchair accessible toilet | Baby change table | Emergency help point | Next service display | Opal card top up or single trip ticket machine (Card Payment only)</t>
  </si>
  <si>
    <t xml:space="preserve">02 9851 7218</t>
  </si>
  <si>
    <t xml:space="preserve">Dora Creek Station</t>
  </si>
  <si>
    <t xml:space="preserve">226420</t>
  </si>
  <si>
    <t xml:space="preserve">10101149</t>
  </si>
  <si>
    <t xml:space="preserve">Wamsley St, Dora Creek NSW 2264</t>
  </si>
  <si>
    <t xml:space="preserve">Double Bay Wharf</t>
  </si>
  <si>
    <t xml:space="preserve">202823</t>
  </si>
  <si>
    <t xml:space="preserve">10102003</t>
  </si>
  <si>
    <t xml:space="preserve">Bay St, Double Bay NSW 2028</t>
  </si>
  <si>
    <t xml:space="preserve">Wheelchair accessible car space | Bike racks | Emergency help point | Next service display</t>
  </si>
  <si>
    <t xml:space="preserve">Douglas Park Station</t>
  </si>
  <si>
    <t xml:space="preserve">256910</t>
  </si>
  <si>
    <t xml:space="preserve">10101300</t>
  </si>
  <si>
    <t xml:space="preserve">Camden Rd, Douglas Park NSW 2569</t>
  </si>
  <si>
    <t xml:space="preserve">Emergency help point | Payphone | No Opal card top up or single trip ticket sales</t>
  </si>
  <si>
    <t xml:space="preserve">This location is Assisted Access | Wheelchair ramp boarding assistance | Hearing loop | PA system for announcements | Level crossing</t>
  </si>
  <si>
    <t xml:space="preserve">02 4677 1402</t>
  </si>
  <si>
    <t xml:space="preserve">Drummoyne Wharf</t>
  </si>
  <si>
    <t xml:space="preserve">204761</t>
  </si>
  <si>
    <t xml:space="preserve">10102013</t>
  </si>
  <si>
    <t xml:space="preserve">Wolseley St, Drummoyne NSW 2047</t>
  </si>
  <si>
    <t xml:space="preserve">Kiss and ride stopping area | Emergency help point | Payphone | Next service display | No Opal card top up or single trip ticket sales</t>
  </si>
  <si>
    <t xml:space="preserve">Dubbo Airport Coach Stop</t>
  </si>
  <si>
    <t xml:space="preserve">28301289</t>
  </si>
  <si>
    <t xml:space="preserve">10102874</t>
  </si>
  <si>
    <t xml:space="preserve">Arthur Butler Dr, Dubbo NSW 2830</t>
  </si>
  <si>
    <t xml:space="preserve">Dubbo Station</t>
  </si>
  <si>
    <t xml:space="preserve">28301</t>
  </si>
  <si>
    <t xml:space="preserve">10101808</t>
  </si>
  <si>
    <t xml:space="preserve">148 Talbragar St, Dubbo NSW 2830</t>
  </si>
  <si>
    <t xml:space="preserve">Commuter car park | Wheelchair accessible car space | Kiss and ride stopping area | Taxi rank | Toilets | Wheelchair accessible toilet | Wheelchair accessible toilet (MLAK) | Baby change table | Emergency help point | Information point | Next service display</t>
  </si>
  <si>
    <t xml:space="preserve">6809 9200</t>
  </si>
  <si>
    <t xml:space="preserve">Dulwich Grove Light Rail</t>
  </si>
  <si>
    <t xml:space="preserve">220355</t>
  </si>
  <si>
    <t xml:space="preserve">10101622</t>
  </si>
  <si>
    <t xml:space="preserve">New Canterbury Rd, Dulwich Hill NSW 2203</t>
  </si>
  <si>
    <t xml:space="preserve">Bike racks | Emergency help point</t>
  </si>
  <si>
    <t xml:space="preserve">This location is Independent Access | Hearing loop | PA system for announcements | Platform edge tactiles | Level crossing | Stairs | Lift</t>
  </si>
  <si>
    <t xml:space="preserve">Dulwich Hill Light Rail</t>
  </si>
  <si>
    <t xml:space="preserve">220359</t>
  </si>
  <si>
    <t xml:space="preserve">10101462</t>
  </si>
  <si>
    <t xml:space="preserve">Bedford Cres, Dulwich Hill NSW 2203</t>
  </si>
  <si>
    <t xml:space="preserve">Train, Light rail</t>
  </si>
  <si>
    <t xml:space="preserve">This location is Independent Access | Hearing loop | PA system for announcements | Level crossing | Stairs | Lift</t>
  </si>
  <si>
    <t xml:space="preserve">Dulwich Hill Station</t>
  </si>
  <si>
    <t xml:space="preserve">220310</t>
  </si>
  <si>
    <t xml:space="preserve">10101393</t>
  </si>
  <si>
    <t xml:space="preserve">Wardell Rd, Dulwich Hill NSW 2203</t>
  </si>
  <si>
    <t xml:space="preserve">Bus, Light rail</t>
  </si>
  <si>
    <t xml:space="preserve">Commuter car park | Wheelchair accessible car space | Kiss and ride stopping area | Taxi rank | Bike racks | Toilets | Emergency help point | Payphone | Next service display</t>
  </si>
  <si>
    <t xml:space="preserve">02 9563 7595</t>
  </si>
  <si>
    <t xml:space="preserve">Dundas Light Rail</t>
  </si>
  <si>
    <t xml:space="preserve">211753</t>
  </si>
  <si>
    <t xml:space="preserve">10101703</t>
  </si>
  <si>
    <t xml:space="preserve">Kissing Point Rd, Dundas NSW 2117</t>
  </si>
  <si>
    <t xml:space="preserve">Bike racks | Commuter car park | Kiss and ride stopping area | No Opal card top up or single trip ticket sales | Next service display | Payphone | Emergency help point</t>
  </si>
  <si>
    <t xml:space="preserve">Dundee Coach Stop</t>
  </si>
  <si>
    <t xml:space="preserve">237012</t>
  </si>
  <si>
    <t xml:space="preserve">10102721</t>
  </si>
  <si>
    <t xml:space="preserve">New England Hwy opp Severn River Rd, Dundee NSW 2370</t>
  </si>
  <si>
    <t xml:space="preserve">Dunedoo Coach Stop</t>
  </si>
  <si>
    <t xml:space="preserve">284415</t>
  </si>
  <si>
    <t xml:space="preserve">10102669</t>
  </si>
  <si>
    <t xml:space="preserve">Rear of Milling Lions Park, Bolaro St, Dunedoo NSW 2844</t>
  </si>
  <si>
    <t xml:space="preserve">Dungog Station</t>
  </si>
  <si>
    <t xml:space="preserve">242010</t>
  </si>
  <si>
    <t xml:space="preserve">10101186</t>
  </si>
  <si>
    <t xml:space="preserve">Brown St, Dungog NSW 2420</t>
  </si>
  <si>
    <t xml:space="preserve">Commuter car park | Wheelchair accessible car space | Toilets | Emergency help point | Information point | Payphone | No Opal card top up or single trip ticket sales</t>
  </si>
  <si>
    <t xml:space="preserve">02 4962 9512</t>
  </si>
  <si>
    <t xml:space="preserve">East Hills Station</t>
  </si>
  <si>
    <t xml:space="preserve">221320</t>
  </si>
  <si>
    <t xml:space="preserve">10101419</t>
  </si>
  <si>
    <t xml:space="preserve">Park Rd, East Hills NSW 2213</t>
  </si>
  <si>
    <t xml:space="preserve">Commuter car park | Wheelchair accessible car space | Kiss and ride stopping area | Taxi rank | Bike racks | Bike lockers | Toilets | Wheelchair accessible toilet | Baby change table | Emergency help point | Next service display | Opal card top up or single trip ticket machine (Cash or Card Payment)</t>
  </si>
  <si>
    <t xml:space="preserve">02 9563 7774</t>
  </si>
  <si>
    <t xml:space="preserve">East Maitland Station</t>
  </si>
  <si>
    <t xml:space="preserve">232330</t>
  </si>
  <si>
    <t xml:space="preserve">10101176</t>
  </si>
  <si>
    <t xml:space="preserve">Melbourne St, East Maitland NSW 2323</t>
  </si>
  <si>
    <t xml:space="preserve">02 4985 7449</t>
  </si>
  <si>
    <t xml:space="preserve">East Richmond Station</t>
  </si>
  <si>
    <t xml:space="preserve">275310</t>
  </si>
  <si>
    <t xml:space="preserve">10101244</t>
  </si>
  <si>
    <t xml:space="preserve">Bourke St, Richmond NSW 2753</t>
  </si>
  <si>
    <t xml:space="preserve">Commuter car park | Wheelchair accessible car space | Wheelchair accessible toilet | Baby change table | Emergency help point | Information point | Next service display | No Opal card top up or single trip ticket sales</t>
  </si>
  <si>
    <t xml:space="preserve">This location is Independent Access | Wheelchair ramp boarding assistance | Hearing loop | PA system for announcements | Platform edge tactiles | Level crossing | Stairs</t>
  </si>
  <si>
    <t xml:space="preserve">02 9851 7248</t>
  </si>
  <si>
    <t xml:space="preserve">Eastwood Station</t>
  </si>
  <si>
    <t xml:space="preserve">212210</t>
  </si>
  <si>
    <t xml:space="preserve">10101199</t>
  </si>
  <si>
    <t xml:space="preserve">West Pde, Eastwood NSW 2122</t>
  </si>
  <si>
    <t xml:space="preserve">Commuter car park | Wheelchair accessible car space | Kiss and ride stopping area | Taxi rank | Bike racks | Bike shed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</si>
  <si>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02 9752 8493</t>
  </si>
  <si>
    <t xml:space="preserve">Echuca Coach Stop</t>
  </si>
  <si>
    <t xml:space="preserve">15107</t>
  </si>
  <si>
    <t xml:space="preserve">10102923</t>
  </si>
  <si>
    <t xml:space="preserve">Echuca Moama Visitor Information Centre, Heygarth St, Echuca VIC 3564</t>
  </si>
  <si>
    <t xml:space="preserve">Eden Coach Stop</t>
  </si>
  <si>
    <t xml:space="preserve">255184</t>
  </si>
  <si>
    <t xml:space="preserve">10102786</t>
  </si>
  <si>
    <t xml:space="preserve">Twofold Arcade, Imlay St, Eden NSW 2551</t>
  </si>
  <si>
    <t xml:space="preserve">Edgecliff Station</t>
  </si>
  <si>
    <t xml:space="preserve">202710</t>
  </si>
  <si>
    <t xml:space="preserve">10101108</t>
  </si>
  <si>
    <t xml:space="preserve">New South Head Rd, Edgecliff NSW 2027</t>
  </si>
  <si>
    <t xml:space="preserve">Kiss and ride stopping area | Taxi rank | Bike racks | Bike shed | Toilets | Wheelchair accessible toilet (MLAK) | Baby change table | Emergency help point | Payphone | Next service display | Opal card top up or single trip ticket machine (Cash or Card Payment) | Opal card top up machine (Card Payment only)</t>
  </si>
  <si>
    <t xml:space="preserve">02 9379 4652</t>
  </si>
  <si>
    <t xml:space="preserve">Edmondson Park Station</t>
  </si>
  <si>
    <t xml:space="preserve">217426</t>
  </si>
  <si>
    <t xml:space="preserve">10101427</t>
  </si>
  <si>
    <t xml:space="preserve">Soldiers Pde, Edmondson Park NSW 2174</t>
  </si>
  <si>
    <t xml:space="preserve">02 9765 1451</t>
  </si>
  <si>
    <t xml:space="preserve">Eltham Coach Stop</t>
  </si>
  <si>
    <t xml:space="preserve">24801096</t>
  </si>
  <si>
    <t xml:space="preserve">10102743</t>
  </si>
  <si>
    <t xml:space="preserve">Eltham Tennis Courts, Eltham Rd, Eltham NSW 2480</t>
  </si>
  <si>
    <t xml:space="preserve">Emmdale Coach Stop</t>
  </si>
  <si>
    <t xml:space="preserve">283614</t>
  </si>
  <si>
    <t xml:space="preserve">10102603</t>
  </si>
  <si>
    <t xml:space="preserve">Emmdale Roadhouse, Barrier Highway, Wilcannia NSW 2836</t>
  </si>
  <si>
    <t xml:space="preserve">Emu Plains Station</t>
  </si>
  <si>
    <t xml:space="preserve">275020</t>
  </si>
  <si>
    <t xml:space="preserve">10101253</t>
  </si>
  <si>
    <t xml:space="preserve">Station St, Emu Plains NSW 2750</t>
  </si>
  <si>
    <t xml:space="preserve">Commuter car park | Wheelchair accessible car space | Kiss and ride stopping area | Bike racks | Bike lockers | Bike shed | Wheelchair accessible toilet | Baby change table | Emergency help point | Payphone | Next service display | Opal card top up or single trip ticket machine (Cash or Card Payment)</t>
  </si>
  <si>
    <t xml:space="preserve">02 4780 3817</t>
  </si>
  <si>
    <t xml:space="preserve">Engadine Station</t>
  </si>
  <si>
    <t xml:space="preserve">223310</t>
  </si>
  <si>
    <t xml:space="preserve">10101353</t>
  </si>
  <si>
    <t xml:space="preserve">Princes Hwy, Engadine NSW 2233</t>
  </si>
  <si>
    <t xml:space="preserve">Commuter car park | Wheelchair accessible car space | Kiss and ride stopping area | Bike racks | Bike lockers | Toilets | Wheelchair accessible toilet | Baby change table | Emergency help point | Payphone | Next service display | Opal card top up or single trip ticket machine (Cash or Card Payment)</t>
  </si>
  <si>
    <t xml:space="preserve">02 9522 1224</t>
  </si>
  <si>
    <t xml:space="preserve">Epping Station</t>
  </si>
  <si>
    <t xml:space="preserve">212110</t>
  </si>
  <si>
    <t xml:space="preserve">10101429</t>
  </si>
  <si>
    <t xml:space="preserve">Beecroft Rd, Epping NSW 2121</t>
  </si>
  <si>
    <t xml:space="preserve">Bike lockers | Bike racks | Emergency help point | Kiss and ride stopping area | Payphone | Opal card top up or single trip ticket machine (Cash or Card Payment) | Toilets | Wheelchair accessible car space | Wheelchair accessible payphone | Wheelchair accessible toilet (MLAK) | Baby change table | Taxi rank | Bike shed | Free mobile phone charging</t>
  </si>
  <si>
    <t xml:space="preserve">02 8878 4100</t>
  </si>
  <si>
    <t xml:space="preserve">Erskineville Station</t>
  </si>
  <si>
    <t xml:space="preserve">204310</t>
  </si>
  <si>
    <t xml:space="preserve">10101324</t>
  </si>
  <si>
    <t xml:space="preserve">Swanson St, Erskineville NSW 2043</t>
  </si>
  <si>
    <t xml:space="preserve">Bike racks | Toilets | Wheelchair accessible toilet | Baby change table | Emergency help point | Payphone | Next service display | Opal card top up or single trip ticket machine (Cash or Card Payment)</t>
  </si>
  <si>
    <t xml:space="preserve">02 9563 7579</t>
  </si>
  <si>
    <t xml:space="preserve">ES Marks Light Rail</t>
  </si>
  <si>
    <t xml:space="preserve">203362</t>
  </si>
  <si>
    <t xml:space="preserve">10101613</t>
  </si>
  <si>
    <t xml:space="preserve">Anzac Pde, Moore Park NSW 2021</t>
  </si>
  <si>
    <t xml:space="preserve">Euabalong Coach Stop</t>
  </si>
  <si>
    <t xml:space="preserve">287729</t>
  </si>
  <si>
    <t xml:space="preserve">10102631</t>
  </si>
  <si>
    <t xml:space="preserve">Lachlan St opp Royal Hotel, Euabalong NSW 2877</t>
  </si>
  <si>
    <t xml:space="preserve">Euabalong West Station</t>
  </si>
  <si>
    <t xml:space="preserve">28771</t>
  </si>
  <si>
    <t xml:space="preserve">10101804</t>
  </si>
  <si>
    <t xml:space="preserve">Uabba St, Euabalong West NSW 2877</t>
  </si>
  <si>
    <t xml:space="preserve">Euabalong West Town</t>
  </si>
  <si>
    <t xml:space="preserve">287728</t>
  </si>
  <si>
    <t xml:space="preserve">10102632</t>
  </si>
  <si>
    <t xml:space="preserve">Uabba St at Murrin St, Euabalong West NSW 2877</t>
  </si>
  <si>
    <t xml:space="preserve">Eugowra Coach Stop</t>
  </si>
  <si>
    <t xml:space="preserve">280645</t>
  </si>
  <si>
    <t xml:space="preserve">10102643</t>
  </si>
  <si>
    <t xml:space="preserve">Broad St at Myall St, Eugowra NSW 2806</t>
  </si>
  <si>
    <t xml:space="preserve">Eumungurie Coach Stop</t>
  </si>
  <si>
    <t xml:space="preserve">282218</t>
  </si>
  <si>
    <t xml:space="preserve">10102623</t>
  </si>
  <si>
    <t xml:space="preserve">Railway St after Mogriguy Rd, Eumungerie NSW 2831</t>
  </si>
  <si>
    <t xml:space="preserve">Eungai Station</t>
  </si>
  <si>
    <t xml:space="preserve">24411</t>
  </si>
  <si>
    <t xml:space="preserve">10101837</t>
  </si>
  <si>
    <t xml:space="preserve">South Bank Rd, Eungai Rail NSW 2441</t>
  </si>
  <si>
    <t xml:space="preserve">Euston Coach Stop</t>
  </si>
  <si>
    <t xml:space="preserve">273712</t>
  </si>
  <si>
    <t xml:space="preserve">10102853</t>
  </si>
  <si>
    <t xml:space="preserve">Murray Tce opp Euston General Store, Euston NSW 2737</t>
  </si>
  <si>
    <t xml:space="preserve">Evans Head Coach Stop</t>
  </si>
  <si>
    <t xml:space="preserve">2473116</t>
  </si>
  <si>
    <t xml:space="preserve">10102756</t>
  </si>
  <si>
    <t xml:space="preserve">Evans Head Library, Woodburn St, Evans Head NSW 2473</t>
  </si>
  <si>
    <t xml:space="preserve">Exeter Station</t>
  </si>
  <si>
    <t xml:space="preserve">257930</t>
  </si>
  <si>
    <t xml:space="preserve">10101309</t>
  </si>
  <si>
    <t xml:space="preserve">Middle Rd, Exeter NSW 2579</t>
  </si>
  <si>
    <t xml:space="preserve">Commuter car park | Bike racks | Toilets | Emergency help point | No Opal card top up or single trip ticket sales</t>
  </si>
  <si>
    <t xml:space="preserve">Exhibition Centre Light Rail</t>
  </si>
  <si>
    <t xml:space="preserve">2000203</t>
  </si>
  <si>
    <t xml:space="preserve">10101640</t>
  </si>
  <si>
    <t xml:space="preserve">Emergency help point | No Opal card top up or single trip ticket sales</t>
  </si>
  <si>
    <t xml:space="preserve">This location is Independent Access | PA system for announcements | Platform edge tactiles | Level crossing | Stairs</t>
  </si>
  <si>
    <t xml:space="preserve">Fairfield Station</t>
  </si>
  <si>
    <t xml:space="preserve">216510</t>
  </si>
  <si>
    <t xml:space="preserve">10101285</t>
  </si>
  <si>
    <t xml:space="preserve">The Crescent, Fairfield NSW 2165</t>
  </si>
  <si>
    <t xml:space="preserve">02 9765 1641</t>
  </si>
  <si>
    <t xml:space="preserve">Fairy Meadow Station</t>
  </si>
  <si>
    <t xml:space="preserve">251910</t>
  </si>
  <si>
    <t xml:space="preserve">10101370</t>
  </si>
  <si>
    <t xml:space="preserve">Elliots Rd, Fairy Meadow NSW 2519</t>
  </si>
  <si>
    <t xml:space="preserve">Commuter car park | Wheelchair accessible car space | Kiss and ride stopping area | Bike racks | Bike lockers | Wheelchair accessible toilet | Baby change table | Emergency help point | Payphone | No Opal card top up or single trip ticket sales</t>
  </si>
  <si>
    <t xml:space="preserve">02 4223 5582</t>
  </si>
  <si>
    <t xml:space="preserve">Fassifern Station</t>
  </si>
  <si>
    <t xml:space="preserve">228330</t>
  </si>
  <si>
    <t xml:space="preserve">10101151</t>
  </si>
  <si>
    <t xml:space="preserve">Tucker Close, Fassifern NSW 2283</t>
  </si>
  <si>
    <t xml:space="preserve">Commuter car park | Wheelchair accessible car space | Kiss and ride stopping area | Bike racks | Toilets | Emergency help point | Payphone | Opal card top up or single trip ticket machine (Cash or Card Payment)</t>
  </si>
  <si>
    <t xml:space="preserve">02 4985 7209</t>
  </si>
  <si>
    <t xml:space="preserve">Faulconbridge Station</t>
  </si>
  <si>
    <t xml:space="preserve">277610</t>
  </si>
  <si>
    <t xml:space="preserve">10101260</t>
  </si>
  <si>
    <t xml:space="preserve">Great Western Hwy, Faulconbridge NSW 2776</t>
  </si>
  <si>
    <t xml:space="preserve">Commuter car park | Wheelchair accessible car space | Kiss and ride stopping area | Bike racks | Toilets | Wheelchair accessible toilet | Baby change table | Emergency help point | Information point | Payphone | No Opal card top up or single trip ticket sales</t>
  </si>
  <si>
    <t xml:space="preserve">02 4780 3906</t>
  </si>
  <si>
    <t xml:space="preserve">Fennell Street Light Rail</t>
  </si>
  <si>
    <t xml:space="preserve">2150163</t>
  </si>
  <si>
    <t xml:space="preserve">10101711</t>
  </si>
  <si>
    <t xml:space="preserve">Cnr Church St &amp; Fennell St, Parramatta NSW 2150</t>
  </si>
  <si>
    <t xml:space="preserve">Finley Coach Stop</t>
  </si>
  <si>
    <t xml:space="preserve">271312</t>
  </si>
  <si>
    <t xml:space="preserve">10102833</t>
  </si>
  <si>
    <t xml:space="preserve">Finley War Memorial, Wollamai St, Finley NSW 2713</t>
  </si>
  <si>
    <t xml:space="preserve">Fish Market Wharf</t>
  </si>
  <si>
    <t xml:space="preserve">200945</t>
  </si>
  <si>
    <t xml:space="preserve">10103024</t>
  </si>
  <si>
    <t xml:space="preserve">Pyrmont Bridge Rd, Pyrmont NSW 2009</t>
  </si>
  <si>
    <t xml:space="preserve">Flemington Station</t>
  </si>
  <si>
    <t xml:space="preserve">214020</t>
  </si>
  <si>
    <t xml:space="preserve">10101217</t>
  </si>
  <si>
    <t xml:space="preserve">The Crescent, Homebush West NSW 2140</t>
  </si>
  <si>
    <t xml:space="preserve">Kiss and ride stopping area | Taxi rank | Bike racks | Toilets | Wheelchair accessible toilet (MLAK) | Baby change table | Emergency help point | Payphone | Next service display | Opal card top up or single trip ticket machine (Cash or Card Payment)</t>
  </si>
  <si>
    <t xml:space="preserve">02 9752 8477</t>
  </si>
  <si>
    <t xml:space="preserve">Forbes Coach Stop</t>
  </si>
  <si>
    <t xml:space="preserve">2871689</t>
  </si>
  <si>
    <t xml:space="preserve">10102642</t>
  </si>
  <si>
    <t xml:space="preserve">Forbes Visitor Information Centre, Union St, Forbes NSW 2871</t>
  </si>
  <si>
    <t xml:space="preserve">Gadigal Station</t>
  </si>
  <si>
    <t xml:space="preserve">200066</t>
  </si>
  <si>
    <t xml:space="preserve">10101514</t>
  </si>
  <si>
    <t xml:space="preserve">Park St/Bathurst St, Sydney NSW 2000</t>
  </si>
  <si>
    <t xml:space="preserve">Galong Coach Stop</t>
  </si>
  <si>
    <t xml:space="preserve">258515</t>
  </si>
  <si>
    <t xml:space="preserve">10102807</t>
  </si>
  <si>
    <t xml:space="preserve">Bent St at McMahon St, Galong NSW 2585</t>
  </si>
  <si>
    <t xml:space="preserve">Ganmain Coach Stop</t>
  </si>
  <si>
    <t xml:space="preserve">270223</t>
  </si>
  <si>
    <t xml:space="preserve">10102843</t>
  </si>
  <si>
    <t xml:space="preserve">Ford St at Hort St, Ganmain NSW 2702</t>
  </si>
  <si>
    <t xml:space="preserve">Garden Island Wharf</t>
  </si>
  <si>
    <t xml:space="preserve">201119</t>
  </si>
  <si>
    <t xml:space="preserve">10102001</t>
  </si>
  <si>
    <t xml:space="preserve">Garden Island Peninsula, Potts Point NSW 2011</t>
  </si>
  <si>
    <t xml:space="preserve">Toilets | Next service display | No Opal card top up or single trip ticket sales</t>
  </si>
  <si>
    <t xml:space="preserve">This location is Independent Access | Wheelchair ramp boarding assistance | Stairs</t>
  </si>
  <si>
    <t xml:space="preserve">Gerringong Station</t>
  </si>
  <si>
    <t xml:space="preserve">253420</t>
  </si>
  <si>
    <t xml:space="preserve">10101387</t>
  </si>
  <si>
    <t xml:space="preserve">Grey St, Gerringong NSW 2534</t>
  </si>
  <si>
    <t xml:space="preserve">Commuter car park | Wheelchair accessible car space | Kiss and ride stopping area | Toilets | Emergency help point | Information point | Payphone | No Opal card top up or single trip ticket sales</t>
  </si>
  <si>
    <t xml:space="preserve">02 4234 1422</t>
  </si>
  <si>
    <t xml:space="preserve">Geurie Station</t>
  </si>
  <si>
    <t xml:space="preserve">28311</t>
  </si>
  <si>
    <t xml:space="preserve">10101809</t>
  </si>
  <si>
    <t xml:space="preserve">Mitchell Hwy, Geurie NSW 2818</t>
  </si>
  <si>
    <t xml:space="preserve">Commuter car park | Information point</t>
  </si>
  <si>
    <t xml:space="preserve">This location is Assisted Access | Wheelchair ramp boarding assistance | PA system for announcements</t>
  </si>
  <si>
    <t xml:space="preserve">Gibraltar Range Coach Stop</t>
  </si>
  <si>
    <t xml:space="preserve">237014</t>
  </si>
  <si>
    <t xml:space="preserve">10102710</t>
  </si>
  <si>
    <t xml:space="preserve">Gwydir Hwy, Gilbraltar Range NSW 2370</t>
  </si>
  <si>
    <t xml:space="preserve">Gilgai Coach Stop</t>
  </si>
  <si>
    <t xml:space="preserve">236055</t>
  </si>
  <si>
    <t xml:space="preserve">10102705</t>
  </si>
  <si>
    <t xml:space="preserve">Marsh St at Hall St, Gilgai NSW 2360</t>
  </si>
  <si>
    <t xml:space="preserve">Gilgandra Coach Stop</t>
  </si>
  <si>
    <t xml:space="preserve">282764</t>
  </si>
  <si>
    <t xml:space="preserve">10102622</t>
  </si>
  <si>
    <t xml:space="preserve">Warren St before Morris St, Gilgandra NSW 2827</t>
  </si>
  <si>
    <t xml:space="preserve">Girilambone Coach Stop</t>
  </si>
  <si>
    <t xml:space="preserve">283156</t>
  </si>
  <si>
    <t xml:space="preserve">10102615</t>
  </si>
  <si>
    <t xml:space="preserve">Mitchell Hwy opp Girilambone Country Store, Girilambone NSW 2831</t>
  </si>
  <si>
    <t xml:space="preserve">Glebe Light Rail</t>
  </si>
  <si>
    <t xml:space="preserve">203755</t>
  </si>
  <si>
    <t xml:space="preserve">10101633</t>
  </si>
  <si>
    <t xml:space="preserve">Lower Avon St, Glebe NSW 2037</t>
  </si>
  <si>
    <t xml:space="preserve">Glen Innes Coach Stop</t>
  </si>
  <si>
    <t xml:space="preserve">237013</t>
  </si>
  <si>
    <t xml:space="preserve">10102709</t>
  </si>
  <si>
    <t xml:space="preserve">Glen Innes Visitor Information Centre, 152 Church St, Glen Innes NSW 2370</t>
  </si>
  <si>
    <t xml:space="preserve">Glenbrook Station</t>
  </si>
  <si>
    <t xml:space="preserve">277310</t>
  </si>
  <si>
    <t xml:space="preserve">10101255</t>
  </si>
  <si>
    <t xml:space="preserve">Burfitt Pde, Glenbrook NSW 2773</t>
  </si>
  <si>
    <t xml:space="preserve">Commuter car park | Wheelchair accessible car space | Kiss and ride stopping area | Bike lockers | Toilets | Wheelchair accessible toilet | Baby change table | Emergency help point | Information point | Payphone | Opal card top up or single trip ticket machine (Card Payment only)</t>
  </si>
  <si>
    <t xml:space="preserve">02 4739 1753</t>
  </si>
  <si>
    <t xml:space="preserve">Glencoe Coach Stop</t>
  </si>
  <si>
    <t xml:space="preserve">236574</t>
  </si>
  <si>
    <t xml:space="preserve">10102722</t>
  </si>
  <si>
    <t xml:space="preserve">Railway St opposite Glencoe Post Office, Glencoe NSW 2365</t>
  </si>
  <si>
    <t xml:space="preserve">Glenfield Station</t>
  </si>
  <si>
    <t xml:space="preserve">216710</t>
  </si>
  <si>
    <t xml:space="preserve">10101291</t>
  </si>
  <si>
    <t xml:space="preserve">Railway Pde, Glenfield NSW 2167</t>
  </si>
  <si>
    <t xml:space="preserve">Commuter car park | Wheelchair accessible car space | Kiss and ride stopping area | Taxi rank | Bike racks | Bike lockers | Toilets | Wheelchair accessible toilet (MLAK) | Baby change table | Emergency help point | Payphone | Next service display | Opal card top up or single trip ticket machine (Card Payment only)</t>
  </si>
  <si>
    <t xml:space="preserve">02 9765 1162</t>
  </si>
  <si>
    <t xml:space="preserve">Gloucester Station</t>
  </si>
  <si>
    <t xml:space="preserve">24221</t>
  </si>
  <si>
    <t xml:space="preserve">10101843</t>
  </si>
  <si>
    <t xml:space="preserve">Bucketts Way, Gloucester NSW 2422</t>
  </si>
  <si>
    <t xml:space="preserve">Gloucester Town Coach Stop</t>
  </si>
  <si>
    <t xml:space="preserve">242296</t>
  </si>
  <si>
    <t xml:space="preserve">10102773</t>
  </si>
  <si>
    <t xml:space="preserve">Billabong Native Garden, Denison St, Gloucester NSW 2422</t>
  </si>
  <si>
    <t xml:space="preserve">Gongolgon Coach Stop</t>
  </si>
  <si>
    <t xml:space="preserve">283915</t>
  </si>
  <si>
    <t xml:space="preserve">10102617</t>
  </si>
  <si>
    <t xml:space="preserve">Colayne St after Campbell St, Gongolgon NSW 2839</t>
  </si>
  <si>
    <t xml:space="preserve">Goonellabah Coach Stop</t>
  </si>
  <si>
    <t xml:space="preserve">24801105</t>
  </si>
  <si>
    <t xml:space="preserve">10102753</t>
  </si>
  <si>
    <t xml:space="preserve">Ballina Rd at James St, Goonellabah NSW 2480</t>
  </si>
  <si>
    <t xml:space="preserve">Gordon Station</t>
  </si>
  <si>
    <t xml:space="preserve">207210</t>
  </si>
  <si>
    <t xml:space="preserve">10101121</t>
  </si>
  <si>
    <t xml:space="preserve">St Johns Ave, Gordon NSW 2072</t>
  </si>
  <si>
    <t xml:space="preserve">Commuter car park | Transport Park&amp;Ride | Wheelchair accessible car space | Kiss and ride stopping area | Taxi rank | Bike racks | Bike lockers | Toilets | Wheelchair accessible toilet | Baby change table | Emergency help point | Payphone | Next service display | Opal card top up or single trip ticket machine (Card Payment only)</t>
  </si>
  <si>
    <t xml:space="preserve">02 9847 8458</t>
  </si>
  <si>
    <t xml:space="preserve">Gosford Station</t>
  </si>
  <si>
    <t xml:space="preserve">225040</t>
  </si>
  <si>
    <t xml:space="preserve">10101139</t>
  </si>
  <si>
    <t xml:space="preserve">Mann St, Gosford NSW 2250</t>
  </si>
  <si>
    <t xml:space="preserve">Commuter car park | Wheelchair accessible car space | Kiss and ride stopping area | Taxi rank | Bike racks | Bike lockers | Bike shed | Wheelchair accessible toilet | Baby change table | Emergency help point | Payphone | Next service display | Opal card top up or single trip ticket machine (Cash or Card Payment)</t>
  </si>
  <si>
    <t xml:space="preserve">02 4349 9260</t>
  </si>
  <si>
    <t xml:space="preserve">Goulburn Big Merino Coach Stop</t>
  </si>
  <si>
    <t xml:space="preserve">2580198</t>
  </si>
  <si>
    <t xml:space="preserve">10102802</t>
  </si>
  <si>
    <t xml:space="preserve">Lockyer St, Goulburn NSW 2580</t>
  </si>
  <si>
    <t xml:space="preserve">Goulburn Station</t>
  </si>
  <si>
    <t xml:space="preserve">258010</t>
  </si>
  <si>
    <t xml:space="preserve">10101315</t>
  </si>
  <si>
    <t xml:space="preserve">Sloane St, Goulburn NSW 2580</t>
  </si>
  <si>
    <t xml:space="preserve">Commuter car park | Wheelchair accessible car space | Kiss and ride stopping area | Taxi rank | Bike racks | Toilets | Wheelchair accessible toilet | Baby change table | Emergency help point | Payphone | No Opal card top up or single trip ticket sales</t>
  </si>
  <si>
    <t xml:space="preserve">Grafton Station</t>
  </si>
  <si>
    <t xml:space="preserve">24601</t>
  </si>
  <si>
    <t xml:space="preserve">10101831</t>
  </si>
  <si>
    <t xml:space="preserve">Crisp Ave, South Grafton NSW 2460</t>
  </si>
  <si>
    <t xml:space="preserve">Commuter car park | Wheelchair accessible car space | Kiss and ride stopping area | Taxi rank | Bike racks | Toilets | Wheelchair accessible toilet | Baby change table | Emergency help point | Next service display</t>
  </si>
  <si>
    <t xml:space="preserve">Grafton Town Coach Stop</t>
  </si>
  <si>
    <t xml:space="preserve">2460877</t>
  </si>
  <si>
    <t xml:space="preserve">10102866</t>
  </si>
  <si>
    <t xml:space="preserve">Market Square, Prince St, Grafton NSW 2460</t>
  </si>
  <si>
    <t xml:space="preserve">Granville Station</t>
  </si>
  <si>
    <t xml:space="preserve">214240</t>
  </si>
  <si>
    <t xml:space="preserve">10101227</t>
  </si>
  <si>
    <t xml:space="preserve">Bridge St, Granville NSW 2142</t>
  </si>
  <si>
    <t xml:space="preserve">Commuter car park | Wheelchair accessible car space | Kiss and ride stopping area | Taxi rank | Bike racks | Bike lockers | Toilets | Wheelchair accessible toilet | Wheelchair accessible toilet (MLAK) | Baby change table | Emergency help point | Payphone | Next service display | Opal card top up or single trip ticket machine (Card Payment only)</t>
  </si>
  <si>
    <t xml:space="preserve">02 9848 9388</t>
  </si>
  <si>
    <t xml:space="preserve">Gravesend Coach Stop</t>
  </si>
  <si>
    <t xml:space="preserve">240112</t>
  </si>
  <si>
    <t xml:space="preserve">10102693</t>
  </si>
  <si>
    <t xml:space="preserve">Gravesend General Store, Railway Pde, Gravesend NSW 2401</t>
  </si>
  <si>
    <t xml:space="preserve">Green Square Station</t>
  </si>
  <si>
    <t xml:space="preserve">201710</t>
  </si>
  <si>
    <t xml:space="preserve">10101329</t>
  </si>
  <si>
    <t xml:space="preserve">Cnr Botany Rd &amp; O'Riordan St, Alexandria NSW 2015</t>
  </si>
  <si>
    <t xml:space="preserve">Bike shed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</si>
  <si>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02 8337 8430</t>
  </si>
  <si>
    <t xml:space="preserve">Greenwich Point Wharf</t>
  </si>
  <si>
    <t xml:space="preserve">206518</t>
  </si>
  <si>
    <t xml:space="preserve">10102019</t>
  </si>
  <si>
    <t xml:space="preserve">Lower Serpentine Rd, Greenwich NSW 2065</t>
  </si>
  <si>
    <t xml:space="preserve">Emergency help point | No Opal card top up or single trip ticket sales | Next service display | Bike racks</t>
  </si>
  <si>
    <t xml:space="preserve">This location is Independent Access | Wheelchair ramp boarding assistance | Hearing loop | PA system for announcements | Stairs | Hearing loop | Wharf edge tactiles | Lift</t>
  </si>
  <si>
    <t xml:space="preserve">Greenwich Wharf</t>
  </si>
  <si>
    <t xml:space="preserve">206519</t>
  </si>
  <si>
    <t xml:space="preserve">10102047</t>
  </si>
  <si>
    <t xml:space="preserve">Greenwich NSW 2065</t>
  </si>
  <si>
    <t xml:space="preserve">Kiss and ride stopping area</t>
  </si>
  <si>
    <t xml:space="preserve">This location is Not Accessible | Wheelchair ramp boarding assistance</t>
  </si>
  <si>
    <t xml:space="preserve">Grenfell Coach Stop</t>
  </si>
  <si>
    <t xml:space="preserve">281023</t>
  </si>
  <si>
    <t xml:space="preserve">10102641</t>
  </si>
  <si>
    <t xml:space="preserve">Grenfell Station, West St, Grenfell NSW 2810</t>
  </si>
  <si>
    <t xml:space="preserve">Greta Station</t>
  </si>
  <si>
    <t xml:space="preserve">233410</t>
  </si>
  <si>
    <t xml:space="preserve">10101188</t>
  </si>
  <si>
    <t xml:space="preserve">Nelson St, Greta NSW 2334</t>
  </si>
  <si>
    <t xml:space="preserve">Commuter car park | Wheelchair accessible car space | Emergency help point | No Opal card top up or single trip ticket sales</t>
  </si>
  <si>
    <t xml:space="preserve">Griffith Station</t>
  </si>
  <si>
    <t xml:space="preserve">26801</t>
  </si>
  <si>
    <t xml:space="preserve">10101854</t>
  </si>
  <si>
    <t xml:space="preserve">Railway St, Griffith NSW 2680</t>
  </si>
  <si>
    <t xml:space="preserve">Commuter car park | Wheelchair accessible car space | Kiss and ride stopping area | Bike racks | Toilets | Wheelchair accessible toilet | Baby change table | Emergency help point | Information point | Next service display</t>
  </si>
  <si>
    <t xml:space="preserve">Grong Grong Coach Stop</t>
  </si>
  <si>
    <t xml:space="preserve">2652180</t>
  </si>
  <si>
    <t xml:space="preserve">10102841</t>
  </si>
  <si>
    <t xml:space="preserve">Narrandera St at Bolaro St, Grong Grong NSW 2652</t>
  </si>
  <si>
    <t xml:space="preserve">Guildford Station</t>
  </si>
  <si>
    <t xml:space="preserve">216110</t>
  </si>
  <si>
    <t xml:space="preserve">10101283</t>
  </si>
  <si>
    <t xml:space="preserve">Military Rd, Guildford NSW 2161</t>
  </si>
  <si>
    <t xml:space="preserve">02 9848 9287</t>
  </si>
  <si>
    <t xml:space="preserve">Gulargambone Coach Stop</t>
  </si>
  <si>
    <t xml:space="preserve">282812</t>
  </si>
  <si>
    <t xml:space="preserve">10102621</t>
  </si>
  <si>
    <t xml:space="preserve">Coonamble St after Bourbah St, Gulargambone NSW 2828</t>
  </si>
  <si>
    <t xml:space="preserve">Gulgong Coach Stop</t>
  </si>
  <si>
    <t xml:space="preserve">285214</t>
  </si>
  <si>
    <t xml:space="preserve">10102671</t>
  </si>
  <si>
    <t xml:space="preserve">Herbert St at Holtermann St, Gulgong NSW 2852</t>
  </si>
  <si>
    <t xml:space="preserve">Gundagai Coach Stop</t>
  </si>
  <si>
    <t xml:space="preserve">272295</t>
  </si>
  <si>
    <t xml:space="preserve">10102811</t>
  </si>
  <si>
    <t xml:space="preserve">Gundagai Visitor Information Centre, Sheridan St, Gundagai NSW 2722</t>
  </si>
  <si>
    <t xml:space="preserve">Gunnedah Station</t>
  </si>
  <si>
    <t xml:space="preserve">23801</t>
  </si>
  <si>
    <t xml:space="preserve">10101818</t>
  </si>
  <si>
    <t xml:space="preserve">Railway Ave, Gunnedah NSW 2380</t>
  </si>
  <si>
    <t xml:space="preserve">Commuter car park | Wheelchair accessible car space | Taxi rank | Toilets | Wheelchair accessible toilet | Baby change table | Emergency help point | Luggage storage</t>
  </si>
  <si>
    <t xml:space="preserve">Gunning Station</t>
  </si>
  <si>
    <t xml:space="preserve">25811</t>
  </si>
  <si>
    <t xml:space="preserve">10101862</t>
  </si>
  <si>
    <t xml:space="preserve">Grovenor St, Gunning NSW 2581</t>
  </si>
  <si>
    <t xml:space="preserve">Commuter car park | Wheelchair accessible car space | Wheelchair accessible toilet | Baby change table | Information point</t>
  </si>
  <si>
    <t xml:space="preserve">This location is Assisted Access | Wheelchair ramp boarding assistance | PA system for announcements | Level crossing</t>
  </si>
  <si>
    <t xml:space="preserve">Guyra Coach Stop</t>
  </si>
  <si>
    <t xml:space="preserve">236575</t>
  </si>
  <si>
    <t xml:space="preserve">10102724</t>
  </si>
  <si>
    <t xml:space="preserve">Guyra Post Office, Bradley St, Guyra NSW 2365</t>
  </si>
  <si>
    <t xml:space="preserve">Gymea Station</t>
  </si>
  <si>
    <t xml:space="preserve">222710</t>
  </si>
  <si>
    <t xml:space="preserve">10101347</t>
  </si>
  <si>
    <t xml:space="preserve">Gymea Bay Rd, Gymea NSW 2227</t>
  </si>
  <si>
    <t xml:space="preserve">Commuter car park | Wheelchair accessible car space | Kiss and ride stopping area | Taxi rank | Bike racks | Wheelchair accessible toilet | Baby change table | Emergency help point | Payphone | Next service display | Opal card top up or single trip ticket machine (Card Payment only)</t>
  </si>
  <si>
    <t xml:space="preserve">02 9522 1288</t>
  </si>
  <si>
    <t xml:space="preserve">Hamilton Station</t>
  </si>
  <si>
    <t xml:space="preserve">230310</t>
  </si>
  <si>
    <t xml:space="preserve">10101161</t>
  </si>
  <si>
    <t xml:space="preserve">Beaumont St, Hamilton NSW 2303</t>
  </si>
  <si>
    <t xml:space="preserve">Commuter car park | Kiss and ride stopping area | Taxi rank | Bike racks | Toilets | Wheelchair accessible toilet | Baby change table | Emergency help point | Payphone | Next service display | Opal card top up or single trip ticket machine (Cash or Card Payment)</t>
  </si>
  <si>
    <t xml:space="preserve">02 4962 9365</t>
  </si>
  <si>
    <t xml:space="preserve">Harden Station</t>
  </si>
  <si>
    <t xml:space="preserve">25871</t>
  </si>
  <si>
    <t xml:space="preserve">10101860</t>
  </si>
  <si>
    <t xml:space="preserve">Station St, Harden NSW 2587</t>
  </si>
  <si>
    <t xml:space="preserve">Toilets | Emergency help point | Information point</t>
  </si>
  <si>
    <t xml:space="preserve">Harden Town Coach Stop</t>
  </si>
  <si>
    <t xml:space="preserve">258735</t>
  </si>
  <si>
    <t xml:space="preserve">10102808</t>
  </si>
  <si>
    <t xml:space="preserve">Albury St at East St, Harden NSW 2587</t>
  </si>
  <si>
    <t xml:space="preserve">Harris Park Station</t>
  </si>
  <si>
    <t xml:space="preserve">215010</t>
  </si>
  <si>
    <t xml:space="preserve">10101228</t>
  </si>
  <si>
    <t xml:space="preserve">Station St, Harris Park NSW 2150</t>
  </si>
  <si>
    <t xml:space="preserve">Commuter car park | Wheelchair accessible car space | Kiss and ride stopping area | Bike racks | Wheelchair accessible toilet | Baby change table | Emergency help point | Payphone | Next service display | Opal card top up or single trip ticket machine (Card Payment only)</t>
  </si>
  <si>
    <t xml:space="preserve">02 9848 9386</t>
  </si>
  <si>
    <t xml:space="preserve">Hastings Point Coach Stop</t>
  </si>
  <si>
    <t xml:space="preserve">248967</t>
  </si>
  <si>
    <t xml:space="preserve">10102733</t>
  </si>
  <si>
    <t xml:space="preserve">North Star Caravan Park, Tweed Coast Rd, Hastings Point NSW 2489</t>
  </si>
  <si>
    <t xml:space="preserve">Hawkesbury River Station</t>
  </si>
  <si>
    <t xml:space="preserve">208310</t>
  </si>
  <si>
    <t xml:space="preserve">10101133</t>
  </si>
  <si>
    <t xml:space="preserve">Dangar Rd, Brooklyn NSW 2083</t>
  </si>
  <si>
    <t xml:space="preserve">Train, Bus, Ferry</t>
  </si>
  <si>
    <t xml:space="preserve">Hawthorne Light Rail</t>
  </si>
  <si>
    <t xml:space="preserve">204091</t>
  </si>
  <si>
    <t xml:space="preserve">10101628</t>
  </si>
  <si>
    <t xml:space="preserve">Darley Rd, Leichhardt NSW 2040</t>
  </si>
  <si>
    <t xml:space="preserve">Hay Coach Stop</t>
  </si>
  <si>
    <t xml:space="preserve">271117</t>
  </si>
  <si>
    <t xml:space="preserve">10102855</t>
  </si>
  <si>
    <t xml:space="preserve">Moama St at Archer St, Hay South NSW 2711</t>
  </si>
  <si>
    <t xml:space="preserve">Haymarket Light Rail</t>
  </si>
  <si>
    <t xml:space="preserve">2000168</t>
  </si>
  <si>
    <t xml:space="preserve">10101606</t>
  </si>
  <si>
    <t xml:space="preserve">Bus, Light rail, Taxi</t>
  </si>
  <si>
    <t xml:space="preserve">Hazelbrook Station</t>
  </si>
  <si>
    <t xml:space="preserve">277910</t>
  </si>
  <si>
    <t xml:space="preserve">10101263</t>
  </si>
  <si>
    <t xml:space="preserve">Railway Pde, Hazelbrook NSW 2779</t>
  </si>
  <si>
    <t xml:space="preserve">Commuter car park | Wheelchair accessible car space | Bike racks | Bike lockers | Toilets | Wheelchair accessible toilet | Baby change table | Emergency help point | Information point | Payphone</t>
  </si>
  <si>
    <t xml:space="preserve">02 4780 3913</t>
  </si>
  <si>
    <t xml:space="preserve">Heathcote Station</t>
  </si>
  <si>
    <t xml:space="preserve">223320</t>
  </si>
  <si>
    <t xml:space="preserve">10101354</t>
  </si>
  <si>
    <t xml:space="preserve">Princes Hwy, Heathcote NSW 2233</t>
  </si>
  <si>
    <t xml:space="preserve">Commuter car park | Wheelchair accessible car space | Kiss and ride stopping area | Bike racks | Bike lockers | Toilets | Wheelchair accessible toilet | Baby change table | Emergency help point | Payphone | Next service display | Opal card top up or single trip ticket machine (Card Payment only)</t>
  </si>
  <si>
    <t xml:space="preserve">02 9522 1221</t>
  </si>
  <si>
    <t xml:space="preserve">Helensburgh Station</t>
  </si>
  <si>
    <t xml:space="preserve">250810</t>
  </si>
  <si>
    <t xml:space="preserve">10101356</t>
  </si>
  <si>
    <t xml:space="preserve">Wilsons Creek Rd, Helensburgh NSW 2508</t>
  </si>
  <si>
    <t xml:space="preserve">Commuter car park | Wheelchair accessible car space | Kiss and ride stopping area | Bike racks | Bike lockers | Toilets | Wheelchair accessible toilet | Baby change table | Emergency help point | Payphone | Opal card top up or single trip ticket machine (Card Payment only)</t>
  </si>
  <si>
    <t xml:space="preserve">02 4223 5864</t>
  </si>
  <si>
    <t xml:space="preserve">Henty Station</t>
  </si>
  <si>
    <t xml:space="preserve">26581</t>
  </si>
  <si>
    <t xml:space="preserve">10101851</t>
  </si>
  <si>
    <t xml:space="preserve">Olympic Hwy, Henty NSW 2658</t>
  </si>
  <si>
    <t xml:space="preserve">This location is Independent Access | Wheelchair ramp boarding assistance | PA system for announcements | Platform edge tactiles</t>
  </si>
  <si>
    <t xml:space="preserve">Hermidale Coach Stop</t>
  </si>
  <si>
    <t xml:space="preserve">283157</t>
  </si>
  <si>
    <t xml:space="preserve">10102606</t>
  </si>
  <si>
    <t xml:space="preserve">Hermidale Hotel, Quanda St, Hermidale NSW 2831</t>
  </si>
  <si>
    <t xml:space="preserve">Hexham Station</t>
  </si>
  <si>
    <t xml:space="preserve">232210</t>
  </si>
  <si>
    <t xml:space="preserve">10101170</t>
  </si>
  <si>
    <t xml:space="preserve">Pacific Hwy, Hexham NSW 2322</t>
  </si>
  <si>
    <t xml:space="preserve">High Street Station</t>
  </si>
  <si>
    <t xml:space="preserve">232010</t>
  </si>
  <si>
    <t xml:space="preserve">10101177</t>
  </si>
  <si>
    <t xml:space="preserve">High St, Maitland NSW 2320</t>
  </si>
  <si>
    <t xml:space="preserve">02 4933 7902</t>
  </si>
  <si>
    <t xml:space="preserve">Hilldale Station</t>
  </si>
  <si>
    <t xml:space="preserve">242040</t>
  </si>
  <si>
    <t xml:space="preserve">10101183</t>
  </si>
  <si>
    <t xml:space="preserve">Paterson Rd, Hilldale NSW 2420</t>
  </si>
  <si>
    <t xml:space="preserve">Hills Showground Station</t>
  </si>
  <si>
    <t xml:space="preserve">2154392</t>
  </si>
  <si>
    <t xml:space="preserve">10101505</t>
  </si>
  <si>
    <t xml:space="preserve">Carrington Rd, Castle Hill NSW 2154</t>
  </si>
  <si>
    <t xml:space="preserve">Holsworthy Station</t>
  </si>
  <si>
    <t xml:space="preserve">217310</t>
  </si>
  <si>
    <t xml:space="preserve">10101420</t>
  </si>
  <si>
    <t xml:space="preserve">Macarthur Dr, Holsworthy NSW 2173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</si>
  <si>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</si>
  <si>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02 9765 1166</t>
  </si>
  <si>
    <t xml:space="preserve">Homebush Station</t>
  </si>
  <si>
    <t xml:space="preserve">214010</t>
  </si>
  <si>
    <t xml:space="preserve">10101216</t>
  </si>
  <si>
    <t xml:space="preserve">The Crescent, Homebush NSW 2140</t>
  </si>
  <si>
    <t xml:space="preserve">Wheelchair accessible car space | Kiss and ride stopping area | Taxi rank | Bike racks | Toilets | Wheelchair accessible toilet | Baby change table | Emergency help point | Payphone | Next service display | Opal card top up or single trip ticket machine (Cash or Card Payment)</t>
  </si>
  <si>
    <t xml:space="preserve">This location is Not Accessible | Wheelchair ramp boarding assistance | Hearing loop | PA system for announcements | Platform edge tactiles | Stairs | Lift</t>
  </si>
  <si>
    <t xml:space="preserve">02 9752 8882</t>
  </si>
  <si>
    <t xml:space="preserve">Honeysuckle Light Rail</t>
  </si>
  <si>
    <t xml:space="preserve">2300130</t>
  </si>
  <si>
    <t xml:space="preserve">10101741</t>
  </si>
  <si>
    <t xml:space="preserve">Kuwumi Pl, Newcastle NSW 2300</t>
  </si>
  <si>
    <t xml:space="preserve">Hornsby Station</t>
  </si>
  <si>
    <t xml:space="preserve">207720</t>
  </si>
  <si>
    <t xml:space="preserve">10101127</t>
  </si>
  <si>
    <t xml:space="preserve">Station St, Hornsby NSW 2077</t>
  </si>
  <si>
    <t xml:space="preserve">Commuter car park | Wheelchair accessible car space | Kiss and ride stopping area | Taxi rank | Bike racks | Bike lockers | Bike shed | Toilets | Wheelchair accessible toilet (MLAK) | Baby change table | Emergency help point | Payphone | Next service display | Opal card top up or single trip ticket machine (Card Payment only) | Opal card top up machine (Card Payment only) | Transport Park&amp;Ride | Free mobile phone charging</t>
  </si>
  <si>
    <t xml:space="preserve">02 9847 8428</t>
  </si>
  <si>
    <t xml:space="preserve">Howlong Coach Stop</t>
  </si>
  <si>
    <t xml:space="preserve">2643122</t>
  </si>
  <si>
    <t xml:space="preserve">10102824</t>
  </si>
  <si>
    <t xml:space="preserve">Sturt St after Hawkins St, Howlong NSW 2643</t>
  </si>
  <si>
    <t xml:space="preserve">Hunters Hill Wharf</t>
  </si>
  <si>
    <t xml:space="preserve">2110114</t>
  </si>
  <si>
    <t xml:space="preserve">10102092</t>
  </si>
  <si>
    <t xml:space="preserve">Alexandra St, Hunters Hill NSW 2110</t>
  </si>
  <si>
    <t xml:space="preserve">No Opal card top up or single trip ticket sales</t>
  </si>
  <si>
    <t xml:space="preserve">Huntleys Point Wharf</t>
  </si>
  <si>
    <t xml:space="preserve">211131</t>
  </si>
  <si>
    <t xml:space="preserve">10102036</t>
  </si>
  <si>
    <t xml:space="preserve">Huntleys Point Rd, Huntleys Point NSW 2111</t>
  </si>
  <si>
    <t xml:space="preserve">Commuter car park | Wheelchair accessible car space | Kiss and ride stopping area | Taxi rank | Bike racks | Emergency help point | Next service display</t>
  </si>
  <si>
    <t xml:space="preserve">This location is Independent Access | Wheelchair ramp boarding assistance | Hearing loop | PA system for announcements | Wharf edge tactiles | Stairs | Lift</t>
  </si>
  <si>
    <t xml:space="preserve">Hurlstone Park Station</t>
  </si>
  <si>
    <t xml:space="preserve">219310</t>
  </si>
  <si>
    <t xml:space="preserve">10101394</t>
  </si>
  <si>
    <t xml:space="preserve">Floss St, Hurlstone Park NSW 2193</t>
  </si>
  <si>
    <t xml:space="preserve">Commuter car park | Wheelchair accessible car space | Kiss and ride stopping area | Bike racks | Toilets | Wheelchair accessible toilet | Baby change table | Emergency help point | Next service display</t>
  </si>
  <si>
    <t xml:space="preserve">This location is Independent Access | Wheelchair ramp boarding assistance | Hearing loop | PA system for announcements | Stairs | Lift</t>
  </si>
  <si>
    <t xml:space="preserve">02 9563 7544</t>
  </si>
  <si>
    <t xml:space="preserve">Hurstville Station</t>
  </si>
  <si>
    <t xml:space="preserve">222010</t>
  </si>
  <si>
    <t xml:space="preserve">10101339</t>
  </si>
  <si>
    <t xml:space="preserve">Ormonde Pde, Hurstville NSW 2220</t>
  </si>
  <si>
    <t xml:space="preserve">Wheelchair accessible car space | Kiss and ride stopping area | Taxi rank | Bike racks | Toilets | Wheelchair accessible toilet | Baby change table | Emergency help point | Payphone | Next service display | Opal card top up or single trip ticket machine (Cash or Card Payment) | Opal card top up machine (Card Payment only) | Free mobile phone charging</t>
  </si>
  <si>
    <t xml:space="preserve">02 9563 7568</t>
  </si>
  <si>
    <t xml:space="preserve">Ilford Coach Stop</t>
  </si>
  <si>
    <t xml:space="preserve">285041</t>
  </si>
  <si>
    <t xml:space="preserve">10102680</t>
  </si>
  <si>
    <t xml:space="preserve">Castlereagh Hwy after Cafes Rd, Ilford NSW 2850</t>
  </si>
  <si>
    <t xml:space="preserve">Iluka Coach Stop</t>
  </si>
  <si>
    <t xml:space="preserve">246638</t>
  </si>
  <si>
    <t xml:space="preserve">10102758</t>
  </si>
  <si>
    <t xml:space="preserve">Iluka Post Office, Charles St, Iluka NSW 2466</t>
  </si>
  <si>
    <t xml:space="preserve">Ingleburn Station</t>
  </si>
  <si>
    <t xml:space="preserve">256510</t>
  </si>
  <si>
    <t xml:space="preserve">10101293</t>
  </si>
  <si>
    <t xml:space="preserve">Stanley Rd, Ingleburn NSW 2565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</si>
  <si>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(Cash or Card Payment)</t>
  </si>
  <si>
    <t xml:space="preserve">02 4629 0845</t>
  </si>
  <si>
    <t xml:space="preserve">International Airport Station</t>
  </si>
  <si>
    <t xml:space="preserve">202030</t>
  </si>
  <si>
    <t xml:space="preserve">10101332</t>
  </si>
  <si>
    <t xml:space="preserve">Qantas Dr, International Airport, Mascot NSW 2020</t>
  </si>
  <si>
    <t xml:space="preserve">02 8337 8460</t>
  </si>
  <si>
    <t xml:space="preserve">Inverell Coach Stop</t>
  </si>
  <si>
    <t xml:space="preserve">236056</t>
  </si>
  <si>
    <t xml:space="preserve">10102704</t>
  </si>
  <si>
    <t xml:space="preserve">Inverell Visitor Information Centre, Campbell St, Inverell NSW 2360</t>
  </si>
  <si>
    <t xml:space="preserve">Ivanhoe Station</t>
  </si>
  <si>
    <t xml:space="preserve">28782</t>
  </si>
  <si>
    <t xml:space="preserve">10101803</t>
  </si>
  <si>
    <t xml:space="preserve">Mitchell St, Ivanhoe NSW 2878</t>
  </si>
  <si>
    <t xml:space="preserve">Commuter car park | Toilets</t>
  </si>
  <si>
    <t xml:space="preserve">Jackadgery Coach Stop</t>
  </si>
  <si>
    <t xml:space="preserve">2460722</t>
  </si>
  <si>
    <t xml:space="preserve">10102711</t>
  </si>
  <si>
    <t xml:space="preserve">Mann River Caravan Park, Gwydir Hwy, Jackadgery NSW 2460</t>
  </si>
  <si>
    <t xml:space="preserve">Jannali Station</t>
  </si>
  <si>
    <t xml:space="preserve">222620</t>
  </si>
  <si>
    <t xml:space="preserve">10101344</t>
  </si>
  <si>
    <t xml:space="preserve">Cnr Jannali Ave &amp; Mitchell Ave, Jannali NSW 2226</t>
  </si>
  <si>
    <t xml:space="preserve">02 9522 1283</t>
  </si>
  <si>
    <t xml:space="preserve">Jeffrey Street Wharf</t>
  </si>
  <si>
    <t xml:space="preserve">206133</t>
  </si>
  <si>
    <t xml:space="preserve">10102046</t>
  </si>
  <si>
    <t xml:space="preserve">Jeffrey Street NSW 2061</t>
  </si>
  <si>
    <t xml:space="preserve">Wheelchair accessible car space</t>
  </si>
  <si>
    <t xml:space="preserve">Jerilderie Coach Stop</t>
  </si>
  <si>
    <t xml:space="preserve">271612</t>
  </si>
  <si>
    <t xml:space="preserve">10102835</t>
  </si>
  <si>
    <t xml:space="preserve">Newell Hwy before Smith St, Jerilderie NSW 2716</t>
  </si>
  <si>
    <t xml:space="preserve">Jindabyne Coach Stop</t>
  </si>
  <si>
    <t xml:space="preserve">262735</t>
  </si>
  <si>
    <t xml:space="preserve">10102796</t>
  </si>
  <si>
    <t xml:space="preserve">Snowy Region Visitor Information Centre, Kosciuszko Rd, Jindabyne NSW 2627</t>
  </si>
  <si>
    <t xml:space="preserve">John Street Square Light Rail</t>
  </si>
  <si>
    <t xml:space="preserve">200948</t>
  </si>
  <si>
    <t xml:space="preserve">10101636</t>
  </si>
  <si>
    <t xml:space="preserve">Harris St, Pyrmont NSW 2009</t>
  </si>
  <si>
    <t xml:space="preserve">Emergency help point</t>
  </si>
  <si>
    <t xml:space="preserve">Jubilee Park Light Rail</t>
  </si>
  <si>
    <t xml:space="preserve">203756</t>
  </si>
  <si>
    <t xml:space="preserve">10101632</t>
  </si>
  <si>
    <t xml:space="preserve">Chapman Rd, Glebe NSW 2037</t>
  </si>
  <si>
    <t xml:space="preserve">Junee Station</t>
  </si>
  <si>
    <t xml:space="preserve">26631</t>
  </si>
  <si>
    <t xml:space="preserve">10101858</t>
  </si>
  <si>
    <t xml:space="preserve">Railway Sq, Junee NSW 2663</t>
  </si>
  <si>
    <t xml:space="preserve">Wheelchair accessible car space | Toilets | Wheelchair accessible toilet | Emergency help point | Information point | Payphone</t>
  </si>
  <si>
    <t xml:space="preserve">Juniors Kingsford Light Rail</t>
  </si>
  <si>
    <t xml:space="preserve">203294</t>
  </si>
  <si>
    <t xml:space="preserve">10101617</t>
  </si>
  <si>
    <t xml:space="preserve">Anzac Pde, Kingsford NSW 2032</t>
  </si>
  <si>
    <t xml:space="preserve">Kiss and ride stopping area | Bike racks | Bike lockers | Bike shed | Emergency help point | Next service display | Opal card top up or single trip ticket machine (Card Payment only)</t>
  </si>
  <si>
    <t xml:space="preserve">Kandos Coach Stop</t>
  </si>
  <si>
    <t xml:space="preserve">284814</t>
  </si>
  <si>
    <t xml:space="preserve">10102677</t>
  </si>
  <si>
    <t xml:space="preserve">Ilford Rd after Angus Ave, Kandos NSW 2848</t>
  </si>
  <si>
    <t xml:space="preserve">Katoomba Station</t>
  </si>
  <si>
    <t xml:space="preserve">278020</t>
  </si>
  <si>
    <t xml:space="preserve">10101268</t>
  </si>
  <si>
    <t xml:space="preserve">Goldsmith Pl, Katoomba NSW 2780</t>
  </si>
  <si>
    <t xml:space="preserve">Commuter car park | Wheelchair accessible car space | Kiss and ride stopping area | Taxi rank | Bike racks | Bike lockers | Toilets | Wheelchair accessible toilet (MLAK) | Baby change table | Emergency help point | Payphone | Next service display | Opal card top up or single trip ticket machine (Cash or Card Payment)</t>
  </si>
  <si>
    <t xml:space="preserve">02 4782 1902</t>
  </si>
  <si>
    <t xml:space="preserve">Kellyville Station</t>
  </si>
  <si>
    <t xml:space="preserve">2155382</t>
  </si>
  <si>
    <t xml:space="preserve">10101502</t>
  </si>
  <si>
    <t xml:space="preserve">Guragura St, Kellyville NSW 2155</t>
  </si>
  <si>
    <t xml:space="preserve">Bike shed | Bike racks | Bike lockers | Commuter car park | Kiss and ride stopping area | Taxi rank | Opal card top up or single trip ticket machine (Cash or Card Payment) | Toilets | Wheelchair accessible toilet | Emergency help point | Payphone</t>
  </si>
  <si>
    <t xml:space="preserve">Kelso Coach Stop</t>
  </si>
  <si>
    <t xml:space="preserve">27951301</t>
  </si>
  <si>
    <t xml:space="preserve">10102656</t>
  </si>
  <si>
    <t xml:space="preserve">Sydney Rd after Boyd St, Kelso NSW 2795</t>
  </si>
  <si>
    <t xml:space="preserve">Kembla Grange Station</t>
  </si>
  <si>
    <t xml:space="preserve">253010</t>
  </si>
  <si>
    <t xml:space="preserve">10101379</t>
  </si>
  <si>
    <t xml:space="preserve">Grange St, Kembla Grange NSW 2526</t>
  </si>
  <si>
    <t xml:space="preserve">Commuter car park | Emergency help point | Payphone | No Opal card top up or single trip ticket sales</t>
  </si>
  <si>
    <t xml:space="preserve">02 4223 5488</t>
  </si>
  <si>
    <t xml:space="preserve">Kempsey Station</t>
  </si>
  <si>
    <t xml:space="preserve">24401</t>
  </si>
  <si>
    <t xml:space="preserve">10101838</t>
  </si>
  <si>
    <t xml:space="preserve">Kemp St, Kempsey NSW 2440</t>
  </si>
  <si>
    <t xml:space="preserve">Commuter car park | Wheelchair accessible car space | Taxi rank | Toilets | Wheelchair accessible toilet | Baby change table | Emergency help point | Information point | Payphone | Next service display</t>
  </si>
  <si>
    <t xml:space="preserve">Kendall Station</t>
  </si>
  <si>
    <t xml:space="preserve">24391</t>
  </si>
  <si>
    <t xml:space="preserve">10101840</t>
  </si>
  <si>
    <t xml:space="preserve">Railway St, Kendall NSW 2439</t>
  </si>
  <si>
    <t xml:space="preserve">Commuter car park | Wheelchair accessible car space | Toilets | Wheelchair accessible toilet | Emergency help point | Information point | Payphone</t>
  </si>
  <si>
    <t xml:space="preserve">Kensington Light Rail</t>
  </si>
  <si>
    <t xml:space="preserve">203361</t>
  </si>
  <si>
    <t xml:space="preserve">10101614</t>
  </si>
  <si>
    <t xml:space="preserve">Anzac Pde, Kensington NSW 2033</t>
  </si>
  <si>
    <t xml:space="preserve">Kiama Station</t>
  </si>
  <si>
    <t xml:space="preserve">253330</t>
  </si>
  <si>
    <t xml:space="preserve">10101386</t>
  </si>
  <si>
    <t xml:space="preserve">Railway Pde, Kiama NSW 2533</t>
  </si>
  <si>
    <t xml:space="preserve">Commuter car park | Transport Park&amp;Ride | Wheelchair accessible car space | Kiss and ride stopping area | Taxi rank | Bike lockers | Toilets | Wheelchair accessible toilet | Baby change table | Emergency help point | Payphone | Next service display | Opal card top up or single trip ticket machine (Cash or Card Payment)</t>
  </si>
  <si>
    <t xml:space="preserve">Killara Station</t>
  </si>
  <si>
    <t xml:space="preserve">207110</t>
  </si>
  <si>
    <t xml:space="preserve">10101120</t>
  </si>
  <si>
    <t xml:space="preserve">Culworth Ave, Killara NSW 2071</t>
  </si>
  <si>
    <t xml:space="preserve">Commuter car park | Wheelchair accessible car space | Kiss and ride stopping area | Bike racks | Toilets | Wheelchair accessible toilet | Baby change table | Emergency help point | Information point | Next service display | Opal card top up or single trip ticket machine (Cash or Card Payment)</t>
  </si>
  <si>
    <t xml:space="preserve">02 9847 8440</t>
  </si>
  <si>
    <t xml:space="preserve">Kings Cross Station</t>
  </si>
  <si>
    <t xml:space="preserve">201110</t>
  </si>
  <si>
    <t xml:space="preserve">10101107</t>
  </si>
  <si>
    <t xml:space="preserve">Victoria St, Potts Point NSW 2011</t>
  </si>
  <si>
    <t xml:space="preserve">Kiss and ride stopping area | Taxi rank | Bike racks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</si>
  <si>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02 9379 1204</t>
  </si>
  <si>
    <t xml:space="preserve">Kingscliff Coach Stop</t>
  </si>
  <si>
    <t xml:space="preserve">2487107</t>
  </si>
  <si>
    <t xml:space="preserve">10102731</t>
  </si>
  <si>
    <t xml:space="preserve">Kingscliff Shopping Village, Pearl St, Kingscliff NSW 2487</t>
  </si>
  <si>
    <t xml:space="preserve">Kingsford Light Rail</t>
  </si>
  <si>
    <t xml:space="preserve">203295</t>
  </si>
  <si>
    <t xml:space="preserve">10101616</t>
  </si>
  <si>
    <t xml:space="preserve">Kingsgrove Station</t>
  </si>
  <si>
    <t xml:space="preserve">220810</t>
  </si>
  <si>
    <t xml:space="preserve">10101412</t>
  </si>
  <si>
    <t xml:space="preserve">Mashman Ave, Kingsgrove NSW 2208</t>
  </si>
  <si>
    <t xml:space="preserve">Commuter car park | Wheelchair accessible car space | Kiss and ride stopping area | Bike lockers | Wheelchair accessible toilet (MLAK) | Baby change table | Emergency help point | Payphone | Next service display | Opal card top up or single trip ticket machine (Card Payment only)</t>
  </si>
  <si>
    <t xml:space="preserve">02 9563 7623</t>
  </si>
  <si>
    <t xml:space="preserve">Kingswood Station</t>
  </si>
  <si>
    <t xml:space="preserve">274720</t>
  </si>
  <si>
    <t xml:space="preserve">10101251</t>
  </si>
  <si>
    <t xml:space="preserve">Great Western Hwy, Kingswood 2747 NSW 2747</t>
  </si>
  <si>
    <t xml:space="preserve">Commuter car park | Wheelchair accessible car space | Kiss and ride stopping area | Taxi rank | Bike racks | Bike lockers | Toilets | Wheelchair accessible toilet | Baby change table | Emergency help point | Next service display | Opal card top up or single trip ticket machine (Card Payment only)</t>
  </si>
  <si>
    <t xml:space="preserve">02 4780 3814</t>
  </si>
  <si>
    <t xml:space="preserve">Kirrawee Station</t>
  </si>
  <si>
    <t xml:space="preserve">223230</t>
  </si>
  <si>
    <t xml:space="preserve">10101346</t>
  </si>
  <si>
    <t xml:space="preserve">Oak Rd, Kirrawee NSW 2232</t>
  </si>
  <si>
    <t xml:space="preserve">02 9522 1281</t>
  </si>
  <si>
    <t xml:space="preserve">Kirribilli Wharf</t>
  </si>
  <si>
    <t xml:space="preserve">206132</t>
  </si>
  <si>
    <t xml:space="preserve">10102018</t>
  </si>
  <si>
    <t xml:space="preserve">Holbrook Ave, Kirribilli NSW 2061</t>
  </si>
  <si>
    <t xml:space="preserve">Emergency help point | Information point | Next service display | Opal card top up or single trip ticket machine (Card Payment only)</t>
  </si>
  <si>
    <t xml:space="preserve">Kissing Point Wharf</t>
  </si>
  <si>
    <t xml:space="preserve">211217</t>
  </si>
  <si>
    <t xml:space="preserve">10102037</t>
  </si>
  <si>
    <t xml:space="preserve">Waterview St, Putney NSW 2112</t>
  </si>
  <si>
    <t xml:space="preserve">Commuter car park | Wheelchair accessible car space | Kiss and ride stopping area | Taxi rank | Bike racks | Bike lockers | Emergency help point | Next service display | No Opal card top up or single trip ticket sales</t>
  </si>
  <si>
    <t xml:space="preserve">Kogarah Station</t>
  </si>
  <si>
    <t xml:space="preserve">221710</t>
  </si>
  <si>
    <t xml:space="preserve">10101336</t>
  </si>
  <si>
    <t xml:space="preserve">Railway Pde, Kogarah NSW 2217</t>
  </si>
  <si>
    <t xml:space="preserve">Commuter car park | Transport Park&amp;Ride | Wheelchair accessible car space | Kiss and ride stopping area | Bike racks | Bike lockers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</si>
  <si>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02 9563 7273</t>
  </si>
  <si>
    <t xml:space="preserve">Koolewong Station</t>
  </si>
  <si>
    <t xml:space="preserve">225620</t>
  </si>
  <si>
    <t xml:space="preserve">10101136</t>
  </si>
  <si>
    <t xml:space="preserve">Brisbane Water Dr, Koolewong NSW 2256</t>
  </si>
  <si>
    <t xml:space="preserve">Commuter car park | Bike racks | Emergency help point | Information point | Payphone | No Opal card top up or single trip ticket sales</t>
  </si>
  <si>
    <t xml:space="preserve">02 4349 9230</t>
  </si>
  <si>
    <t xml:space="preserve">Koorawatha Coach Stop</t>
  </si>
  <si>
    <t xml:space="preserve">280716</t>
  </si>
  <si>
    <t xml:space="preserve">10102819</t>
  </si>
  <si>
    <t xml:space="preserve">Railway St at Boorowa St, Koorawatha NSW 2807</t>
  </si>
  <si>
    <t xml:space="preserve">Kootingal Station</t>
  </si>
  <si>
    <t xml:space="preserve">23521</t>
  </si>
  <si>
    <t xml:space="preserve">10101822</t>
  </si>
  <si>
    <t xml:space="preserve">Gate St, Kootingal NSW 2352</t>
  </si>
  <si>
    <t xml:space="preserve">Kootingal Town Coach Stop</t>
  </si>
  <si>
    <t xml:space="preserve">2352119</t>
  </si>
  <si>
    <t xml:space="preserve">10102712</t>
  </si>
  <si>
    <t xml:space="preserve">Denman Av, Kootingal NSW 2352</t>
  </si>
  <si>
    <t xml:space="preserve">Kotara Station</t>
  </si>
  <si>
    <t xml:space="preserve">228910</t>
  </si>
  <si>
    <t xml:space="preserve">10101158</t>
  </si>
  <si>
    <t xml:space="preserve">Park Ave, Kotara NSW 2289</t>
  </si>
  <si>
    <t xml:space="preserve">Krambach Coach Stop</t>
  </si>
  <si>
    <t xml:space="preserve">2429651</t>
  </si>
  <si>
    <t xml:space="preserve">10102771</t>
  </si>
  <si>
    <t xml:space="preserve">Commercial Hotel, The Bucketts Way, Krambach NSW 2429</t>
  </si>
  <si>
    <t xml:space="preserve">Kurraba Point Wharf</t>
  </si>
  <si>
    <t xml:space="preserve">208946</t>
  </si>
  <si>
    <t xml:space="preserve">10102024</t>
  </si>
  <si>
    <t xml:space="preserve">Kurraba Rd, Kurraba Point NSW 2089</t>
  </si>
  <si>
    <t xml:space="preserve">Emergency help point | Next service display | No Opal card top up or single trip ticket sales</t>
  </si>
  <si>
    <t xml:space="preserve">Kyogle Station</t>
  </si>
  <si>
    <t xml:space="preserve">24741</t>
  </si>
  <si>
    <t xml:space="preserve">10101829</t>
  </si>
  <si>
    <t xml:space="preserve">Ettrick St., Kyogle NSW 2474</t>
  </si>
  <si>
    <t xml:space="preserve">Lake Cargelligo Coach Stop</t>
  </si>
  <si>
    <t xml:space="preserve">267214</t>
  </si>
  <si>
    <t xml:space="preserve">10102630</t>
  </si>
  <si>
    <t xml:space="preserve">Canada St after Foster St, Lake Cargelligo NSW 2672</t>
  </si>
  <si>
    <t xml:space="preserve">Lakemba Station</t>
  </si>
  <si>
    <t xml:space="preserve">219510</t>
  </si>
  <si>
    <t xml:space="preserve">10101398</t>
  </si>
  <si>
    <t xml:space="preserve">The Boulevarde, Lakemba NSW 2195</t>
  </si>
  <si>
    <t xml:space="preserve">Commuter car park | Wheelchair accessible car space | Kiss and ride stopping area | Taxi rank | Bike racks | Toilets | Wheelchair accessible toilet | Baby change table | Emergency help point | Payphone | Next service display</t>
  </si>
  <si>
    <t xml:space="preserve">02 9563 7549</t>
  </si>
  <si>
    <t xml:space="preserve">Lane Cove Bus Interchange</t>
  </si>
  <si>
    <t xml:space="preserve">206618</t>
  </si>
  <si>
    <t xml:space="preserve">10102502</t>
  </si>
  <si>
    <t xml:space="preserve">Epping Rd, Lane Cove North NSW 2066</t>
  </si>
  <si>
    <t xml:space="preserve">Bike racks | Bike lockers</t>
  </si>
  <si>
    <t xml:space="preserve">This location is Not Accessible | Lift</t>
  </si>
  <si>
    <t xml:space="preserve">Lapstone Station</t>
  </si>
  <si>
    <t xml:space="preserve">275030</t>
  </si>
  <si>
    <t xml:space="preserve">10101254</t>
  </si>
  <si>
    <t xml:space="preserve">Explorers Rd, Lapstone NSW 2773</t>
  </si>
  <si>
    <t xml:space="preserve">Commuter car park | Wheelchair accessible car space | Bike racks | Toilets | Wheelchair accessible toilet | Baby change table | Emergency help point | Information point | Payphone | No Opal card top up or single trip ticket sales</t>
  </si>
  <si>
    <t xml:space="preserve">02 4780 3813</t>
  </si>
  <si>
    <t xml:space="preserve">Laurel Hill Coach Stop</t>
  </si>
  <si>
    <t xml:space="preserve">264912</t>
  </si>
  <si>
    <t xml:space="preserve">10102817</t>
  </si>
  <si>
    <t xml:space="preserve">Laurel Hill General Store, Batlow Rd, Laurel Hill NSW 2649</t>
  </si>
  <si>
    <t xml:space="preserve">Lawson Station</t>
  </si>
  <si>
    <t xml:space="preserve">278310</t>
  </si>
  <si>
    <t xml:space="preserve">10101264</t>
  </si>
  <si>
    <t xml:space="preserve">Loftus St, Lawson NSW 2783</t>
  </si>
  <si>
    <t xml:space="preserve">Commuter car park | Wheelchair accessible car space | Taxi rank | Bike racks | Toilets | Emergency help point | Information point | Payphone | Next service display | No Opal card top up or single trip ticket sales</t>
  </si>
  <si>
    <t xml:space="preserve">02 4780 3914</t>
  </si>
  <si>
    <t xml:space="preserve">Leeton Station</t>
  </si>
  <si>
    <t xml:space="preserve">27051</t>
  </si>
  <si>
    <t xml:space="preserve">10101855</t>
  </si>
  <si>
    <t xml:space="preserve">Railway Ave, Leeton NSW 2705</t>
  </si>
  <si>
    <t xml:space="preserve">Leeton Town Coach Stop</t>
  </si>
  <si>
    <t xml:space="preserve">270552</t>
  </si>
  <si>
    <t xml:space="preserve">10102839</t>
  </si>
  <si>
    <t xml:space="preserve">Gidgee St before Yanco Ave, Leeton NSW 2705</t>
  </si>
  <si>
    <t xml:space="preserve">Leichhardt North Light Rail</t>
  </si>
  <si>
    <t xml:space="preserve">204090</t>
  </si>
  <si>
    <t xml:space="preserve">10101629</t>
  </si>
  <si>
    <t xml:space="preserve">Darley Rd, Lilyfield NSW 2040</t>
  </si>
  <si>
    <t xml:space="preserve">Kiss and ride stopping area | Bike racks | Emergency help point | No Opal card top up or single trip ticket sales</t>
  </si>
  <si>
    <t xml:space="preserve">Leightonfield Station</t>
  </si>
  <si>
    <t xml:space="preserve">216310</t>
  </si>
  <si>
    <t xml:space="preserve">10101406</t>
  </si>
  <si>
    <t xml:space="preserve">Christine Rd, Villawood NSW 2163</t>
  </si>
  <si>
    <t xml:space="preserve">Kiss and ride stopping area | Toilets | Emergency help point | Payphone | Next service display | No Opal card top up or single trip ticket sales</t>
  </si>
  <si>
    <t xml:space="preserve">02 9379 7704</t>
  </si>
  <si>
    <t xml:space="preserve">Lennox Head Coach Stop</t>
  </si>
  <si>
    <t xml:space="preserve">2478676</t>
  </si>
  <si>
    <t xml:space="preserve">10102748</t>
  </si>
  <si>
    <t xml:space="preserve">Lennox Head Medical Centre, Ballina St, Lennox Head NSW 2478</t>
  </si>
  <si>
    <t xml:space="preserve">Leppington Station</t>
  </si>
  <si>
    <t xml:space="preserve">217933</t>
  </si>
  <si>
    <t xml:space="preserve">10101428</t>
  </si>
  <si>
    <t xml:space="preserve">Rickard Rd, Leppington NSW 2179</t>
  </si>
  <si>
    <t xml:space="preserve">Commuter car park | Transport Park&amp;Ride | Wheelchair accessible car space | Kiss and ride stopping area | Taxi rank | Bike racks | Toilets | Wheelchair accessible toilet | Baby change table | Emergency help point | Payphone | Next service display | Opal card top up or single trip ticket machine (Cash or Card Payment)</t>
  </si>
  <si>
    <t xml:space="preserve">02 9765 1444</t>
  </si>
  <si>
    <t xml:space="preserve">Leumeah Station</t>
  </si>
  <si>
    <t xml:space="preserve">256010</t>
  </si>
  <si>
    <t xml:space="preserve">10101295</t>
  </si>
  <si>
    <t xml:space="preserve">O'Sullivan Rd, Leumeah NSW 2560</t>
  </si>
  <si>
    <t xml:space="preserve">Commuter car park | Wheelchair accessible car space | Kiss and ride stopping area | Taxi rank | Bike racks | Bike lockers | Toilets | Emergency help point | Payphone | Next service display | Opal card top up or single trip ticket machine (Cash or Card Payment)</t>
  </si>
  <si>
    <t xml:space="preserve">02 4629 0847</t>
  </si>
  <si>
    <t xml:space="preserve">Leura Station</t>
  </si>
  <si>
    <t xml:space="preserve">278010</t>
  </si>
  <si>
    <t xml:space="preserve">10101267</t>
  </si>
  <si>
    <t xml:space="preserve">Railway Pde, Leura NSW 2780</t>
  </si>
  <si>
    <t xml:space="preserve">Wheelchair accessible car space | Kiss and ride stopping area | Taxi rank | Bike racks | Toilets | Wheelchair accessible toilet | Baby change table | Emergency help point | Information point | Payphone | Next service display | Opal card top up or single trip ticket machine (Card Payment only)</t>
  </si>
  <si>
    <t xml:space="preserve">02 4780 3933</t>
  </si>
  <si>
    <t xml:space="preserve">Lewisham Station</t>
  </si>
  <si>
    <t xml:space="preserve">204920</t>
  </si>
  <si>
    <t xml:space="preserve">10101211</t>
  </si>
  <si>
    <t xml:space="preserve">Cnr Railway Tce &amp; Victoria St, Lewisham NSW 2049</t>
  </si>
  <si>
    <t xml:space="preserve">Kiss and ride stopping area | Bike racks | Emergency help point | Payphone | Next service display | Opal card top up or single trip ticket machine (Card Payment only) | Toilets</t>
  </si>
  <si>
    <t xml:space="preserve">02 9752 8029</t>
  </si>
  <si>
    <t xml:space="preserve">Lewisham West Light Rail</t>
  </si>
  <si>
    <t xml:space="preserve">204950</t>
  </si>
  <si>
    <t xml:space="preserve">10101625</t>
  </si>
  <si>
    <t xml:space="preserve">Hudson St, Lewisham NSW 2049</t>
  </si>
  <si>
    <t xml:space="preserve">Bike racks | Emergency help point | No Opal card top up or single trip ticket sales</t>
  </si>
  <si>
    <t xml:space="preserve">Lidcombe Station</t>
  </si>
  <si>
    <t xml:space="preserve">214110</t>
  </si>
  <si>
    <t xml:space="preserve">10101218</t>
  </si>
  <si>
    <t xml:space="preserve">Railway Pde, Lidcombe NSW 2141</t>
  </si>
  <si>
    <t xml:space="preserve">Commuter car park | Wheelchair accessible car space | Kiss and ride stopping area | Taxi rank | Bike racks | Bike lockers | Toilets | Wheelchair accessible toilet (MLAK) | Baby change table | Emergency help point | Payphone | Next service display | Opal card top up or single trip ticket machine (Card Payment only) | Opal card top up machine (Card Payment only) | Free mobile phone charging</t>
  </si>
  <si>
    <t xml:space="preserve">02 9752 8432</t>
  </si>
  <si>
    <t xml:space="preserve">Lightning Ridge Coach Stop</t>
  </si>
  <si>
    <t xml:space="preserve">283412</t>
  </si>
  <si>
    <t xml:space="preserve">10102618</t>
  </si>
  <si>
    <t xml:space="preserve">The Opal Cave Tourist Centre, Morilla St, Lightning Ridge NSW 2834</t>
  </si>
  <si>
    <t xml:space="preserve">Lilyfield Light Rail</t>
  </si>
  <si>
    <t xml:space="preserve">204089</t>
  </si>
  <si>
    <t xml:space="preserve">10101630</t>
  </si>
  <si>
    <t xml:space="preserve">Catherine St, Lilyfield NSW 2040</t>
  </si>
  <si>
    <t xml:space="preserve">Limeburners Creek Coach Stop</t>
  </si>
  <si>
    <t xml:space="preserve">2324313</t>
  </si>
  <si>
    <t xml:space="preserve">10102781</t>
  </si>
  <si>
    <t xml:space="preserve">Shetland Dr at The Bucketts Way, Limeburners Creek NSW 2324</t>
  </si>
  <si>
    <t xml:space="preserve">Linden Station</t>
  </si>
  <si>
    <t xml:space="preserve">277820</t>
  </si>
  <si>
    <t xml:space="preserve">10101261</t>
  </si>
  <si>
    <t xml:space="preserve">Great Western Hwy, Linden NSW 2778</t>
  </si>
  <si>
    <t xml:space="preserve">Emergency help point | Information point | Payphone | No Opal card top up or single trip ticket sales</t>
  </si>
  <si>
    <t xml:space="preserve">This location is Not Accessible | Wheelchair ramp boarding assistance | Hearing loop | PA system for announcements | Level crossing | Stairs</t>
  </si>
  <si>
    <t xml:space="preserve">02 4751 1018</t>
  </si>
  <si>
    <t xml:space="preserve">Lindfield Station</t>
  </si>
  <si>
    <t xml:space="preserve">207010</t>
  </si>
  <si>
    <t xml:space="preserve">10101119</t>
  </si>
  <si>
    <t xml:space="preserve">Lindfield Ave, Lindfield NSW 2070</t>
  </si>
  <si>
    <t xml:space="preserve">Kiss and ride stopping area | Taxi rank | Bike racks | Toilets | Wheelchair accessible toilet | Baby change table | Emergency help point | Payphone | Next service display | Opal card top up or single trip ticket machine (Cash or Card Payment)</t>
  </si>
  <si>
    <t xml:space="preserve">02 9847 8402</t>
  </si>
  <si>
    <t xml:space="preserve">Lisarow Station</t>
  </si>
  <si>
    <t xml:space="preserve">225070</t>
  </si>
  <si>
    <t xml:space="preserve">10101142</t>
  </si>
  <si>
    <t xml:space="preserve">Pacific Hwy, Lisarow NSW 2250</t>
  </si>
  <si>
    <t xml:space="preserve">Commuter car park | Wheelchair accessible car space | Kiss and ride stopping area | Emergency help point | Information point | Payphone | No Opal card top up or single trip ticket sales</t>
  </si>
  <si>
    <t xml:space="preserve">02 4352 1450</t>
  </si>
  <si>
    <t xml:space="preserve">Lismore Station</t>
  </si>
  <si>
    <t xml:space="preserve">24801093</t>
  </si>
  <si>
    <t xml:space="preserve">10102746</t>
  </si>
  <si>
    <t xml:space="preserve">Union St, Lismore NSW 2480</t>
  </si>
  <si>
    <t xml:space="preserve">Lismore Town Coach Stop</t>
  </si>
  <si>
    <t xml:space="preserve">24801094</t>
  </si>
  <si>
    <t xml:space="preserve">10102745</t>
  </si>
  <si>
    <t xml:space="preserve">Lismore Transit Centre, Molesworth St, Lismore NSW 2480</t>
  </si>
  <si>
    <t xml:space="preserve">Lithgow Station</t>
  </si>
  <si>
    <t xml:space="preserve">279010</t>
  </si>
  <si>
    <t xml:space="preserve">10101274</t>
  </si>
  <si>
    <t xml:space="preserve">Main St, Lithgow NSW 2790</t>
  </si>
  <si>
    <t xml:space="preserve">Commuter car park | Wheelchair accessible car space | Kiss and ride stopping area | Taxi rank | Bike racks | Toilets | Emergency help point | Payphone | Next service display | Opal card top up or single trip ticket machine (Card Payment only)</t>
  </si>
  <si>
    <t xml:space="preserve">02 6354 9507</t>
  </si>
  <si>
    <t xml:space="preserve">Liverpool Station</t>
  </si>
  <si>
    <t xml:space="preserve">217020</t>
  </si>
  <si>
    <t xml:space="preserve">10101289</t>
  </si>
  <si>
    <t xml:space="preserve">Bigge St, Liverpool NSW 2170</t>
  </si>
  <si>
    <t xml:space="preserve">Commuter car park | Wheelchair accessible car space | Kiss and ride stopping area | Taxi rank | Bike racks | Bike lockers | Bike shed | Toilets | Wheelchair accessible toilet (MLAK) | Baby change table | Emergency help point | Payphone | Next service display | Opal card top up machine (Card Payment only) | Free mobile phone charging</t>
  </si>
  <si>
    <t xml:space="preserve">Llangothlin Coach Stop</t>
  </si>
  <si>
    <t xml:space="preserve">236576</t>
  </si>
  <si>
    <t xml:space="preserve">10102723</t>
  </si>
  <si>
    <t xml:space="preserve">New England Hwy opp Llangothlin Rd, Llangothlin NSW 2365</t>
  </si>
  <si>
    <t xml:space="preserve">Lochinvar Station</t>
  </si>
  <si>
    <t xml:space="preserve">232110</t>
  </si>
  <si>
    <t xml:space="preserve">10101187</t>
  </si>
  <si>
    <t xml:space="preserve">Station Lane, Lochinvar NSW 2321</t>
  </si>
  <si>
    <t xml:space="preserve">Commuter car park | Wheelchair accessible car space | Kiss and ride stopping area | Emergency help point | Payphone | No Opal card top up or single trip ticket sales</t>
  </si>
  <si>
    <t xml:space="preserve">This location is Assisted Access | Wheelchair ramp boarding assistance | PA system for announcements | Platform edge tactiles</t>
  </si>
  <si>
    <t xml:space="preserve">Lockhart Coach Stop</t>
  </si>
  <si>
    <t xml:space="preserve">265628</t>
  </si>
  <si>
    <t xml:space="preserve">10102837</t>
  </si>
  <si>
    <t xml:space="preserve">Matthews St at Green St, Lockhart NSW 2656</t>
  </si>
  <si>
    <t xml:space="preserve">Loftus Station</t>
  </si>
  <si>
    <t xml:space="preserve">223220</t>
  </si>
  <si>
    <t xml:space="preserve">10101352</t>
  </si>
  <si>
    <t xml:space="preserve">Loftus Ave, Loftus NSW 2232</t>
  </si>
  <si>
    <t xml:space="preserve">Commuter car park | Wheelchair accessible car space | Kiss and ride stopping area | Bike racks | Bike lockers | Toilets | Emergency help point | Payphone | Next service display | Opal card top up or single trip ticket machine (Cash or Card Payment) | Opal card top up machine (Card Payment only)</t>
  </si>
  <si>
    <t xml:space="preserve">This location is Assisted Access | Wheelchair ramp boarding assistance | Hearing loop | PA system for announcements | Platform edge tactiles | Stairs</t>
  </si>
  <si>
    <t xml:space="preserve">02 9522 1213</t>
  </si>
  <si>
    <t xml:space="preserve">Long Flat Coach Stop</t>
  </si>
  <si>
    <t xml:space="preserve">2446200</t>
  </si>
  <si>
    <t xml:space="preserve">10102716</t>
  </si>
  <si>
    <t xml:space="preserve">Long Flat General Store, Oxley Hwy, Long Flat NSW 2446</t>
  </si>
  <si>
    <t xml:space="preserve">Longueville Wharf</t>
  </si>
  <si>
    <t xml:space="preserve">206615</t>
  </si>
  <si>
    <t xml:space="preserve">10102049</t>
  </si>
  <si>
    <t xml:space="preserve">Longueville NSW 2066</t>
  </si>
  <si>
    <t xml:space="preserve">Lucknow Coach Stop</t>
  </si>
  <si>
    <t xml:space="preserve">28001321</t>
  </si>
  <si>
    <t xml:space="preserve">10102653</t>
  </si>
  <si>
    <t xml:space="preserve">Lucknow Village Centre, Mitchell Hwy, Lucknow NSW 2800</t>
  </si>
  <si>
    <t xml:space="preserve">Lue Coach Stop</t>
  </si>
  <si>
    <t xml:space="preserve">285040</t>
  </si>
  <si>
    <t xml:space="preserve">10102674</t>
  </si>
  <si>
    <t xml:space="preserve">Lue Rd opp Martin Rd, Lue NSW 2850</t>
  </si>
  <si>
    <t xml:space="preserve">Lyndhurst Coach Stop</t>
  </si>
  <si>
    <t xml:space="preserve">279730</t>
  </si>
  <si>
    <t xml:space="preserve">10102649</t>
  </si>
  <si>
    <t xml:space="preserve">Main St opp Royal Hotel, Lynshurst NSW 2797</t>
  </si>
  <si>
    <t xml:space="preserve">Lysaghts Station</t>
  </si>
  <si>
    <t xml:space="preserve">250510</t>
  </si>
  <si>
    <t xml:space="preserve">10101374</t>
  </si>
  <si>
    <t xml:space="preserve">Springhill Rd, Spring Hill NSW 2500</t>
  </si>
  <si>
    <t xml:space="preserve">02 4223 5685</t>
  </si>
  <si>
    <t xml:space="preserve">Macarthur Station</t>
  </si>
  <si>
    <t xml:space="preserve">256030</t>
  </si>
  <si>
    <t xml:space="preserve">10101297</t>
  </si>
  <si>
    <t xml:space="preserve">Menangle Rd, Campbelltown NSW 2560</t>
  </si>
  <si>
    <t xml:space="preserve">02 4629 0800</t>
  </si>
  <si>
    <t xml:space="preserve">Macdonaldtown Station</t>
  </si>
  <si>
    <t xml:space="preserve">201520</t>
  </si>
  <si>
    <t xml:space="preserve">10101215</t>
  </si>
  <si>
    <t xml:space="preserve">Burren St, Macdonaldtown NSW 2015</t>
  </si>
  <si>
    <t xml:space="preserve">Bike racks | Emergency help point | Payphone | Next service display | Opal card top up or single trip ticket machine (Card Payment only)</t>
  </si>
  <si>
    <t xml:space="preserve">02 9379 1321</t>
  </si>
  <si>
    <t xml:space="preserve">Macksville Station</t>
  </si>
  <si>
    <t xml:space="preserve">24471</t>
  </si>
  <si>
    <t xml:space="preserve">10101836</t>
  </si>
  <si>
    <t xml:space="preserve">Station St, Macksville NSW 2447</t>
  </si>
  <si>
    <t xml:space="preserve">Commuter car park | Wheelchair accessible car space | Toilets | Wheelchair accessible toilet | Baby change table | Emergency help point | Information point</t>
  </si>
  <si>
    <t xml:space="preserve">This location is Independent Access | Wheelchair ramp boarding assistance | Hearing loop | Hearing loop (ticket counter) | PA system for announcements</t>
  </si>
  <si>
    <t xml:space="preserve">Maclean Coach Stop</t>
  </si>
  <si>
    <t xml:space="preserve">246373</t>
  </si>
  <si>
    <t xml:space="preserve">10102764</t>
  </si>
  <si>
    <t xml:space="preserve">River St after John St, Maclean NSW 2463</t>
  </si>
  <si>
    <t xml:space="preserve">Macquarie Fields Station</t>
  </si>
  <si>
    <t xml:space="preserve">256410</t>
  </si>
  <si>
    <t xml:space="preserve">10101292</t>
  </si>
  <si>
    <t xml:space="preserve">Railway Pde, Macquarie Fields NSW 2564</t>
  </si>
  <si>
    <t xml:space="preserve">02 9765 1163</t>
  </si>
  <si>
    <t xml:space="preserve">Macquarie Park Station</t>
  </si>
  <si>
    <t xml:space="preserve">211340</t>
  </si>
  <si>
    <t xml:space="preserve">10101509</t>
  </si>
  <si>
    <t xml:space="preserve">Cnr Lane Cove Rd &amp; Waterloo Rd, Macquarie Park NSW 2113</t>
  </si>
  <si>
    <t xml:space="preserve">Metro, Bus</t>
  </si>
  <si>
    <t xml:space="preserve">Bike lockers | Kiss and ride stopping area | Bike racks | Opal card top up or single trip ticket machine (Cash or Card Payment) | Toilets | Wheelchair accessible toilet | Emergency help point | Payphone</t>
  </si>
  <si>
    <t xml:space="preserve">This location is Independent Access | Lift | Stairs | Escalator | Hearing loop | Wheelchair ramp boarding assistance | Platform edge tactiles | PA system for announcements</t>
  </si>
  <si>
    <t xml:space="preserve">02 8878 4326</t>
  </si>
  <si>
    <t xml:space="preserve">Macquarie University Station</t>
  </si>
  <si>
    <t xml:space="preserve">211310</t>
  </si>
  <si>
    <t xml:space="preserve">10101508</t>
  </si>
  <si>
    <t xml:space="preserve">Cnr Waterloo Rd &amp; Herring Rd, Macquarie Park NSW 2113</t>
  </si>
  <si>
    <t xml:space="preserve">Bike lockers | Kiss and ride stopping area | Taxi rank | Bike racks | Opal card top up or single trip ticket machine (Cash or Card Payment) | Toilets | Wheelchair accessible toilet | Emergency help point | Payphone</t>
  </si>
  <si>
    <t xml:space="preserve">This location is Independent Access | Lift | Stairs | Escalator | Hearing loop | Wheelchair ramp boarding assistance | PA system for announcements | Platform edge tactiles</t>
  </si>
  <si>
    <t xml:space="preserve">02 8878 4110</t>
  </si>
  <si>
    <t xml:space="preserve">Maitland Station</t>
  </si>
  <si>
    <t xml:space="preserve">232020</t>
  </si>
  <si>
    <t xml:space="preserve">10101178</t>
  </si>
  <si>
    <t xml:space="preserve">Church St, Maitland NSW 2320</t>
  </si>
  <si>
    <t xml:space="preserve">Mandurama Coach Stop</t>
  </si>
  <si>
    <t xml:space="preserve">279223</t>
  </si>
  <si>
    <t xml:space="preserve">10102650</t>
  </si>
  <si>
    <t xml:space="preserve">Olive St after Gold St, Mandurama NSW 2792</t>
  </si>
  <si>
    <t xml:space="preserve">Manildra Coach Stop</t>
  </si>
  <si>
    <t xml:space="preserve">286556</t>
  </si>
  <si>
    <t xml:space="preserve">10102638</t>
  </si>
  <si>
    <t xml:space="preserve">Manildra Soldiers Memorial Hall, Kiewa St, Manildra NSW 2865</t>
  </si>
  <si>
    <t xml:space="preserve">Manilla Coach Stop</t>
  </si>
  <si>
    <t xml:space="preserve">234622</t>
  </si>
  <si>
    <t xml:space="preserve">10102699</t>
  </si>
  <si>
    <t xml:space="preserve">Rotary Park, Court St, Manilla NSW 2346</t>
  </si>
  <si>
    <t xml:space="preserve">Manly Vale B-Line</t>
  </si>
  <si>
    <t xml:space="preserve">2093117</t>
  </si>
  <si>
    <t xml:space="preserve">10102510</t>
  </si>
  <si>
    <t xml:space="preserve">Condamine St, Manly Vale NSW 2093</t>
  </si>
  <si>
    <t xml:space="preserve">Commuter car park | Transport Park&amp;Ride | Wheelchair accessible car space | Bike racks | Bike shed | Next service display</t>
  </si>
  <si>
    <t xml:space="preserve">Manly Wharf</t>
  </si>
  <si>
    <t xml:space="preserve">209573</t>
  </si>
  <si>
    <t xml:space="preserve">10102027</t>
  </si>
  <si>
    <t xml:space="preserve">East Esplanade, Manly NSW 2095</t>
  </si>
  <si>
    <t xml:space="preserve">Kiss and ride stopping area | Taxi rank | Bike racks | Emergency help point | Payphone | Next service display | Opal card top up or single trip ticket machine (Cash or Card Payment)</t>
  </si>
  <si>
    <t xml:space="preserve">Marayong Station</t>
  </si>
  <si>
    <t xml:space="preserve">214820</t>
  </si>
  <si>
    <t xml:space="preserve">10101236</t>
  </si>
  <si>
    <t xml:space="preserve">Railway Pde, Marayong NSW 2148</t>
  </si>
  <si>
    <t xml:space="preserve">Commuter car park | Wheelchair accessible car space | Kiss and ride stopping area | Bike lockers | Toilets | Wheelchair accessible toilet | Baby change table | Emergency help point | Payphone | Next service display | Opal card top up or single trip ticket machine (Card Payment only)</t>
  </si>
  <si>
    <t xml:space="preserve">02 9851 7241</t>
  </si>
  <si>
    <t xml:space="preserve">Marion Light Rail</t>
  </si>
  <si>
    <t xml:space="preserve">204092</t>
  </si>
  <si>
    <t xml:space="preserve">10101627</t>
  </si>
  <si>
    <t xml:space="preserve">Marion St, Leichhardt NSW 2040</t>
  </si>
  <si>
    <t xml:space="preserve">Marrickville Station</t>
  </si>
  <si>
    <t xml:space="preserve">220410</t>
  </si>
  <si>
    <t xml:space="preserve">10101392</t>
  </si>
  <si>
    <t xml:space="preserve">Illawarra Rd, Marrickville NSW 2204</t>
  </si>
  <si>
    <t xml:space="preserve">Wheelchair accessible car space | Kiss and ride stopping area | Taxi rank | Bike racks | Bike shed | Toilets | Wheelchair accessible toilet | Baby change table | Emergency help point | Payphone | Next service display</t>
  </si>
  <si>
    <t xml:space="preserve">02 9563 7586</t>
  </si>
  <si>
    <t xml:space="preserve">Martin Place Station</t>
  </si>
  <si>
    <t xml:space="preserve">200030</t>
  </si>
  <si>
    <t xml:space="preserve">10101106</t>
  </si>
  <si>
    <t xml:space="preserve">Macquarie St, Sydney NSW 2000</t>
  </si>
  <si>
    <t xml:space="preserve">Metro, Train, Bus</t>
  </si>
  <si>
    <t xml:space="preserve">Taxi rank | Toilets | Wheelchair accessible toilet | Baby change table | Emergency help point | Payphone | Next service display | Opal card top up or single trip ticket machine (Card Payment only)</t>
  </si>
  <si>
    <t xml:space="preserve">02 9379 4858</t>
  </si>
  <si>
    <t xml:space="preserve">Martins Creek Station</t>
  </si>
  <si>
    <t xml:space="preserve">242050</t>
  </si>
  <si>
    <t xml:space="preserve">10101182</t>
  </si>
  <si>
    <t xml:space="preserve">Martins Creek Rd, Martins Creek NSW 2420</t>
  </si>
  <si>
    <t xml:space="preserve">02 4932 8409</t>
  </si>
  <si>
    <t xml:space="preserve">Marulan Station</t>
  </si>
  <si>
    <t xml:space="preserve">257940</t>
  </si>
  <si>
    <t xml:space="preserve">10101314</t>
  </si>
  <si>
    <t xml:space="preserve">George St, Marulan NSW 2579</t>
  </si>
  <si>
    <t xml:space="preserve">Commuter car park | Kiss and ride stopping area | Toilets | Emergency help point | No Opal card top up or single trip ticket sales</t>
  </si>
  <si>
    <t xml:space="preserve">Mascot Station</t>
  </si>
  <si>
    <t xml:space="preserve">202010</t>
  </si>
  <si>
    <t xml:space="preserve">10101330</t>
  </si>
  <si>
    <t xml:space="preserve">Cnr Bourke Rd &amp; Church Ave, Mascot NSW 2020</t>
  </si>
  <si>
    <t xml:space="preserve">This location is Independent Access | Wheelchair ramp boarding assistance | Hearing loop (concourse only) | PA system for announcements | Platform edge tactiles | Stairs | Lift | Escalator</t>
  </si>
  <si>
    <t xml:space="preserve">02 8337 8440</t>
  </si>
  <si>
    <t xml:space="preserve">Mathoura Coach Stop</t>
  </si>
  <si>
    <t xml:space="preserve">271051</t>
  </si>
  <si>
    <t xml:space="preserve">10102830</t>
  </si>
  <si>
    <t xml:space="preserve">Moama St at Lawrence St, Mathoura NSW 2710</t>
  </si>
  <si>
    <t xml:space="preserve">Matong Coach Stop</t>
  </si>
  <si>
    <t xml:space="preserve">2652179</t>
  </si>
  <si>
    <t xml:space="preserve">10102842</t>
  </si>
  <si>
    <t xml:space="preserve">Matong St opp Farmers Home Hotel, Matong NSW 2652</t>
  </si>
  <si>
    <t xml:space="preserve">McMahons Point Wharf</t>
  </si>
  <si>
    <t xml:space="preserve">20601</t>
  </si>
  <si>
    <t xml:space="preserve">10102015</t>
  </si>
  <si>
    <t xml:space="preserve">Henry Lawson Ave, McMahons Point NSW 2060</t>
  </si>
  <si>
    <t xml:space="preserve">Meadow Flat Coach Stop</t>
  </si>
  <si>
    <t xml:space="preserve">27951302</t>
  </si>
  <si>
    <t xml:space="preserve">10102659</t>
  </si>
  <si>
    <t xml:space="preserve">Great Western Hwy before Sunny Corner Rd, Meadow Flat NSW 2795</t>
  </si>
  <si>
    <t xml:space="preserve">Meadowbank Station</t>
  </si>
  <si>
    <t xml:space="preserve">211430</t>
  </si>
  <si>
    <t xml:space="preserve">10101202</t>
  </si>
  <si>
    <t xml:space="preserve">Constitution Rd, Meadowbank NSW 2114</t>
  </si>
  <si>
    <t xml:space="preserve">02 9752 8460</t>
  </si>
  <si>
    <t xml:space="preserve">Meadowbank Wharf</t>
  </si>
  <si>
    <t xml:space="preserve">211497</t>
  </si>
  <si>
    <t xml:space="preserve">10102028</t>
  </si>
  <si>
    <t xml:space="preserve">Bowden St, Meadowbank NSW 2114</t>
  </si>
  <si>
    <t xml:space="preserve">Train, Ferry</t>
  </si>
  <si>
    <t xml:space="preserve">Commuter car park | Wheelchair accessible car space | Kiss and ride stopping area | Taxi rank | Bike racks | Bike lockers | Emergency help point | Next service display | Opal card top up or single trip ticket machine (Card Payment only)</t>
  </si>
  <si>
    <t xml:space="preserve">Medlow Bath Station</t>
  </si>
  <si>
    <t xml:space="preserve">278030</t>
  </si>
  <si>
    <t xml:space="preserve">10101269</t>
  </si>
  <si>
    <t xml:space="preserve">Great Western Hwy, Medlow Bath NSW 2780</t>
  </si>
  <si>
    <t xml:space="preserve">Commuter car park | Wheelchair accessible car space | Kiss and ride stopping area | Bike racks | Emergency help point | Information point | Payphone | Next service display | No Opal card top up or single trip ticket sales</t>
  </si>
  <si>
    <t xml:space="preserve">Melbourne (Southern Cross) Station</t>
  </si>
  <si>
    <t xml:space="preserve">22180</t>
  </si>
  <si>
    <t xml:space="preserve">10101844</t>
  </si>
  <si>
    <t xml:space="preserve">Spencer St, Docklands VIC 3008</t>
  </si>
  <si>
    <t xml:space="preserve">Commuter car park | Wheelchair accessible car space | Taxi rank | Bike racks | Toilets | Wheelchair accessible toilet | Baby change table | Emergency help point | Information point | Payphone | Next service display</t>
  </si>
  <si>
    <t xml:space="preserve">This location is Independent Access | Wheelchair ramp boarding assistance | Hearing loop | PA system for announcements | Platform edge tactiles | Stairs | Escalator | Lift | Wheelchair ramp boarding assistance</t>
  </si>
  <si>
    <t xml:space="preserve">Menangle Park Station</t>
  </si>
  <si>
    <t xml:space="preserve">256310</t>
  </si>
  <si>
    <t xml:space="preserve">10101298</t>
  </si>
  <si>
    <t xml:space="preserve">Racecourse Dr, Menangle Park NSW 2563</t>
  </si>
  <si>
    <t xml:space="preserve">Menangle Station</t>
  </si>
  <si>
    <t xml:space="preserve">256810</t>
  </si>
  <si>
    <t xml:space="preserve">10101299</t>
  </si>
  <si>
    <t xml:space="preserve">Station St, Menangle NSW 2568</t>
  </si>
  <si>
    <t xml:space="preserve">Commuter car park | Emergency help point | Information point | Payphone | No Opal card top up or single trip ticket sales</t>
  </si>
  <si>
    <t xml:space="preserve">Mendooran Coach Stop</t>
  </si>
  <si>
    <t xml:space="preserve">284212</t>
  </si>
  <si>
    <t xml:space="preserve">10102668</t>
  </si>
  <si>
    <t xml:space="preserve">Bandulla St at Brambil St, Mendooran NSW 2842</t>
  </si>
  <si>
    <t xml:space="preserve">Menindee Station</t>
  </si>
  <si>
    <t xml:space="preserve">28791</t>
  </si>
  <si>
    <t xml:space="preserve">10101801</t>
  </si>
  <si>
    <t xml:space="preserve">Maiden St, Menindee NSW 2879</t>
  </si>
  <si>
    <t xml:space="preserve">Menindee Town Coach Stop</t>
  </si>
  <si>
    <t xml:space="preserve">287926</t>
  </si>
  <si>
    <t xml:space="preserve">10102873</t>
  </si>
  <si>
    <t xml:space="preserve">Perry St at Farnell St, Menindee NSW 2879</t>
  </si>
  <si>
    <t xml:space="preserve">Merimbula Coach Stop</t>
  </si>
  <si>
    <t xml:space="preserve">2548141</t>
  </si>
  <si>
    <t xml:space="preserve">10102788</t>
  </si>
  <si>
    <t xml:space="preserve">Park St at Wonga St, Merimbula NSW 2548</t>
  </si>
  <si>
    <t xml:space="preserve">Merrylands Station</t>
  </si>
  <si>
    <t xml:space="preserve">216010</t>
  </si>
  <si>
    <t xml:space="preserve">10101282</t>
  </si>
  <si>
    <t xml:space="preserve">Railway Tce, Merrylands NSW 2160</t>
  </si>
  <si>
    <t xml:space="preserve">Commuter car park | Wheelchair accessible car space | Kiss and ride stopping area | Taxi rank | Bike racks | Bike lockers | Toilets | Wheelchair accessible toilet | Baby change table | Emergency help point | Payphone | Next service display | Opal card top up or single trip ticket machine (Card Payment only)</t>
  </si>
  <si>
    <t xml:space="preserve">02 9848 9239</t>
  </si>
  <si>
    <t xml:space="preserve">Metford Station</t>
  </si>
  <si>
    <t xml:space="preserve">232310</t>
  </si>
  <si>
    <t xml:space="preserve">10101174</t>
  </si>
  <si>
    <t xml:space="preserve">McCubbin Cl, Metford NSW 2323</t>
  </si>
  <si>
    <t xml:space="preserve">Commuter car park | Wheelchair accessible car space | Bike racks | Emergency help point | Information point | Payphone | No Opal card top up or single trip ticket sales</t>
  </si>
  <si>
    <t xml:space="preserve">Michelago Coach Stop</t>
  </si>
  <si>
    <t xml:space="preserve">2620339</t>
  </si>
  <si>
    <t xml:space="preserve">10102800</t>
  </si>
  <si>
    <t xml:space="preserve">Monaro Hwy after Ryrie St, Michelago NSW 2620</t>
  </si>
  <si>
    <t xml:space="preserve">Mildura Airport Coach Stop</t>
  </si>
  <si>
    <t xml:space="preserve">3500211</t>
  </si>
  <si>
    <t xml:space="preserve">10102924</t>
  </si>
  <si>
    <t xml:space="preserve">Alan Mathews Dr, Mildura VIC 3500</t>
  </si>
  <si>
    <t xml:space="preserve">Mildura Base Hospital Coach Stop</t>
  </si>
  <si>
    <t xml:space="preserve">44245</t>
  </si>
  <si>
    <t xml:space="preserve">10102926</t>
  </si>
  <si>
    <t xml:space="preserve">Mildura Hospital, Ontario Ave, Mildura VIC 3500</t>
  </si>
  <si>
    <t xml:space="preserve">Mildura Central Coach Stop</t>
  </si>
  <si>
    <t xml:space="preserve">36987</t>
  </si>
  <si>
    <t xml:space="preserve">10102925</t>
  </si>
  <si>
    <t xml:space="preserve">Deakin Ave at Eileen St, Mildura VIC 3500</t>
  </si>
  <si>
    <t xml:space="preserve">Mildura Station</t>
  </si>
  <si>
    <t xml:space="preserve">17976</t>
  </si>
  <si>
    <t xml:space="preserve">10102927</t>
  </si>
  <si>
    <t xml:space="preserve">Seventh St, Mildura VIC 3500</t>
  </si>
  <si>
    <t xml:space="preserve">Millthorpe Station</t>
  </si>
  <si>
    <t xml:space="preserve">279821</t>
  </si>
  <si>
    <t xml:space="preserve">10101812</t>
  </si>
  <si>
    <t xml:space="preserve">Station Pl, Millthorpe NSW 2798</t>
  </si>
  <si>
    <t xml:space="preserve">Wheelchair accessible car space | Toilets | Wheelchair accessible toilet | Emergency help point | Information point | No Opal card top up or single trip ticket sales</t>
  </si>
  <si>
    <t xml:space="preserve">Millthorpe Town Coach Stop</t>
  </si>
  <si>
    <t xml:space="preserve">2798162</t>
  </si>
  <si>
    <t xml:space="preserve">10102655</t>
  </si>
  <si>
    <t xml:space="preserve">Millthorpe Public School, Park St, Millthorpe NSW 2798</t>
  </si>
  <si>
    <t xml:space="preserve">Milsons Point Station</t>
  </si>
  <si>
    <t xml:space="preserve">206110</t>
  </si>
  <si>
    <t xml:space="preserve">10101111</t>
  </si>
  <si>
    <t xml:space="preserve">Alfred St, Milsons Point NSW 2061</t>
  </si>
  <si>
    <t xml:space="preserve">Wheelchair accessible car space | Kiss and ride stopping area | Taxi rank | Bike racks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</si>
  <si>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02 9379 4024</t>
  </si>
  <si>
    <t xml:space="preserve">Milsons Point Wharf</t>
  </si>
  <si>
    <t xml:space="preserve">20611</t>
  </si>
  <si>
    <t xml:space="preserve">10102017</t>
  </si>
  <si>
    <t xml:space="preserve">Alfred St S, Milsons Point NSW 2061</t>
  </si>
  <si>
    <t xml:space="preserve">Kiss and ride stopping area | Bike racks | Emergency help point | Next service display | Opal card top up or single trip ticket machine (Cash or Card Payment)</t>
  </si>
  <si>
    <t xml:space="preserve">Mindaribba Station</t>
  </si>
  <si>
    <t xml:space="preserve">232050</t>
  </si>
  <si>
    <t xml:space="preserve">10101180</t>
  </si>
  <si>
    <t xml:space="preserve">Tocal Rd, Mindaribba NSW 2320</t>
  </si>
  <si>
    <t xml:space="preserve">Minnamurra Station</t>
  </si>
  <si>
    <t xml:space="preserve">253310</t>
  </si>
  <si>
    <t xml:space="preserve">10101384</t>
  </si>
  <si>
    <t xml:space="preserve">North St, Minnamurra NSW 2533</t>
  </si>
  <si>
    <t xml:space="preserve">Kiss and ride stopping area | Bike racks | Bike lockers | Emergency help point | Payphone | No Opal card top up or single trip ticket sales</t>
  </si>
  <si>
    <t xml:space="preserve">Minto Station</t>
  </si>
  <si>
    <t xml:space="preserve">256610</t>
  </si>
  <si>
    <t xml:space="preserve">10101294</t>
  </si>
  <si>
    <t xml:space="preserve">Somerset St, Minto NSW 2566</t>
  </si>
  <si>
    <t xml:space="preserve">02 4629 0842</t>
  </si>
  <si>
    <t xml:space="preserve">Miranda Station</t>
  </si>
  <si>
    <t xml:space="preserve">222810</t>
  </si>
  <si>
    <t xml:space="preserve">10101348</t>
  </si>
  <si>
    <t xml:space="preserve">Kiora Rd, Miranda NSW 2228</t>
  </si>
  <si>
    <t xml:space="preserve">Commuter car park | Kiss and ride stopping area | Taxi rank | Bike racks | Bike lockers | Toilets | Wheelchair accessible toilet (MLAK) | Baby change table | Emergency help point | Payphone | Next service display | Opal card top up or single trip ticket machine (Card Payment only)</t>
  </si>
  <si>
    <t xml:space="preserve">02 9522 1295</t>
  </si>
  <si>
    <t xml:space="preserve">Mittagong Station</t>
  </si>
  <si>
    <t xml:space="preserve">257510</t>
  </si>
  <si>
    <t xml:space="preserve">10101305</t>
  </si>
  <si>
    <t xml:space="preserve">Regents St, Mittagong NSW 2575</t>
  </si>
  <si>
    <t xml:space="preserve">Commuter car park | Wheelchair accessible car space | Kiss and ride stopping area | Bike racks | Toilets | Wheelchair accessible toilet | Baby change table | Emergency help point | Information point | Payphone | Next service display | No Opal card top up or single trip ticket sales</t>
  </si>
  <si>
    <t xml:space="preserve">02 4871 1935</t>
  </si>
  <si>
    <t xml:space="preserve">Moama Coach Stop</t>
  </si>
  <si>
    <t xml:space="preserve">273112</t>
  </si>
  <si>
    <t xml:space="preserve">10102829</t>
  </si>
  <si>
    <t xml:space="preserve">Moama Information Centre, Blair St, Moama NSW 2731</t>
  </si>
  <si>
    <t xml:space="preserve">Molong Coach Stop</t>
  </si>
  <si>
    <t xml:space="preserve">286684</t>
  </si>
  <si>
    <t xml:space="preserve">10102652</t>
  </si>
  <si>
    <t xml:space="preserve">Hill St, Molong NSW 2866</t>
  </si>
  <si>
    <t xml:space="preserve">Mona Vale B-Line</t>
  </si>
  <si>
    <t xml:space="preserve">2103108</t>
  </si>
  <si>
    <t xml:space="preserve">10102504</t>
  </si>
  <si>
    <t xml:space="preserve">Barrenjoey Rd, Mona Vale NSW 2103</t>
  </si>
  <si>
    <t xml:space="preserve">Commuter car park | Transport Park&amp;Ride | Wheelchair accessible car space | Bike racks | Next service display</t>
  </si>
  <si>
    <t xml:space="preserve">Mooball Coach Stop</t>
  </si>
  <si>
    <t xml:space="preserve">248378</t>
  </si>
  <si>
    <t xml:space="preserve">10102730</t>
  </si>
  <si>
    <t xml:space="preserve">Mooball Coach Stop, Tweed Valley Way, Mooball NSW 2483</t>
  </si>
  <si>
    <t xml:space="preserve">Moonbi Coach Stop</t>
  </si>
  <si>
    <t xml:space="preserve">235360</t>
  </si>
  <si>
    <t xml:space="preserve">10102713</t>
  </si>
  <si>
    <t xml:space="preserve">New England Hwy at George St, Moonbi NSW 2353</t>
  </si>
  <si>
    <t xml:space="preserve">Moore Park Light Rail</t>
  </si>
  <si>
    <t xml:space="preserve">202195</t>
  </si>
  <si>
    <t xml:space="preserve">10101608</t>
  </si>
  <si>
    <t xml:space="preserve">Moore Park, Moore Park NSW 2021</t>
  </si>
  <si>
    <t xml:space="preserve">Moree Station</t>
  </si>
  <si>
    <t xml:space="preserve">24001</t>
  </si>
  <si>
    <t xml:space="preserve">10101814</t>
  </si>
  <si>
    <t xml:space="preserve">Gosport St, Moree NSW 2400</t>
  </si>
  <si>
    <t xml:space="preserve">Commuter car park | Wheelchair accessible car space | Taxi rank | Toilets | Wheelchair accessible toilet | Baby change table | Emergency help point | Information point</t>
  </si>
  <si>
    <t xml:space="preserve">Moree Town Coach Stop</t>
  </si>
  <si>
    <t xml:space="preserve">240036</t>
  </si>
  <si>
    <t xml:space="preserve">10102691</t>
  </si>
  <si>
    <t xml:space="preserve">Balo Square, Auburn St, Moree NSW 2400</t>
  </si>
  <si>
    <t xml:space="preserve">Morisset Station</t>
  </si>
  <si>
    <t xml:space="preserve">226410</t>
  </si>
  <si>
    <t xml:space="preserve">10101148</t>
  </si>
  <si>
    <t xml:space="preserve">Dora St, Morisset NSW 2264</t>
  </si>
  <si>
    <t xml:space="preserve">Commuter car park | Wheelchair accessible car space | Kiss and ride stopping area | Taxi rank | Bike racks | Bike lockers | Wheelchair accessible toilet | Baby change table | Emergency help point | Payphone | Next service display | Opal card top up or single trip ticket machine (Card Payment only)</t>
  </si>
  <si>
    <t xml:space="preserve">Mortdale Station</t>
  </si>
  <si>
    <t xml:space="preserve">222310</t>
  </si>
  <si>
    <t xml:space="preserve">10101341</t>
  </si>
  <si>
    <t xml:space="preserve">Cnr Morts Rd &amp; Pitt St, Mortdale NSW 2223</t>
  </si>
  <si>
    <t xml:space="preserve">Commuter car park | Wheelchair accessible car space | Kiss and ride stopping area | Taxi rank | Bike racks | Toilets | Wheelchair accessible toilet | Emergency help point | Payphone | Next service display | Opal card top up or single trip ticket machine (Card Payment only)</t>
  </si>
  <si>
    <t xml:space="preserve">02 9563 7585</t>
  </si>
  <si>
    <t xml:space="preserve">Mosman Bay Wharf</t>
  </si>
  <si>
    <t xml:space="preserve">208877</t>
  </si>
  <si>
    <t xml:space="preserve">10102020</t>
  </si>
  <si>
    <t xml:space="preserve">Avenue Rd, Mosman NSW 2088</t>
  </si>
  <si>
    <t xml:space="preserve">Moss Vale Station</t>
  </si>
  <si>
    <t xml:space="preserve">257710</t>
  </si>
  <si>
    <t xml:space="preserve">10101308</t>
  </si>
  <si>
    <t xml:space="preserve">Dalys Way, Moss Vale NSW 2577</t>
  </si>
  <si>
    <t xml:space="preserve">Commuter car park | Wheelchair accessible car space | Kiss and ride stopping area | Taxi rank | Bike racks | Toilets | Wheelchair accessible toilet | Baby change table | Emergency help point | Payphone | Luggage storage | No Opal card top up or single trip ticket sales</t>
  </si>
  <si>
    <t xml:space="preserve">0248247155 or 0248247157</t>
  </si>
  <si>
    <t xml:space="preserve">Mount Colah Station</t>
  </si>
  <si>
    <t xml:space="preserve">207910</t>
  </si>
  <si>
    <t xml:space="preserve">10101129</t>
  </si>
  <si>
    <t xml:space="preserve">Pacific Hwy, Mount Colah NSW 2079</t>
  </si>
  <si>
    <t xml:space="preserve">Wheelchair accessible car space | Kiss and ride stopping area | Wheelchair accessible toilet | Baby change table | Emergency help point | Next service display</t>
  </si>
  <si>
    <t xml:space="preserve">02 9847 8476</t>
  </si>
  <si>
    <t xml:space="preserve">Mount Druitt Station</t>
  </si>
  <si>
    <t xml:space="preserve">277010</t>
  </si>
  <si>
    <t xml:space="preserve">10101248</t>
  </si>
  <si>
    <t xml:space="preserve">North Pde, Mount Druitt NSW 2770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</si>
  <si>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(Cash or Card Payment) | Opal card top up machine (Card Payment only) | Transport Park&amp;Ride</t>
  </si>
  <si>
    <t xml:space="preserve">02 9851 7501</t>
  </si>
  <si>
    <t xml:space="preserve">Mount George turnoff Coach Stop</t>
  </si>
  <si>
    <t xml:space="preserve">2429649</t>
  </si>
  <si>
    <t xml:space="preserve">10102769</t>
  </si>
  <si>
    <t xml:space="preserve">Gloucester Rd opp Nowendoc Rd, Killawarra NSW 2429</t>
  </si>
  <si>
    <t xml:space="preserve">Mount Kuring-gai Station</t>
  </si>
  <si>
    <t xml:space="preserve">208010</t>
  </si>
  <si>
    <t xml:space="preserve">10101130</t>
  </si>
  <si>
    <t xml:space="preserve">Pacific Hwy, Mount Kuring-Gai NSW 2080</t>
  </si>
  <si>
    <t xml:space="preserve">Taxi rank | Toilets | Emergency help point | Payphone | Next service display | No Opal card top up or single trip ticket sales</t>
  </si>
  <si>
    <t xml:space="preserve">02 9847 8497</t>
  </si>
  <si>
    <t xml:space="preserve">Mount Lambie Coach Stop</t>
  </si>
  <si>
    <t xml:space="preserve">2790177</t>
  </si>
  <si>
    <t xml:space="preserve">10102660</t>
  </si>
  <si>
    <t xml:space="preserve">Great Western Hwy opp Old Western Rd, Mount Lambie NSW 2790</t>
  </si>
  <si>
    <t xml:space="preserve">Mount Russell turnoff Coach Stop</t>
  </si>
  <si>
    <t xml:space="preserve">236057</t>
  </si>
  <si>
    <t xml:space="preserve">10102703</t>
  </si>
  <si>
    <t xml:space="preserve">Gwydir Hwy opp Mt Russell Rd, Little Plain NSW 2360</t>
  </si>
  <si>
    <t xml:space="preserve">Mount Victoria Station</t>
  </si>
  <si>
    <t xml:space="preserve">278610</t>
  </si>
  <si>
    <t xml:space="preserve">10101271</t>
  </si>
  <si>
    <t xml:space="preserve">Station St, Mount Victoria NSW 2786</t>
  </si>
  <si>
    <t xml:space="preserve">Commuter car park | Taxi rank | Toilets | Emergency help point | Payphone | No Opal card top up or single trip ticket sales</t>
  </si>
  <si>
    <t xml:space="preserve">02 6354 9838</t>
  </si>
  <si>
    <t xml:space="preserve">Mudgee Station</t>
  </si>
  <si>
    <t xml:space="preserve">285042</t>
  </si>
  <si>
    <t xml:space="preserve">10102673</t>
  </si>
  <si>
    <t xml:space="preserve">Inglis St, Mudgee NSW 2850</t>
  </si>
  <si>
    <t xml:space="preserve">Mudgee Town Coach Stop</t>
  </si>
  <si>
    <t xml:space="preserve">285039</t>
  </si>
  <si>
    <t xml:space="preserve">10102672</t>
  </si>
  <si>
    <t xml:space="preserve">Robertson Park, Market St, Mudgee NSW 2850</t>
  </si>
  <si>
    <t xml:space="preserve">Mulgrave Station</t>
  </si>
  <si>
    <t xml:space="preserve">275610</t>
  </si>
  <si>
    <t xml:space="preserve">10101241</t>
  </si>
  <si>
    <t xml:space="preserve">Mulgrave Rd, Mulgrave NSW 2756</t>
  </si>
  <si>
    <t xml:space="preserve">Commuter car park | Wheelchair accessible car space | Bike racks | Wheelchair accessible toilet | Baby change table | Emergency help point | Information point | Payphone | Next service display | No Opal card top up or single trip ticket sales</t>
  </si>
  <si>
    <t xml:space="preserve">02 9851 7275</t>
  </si>
  <si>
    <t xml:space="preserve">Mullaley Coach Stop</t>
  </si>
  <si>
    <t xml:space="preserve">237914</t>
  </si>
  <si>
    <t xml:space="preserve">10102663</t>
  </si>
  <si>
    <t xml:space="preserve">Mullaley Park, Nombi St, Mullaley NSW 2379</t>
  </si>
  <si>
    <t xml:space="preserve">Mullumbimby Station</t>
  </si>
  <si>
    <t xml:space="preserve">2482199</t>
  </si>
  <si>
    <t xml:space="preserve">10102738</t>
  </si>
  <si>
    <t xml:space="preserve">River Tce opp Mullumbimby Post Office, Mullumbimby NSW 2482</t>
  </si>
  <si>
    <t xml:space="preserve">Mulwala Coach Stop</t>
  </si>
  <si>
    <t xml:space="preserve">264729</t>
  </si>
  <si>
    <t xml:space="preserve">10102826</t>
  </si>
  <si>
    <t xml:space="preserve">Inglis St at Melbourne St, Mulwala NSW 2647</t>
  </si>
  <si>
    <t xml:space="preserve">Murrumbateman Coach Stop</t>
  </si>
  <si>
    <t xml:space="preserve">2582143</t>
  </si>
  <si>
    <t xml:space="preserve">10102803</t>
  </si>
  <si>
    <t xml:space="preserve">Murrumbateman Country Inn, Barton Hwy, Murrumbateman NSW 2582</t>
  </si>
  <si>
    <t xml:space="preserve">Murrurundi Station</t>
  </si>
  <si>
    <t xml:space="preserve">23381</t>
  </si>
  <si>
    <t xml:space="preserve">10101827</t>
  </si>
  <si>
    <t xml:space="preserve">Victoria St, Murrurundi NSW 2338</t>
  </si>
  <si>
    <t xml:space="preserve">Murrurundi Town Coach Stop</t>
  </si>
  <si>
    <t xml:space="preserve">233864</t>
  </si>
  <si>
    <t xml:space="preserve">10102870</t>
  </si>
  <si>
    <t xml:space="preserve">Mayne St at Mount St, Murrurundi NSW 2338</t>
  </si>
  <si>
    <t xml:space="preserve">Murwillumbah Station</t>
  </si>
  <si>
    <t xml:space="preserve">2484133</t>
  </si>
  <si>
    <t xml:space="preserve">10102728</t>
  </si>
  <si>
    <t xml:space="preserve">Tweed Valley Way, Murwillumbah NSW 2484</t>
  </si>
  <si>
    <t xml:space="preserve">Museum Station</t>
  </si>
  <si>
    <t xml:space="preserve">200040</t>
  </si>
  <si>
    <t xml:space="preserve">10101104</t>
  </si>
  <si>
    <t xml:space="preserve">Elizabeth St, Sydney NSW 2000</t>
  </si>
  <si>
    <t xml:space="preserve">Taxi rank | Toilets | Wheelchair accessible toilet (MLAK) | Baby change table | Emergency help point | Payphone | Next service display | Opal card top up or single trip ticket machine (Cash or Card Payment)</t>
  </si>
  <si>
    <t xml:space="preserve">02 9379 1396</t>
  </si>
  <si>
    <t xml:space="preserve">Muswellbrook Station</t>
  </si>
  <si>
    <t xml:space="preserve">233310</t>
  </si>
  <si>
    <t xml:space="preserve">10101191</t>
  </si>
  <si>
    <t xml:space="preserve">Market St, Muswellbrook NSW 2333</t>
  </si>
  <si>
    <t xml:space="preserve">Commuter car park | Wheelchair accessible car space | Bike racks | Toilets | Emergency help point | Payphone | No Opal card top up or single trip ticket sales</t>
  </si>
  <si>
    <t xml:space="preserve">Muttama Coach Stop</t>
  </si>
  <si>
    <t xml:space="preserve">272294</t>
  </si>
  <si>
    <t xml:space="preserve">10102809</t>
  </si>
  <si>
    <t xml:space="preserve">Muttama Rd before Bridge St, Muttama NSW 2722</t>
  </si>
  <si>
    <t xml:space="preserve">Nambucca Heads Coach Stop</t>
  </si>
  <si>
    <t xml:space="preserve">244875</t>
  </si>
  <si>
    <t xml:space="preserve">10102859</t>
  </si>
  <si>
    <t xml:space="preserve">Riverside Dr, Nambucca Heads NSW 2448</t>
  </si>
  <si>
    <t xml:space="preserve">Nambucca Heads Station</t>
  </si>
  <si>
    <t xml:space="preserve">24481</t>
  </si>
  <si>
    <t xml:space="preserve">10101835</t>
  </si>
  <si>
    <t xml:space="preserve">Railway Pde, Nambucca Heads NSW 2448</t>
  </si>
  <si>
    <t xml:space="preserve">Commuter car park | Taxi rank | Toilets | Wheelchair accessible toilet | Baby change table | Emergency help point | Information point</t>
  </si>
  <si>
    <t xml:space="preserve">Narara Station</t>
  </si>
  <si>
    <t xml:space="preserve">2250772</t>
  </si>
  <si>
    <t xml:space="preserve">10101140</t>
  </si>
  <si>
    <t xml:space="preserve">Narara Valley Dr, Narara NSW 2250</t>
  </si>
  <si>
    <t xml:space="preserve">Commuter car park | Wheelchair accessible car space | Kiss and ride stopping area | Bike racks | Bike lockers | Emergency help point | Information point | Payphone | No Opal card top up or single trip ticket sales</t>
  </si>
  <si>
    <t xml:space="preserve">Narrabeen B-Line</t>
  </si>
  <si>
    <t xml:space="preserve">2101130</t>
  </si>
  <si>
    <t xml:space="preserve">10102506</t>
  </si>
  <si>
    <t xml:space="preserve">Pittwater Rd, Narrabeen NSW 2101</t>
  </si>
  <si>
    <t xml:space="preserve">Commuter car park | Transport Park&amp;Ride | Wheelchair accessible car space | Bike racks | Toilets | Wheelchair accessible toilet | Next service display</t>
  </si>
  <si>
    <t xml:space="preserve">Narrabri Station</t>
  </si>
  <si>
    <t xml:space="preserve">23901</t>
  </si>
  <si>
    <t xml:space="preserve">10101816</t>
  </si>
  <si>
    <t xml:space="preserve">Bowen St, Narrabri NSW 2390</t>
  </si>
  <si>
    <t xml:space="preserve">Narrandera Station</t>
  </si>
  <si>
    <t xml:space="preserve">27001</t>
  </si>
  <si>
    <t xml:space="preserve">10101856</t>
  </si>
  <si>
    <t xml:space="preserve">Whitton St, Narrandera NSW 2700</t>
  </si>
  <si>
    <t xml:space="preserve">Narromine Coach Stop</t>
  </si>
  <si>
    <t xml:space="preserve">2821232</t>
  </si>
  <si>
    <t xml:space="preserve">10102611</t>
  </si>
  <si>
    <t xml:space="preserve">Narromine Police Station, Burraway Rd, Narromine NSW 2821</t>
  </si>
  <si>
    <t xml:space="preserve">Narwee Station</t>
  </si>
  <si>
    <t xml:space="preserve">220920</t>
  </si>
  <si>
    <t xml:space="preserve">10101414</t>
  </si>
  <si>
    <t xml:space="preserve">Hannans Rd, Narwee NSW 2209</t>
  </si>
  <si>
    <t xml:space="preserve">02 9563 7770</t>
  </si>
  <si>
    <t xml:space="preserve">Neutral Bay Junction</t>
  </si>
  <si>
    <t xml:space="preserve">208953</t>
  </si>
  <si>
    <t xml:space="preserve">10102512</t>
  </si>
  <si>
    <t xml:space="preserve">Military Rd, Neutral Bay NSW 2089</t>
  </si>
  <si>
    <t xml:space="preserve">Neutral Bay Wharf</t>
  </si>
  <si>
    <t xml:space="preserve">208943</t>
  </si>
  <si>
    <t xml:space="preserve">10102023</t>
  </si>
  <si>
    <t xml:space="preserve">Hayes St, Neutral Bay NSW 2089</t>
  </si>
  <si>
    <t xml:space="preserve">Nevertire Coach Stop</t>
  </si>
  <si>
    <t xml:space="preserve">282614</t>
  </si>
  <si>
    <t xml:space="preserve">10102608</t>
  </si>
  <si>
    <t xml:space="preserve">Mitchell Hwy after Clyde St, Nevertire NSW 2826</t>
  </si>
  <si>
    <t xml:space="preserve">Newcastle Beach Light Rail</t>
  </si>
  <si>
    <t xml:space="preserve">2300136</t>
  </si>
  <si>
    <t xml:space="preserve">10101745</t>
  </si>
  <si>
    <t xml:space="preserve">Scott St, Newcastle NSW 2300</t>
  </si>
  <si>
    <t xml:space="preserve">Newcastle Interchange</t>
  </si>
  <si>
    <t xml:space="preserve">229310</t>
  </si>
  <si>
    <t xml:space="preserve">10101165</t>
  </si>
  <si>
    <t xml:space="preserve">Station Street, Wickham NSW 2293</t>
  </si>
  <si>
    <t xml:space="preserve">Train, Bus, Light rail, Taxi</t>
  </si>
  <si>
    <t xml:space="preserve">Newtown Station</t>
  </si>
  <si>
    <t xml:space="preserve">204210</t>
  </si>
  <si>
    <t xml:space="preserve">10101214</t>
  </si>
  <si>
    <t xml:space="preserve">King St, Newtown NSW 2042</t>
  </si>
  <si>
    <t xml:space="preserve">Bike racks | Toilets | Wheelchair accessible toilet (MLAK) | Baby change table | Emergency help point | Next service display | Opal card top up or single trip ticket machine (Card Payment only) | Opal card top up machine (Card Payment only)</t>
  </si>
  <si>
    <t xml:space="preserve">02 9379 1790</t>
  </si>
  <si>
    <t xml:space="preserve">Ngara Light Rail</t>
  </si>
  <si>
    <t xml:space="preserve">2151158</t>
  </si>
  <si>
    <t xml:space="preserve">10101713</t>
  </si>
  <si>
    <t xml:space="preserve">Cnr Fleet St &amp; Factory St, Parramatta NSW 2151</t>
  </si>
  <si>
    <t xml:space="preserve">Kiss and ride stopping area | Opal card top up or single trip ticket machine (Cash or Card Payment) | Next service display | Emergency help point</t>
  </si>
  <si>
    <t xml:space="preserve">Niagara Park Station</t>
  </si>
  <si>
    <t xml:space="preserve">225060</t>
  </si>
  <si>
    <t xml:space="preserve">10101141</t>
  </si>
  <si>
    <t xml:space="preserve">Kathleen Morreau Rd, Niagara Park NSW 2250</t>
  </si>
  <si>
    <t xml:space="preserve">Commuter car park | Wheelchair accessible car space | Kiss and ride stopping area | Bike racks | Emergency help point | No Opal card top up or single trip ticket sales</t>
  </si>
  <si>
    <t xml:space="preserve">Nimmitabel Coach Stop</t>
  </si>
  <si>
    <t xml:space="preserve">263123</t>
  </si>
  <si>
    <t xml:space="preserve">10102792</t>
  </si>
  <si>
    <t xml:space="preserve">Nimmitabel Police Station, Bombala St, Nimmitabel NSW 2631</t>
  </si>
  <si>
    <t xml:space="preserve">Normanhurst Station</t>
  </si>
  <si>
    <t xml:space="preserve">207620</t>
  </si>
  <si>
    <t xml:space="preserve">10101194</t>
  </si>
  <si>
    <t xml:space="preserve">Denman Pde, Normanhurst NSW 2076</t>
  </si>
  <si>
    <t xml:space="preserve">Kiss and ride stopping area | Taxi rank | Bike racks | Toilets | Wheelchair accessible toilet | Baby change table | Emergency help point | Next service display | Opal card top up or single trip ticket machine (Card Payment only)</t>
  </si>
  <si>
    <t xml:space="preserve">02 9847 8423</t>
  </si>
  <si>
    <t xml:space="preserve">North Ryde Station</t>
  </si>
  <si>
    <t xml:space="preserve">211320</t>
  </si>
  <si>
    <t xml:space="preserve">10101510</t>
  </si>
  <si>
    <t xml:space="preserve">Delhi Rd, North Ryde NSW 2113</t>
  </si>
  <si>
    <t xml:space="preserve">02 8878 4335</t>
  </si>
  <si>
    <t xml:space="preserve">North Strathfield Station</t>
  </si>
  <si>
    <t xml:space="preserve">213710</t>
  </si>
  <si>
    <t xml:space="preserve">10101205</t>
  </si>
  <si>
    <t xml:space="preserve">Queen St, North Strathfield NSW 2137</t>
  </si>
  <si>
    <t xml:space="preserve">Wheelchair accessible car space | Kiss and ride stopping area | Bike racks | Bike lockers | Toilets | Wheelchair accessible toilet | Baby change table | Emergency help point | Payphone | Next service display | Opal card top up or single trip ticket machine (Cash or Card Payment)</t>
  </si>
  <si>
    <t xml:space="preserve">02 9752 8462</t>
  </si>
  <si>
    <t xml:space="preserve">North Sydney Station</t>
  </si>
  <si>
    <t xml:space="preserve">206010</t>
  </si>
  <si>
    <t xml:space="preserve">10101112</t>
  </si>
  <si>
    <t xml:space="preserve">Blue St, North Sydney NSW 2060</t>
  </si>
  <si>
    <t xml:space="preserve">02 9379 4432</t>
  </si>
  <si>
    <t xml:space="preserve">North Sydney Wharf</t>
  </si>
  <si>
    <t xml:space="preserve">206099</t>
  </si>
  <si>
    <t xml:space="preserve">10102016</t>
  </si>
  <si>
    <t xml:space="preserve">High St, North Sydney NSW 2060</t>
  </si>
  <si>
    <t xml:space="preserve">Wheelchair accessible car space | Kiss and ride stopping area | Bike racks | Emergency help point | Information point | Next service display | No Opal card top up or single trip ticket sales</t>
  </si>
  <si>
    <t xml:space="preserve">North Wollongong Station</t>
  </si>
  <si>
    <t xml:space="preserve">250010</t>
  </si>
  <si>
    <t xml:space="preserve">10101371</t>
  </si>
  <si>
    <t xml:space="preserve">Stafford St, North Wollongong NSW 2500</t>
  </si>
  <si>
    <t xml:space="preserve">Commuter car park | Wheelchair accessible car space | Kiss and ride stopping area | Taxi rank | Bike racks | Toilets | Wheelchair accessible toilet | Baby change table | Emergency help point | Information point | Payphone | Next service display | Opal card top up or single trip ticket machine (Cash or Card Payment)</t>
  </si>
  <si>
    <t xml:space="preserve">02 4223 5583</t>
  </si>
  <si>
    <t xml:space="preserve">Northwood Wharf</t>
  </si>
  <si>
    <t xml:space="preserve">206614</t>
  </si>
  <si>
    <t xml:space="preserve">10102048</t>
  </si>
  <si>
    <t xml:space="preserve">Northwood NSW 2066</t>
  </si>
  <si>
    <t xml:space="preserve">Norwest Station</t>
  </si>
  <si>
    <t xml:space="preserve">2153477</t>
  </si>
  <si>
    <t xml:space="preserve">10101504</t>
  </si>
  <si>
    <t xml:space="preserve">Norwest Bvd, Norwest NSW 2153</t>
  </si>
  <si>
    <t xml:space="preserve">This location is Independent Access | Lift | Escalator | Ramp gradient | Hearing loop | Wheelchair ramp boarding assistance | Platform edge tactiles | PA system for announcements</t>
  </si>
  <si>
    <t xml:space="preserve">Nyngan Coach Stop</t>
  </si>
  <si>
    <t xml:space="preserve">282578</t>
  </si>
  <si>
    <t xml:space="preserve">10102607</t>
  </si>
  <si>
    <t xml:space="preserve">Nyngan Visitor Information Centre, Railway Square, Nyngan NSW 2825</t>
  </si>
  <si>
    <t xml:space="preserve">Oak Flats Station</t>
  </si>
  <si>
    <t xml:space="preserve">252920</t>
  </si>
  <si>
    <t xml:space="preserve">10101382</t>
  </si>
  <si>
    <t xml:space="preserve">Stanford Dr, Oak Flats NSW 2529</t>
  </si>
  <si>
    <t xml:space="preserve">Commuter car park | Wheelchair accessible car space | Kiss and ride stopping area | Taxi rank | Bike racks | Bike lockers | Toilets | Wheelchair accessible toilet | Baby change table | Emergency help point | Information point | Payphone | Opal card top up or single trip ticket machine (Cash or Card Payment)</t>
  </si>
  <si>
    <t xml:space="preserve">02 4223 5565</t>
  </si>
  <si>
    <t xml:space="preserve">Oatley Station</t>
  </si>
  <si>
    <t xml:space="preserve">222320</t>
  </si>
  <si>
    <t xml:space="preserve">10101342</t>
  </si>
  <si>
    <t xml:space="preserve">Oatley Pde, Oatley NSW 2223</t>
  </si>
  <si>
    <t xml:space="preserve">02 9522 1246</t>
  </si>
  <si>
    <t xml:space="preserve">Ocean Shores Coach Stop</t>
  </si>
  <si>
    <t xml:space="preserve">248379</t>
  </si>
  <si>
    <t xml:space="preserve">10102736</t>
  </si>
  <si>
    <t xml:space="preserve">Ocean Village Shops, Rajah Rd, Ocean Shores NSW 2483</t>
  </si>
  <si>
    <t xml:space="preserve">Old Cremorne Wharf</t>
  </si>
  <si>
    <t xml:space="preserve">209038</t>
  </si>
  <si>
    <t xml:space="preserve">10102026</t>
  </si>
  <si>
    <t xml:space="preserve">Kareela Rd, Cremorne Point NSW 2090</t>
  </si>
  <si>
    <t xml:space="preserve">Emergency help point | Information point | Next service display | No Opal card top up or single trip ticket sales</t>
  </si>
  <si>
    <t xml:space="preserve">Olympic Park Station</t>
  </si>
  <si>
    <t xml:space="preserve">212710</t>
  </si>
  <si>
    <t xml:space="preserve">10101424</t>
  </si>
  <si>
    <t xml:space="preserve">Murray Rose Ave, Sydney Olympic Park NSW 2127</t>
  </si>
  <si>
    <t xml:space="preserve">Bike racks | Toilets | Wheelchair accessible toilet | Wheelchair accessible toilet (MLAK) | Baby change table | Emergency help point | Payphone | Next service display | Opal card top up or single trip ticket machine (Cash or Card Payment)</t>
  </si>
  <si>
    <t xml:space="preserve">02 9752 8557</t>
  </si>
  <si>
    <t xml:space="preserve">Ootha Coach Stop</t>
  </si>
  <si>
    <t xml:space="preserve">287524</t>
  </si>
  <si>
    <t xml:space="preserve">10102635</t>
  </si>
  <si>
    <t xml:space="preserve">Henry Parkes Way at Ringwood Rd, Ootha NSW 2875</t>
  </si>
  <si>
    <t xml:space="preserve">Orange Station</t>
  </si>
  <si>
    <t xml:space="preserve">28001</t>
  </si>
  <si>
    <t xml:space="preserve">10101807</t>
  </si>
  <si>
    <t xml:space="preserve">Peisley St, Orange NSW 2800</t>
  </si>
  <si>
    <t xml:space="preserve">This location is Independent Access | Wheelchair ramp boarding assistance | Hearing loop | Hearing loop (ticket counter) | PA system for announcements | Platform edge tactiles</t>
  </si>
  <si>
    <t xml:space="preserve">Otford Station</t>
  </si>
  <si>
    <t xml:space="preserve">250830</t>
  </si>
  <si>
    <t xml:space="preserve">10101357</t>
  </si>
  <si>
    <t xml:space="preserve">Lady Carrington Rd, Otford NSW 2508</t>
  </si>
  <si>
    <t xml:space="preserve">02 4223 5566</t>
  </si>
  <si>
    <t xml:space="preserve">Ourimbah Station</t>
  </si>
  <si>
    <t xml:space="preserve">225810</t>
  </si>
  <si>
    <t xml:space="preserve">10101143</t>
  </si>
  <si>
    <t xml:space="preserve">Pacific Hwy, Ourimbah NSW 2258</t>
  </si>
  <si>
    <t xml:space="preserve">02 4349 9204</t>
  </si>
  <si>
    <t xml:space="preserve">Paddy's Markets Light Rail</t>
  </si>
  <si>
    <t xml:space="preserve">2000202</t>
  </si>
  <si>
    <t xml:space="preserve">10101641</t>
  </si>
  <si>
    <t xml:space="preserve">Quay St, Haymarket NSW 2000</t>
  </si>
  <si>
    <t xml:space="preserve">Padstow Station</t>
  </si>
  <si>
    <t xml:space="preserve">221110</t>
  </si>
  <si>
    <t xml:space="preserve">10101416</t>
  </si>
  <si>
    <t xml:space="preserve">Howard Rd, Padstow NSW 2211</t>
  </si>
  <si>
    <t xml:space="preserve">02 9563 7653</t>
  </si>
  <si>
    <t xml:space="preserve">Palm Beach Coach Stop</t>
  </si>
  <si>
    <t xml:space="preserve">300413</t>
  </si>
  <si>
    <t xml:space="preserve">10102905</t>
  </si>
  <si>
    <t xml:space="preserve">Gold Coast Hwy at Palm Beach Ave, Palm Beach QLD 4221</t>
  </si>
  <si>
    <t xml:space="preserve">Palmers Island Coach Stop</t>
  </si>
  <si>
    <t xml:space="preserve">246374</t>
  </si>
  <si>
    <t xml:space="preserve">10102763</t>
  </si>
  <si>
    <t xml:space="preserve">Yamba Rd at Palmers Island Middle Rd, Palmers Island NSW 2463</t>
  </si>
  <si>
    <t xml:space="preserve">Pambula Coach Stop</t>
  </si>
  <si>
    <t xml:space="preserve">2549160</t>
  </si>
  <si>
    <t xml:space="preserve">10102787</t>
  </si>
  <si>
    <t xml:space="preserve">Pambula Bus Interchange, Bennett Lane, Pambula NSW 2549</t>
  </si>
  <si>
    <t xml:space="preserve">Panania Station</t>
  </si>
  <si>
    <t xml:space="preserve">221310</t>
  </si>
  <si>
    <t xml:space="preserve">10101418</t>
  </si>
  <si>
    <t xml:space="preserve">Sherlock Ave, Panania NSW 2213</t>
  </si>
  <si>
    <t xml:space="preserve">02 9563 7654</t>
  </si>
  <si>
    <t xml:space="preserve">Parkes Station</t>
  </si>
  <si>
    <t xml:space="preserve">28701</t>
  </si>
  <si>
    <t xml:space="preserve">10101806</t>
  </si>
  <si>
    <t xml:space="preserve">Welcome St, Parkes NSW 2870</t>
  </si>
  <si>
    <t xml:space="preserve">Commuter car park | Wheelchair accessible car space | Kiss and ride stopping area | Taxi rank | Bike racks | Toilets | Wheelchair accessible toilet | Baby change table | Emergency help point | Information point</t>
  </si>
  <si>
    <t xml:space="preserve">Parramatta Square Light Rail</t>
  </si>
  <si>
    <t xml:space="preserve">2150132</t>
  </si>
  <si>
    <t xml:space="preserve">10101708</t>
  </si>
  <si>
    <t xml:space="preserve">Cnr Macquarie St &amp; Smith St, Parramatta NSW 2150</t>
  </si>
  <si>
    <t xml:space="preserve">Bike racks | No Opal card top up or single trip ticket sales | Emergency help point | Next service display | Payphone</t>
  </si>
  <si>
    <t xml:space="preserve">Parramatta Station</t>
  </si>
  <si>
    <t xml:space="preserve">215020</t>
  </si>
  <si>
    <t xml:space="preserve">10101229</t>
  </si>
  <si>
    <t xml:space="preserve">Argyle St, Parramatta NSW 2150</t>
  </si>
  <si>
    <t xml:space="preserve">Kiss and ride stopping area | Taxi rank | Bike lockers | Bike shed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</si>
  <si>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02 9848 9387</t>
  </si>
  <si>
    <t xml:space="preserve">Parramatta Wharf</t>
  </si>
  <si>
    <t xml:space="preserve">2150112</t>
  </si>
  <si>
    <t xml:space="preserve">10102032</t>
  </si>
  <si>
    <t xml:space="preserve">Cnr Phillip St &amp; Charles St, Parramatta NSW 2150</t>
  </si>
  <si>
    <t xml:space="preserve">Ferry, Taxi</t>
  </si>
  <si>
    <t xml:space="preserve">Wheelchair accessible car space | Bike lockers | Emergency help point | Next service display | Opal card top up or single trip ticket machine (Card Payment only)</t>
  </si>
  <si>
    <t xml:space="preserve">Paterson Station</t>
  </si>
  <si>
    <t xml:space="preserve">242110</t>
  </si>
  <si>
    <t xml:space="preserve">10101181</t>
  </si>
  <si>
    <t xml:space="preserve">Railway St, Paterson NSW 2421</t>
  </si>
  <si>
    <t xml:space="preserve">Peak Hill Coach Stop</t>
  </si>
  <si>
    <t xml:space="preserve">286955</t>
  </si>
  <si>
    <t xml:space="preserve">10102822</t>
  </si>
  <si>
    <t xml:space="preserve">Dugga St before Caswell St, Peak Hill NSW 2869</t>
  </si>
  <si>
    <t xml:space="preserve">Pendle Hill Station</t>
  </si>
  <si>
    <t xml:space="preserve">214530</t>
  </si>
  <si>
    <t xml:space="preserve">10101232</t>
  </si>
  <si>
    <t xml:space="preserve">Wentworth Ave, Pendle Hill NSW 2145</t>
  </si>
  <si>
    <t xml:space="preserve">Commuter car park | Wheelchair accessible car space | Kiss and ride stopping area | Taxi rank | Bike racks | Bike lockers | Toilets | Wheelchair accessible toilet | Emergency help point | Payphone | Next service display | Opal card top up or single trip ticket machine (Card Payment only)</t>
  </si>
  <si>
    <t xml:space="preserve">02 9851 7203</t>
  </si>
  <si>
    <t xml:space="preserve">Pennant Hills Station</t>
  </si>
  <si>
    <t xml:space="preserve">212020</t>
  </si>
  <si>
    <t xml:space="preserve">10101196</t>
  </si>
  <si>
    <t xml:space="preserve">Railway St, Pennant Hills NSW 2120</t>
  </si>
  <si>
    <t xml:space="preserve">02 9847 8422</t>
  </si>
  <si>
    <t xml:space="preserve">Penrith Station</t>
  </si>
  <si>
    <t xml:space="preserve">275010</t>
  </si>
  <si>
    <t xml:space="preserve">10101252</t>
  </si>
  <si>
    <t xml:space="preserve">Jane St, Penrith NSW 2750</t>
  </si>
  <si>
    <t xml:space="preserve">Commuter car park | Wheelchair accessible car space | Kiss and ride stopping area | Taxi rank | Bike racks | Bike lockers | Bike shed | Toilets | Wheelchair accessible toilet | Baby change table | Emergency help point | Payphone | Next service display | Opal card top up or single trip ticket machine (Cash or Card Payment) | Opal card top up machine (Card Payment only) | Free mobile phone charging</t>
  </si>
  <si>
    <t xml:space="preserve">02 4780 3325</t>
  </si>
  <si>
    <t xml:space="preserve">Penrose Station</t>
  </si>
  <si>
    <t xml:space="preserve">257920</t>
  </si>
  <si>
    <t xml:space="preserve">10101311</t>
  </si>
  <si>
    <t xml:space="preserve">Highland Way, Penrose NSW 2579</t>
  </si>
  <si>
    <t xml:space="preserve">Penshurst Station</t>
  </si>
  <si>
    <t xml:space="preserve">222210</t>
  </si>
  <si>
    <t xml:space="preserve">10101340</t>
  </si>
  <si>
    <t xml:space="preserve">Bridge St, Penshurst NSW 2222</t>
  </si>
  <si>
    <t xml:space="preserve">02 9563 7545</t>
  </si>
  <si>
    <t xml:space="preserve">Petersham Station</t>
  </si>
  <si>
    <t xml:space="preserve">204910</t>
  </si>
  <si>
    <t xml:space="preserve">10101212</t>
  </si>
  <si>
    <t xml:space="preserve">Trafalgar St, Petersham NSW 2049</t>
  </si>
  <si>
    <t xml:space="preserve">02 9752 8426</t>
  </si>
  <si>
    <t xml:space="preserve">Picton Station</t>
  </si>
  <si>
    <t xml:space="preserve">257110</t>
  </si>
  <si>
    <t xml:space="preserve">10101301</t>
  </si>
  <si>
    <t xml:space="preserve">Station St, Picton NSW 2571</t>
  </si>
  <si>
    <t xml:space="preserve">Commuter car park | Wheelchair accessible car space | Kiss and ride stopping area | Taxi rank | Bike racks | Toilets | Wheelchair accessible toilet | Baby change table | Emergency help point | Payphone | Opal card top up or single trip ticket machine (Card Payment only)</t>
  </si>
  <si>
    <t xml:space="preserve">Pirrama Park Wharf</t>
  </si>
  <si>
    <t xml:space="preserve">200956</t>
  </si>
  <si>
    <t xml:space="preserve">10102056</t>
  </si>
  <si>
    <t xml:space="preserve">Pirrama Park, Pyrmont NSW 2009</t>
  </si>
  <si>
    <t xml:space="preserve">Wheelchair accessible car space | No Opal card top up or single trip ticket sales</t>
  </si>
  <si>
    <t xml:space="preserve">Point Clare Station</t>
  </si>
  <si>
    <t xml:space="preserve">225030</t>
  </si>
  <si>
    <t xml:space="preserve">10101138</t>
  </si>
  <si>
    <t xml:space="preserve">Brisbane Water Dr, Point Clare NSW 2250</t>
  </si>
  <si>
    <t xml:space="preserve">Commuter car park | Wheelchair accessible car space | Kiss and ride stopping area | Bike racks | Bike lockers | Toilets | Wheelchair accessible toilet | Baby change table | Emergency help point | Information point | Payphone | No Opal card top up or single trip ticket sales</t>
  </si>
  <si>
    <t xml:space="preserve">02 4325 7897</t>
  </si>
  <si>
    <t xml:space="preserve">Pooncarie Coach Stop</t>
  </si>
  <si>
    <t xml:space="preserve">264836</t>
  </si>
  <si>
    <t xml:space="preserve">10102875</t>
  </si>
  <si>
    <t xml:space="preserve">Tarcoola St, Pooncarie NSW 2648</t>
  </si>
  <si>
    <t xml:space="preserve">Port Kembla North Station</t>
  </si>
  <si>
    <t xml:space="preserve">250530</t>
  </si>
  <si>
    <t xml:space="preserve">10101376</t>
  </si>
  <si>
    <t xml:space="preserve">Flinders St, Port Kembla NSW 2505</t>
  </si>
  <si>
    <t xml:space="preserve">Port Kembla Station</t>
  </si>
  <si>
    <t xml:space="preserve">250540</t>
  </si>
  <si>
    <t xml:space="preserve">10101377</t>
  </si>
  <si>
    <t xml:space="preserve">Old Port Kembla Rd, Port Kembla NSW 2505</t>
  </si>
  <si>
    <t xml:space="preserve">Commuter car park | Wheelchair accessible car space | Kiss and ride stopping area | Bike racks | Toilets | Emergency help point | Payphone | No Opal card top up or single trip ticket sales</t>
  </si>
  <si>
    <t xml:space="preserve">Port Macquarie Coach Stop</t>
  </si>
  <si>
    <t xml:space="preserve">2444412</t>
  </si>
  <si>
    <t xml:space="preserve">10102717</t>
  </si>
  <si>
    <t xml:space="preserve">Port Macquarie Coach Terminal, Gordon St, Port Macquarie NSW 2444</t>
  </si>
  <si>
    <t xml:space="preserve">Portland Coach Stop</t>
  </si>
  <si>
    <t xml:space="preserve">284747</t>
  </si>
  <si>
    <t xml:space="preserve">10102686</t>
  </si>
  <si>
    <t xml:space="preserve">Portland Post Office, Williwa St, Portland NSW 2847</t>
  </si>
  <si>
    <t xml:space="preserve">Portland East Coach Stop</t>
  </si>
  <si>
    <t xml:space="preserve">284746</t>
  </si>
  <si>
    <t xml:space="preserve">10102685</t>
  </si>
  <si>
    <t xml:space="preserve">Railway Ave before Russell St, Portland NSW 2847</t>
  </si>
  <si>
    <t xml:space="preserve">Pottsville Coach Stop</t>
  </si>
  <si>
    <t xml:space="preserve">248968</t>
  </si>
  <si>
    <t xml:space="preserve">10102734</t>
  </si>
  <si>
    <t xml:space="preserve">Tweed Coast Rd opp Boronia Ave, Pottsville NSW 2489</t>
  </si>
  <si>
    <t xml:space="preserve">Prairiewood - Stockland Mall Bus Interchange</t>
  </si>
  <si>
    <t xml:space="preserve">2176261</t>
  </si>
  <si>
    <t xml:space="preserve">10121819</t>
  </si>
  <si>
    <t xml:space="preserve">-, Bossley Park NSW 2176</t>
  </si>
  <si>
    <t xml:space="preserve">Wheelchair accessible car space | Kiss and ride stopping area | Bike racks | Bike lockers</t>
  </si>
  <si>
    <t xml:space="preserve">Prince Alfred Square Light Rail</t>
  </si>
  <si>
    <t xml:space="preserve">2150149</t>
  </si>
  <si>
    <t xml:space="preserve">10101710</t>
  </si>
  <si>
    <t xml:space="preserve">Cnr Church St &amp; Victoria Rd, Parramatta NSW 2150</t>
  </si>
  <si>
    <t xml:space="preserve">Punchbowl Station</t>
  </si>
  <si>
    <t xml:space="preserve">219610</t>
  </si>
  <si>
    <t xml:space="preserve">10101400</t>
  </si>
  <si>
    <t xml:space="preserve">Punchbowl Rd, Punchbowl NSW 2196</t>
  </si>
  <si>
    <t xml:space="preserve">02 9563 7684</t>
  </si>
  <si>
    <t xml:space="preserve">Pymble Station</t>
  </si>
  <si>
    <t xml:space="preserve">207310</t>
  </si>
  <si>
    <t xml:space="preserve">10101122</t>
  </si>
  <si>
    <t xml:space="preserve">Grandview St, Pymble NSW 2073</t>
  </si>
  <si>
    <t xml:space="preserve">Commuter car park | Wheelchair accessible car space | Kiss and ride stopping area | Taxi rank | Bike racks | Toilets | Wheelchair accessible toilet | Baby change table | Emergency help point | Next service display | Opal card top up or single trip ticket machine (Card Payment only)</t>
  </si>
  <si>
    <t xml:space="preserve">02 9847 8581</t>
  </si>
  <si>
    <t xml:space="preserve">Pyrmont Bay Light Rail</t>
  </si>
  <si>
    <t xml:space="preserve">200946</t>
  </si>
  <si>
    <t xml:space="preserve">10101638</t>
  </si>
  <si>
    <t xml:space="preserve">Murray St, Pyrmont NSW 2009</t>
  </si>
  <si>
    <t xml:space="preserve">Pyrmont Bay Wharf</t>
  </si>
  <si>
    <t xml:space="preserve">2000260</t>
  </si>
  <si>
    <t xml:space="preserve">10102033</t>
  </si>
  <si>
    <t xml:space="preserve">Emergency help point | Next service display | Opal card top up or single trip ticket machine (Cash or Card Payment)</t>
  </si>
  <si>
    <t xml:space="preserve">Quakers Hill Station</t>
  </si>
  <si>
    <t xml:space="preserve">276310</t>
  </si>
  <si>
    <t xml:space="preserve">10101237</t>
  </si>
  <si>
    <t xml:space="preserve">Railway Pde, Quakers Hill NSW 2763</t>
  </si>
  <si>
    <t xml:space="preserve">Commuter car park | Wheelchair accessible car space | Kiss and ride stopping area | Bike racks | Wheelchair accessible toilet (MLAK) | Baby change table | Emergency help point | Payphone | Next service display | Opal card top up or single trip ticket machine (Cash or Card Payment)</t>
  </si>
  <si>
    <t xml:space="preserve">02 9851 7243</t>
  </si>
  <si>
    <t xml:space="preserve">Queanbeyan Bus Interchange</t>
  </si>
  <si>
    <t xml:space="preserve">2620338</t>
  </si>
  <si>
    <t xml:space="preserve">10102801</t>
  </si>
  <si>
    <t xml:space="preserve">Cnr Collett St &amp; Morisset St, Queanbeyan NSW 2620</t>
  </si>
  <si>
    <t xml:space="preserve">Queanbeyan Station</t>
  </si>
  <si>
    <t xml:space="preserve">26201</t>
  </si>
  <si>
    <t xml:space="preserve">10101864</t>
  </si>
  <si>
    <t xml:space="preserve">Henderson Rd, Queanbeyan NSW 2620</t>
  </si>
  <si>
    <t xml:space="preserve">Commuter car park | Wheelchair accessible car space | Toilets | Wheelchair accessible toilet | Emergency help point</t>
  </si>
  <si>
    <t xml:space="preserve">Queens Wharf</t>
  </si>
  <si>
    <t xml:space="preserve">2300146</t>
  </si>
  <si>
    <t xml:space="preserve">10102061</t>
  </si>
  <si>
    <t xml:space="preserve">Queens Wharf, Wharf Rd, Newcastle NSW 2300</t>
  </si>
  <si>
    <t xml:space="preserve">Bus, Ferry, Light rail</t>
  </si>
  <si>
    <t xml:space="preserve">Opal card top up or single trip ticket machine (Cash or Card Payment)</t>
  </si>
  <si>
    <t xml:space="preserve">This location is Independent Access | Wheelchair ramp boarding assistance | Wharf edge tactiles</t>
  </si>
  <si>
    <t xml:space="preserve">Queens Wharf Light Rail</t>
  </si>
  <si>
    <t xml:space="preserve">2300135</t>
  </si>
  <si>
    <t xml:space="preserve">10101744</t>
  </si>
  <si>
    <t xml:space="preserve">Quirindi Station</t>
  </si>
  <si>
    <t xml:space="preserve">23431</t>
  </si>
  <si>
    <t xml:space="preserve">10101825</t>
  </si>
  <si>
    <t xml:space="preserve">Station St, Quirindi NSW 2343</t>
  </si>
  <si>
    <t xml:space="preserve">Commuter car park | Wheelchair accessible car space | Toilets | Emergency help point | Information point | Payphone</t>
  </si>
  <si>
    <t xml:space="preserve">QVB Light Rail</t>
  </si>
  <si>
    <t xml:space="preserve">2000171</t>
  </si>
  <si>
    <t xml:space="preserve">10111058</t>
  </si>
  <si>
    <t xml:space="preserve">QVB, George St, Sydney NSW 2000</t>
  </si>
  <si>
    <t xml:space="preserve">Raglan Coach Stop</t>
  </si>
  <si>
    <t xml:space="preserve">27951303</t>
  </si>
  <si>
    <t xml:space="preserve">10102657</t>
  </si>
  <si>
    <t xml:space="preserve">25 Sydney Rd, Raglan NSW 2795</t>
  </si>
  <si>
    <t xml:space="preserve">Railway Square Bus Interchange</t>
  </si>
  <si>
    <t xml:space="preserve">200812</t>
  </si>
  <si>
    <t xml:space="preserve">10102501</t>
  </si>
  <si>
    <t xml:space="preserve">Lee St, Chippendale NSW 2008</t>
  </si>
  <si>
    <t xml:space="preserve">Kiss and ride stopping area | Taxi rank | Bike racks</t>
  </si>
  <si>
    <t xml:space="preserve">This location is Not Accessible | Lift | Escalator</t>
  </si>
  <si>
    <t xml:space="preserve">Randwick Light Rail</t>
  </si>
  <si>
    <t xml:space="preserve">2031167</t>
  </si>
  <si>
    <t xml:space="preserve">10101612</t>
  </si>
  <si>
    <t xml:space="preserve">High St, Randwick NSW 2031</t>
  </si>
  <si>
    <t xml:space="preserve">Raymond Terrace Coach Stop</t>
  </si>
  <si>
    <t xml:space="preserve">2324314</t>
  </si>
  <si>
    <t xml:space="preserve">10102782</t>
  </si>
  <si>
    <t xml:space="preserve">Adelaide St after William St, Raymond Terrace NSW 2324</t>
  </si>
  <si>
    <t xml:space="preserve">Redfern Station</t>
  </si>
  <si>
    <t xml:space="preserve">201510</t>
  </si>
  <si>
    <t xml:space="preserve">10101421</t>
  </si>
  <si>
    <t xml:space="preserve">Cnr Lawson St &amp; Gibbons St, Redfern NSW 2015</t>
  </si>
  <si>
    <t xml:space="preserve">Kiss and ride stopping area | Taxi rank | Bike racks | Bike shed | Toilets | Wheelchair accessible toilet | Baby change table | Emergency help point | Payphone | Next service display | Opal card top up or single trip ticket machine (Cash or Card Payment) | Opal card top up machine (Card Payment only) | Free mobile phone charging</t>
  </si>
  <si>
    <t xml:space="preserve">This location is Not Accessible | Wheelchair ramp boarding assistance | PA system for announcements | Platform edge tactiles | Stairs | Escalator | Lift</t>
  </si>
  <si>
    <t xml:space="preserve">02 9379 4579 (M-F 700-1500) or 02 9379 1398 (other hrs)</t>
  </si>
  <si>
    <t xml:space="preserve">Regents Park Station</t>
  </si>
  <si>
    <t xml:space="preserve">214310</t>
  </si>
  <si>
    <t xml:space="preserve">10101391</t>
  </si>
  <si>
    <t xml:space="preserve">Park Rd, Regents Park NSW 2143</t>
  </si>
  <si>
    <t xml:space="preserve">02 9752 8815</t>
  </si>
  <si>
    <t xml:space="preserve">Revesby Station</t>
  </si>
  <si>
    <t xml:space="preserve">221210</t>
  </si>
  <si>
    <t xml:space="preserve">10101417</t>
  </si>
  <si>
    <t xml:space="preserve">Blamey St, Revesby NSW 2212</t>
  </si>
  <si>
    <t xml:space="preserve">Commuter car park | Transport Park&amp;Ride | Wheelchair accessible car space | Kiss and ride stopping area | Taxi rank | Bike racks | Bike lockers | Toilets | Wheelchair accessible toilet | Baby change table | Emergency help point | Payphone | Next service display | Opal card top up or single trip ticket machine (Cash or Card Payment)</t>
  </si>
  <si>
    <t xml:space="preserve">02 9563 7760</t>
  </si>
  <si>
    <t xml:space="preserve">Rhodes Station</t>
  </si>
  <si>
    <t xml:space="preserve">213820</t>
  </si>
  <si>
    <t xml:space="preserve">10101203</t>
  </si>
  <si>
    <t xml:space="preserve">Walker St, Rhodes NSW 2138</t>
  </si>
  <si>
    <t xml:space="preserve">Commuter car park | Wheelchair accessible car space | Kiss and ride stopping area | Bike racks | Bike shed | Toilets | Wheelchair accessible toilet | Baby change table | Emergency help point | Payphone | Next service display | Opal card top up or single trip ticket machine (Cash or Card Payment) | Opal card top up machine (Card Payment only)</t>
  </si>
  <si>
    <t xml:space="preserve">02 9752 8467</t>
  </si>
  <si>
    <t xml:space="preserve">Richmond Station</t>
  </si>
  <si>
    <t xml:space="preserve">275320</t>
  </si>
  <si>
    <t xml:space="preserve">10101245</t>
  </si>
  <si>
    <t xml:space="preserve">East Market St, Richmond NSW 2753</t>
  </si>
  <si>
    <t xml:space="preserve">Commuter car park | Wheelchair accessible car space | Kiss and ride stopping area | Taxi rank | Bike lockers | Toilets | Wheelchair accessible toilet | Baby change table | Emergency help point | Payphone | Next service display | Opal card top up or single trip ticket machine (Card Payment only)</t>
  </si>
  <si>
    <t xml:space="preserve">02 9851 7247</t>
  </si>
  <si>
    <t xml:space="preserve">Riverstone Station</t>
  </si>
  <si>
    <t xml:space="preserve">276510</t>
  </si>
  <si>
    <t xml:space="preserve">10101239</t>
  </si>
  <si>
    <t xml:space="preserve">Railway Tce, Riverstone NSW 2765</t>
  </si>
  <si>
    <t xml:space="preserve">Commuter car park | Wheelchair accessible car space | Kiss and ride stopping area | Taxi rank | Bike lockers | Toilets | Emergency help point | Payphone | Next service display | Opal card top up or single trip ticket machine (Cash or Card Payment)</t>
  </si>
  <si>
    <t xml:space="preserve">02 9851 7245</t>
  </si>
  <si>
    <t xml:space="preserve">Riverwood Station</t>
  </si>
  <si>
    <t xml:space="preserve">221010</t>
  </si>
  <si>
    <t xml:space="preserve">10101415</t>
  </si>
  <si>
    <t xml:space="preserve">William Rd, Riverwood NSW 2210</t>
  </si>
  <si>
    <t xml:space="preserve">02 9563 7646</t>
  </si>
  <si>
    <t xml:space="preserve">Robertson Coach Stop</t>
  </si>
  <si>
    <t xml:space="preserve">2577241</t>
  </si>
  <si>
    <t xml:space="preserve">10102783</t>
  </si>
  <si>
    <t xml:space="preserve">Hoddle St opp Robertson Post Office, Robertson NSW 2577</t>
  </si>
  <si>
    <t xml:space="preserve">Robin Thomas Light Rail</t>
  </si>
  <si>
    <t xml:space="preserve">2150128</t>
  </si>
  <si>
    <t xml:space="preserve">10101707</t>
  </si>
  <si>
    <t xml:space="preserve">Cnr Macquarie St &amp; Harris St, Parramatta NSW 2150</t>
  </si>
  <si>
    <t xml:space="preserve">Robina Coach Stop</t>
  </si>
  <si>
    <t xml:space="preserve">42261</t>
  </si>
  <si>
    <t xml:space="preserve">10102902</t>
  </si>
  <si>
    <t xml:space="preserve">Robina Station, Bayberry Lane, Robina QLD 4226</t>
  </si>
  <si>
    <t xml:space="preserve">Robinvale Coach Stop</t>
  </si>
  <si>
    <t xml:space="preserve">16969</t>
  </si>
  <si>
    <t xml:space="preserve">10102928</t>
  </si>
  <si>
    <t xml:space="preserve">Robinvale-Euston Visitor Information Centre, Bromley St, Robinvale VIC 3549</t>
  </si>
  <si>
    <t xml:space="preserve">Rockdale Station</t>
  </si>
  <si>
    <t xml:space="preserve">221620</t>
  </si>
  <si>
    <t xml:space="preserve">10101335</t>
  </si>
  <si>
    <t xml:space="preserve">Geeves Ave, Rockdale NSW 2216</t>
  </si>
  <si>
    <t xml:space="preserve">Commuter car park | Wheelchair accessible car space | Kiss and ride stopping area | Taxi rank | Bike racks | Bike lockers | Toilets | Wheelchair accessible toilet | Baby change table | Emergency help point | Payphone | Next service display | Opal card top up or single trip ticket machine (Card Payment only) | Opal card top up machine (Card Payment only)</t>
  </si>
  <si>
    <t xml:space="preserve">02 9563 7574</t>
  </si>
  <si>
    <t xml:space="preserve">Rooty Hill Station</t>
  </si>
  <si>
    <t xml:space="preserve">276610</t>
  </si>
  <si>
    <t xml:space="preserve">10101247</t>
  </si>
  <si>
    <t xml:space="preserve">North Pde, Rooty Hill NSW 2766</t>
  </si>
  <si>
    <t xml:space="preserve">02 9851 7208</t>
  </si>
  <si>
    <t xml:space="preserve">Rose Bay Wharf</t>
  </si>
  <si>
    <t xml:space="preserve">202972</t>
  </si>
  <si>
    <t xml:space="preserve">10102004</t>
  </si>
  <si>
    <t xml:space="preserve">New South Head Rd, Rose Bay NSW 2029</t>
  </si>
  <si>
    <t xml:space="preserve">Commuter car park | Wheelchair accessible car space | Kiss and ride stopping area | Bike racks | Emergency help point | Next service display | Opal card top up or single trip ticket machine (Card Payment only)</t>
  </si>
  <si>
    <t xml:space="preserve">Rosehill Gardens Light Rail</t>
  </si>
  <si>
    <t xml:space="preserve">214214</t>
  </si>
  <si>
    <t xml:space="preserve">10101705</t>
  </si>
  <si>
    <t xml:space="preserve">Grand Avenue North, Camellia NSW 2142</t>
  </si>
  <si>
    <t xml:space="preserve">No Opal card top up or single trip ticket sales | Next service display | Emergency help point</t>
  </si>
  <si>
    <t xml:space="preserve">This location is Independent Access | Level crossing | Platform edge tactiles | PA system for announcements</t>
  </si>
  <si>
    <t xml:space="preserve">Roseville Station</t>
  </si>
  <si>
    <t xml:space="preserve">206910</t>
  </si>
  <si>
    <t xml:space="preserve">10101118</t>
  </si>
  <si>
    <t xml:space="preserve">Hill St, Roseville NSW 2069</t>
  </si>
  <si>
    <t xml:space="preserve">Commuter car park | Kiss and ride stopping area | Taxi rank | Bike racks | Toilets | Wheelchair accessible toilet | Baby change table | Emergency help point | Payphone | Next service display | Opal card top up or single trip ticket machine (Card Payment only)</t>
  </si>
  <si>
    <t xml:space="preserve">02 9847 8461</t>
  </si>
  <si>
    <t xml:space="preserve">Rouse Hill Station</t>
  </si>
  <si>
    <t xml:space="preserve">2155383</t>
  </si>
  <si>
    <t xml:space="preserve">10101501</t>
  </si>
  <si>
    <t xml:space="preserve">Tempus St, Rouse Hill NSW 2155</t>
  </si>
  <si>
    <t xml:space="preserve">Bike shed | Bike racks | Bike lockers | Kiss and ride stopping area | Taxi rank | Opal card top up or single trip ticket machine (Cash or Card Payment) | Toilets | Wheelchair accessible toilet | Payphone | Emergency help point</t>
  </si>
  <si>
    <t xml:space="preserve">This location is Independent Access | Hearing loop | PA system for announcements | Lift | Escalator | Platform edge tactiles | Wheelchair ramp boarding assistance | Stairs</t>
  </si>
  <si>
    <t xml:space="preserve">Royal Adelaide Hospital Coach Stop</t>
  </si>
  <si>
    <t xml:space="preserve">13307</t>
  </si>
  <si>
    <t xml:space="preserve">10102931</t>
  </si>
  <si>
    <t xml:space="preserve">North Tce, Adelaide SA 5000</t>
  </si>
  <si>
    <t xml:space="preserve">Royal Randwick Light Rail</t>
  </si>
  <si>
    <t xml:space="preserve">202158</t>
  </si>
  <si>
    <t xml:space="preserve">10101609</t>
  </si>
  <si>
    <t xml:space="preserve">Royal Randwick Racecourse, Randwick NSW 2031</t>
  </si>
  <si>
    <t xml:space="preserve">Rozelle Bay Light Rail</t>
  </si>
  <si>
    <t xml:space="preserve">203817</t>
  </si>
  <si>
    <t xml:space="preserve">10101631</t>
  </si>
  <si>
    <t xml:space="preserve">The Crescent, Annandale NSW 2038</t>
  </si>
  <si>
    <t xml:space="preserve">Running Stream Coach Stop</t>
  </si>
  <si>
    <t xml:space="preserve">285038</t>
  </si>
  <si>
    <t xml:space="preserve">10102681</t>
  </si>
  <si>
    <t xml:space="preserve">Castleregah Hwy opp Mount Vincent Rd, Running Stream NSW 2850</t>
  </si>
  <si>
    <t xml:space="preserve">Rydal Station</t>
  </si>
  <si>
    <t xml:space="preserve">2790128</t>
  </si>
  <si>
    <t xml:space="preserve">10101431</t>
  </si>
  <si>
    <t xml:space="preserve">Bathurst St, Rydal NSW 2790</t>
  </si>
  <si>
    <t xml:space="preserve">Rydalmere Wharf</t>
  </si>
  <si>
    <t xml:space="preserve">211655</t>
  </si>
  <si>
    <t xml:space="preserve">10102029</t>
  </si>
  <si>
    <t xml:space="preserve">John St, Rydalmere NSW 2116</t>
  </si>
  <si>
    <t xml:space="preserve">Commuter car park | Wheelchair accessible car space | Kiss and ride stopping area | Bike racks | Bike lockers | Emergency help point | Next service display</t>
  </si>
  <si>
    <t xml:space="preserve">Rylstone Coach Stop</t>
  </si>
  <si>
    <t xml:space="preserve">284913</t>
  </si>
  <si>
    <t xml:space="preserve">10102675</t>
  </si>
  <si>
    <t xml:space="preserve">Louee St after Cox St, Rylstone NSW 2849</t>
  </si>
  <si>
    <t xml:space="preserve">Rylstone Hospital Coach Stop</t>
  </si>
  <si>
    <t xml:space="preserve">284912</t>
  </si>
  <si>
    <t xml:space="preserve">10102676</t>
  </si>
  <si>
    <t xml:space="preserve">Rylstone Hospital, Ilford Rd, Rylstone NSW 2849</t>
  </si>
  <si>
    <t xml:space="preserve">Sandgate Station</t>
  </si>
  <si>
    <t xml:space="preserve">230430</t>
  </si>
  <si>
    <t xml:space="preserve">10101169</t>
  </si>
  <si>
    <t xml:space="preserve">Astra St, Sandgate NSW 2304</t>
  </si>
  <si>
    <t xml:space="preserve">02 4962 9495</t>
  </si>
  <si>
    <t xml:space="preserve">Sawtell Station</t>
  </si>
  <si>
    <t xml:space="preserve">24521</t>
  </si>
  <si>
    <t xml:space="preserve">10101833</t>
  </si>
  <si>
    <t xml:space="preserve">Hulberts Rd, Toormina NSW 2452</t>
  </si>
  <si>
    <t xml:space="preserve">Commuter car park | Emergency help point | Information point</t>
  </si>
  <si>
    <t xml:space="preserve">Scarborough Station</t>
  </si>
  <si>
    <t xml:space="preserve">251510</t>
  </si>
  <si>
    <t xml:space="preserve">10101360</t>
  </si>
  <si>
    <t xml:space="preserve">Lawrence Hargrave Dr, Scarborough NSW 2515</t>
  </si>
  <si>
    <t xml:space="preserve">02 4223 5570</t>
  </si>
  <si>
    <t xml:space="preserve">Schofields Station</t>
  </si>
  <si>
    <t xml:space="preserve">276220</t>
  </si>
  <si>
    <t xml:space="preserve">10101238</t>
  </si>
  <si>
    <t xml:space="preserve">Railway Tce, Schofields NSW 2762</t>
  </si>
  <si>
    <t xml:space="preserve">Commuter car park | Wheelchair accessible car space | Kiss and ride stopping area | Taxi rank | Bike racks | Bike shed | Toilets | Wheelchair accessible toilet | Baby change table | Emergency help point | Payphone | Next service display | Opal card top up or single trip ticket machine (Cash or Card Payment) | Transport Park&amp;Ride</t>
  </si>
  <si>
    <t xml:space="preserve">02 9851 7244</t>
  </si>
  <si>
    <t xml:space="preserve">Scone Station</t>
  </si>
  <si>
    <t xml:space="preserve">233710</t>
  </si>
  <si>
    <t xml:space="preserve">10101193</t>
  </si>
  <si>
    <t xml:space="preserve">Susan St, Scone NSW 2337</t>
  </si>
  <si>
    <t xml:space="preserve">Commuter car park | Wheelchair accessible car space | Emergency help point | Information point | No Opal card top up or single trip ticket sales</t>
  </si>
  <si>
    <t xml:space="preserve">Sefton Station</t>
  </si>
  <si>
    <t xml:space="preserve">216210</t>
  </si>
  <si>
    <t xml:space="preserve">10101404</t>
  </si>
  <si>
    <t xml:space="preserve">Wellington Rd, Sefton NSW 2162</t>
  </si>
  <si>
    <t xml:space="preserve">Commuter car park | Wheelchair accessible car space | Kiss and ride stopping area | Bike racks | Wheelchair accessible toilet | Baby change table | Emergency help point | Payphone | Next service display</t>
  </si>
  <si>
    <t xml:space="preserve">02 9379 7702</t>
  </si>
  <si>
    <t xml:space="preserve">Seven Hills Station</t>
  </si>
  <si>
    <t xml:space="preserve">214710</t>
  </si>
  <si>
    <t xml:space="preserve">10101234</t>
  </si>
  <si>
    <t xml:space="preserve">The Centre, Terminus Rd, Seven Hills NSW 2147</t>
  </si>
  <si>
    <t xml:space="preserve">Commuter car park | Transport Park&amp;Ride | Wheelchair accessible car space | Kiss and ride stopping area | Taxi rank | Bike racks | Bike lockers | Bike shed | Toilets | Wheelchair accessible toilet (MLAK) | Baby change table | Emergency help point | Payphone | Next service display | Opal card top up or single trip ticket machine (Cash or Card Payment) | Opal card top up machine (Card Payment only)</t>
  </si>
  <si>
    <t xml:space="preserve">02 9851 7431</t>
  </si>
  <si>
    <t xml:space="preserve">Shellharbour Junction Station</t>
  </si>
  <si>
    <t xml:space="preserve">2529218</t>
  </si>
  <si>
    <t xml:space="preserve">10101426</t>
  </si>
  <si>
    <t xml:space="preserve">Piper Dr, Dunmore NSW 2529</t>
  </si>
  <si>
    <t xml:space="preserve">Commuter car park | Wheelchair accessible car space | Kiss and ride stopping area | Taxi rank | Bike racks | Bike lockers | Wheelchair accessible toilet | Baby change table | Emergency help point | Payphone | Next service display | No Opal card top up or single trip ticket sales</t>
  </si>
  <si>
    <t xml:space="preserve">Singleton Station</t>
  </si>
  <si>
    <t xml:space="preserve">233010</t>
  </si>
  <si>
    <t xml:space="preserve">10101190</t>
  </si>
  <si>
    <t xml:space="preserve">Munro St, Singleton NSW 2330</t>
  </si>
  <si>
    <t xml:space="preserve">Commuter car park | Wheelchair accessible car space | Taxi rank | Toilets | Emergency help point | Payphone | No Opal card top up or single trip ticket sales</t>
  </si>
  <si>
    <t xml:space="preserve">Somerton Coach Stop</t>
  </si>
  <si>
    <t xml:space="preserve">23401753</t>
  </si>
  <si>
    <t xml:space="preserve">10102661</t>
  </si>
  <si>
    <t xml:space="preserve">Somerton Roadhouse, Racecourse Rd, Somerton NSW 2340</t>
  </si>
  <si>
    <t xml:space="preserve">South Mosman Wharf</t>
  </si>
  <si>
    <t xml:space="preserve">208878</t>
  </si>
  <si>
    <t xml:space="preserve">10102021</t>
  </si>
  <si>
    <t xml:space="preserve">Musgrave St, Mosman NSW 2088</t>
  </si>
  <si>
    <t xml:space="preserve">Emergency help point | Next service display | Bike racks</t>
  </si>
  <si>
    <t xml:space="preserve">This location is Independent Access | Wheelchair ramp boarding assistance | PA system for announcements | Stairs | Hearing loop | Wharf edge tactiles | Lift</t>
  </si>
  <si>
    <t xml:space="preserve">South Tweed Heads Coach Stop</t>
  </si>
  <si>
    <t xml:space="preserve">2486281</t>
  </si>
  <si>
    <t xml:space="preserve">10102726</t>
  </si>
  <si>
    <t xml:space="preserve">Minjungbal Dr opp South Tweed Sports Bowling Club, Tweed Heads South NSW 2486</t>
  </si>
  <si>
    <t xml:space="preserve">Spit Junction B-Line</t>
  </si>
  <si>
    <t xml:space="preserve">2088233</t>
  </si>
  <si>
    <t xml:space="preserve">10102511</t>
  </si>
  <si>
    <t xml:space="preserve">Spit Rd, Mosman NSW 2088</t>
  </si>
  <si>
    <t xml:space="preserve">Spring Hill Coach Stop</t>
  </si>
  <si>
    <t xml:space="preserve">28001320</t>
  </si>
  <si>
    <t xml:space="preserve">10102654</t>
  </si>
  <si>
    <t xml:space="preserve">Spring Hill General Store, Seaton St, Spring Hill NSW 2800</t>
  </si>
  <si>
    <t xml:space="preserve">Springwood Station</t>
  </si>
  <si>
    <t xml:space="preserve">277720</t>
  </si>
  <si>
    <t xml:space="preserve">10101259</t>
  </si>
  <si>
    <t xml:space="preserve">Jerseywold Ave, Springwood NSW 2777</t>
  </si>
  <si>
    <t xml:space="preserve">02 4780 3915</t>
  </si>
  <si>
    <t xml:space="preserve">St James Station</t>
  </si>
  <si>
    <t xml:space="preserve">200050</t>
  </si>
  <si>
    <t xml:space="preserve">10101105</t>
  </si>
  <si>
    <t xml:space="preserve">Bike racks | Emergency help point | Payphone | Next service display | Opal card top up or single trip ticket machine (Cash or Card Payment) | Opal card top up machine (Card Payment only) | Toilets | Wheelchair accessible toilet</t>
  </si>
  <si>
    <t xml:space="preserve">02 9224 4751</t>
  </si>
  <si>
    <t xml:space="preserve">St Leonards Station</t>
  </si>
  <si>
    <t xml:space="preserve">206520</t>
  </si>
  <si>
    <t xml:space="preserve">10101115</t>
  </si>
  <si>
    <t xml:space="preserve">The Forum, Herbert St, St Leonards NSW 2065</t>
  </si>
  <si>
    <t xml:space="preserve">Kiss and ride stopping area | Taxi rank | Bike racks | Bike lockers | Toilets | Wheelchair accessible toilet (MLAK) | Baby change table | Emergency help point | Payphone | Next service display | Opal card top up or single trip ticket machine (Card Payment only) | Opal card top up machine (Card Payment only)</t>
  </si>
  <si>
    <t xml:space="preserve">02 9379 1046</t>
  </si>
  <si>
    <t xml:space="preserve">St Marys Station</t>
  </si>
  <si>
    <t xml:space="preserve">276010</t>
  </si>
  <si>
    <t xml:space="preserve">10101249</t>
  </si>
  <si>
    <t xml:space="preserve">Cnr Station St &amp; Queen St, St Marys NSW 2760</t>
  </si>
  <si>
    <t xml:space="preserve">02 9851 7525</t>
  </si>
  <si>
    <t xml:space="preserve">St Peters Station</t>
  </si>
  <si>
    <t xml:space="preserve">204410</t>
  </si>
  <si>
    <t xml:space="preserve">10101325</t>
  </si>
  <si>
    <t xml:space="preserve">King St, St Peters NSW 2044</t>
  </si>
  <si>
    <t xml:space="preserve">Wheelchair accessible car space | Kiss and ride stopping area | Taxi rank | Bike racks | Wheelchair accessible toilet | Emergency help point | Next service display | Opal card top up or single trip ticket machine (Cash or Card Payment)</t>
  </si>
  <si>
    <t xml:space="preserve">02 9563 7412</t>
  </si>
  <si>
    <t xml:space="preserve">Stanmore Station</t>
  </si>
  <si>
    <t xml:space="preserve">204810</t>
  </si>
  <si>
    <t xml:space="preserve">10101213</t>
  </si>
  <si>
    <t xml:space="preserve">Douglas St, Stanmore NSW 2048</t>
  </si>
  <si>
    <t xml:space="preserve">Wheelchair accessible car space | Kiss and ride stopping area | Bike racks | Toilets | Wheelchair accessible toilet | Baby change table | Emergency help point | Next service display | Opal card top up or single trip ticket machine (Cash or Card Payment)</t>
  </si>
  <si>
    <t xml:space="preserve">02 9752 8994</t>
  </si>
  <si>
    <t xml:space="preserve">Stanwell Park Station</t>
  </si>
  <si>
    <t xml:space="preserve">250840</t>
  </si>
  <si>
    <t xml:space="preserve">10101358</t>
  </si>
  <si>
    <t xml:space="preserve">Railway Cres, Stanwell Park NSW 2508</t>
  </si>
  <si>
    <t xml:space="preserve">Commuter car park | Wheelchair accessible car space | Kiss and ride stopping area | Toilets | Emergency help point | Payphone | No Opal card top up or single trip ticket sales</t>
  </si>
  <si>
    <t xml:space="preserve">02 4223 5568</t>
  </si>
  <si>
    <t xml:space="preserve">Stockinbingal Coach Stop</t>
  </si>
  <si>
    <t xml:space="preserve">272512</t>
  </si>
  <si>
    <t xml:space="preserve">10102850</t>
  </si>
  <si>
    <t xml:space="preserve">Hibernia St opp Stockinbingal Newsagent, Stockinbingal NSW 2725</t>
  </si>
  <si>
    <t xml:space="preserve">Stockton Wharf</t>
  </si>
  <si>
    <t xml:space="preserve">229574</t>
  </si>
  <si>
    <t xml:space="preserve">10102062</t>
  </si>
  <si>
    <t xml:space="preserve">Stockton NSW 2295</t>
  </si>
  <si>
    <t xml:space="preserve">Commuter car park | Wheelchair accessible car space | Taxi rank | Bike racks</t>
  </si>
  <si>
    <t xml:space="preserve">Stratford Coach Stop</t>
  </si>
  <si>
    <t xml:space="preserve">242297</t>
  </si>
  <si>
    <t xml:space="preserve">10102774</t>
  </si>
  <si>
    <t xml:space="preserve">The Bucketts Way after Avon St, Stratford NSW 2422</t>
  </si>
  <si>
    <t xml:space="preserve">Strathfield Station</t>
  </si>
  <si>
    <t xml:space="preserve">213510</t>
  </si>
  <si>
    <t xml:space="preserve">10101206</t>
  </si>
  <si>
    <t xml:space="preserve">Everton Rd, Strathfield NSW 2135</t>
  </si>
  <si>
    <t xml:space="preserve">Kiss and ride stopping area | Taxi rank | Toilets | Wheelchair accessible toilet (MLAK) | Baby change table | Emergency help point | Payphone | Next service display | Opal card top up or single trip ticket machine (Cash or Card Payment) | Opal card top up machine (Card Payment only) | Free mobile phone charging</t>
  </si>
  <si>
    <t xml:space="preserve">02 9752 8430</t>
  </si>
  <si>
    <t xml:space="preserve">Stroud Coach Stop</t>
  </si>
  <si>
    <t xml:space="preserve">2425103</t>
  </si>
  <si>
    <t xml:space="preserve">10102778</t>
  </si>
  <si>
    <t xml:space="preserve">Cowper St at Memorial Ave, Stroud NSW 2425</t>
  </si>
  <si>
    <t xml:space="preserve">Stroud Road Coach Stop</t>
  </si>
  <si>
    <t xml:space="preserve">241533</t>
  </si>
  <si>
    <t xml:space="preserve">10102777</t>
  </si>
  <si>
    <t xml:space="preserve">Stroud Road General Store, The Bucketts Way, Stroud Road NSW 2415</t>
  </si>
  <si>
    <t xml:space="preserve">Stuart Town Station</t>
  </si>
  <si>
    <t xml:space="preserve">28201</t>
  </si>
  <si>
    <t xml:space="preserve">10101811</t>
  </si>
  <si>
    <t xml:space="preserve">Bell St, Stuart Town NSW 2820</t>
  </si>
  <si>
    <t xml:space="preserve">Information point</t>
  </si>
  <si>
    <t xml:space="preserve">Suffolk Park Coach Stop</t>
  </si>
  <si>
    <t xml:space="preserve">2481159</t>
  </si>
  <si>
    <t xml:space="preserve">10102747</t>
  </si>
  <si>
    <t xml:space="preserve">Broken Head Rd after Beech Dr, SUFFOLK PARK NSW 2481</t>
  </si>
  <si>
    <t xml:space="preserve">Summer Hill Station</t>
  </si>
  <si>
    <t xml:space="preserve">213010</t>
  </si>
  <si>
    <t xml:space="preserve">10101210</t>
  </si>
  <si>
    <t xml:space="preserve">Carlton Cres, Summer Hill NSW 2130</t>
  </si>
  <si>
    <t xml:space="preserve">02 9752 8489</t>
  </si>
  <si>
    <t xml:space="preserve">Sunset Strip Coach Stop</t>
  </si>
  <si>
    <t xml:space="preserve">287925</t>
  </si>
  <si>
    <t xml:space="preserve">10102864</t>
  </si>
  <si>
    <t xml:space="preserve">Lakeview Ave, Sunset Strip NSW 2879</t>
  </si>
  <si>
    <t xml:space="preserve">Surfers Paradise Coach Stop</t>
  </si>
  <si>
    <t xml:space="preserve">42171</t>
  </si>
  <si>
    <t xml:space="preserve">10102903</t>
  </si>
  <si>
    <t xml:space="preserve">Beach Rd, Surfers Paradise QLD 4217</t>
  </si>
  <si>
    <t xml:space="preserve">Surry Hills Light Rail</t>
  </si>
  <si>
    <t xml:space="preserve">201029</t>
  </si>
  <si>
    <t xml:space="preserve">10101607</t>
  </si>
  <si>
    <t xml:space="preserve">Eddie Ward Park, Devonshire St, Surry Hills NSW 2010</t>
  </si>
  <si>
    <t xml:space="preserve">This location is Independent Access | Hearing loop | Platform edge tactiles</t>
  </si>
  <si>
    <t xml:space="preserve">Sutherland Station</t>
  </si>
  <si>
    <t xml:space="preserve">223210</t>
  </si>
  <si>
    <t xml:space="preserve">10101345</t>
  </si>
  <si>
    <t xml:space="preserve">Old Princes Hwy, Sutherland NSW 2232</t>
  </si>
  <si>
    <t xml:space="preserve">Commuter car park | Wheelchair accessible car space | Kiss and ride stopping area | Bike racks | Bike lockers | Bike shed | Toilets | Wheelchair accessible toilet | Baby change table | Emergency help point | Payphone | Next service display | Opal card top up or single trip ticket machine (Card Payment only)</t>
  </si>
  <si>
    <t xml:space="preserve">02 9522 1260</t>
  </si>
  <si>
    <t xml:space="preserve">Sydenham Station</t>
  </si>
  <si>
    <t xml:space="preserve">204420</t>
  </si>
  <si>
    <t xml:space="preserve">10101326</t>
  </si>
  <si>
    <t xml:space="preserve">Gleeson Ave, Sydenham NSW 2044</t>
  </si>
  <si>
    <t xml:space="preserve">Commuter car park | Wheelchair accessible car space | Kiss and ride stopping area | Taxi rank | Bike racks | Toilets | Wheelchair accessible toilet | Wheelchair accessible toilet (MLAK) | Baby change table | Emergency help point | Payphone | Next service display | Opal card top up or single trip ticket machine (Cash or Card Payment) | Opal card top up machine (Card Payment only) | Free mobile phone charging</t>
  </si>
  <si>
    <t xml:space="preserve">02 9563 7764</t>
  </si>
  <si>
    <t xml:space="preserve">Sydney Olympic Park Wharf</t>
  </si>
  <si>
    <t xml:space="preserve">21271</t>
  </si>
  <si>
    <t xml:space="preserve">10102030</t>
  </si>
  <si>
    <t xml:space="preserve">Hill Rd, Sydney Olympic Park NSW 2127</t>
  </si>
  <si>
    <t xml:space="preserve">Kiss and ride stopping area | Bike racks | Wheelchair accessible toilet (MLAK) | Baby change table | Emergency help point | Next service display | Opal card top up or single trip ticket machine (Card Payment only)</t>
  </si>
  <si>
    <t xml:space="preserve">Tahmoor Station</t>
  </si>
  <si>
    <t xml:space="preserve">257310</t>
  </si>
  <si>
    <t xml:space="preserve">10101302</t>
  </si>
  <si>
    <t xml:space="preserve">George St, Tahmoor NSW 2573</t>
  </si>
  <si>
    <t xml:space="preserve">02 4681 8218</t>
  </si>
  <si>
    <t xml:space="preserve">Tallawong Station</t>
  </si>
  <si>
    <t xml:space="preserve">2155384</t>
  </si>
  <si>
    <t xml:space="preserve">10101500</t>
  </si>
  <si>
    <t xml:space="preserve">Themeda Ave, Rouse Hill NSW 2155</t>
  </si>
  <si>
    <t xml:space="preserve">Toilets | Opal card top up or single trip ticket machine (Cash or Card Payment) | Emergency help point | Wheelchair accessible toilet | Bike shed | Bike racks | Commuter car park | Kiss and ride stopping area | Taxi rank | Payphone | Wheelchair accessible toilet</t>
  </si>
  <si>
    <t xml:space="preserve">This location is Independent Access | Lift | Escalator | Platform edge tactiles | Hearing loop | Wheelchair ramp boarding assistance | PA system for announcements</t>
  </si>
  <si>
    <t xml:space="preserve">Tallong Station</t>
  </si>
  <si>
    <t xml:space="preserve">257950</t>
  </si>
  <si>
    <t xml:space="preserve">10101313</t>
  </si>
  <si>
    <t xml:space="preserve">Highland Way, Tallong NSW 2579</t>
  </si>
  <si>
    <t xml:space="preserve">This location is Not Accessible | Wheelchair ramp boarding assistance | Hearing loop | PA system for announcements | Level crossing</t>
  </si>
  <si>
    <t xml:space="preserve">Tamworth Station</t>
  </si>
  <si>
    <t xml:space="preserve">234012</t>
  </si>
  <si>
    <t xml:space="preserve">10101823</t>
  </si>
  <si>
    <t xml:space="preserve">Marius St, Tamworth NSW 2340</t>
  </si>
  <si>
    <t xml:space="preserve">Tarago Station</t>
  </si>
  <si>
    <t xml:space="preserve">258011</t>
  </si>
  <si>
    <t xml:space="preserve">10101866</t>
  </si>
  <si>
    <t xml:space="preserve">Goulburn St, Tarago NSW 2580</t>
  </si>
  <si>
    <t xml:space="preserve">Tarana Station</t>
  </si>
  <si>
    <t xml:space="preserve">27871</t>
  </si>
  <si>
    <t xml:space="preserve">10101430</t>
  </si>
  <si>
    <t xml:space="preserve">Mutton Falls Rd, Tarana NSW 2787</t>
  </si>
  <si>
    <t xml:space="preserve">Commuter car park | Wheelchair accessible car space | Toilets | Wheelchair accessible toilet | Baby change table | Emergency help point</t>
  </si>
  <si>
    <t xml:space="preserve">Taree Station</t>
  </si>
  <si>
    <t xml:space="preserve">24301</t>
  </si>
  <si>
    <t xml:space="preserve">10101841</t>
  </si>
  <si>
    <t xml:space="preserve">Olympia St, Taree NSW 2430</t>
  </si>
  <si>
    <t xml:space="preserve">Taree Town Coach Stop</t>
  </si>
  <si>
    <t xml:space="preserve">2430923</t>
  </si>
  <si>
    <t xml:space="preserve">10102865</t>
  </si>
  <si>
    <t xml:space="preserve">Manning Mall, Manning St, Taree NSW 2430</t>
  </si>
  <si>
    <t xml:space="preserve">Taronga Zoo Wharf</t>
  </si>
  <si>
    <t xml:space="preserve">208899</t>
  </si>
  <si>
    <t xml:space="preserve">10102022</t>
  </si>
  <si>
    <t xml:space="preserve">Athol Wharf Rd, Mosman NSW 2088</t>
  </si>
  <si>
    <t xml:space="preserve">Kiss and ride stopping area | Bike racks | Emergency help point | Payphone | Next service display | Opal card top up or single trip ticket machine (Cash or Card Payment)</t>
  </si>
  <si>
    <t xml:space="preserve">Tarro Station</t>
  </si>
  <si>
    <t xml:space="preserve">232220</t>
  </si>
  <si>
    <t xml:space="preserve">10101171</t>
  </si>
  <si>
    <t xml:space="preserve">Woodberry Rd, Tarro NSW 2322</t>
  </si>
  <si>
    <t xml:space="preserve">Tascott Station</t>
  </si>
  <si>
    <t xml:space="preserve">225020</t>
  </si>
  <si>
    <t xml:space="preserve">10101137</t>
  </si>
  <si>
    <t xml:space="preserve">Glenrock Pde, Tascott NSW 2250</t>
  </si>
  <si>
    <t xml:space="preserve">Taverners Hill Light Rail</t>
  </si>
  <si>
    <t xml:space="preserve">204093</t>
  </si>
  <si>
    <t xml:space="preserve">10101626</t>
  </si>
  <si>
    <t xml:space="preserve">Parramatta Rd, Leichhardt NSW 2040</t>
  </si>
  <si>
    <t xml:space="preserve">Telarah Station</t>
  </si>
  <si>
    <t xml:space="preserve">232030</t>
  </si>
  <si>
    <t xml:space="preserve">10101179</t>
  </si>
  <si>
    <t xml:space="preserve">Johnson St, Telarah NSW 2320</t>
  </si>
  <si>
    <t xml:space="preserve">Commuter car park | Wheelchair accessible car space | Bike racks | Toilets | Emergency help point | Information point | Payphone</t>
  </si>
  <si>
    <t xml:space="preserve">Telopea Light Rail</t>
  </si>
  <si>
    <t xml:space="preserve">211750</t>
  </si>
  <si>
    <t xml:space="preserve">10101702</t>
  </si>
  <si>
    <t xml:space="preserve">Adderton Rd, Telopea NSW 2117</t>
  </si>
  <si>
    <t xml:space="preserve">Bike racks | No Opal card top up or single trip ticket sales | Kiss and ride stopping area | Emergency help point | Payphone | Next service display</t>
  </si>
  <si>
    <t xml:space="preserve">This location is Independent Access | Stairs | Level crossing | Platform edge tactiles | Hearing loop | PA system for announcements</t>
  </si>
  <si>
    <t xml:space="preserve">Temora Coach Stop</t>
  </si>
  <si>
    <t xml:space="preserve">266617</t>
  </si>
  <si>
    <t xml:space="preserve">10102624</t>
  </si>
  <si>
    <t xml:space="preserve">Loftus St at Hoskins St, Temora NSW 2666</t>
  </si>
  <si>
    <t xml:space="preserve">Tempe Station</t>
  </si>
  <si>
    <t xml:space="preserve">204430</t>
  </si>
  <si>
    <t xml:space="preserve">10101327</t>
  </si>
  <si>
    <t xml:space="preserve">Griffiths St, Tempe NSW 2044</t>
  </si>
  <si>
    <t xml:space="preserve">Commuter car park | Wheelchair accessible car space | Bike racks | Toilets | Emergency help point | Payphone | Next service display | Opal card top up or single trip ticket machine (Cash or Card Payment)</t>
  </si>
  <si>
    <t xml:space="preserve">02 9563 7417</t>
  </si>
  <si>
    <t xml:space="preserve">Tenterfield Coach Stop</t>
  </si>
  <si>
    <t xml:space="preserve">237213</t>
  </si>
  <si>
    <t xml:space="preserve">10102718</t>
  </si>
  <si>
    <t xml:space="preserve">Manners St opp Telegraph Hotel, Tenterfield NSW 2372</t>
  </si>
  <si>
    <t xml:space="preserve">Teralba Station</t>
  </si>
  <si>
    <t xml:space="preserve">228420</t>
  </si>
  <si>
    <t xml:space="preserve">10101153</t>
  </si>
  <si>
    <t xml:space="preserve">William St, Teralba NSW 2284</t>
  </si>
  <si>
    <t xml:space="preserve">The Rock Station</t>
  </si>
  <si>
    <t xml:space="preserve">26551</t>
  </si>
  <si>
    <t xml:space="preserve">10101852</t>
  </si>
  <si>
    <t xml:space="preserve">Olympic Hwy, The Rock NSW 2655</t>
  </si>
  <si>
    <t xml:space="preserve">The Star Light Rail</t>
  </si>
  <si>
    <t xml:space="preserve">200947</t>
  </si>
  <si>
    <t xml:space="preserve">10101637</t>
  </si>
  <si>
    <t xml:space="preserve">Pirrama Rd, Pyrmont NSW 2009</t>
  </si>
  <si>
    <t xml:space="preserve">Toilets | Emergency help point | Opal card top up or single trip ticket machine (Cash or Card Payment)</t>
  </si>
  <si>
    <t xml:space="preserve">Thirroul Station</t>
  </si>
  <si>
    <t xml:space="preserve">251550</t>
  </si>
  <si>
    <t xml:space="preserve">10101364</t>
  </si>
  <si>
    <t xml:space="preserve">Railway Pde, Thirroul NSW 2515</t>
  </si>
  <si>
    <t xml:space="preserve">02 4223 5576</t>
  </si>
  <si>
    <t xml:space="preserve">Thornleigh Station</t>
  </si>
  <si>
    <t xml:space="preserve">212010</t>
  </si>
  <si>
    <t xml:space="preserve">10101195</t>
  </si>
  <si>
    <t xml:space="preserve">Railway Pde, Thornleigh NSW 2120</t>
  </si>
  <si>
    <t xml:space="preserve">Commuter car park | Wheelchair accessible car space | Kiss and ride stopping area | Bike racks | Bike lockers | Toilets | Emergency help point | Payphone | Next service display | Opal card top up or single trip ticket machine (Card Payment only)</t>
  </si>
  <si>
    <t xml:space="preserve">02 9847 8474</t>
  </si>
  <si>
    <t xml:space="preserve">Thornton Station</t>
  </si>
  <si>
    <t xml:space="preserve">232240</t>
  </si>
  <si>
    <t xml:space="preserve">10101173</t>
  </si>
  <si>
    <t xml:space="preserve">Karuah St, Thornton NSW 2322</t>
  </si>
  <si>
    <t xml:space="preserve">Commuter car park | Wheelchair accessible car space | Taxi rank | Toilets | Wheelchair accessible toilet | Baby change table | Emergency help point | Information point | Payphone</t>
  </si>
  <si>
    <t xml:space="preserve">02 4962 9929</t>
  </si>
  <si>
    <t xml:space="preserve">Tingha Coach Stop</t>
  </si>
  <si>
    <t xml:space="preserve">23691</t>
  </si>
  <si>
    <t xml:space="preserve">10102706</t>
  </si>
  <si>
    <t xml:space="preserve">Opal St opp Tingha Police Station, Tingha NSW 2369</t>
  </si>
  <si>
    <t xml:space="preserve">Tocumwal Coach Stop</t>
  </si>
  <si>
    <t xml:space="preserve">271425</t>
  </si>
  <si>
    <t xml:space="preserve">10102828</t>
  </si>
  <si>
    <t xml:space="preserve">Morris St at Deniliquin St, Tocumwal NSW 2714</t>
  </si>
  <si>
    <t xml:space="preserve">Tomingley Coach Stop</t>
  </si>
  <si>
    <t xml:space="preserve">286954</t>
  </si>
  <si>
    <t xml:space="preserve">10102821</t>
  </si>
  <si>
    <t xml:space="preserve">Truck Stop, Newell Hwy, Tomingley NSW 2869</t>
  </si>
  <si>
    <t xml:space="preserve">Toongabbie Station</t>
  </si>
  <si>
    <t xml:space="preserve">214610</t>
  </si>
  <si>
    <t xml:space="preserve">10101233</t>
  </si>
  <si>
    <t xml:space="preserve">Wentworth Ave, Toongabbie NSW 2146</t>
  </si>
  <si>
    <t xml:space="preserve">02 9851 7204</t>
  </si>
  <si>
    <t xml:space="preserve">Town Hall Station</t>
  </si>
  <si>
    <t xml:space="preserve">200070</t>
  </si>
  <si>
    <t xml:space="preserve">10101101</t>
  </si>
  <si>
    <t xml:space="preserve">Taxi rank | Toilets | Wheelchair accessible toilet (MLAK) | Baby change table | Emergency help point | Payphone | Next service display | Opal card top up or single trip ticket machine (Cash or Card Payment) | Opal card top up machine (Card Payment only) | Free mobile phone charging</t>
  </si>
  <si>
    <t xml:space="preserve">02 9379 4121</t>
  </si>
  <si>
    <t xml:space="preserve">Towradgi Station</t>
  </si>
  <si>
    <t xml:space="preserve">251830</t>
  </si>
  <si>
    <t xml:space="preserve">10101369</t>
  </si>
  <si>
    <t xml:space="preserve">Towradgi Rd, Towradgi NSW 2518</t>
  </si>
  <si>
    <t xml:space="preserve">Wheelchair accessible car space | Kiss and ride stopping area | Bike racks | Bike lockers | Toilets | Wheelchair accessible toilet | Baby change table | Emergency help point | Payphone | No Opal card top up or single trip ticket sales</t>
  </si>
  <si>
    <t xml:space="preserve">02 4223 5581</t>
  </si>
  <si>
    <t xml:space="preserve">Tramway Avenue Light Rail</t>
  </si>
  <si>
    <t xml:space="preserve">2150115</t>
  </si>
  <si>
    <t xml:space="preserve">10101706</t>
  </si>
  <si>
    <t xml:space="preserve">Tramway Ave, Parramatta NSW 2150</t>
  </si>
  <si>
    <t xml:space="preserve">Trangie Coach Stop</t>
  </si>
  <si>
    <t xml:space="preserve">282339</t>
  </si>
  <si>
    <t xml:space="preserve">10102610</t>
  </si>
  <si>
    <t xml:space="preserve">Dandaloo St before Naromine St, Trangie NSW 2823</t>
  </si>
  <si>
    <t xml:space="preserve">Tuggerah Station</t>
  </si>
  <si>
    <t xml:space="preserve">225910</t>
  </si>
  <si>
    <t xml:space="preserve">10101144</t>
  </si>
  <si>
    <t xml:space="preserve">Pacific Hwy, Tuggerah NSW 2259</t>
  </si>
  <si>
    <t xml:space="preserve">Commuter car park | Wheelchair accessible car space | Kiss and ride stopping area | Taxi rank | Bike racks | Bike lockers | Toilets | Emergency help point | Information point | Next service display | Opal card top up or single trip ticket machine (Cash or Card Payment)</t>
  </si>
  <si>
    <t xml:space="preserve">Tullibigeal Coach Stop</t>
  </si>
  <si>
    <t xml:space="preserve">266930</t>
  </si>
  <si>
    <t xml:space="preserve">10102629</t>
  </si>
  <si>
    <t xml:space="preserve">Cargelligo St at Wattle St, Tullibigeal NSW 2669</t>
  </si>
  <si>
    <t xml:space="preserve">Tumbarumba Coach Stop</t>
  </si>
  <si>
    <t xml:space="preserve">265324</t>
  </si>
  <si>
    <t xml:space="preserve">10102818</t>
  </si>
  <si>
    <t xml:space="preserve">Union Lane Car Park, Union Lane, Tumbarumba NSW 2653</t>
  </si>
  <si>
    <t xml:space="preserve">Tumblong Coach Stop</t>
  </si>
  <si>
    <t xml:space="preserve">272952</t>
  </si>
  <si>
    <t xml:space="preserve">10102812</t>
  </si>
  <si>
    <t xml:space="preserve">Tumblong Rd at Hume Hwy, Tumblong NSW 2729</t>
  </si>
  <si>
    <t xml:space="preserve">Tumut Coach Stop</t>
  </si>
  <si>
    <t xml:space="preserve">272025</t>
  </si>
  <si>
    <t xml:space="preserve">10102813</t>
  </si>
  <si>
    <t xml:space="preserve">Russell St at Wynyard St, Tumut NSW 2720</t>
  </si>
  <si>
    <t xml:space="preserve">Turramurra Station</t>
  </si>
  <si>
    <t xml:space="preserve">207410</t>
  </si>
  <si>
    <t xml:space="preserve">10101123</t>
  </si>
  <si>
    <t xml:space="preserve">Rohini St, Turramurra NSW 2074</t>
  </si>
  <si>
    <t xml:space="preserve">02 9847 8464</t>
  </si>
  <si>
    <t xml:space="preserve">Turrella Station</t>
  </si>
  <si>
    <t xml:space="preserve">220530</t>
  </si>
  <si>
    <t xml:space="preserve">10101409</t>
  </si>
  <si>
    <t xml:space="preserve">Hannan St, Turrella NSW 2205</t>
  </si>
  <si>
    <t xml:space="preserve">Bike lockers | Toilets | Wheelchair accessible toilet | Baby change table | Emergency help point | Information point | Next service display | Opal card top up or single trip ticket machine (Cash or Card Payment)</t>
  </si>
  <si>
    <t xml:space="preserve">02 9563 7768</t>
  </si>
  <si>
    <t xml:space="preserve">Tweed City Shopping Centre Coach Stop</t>
  </si>
  <si>
    <t xml:space="preserve">2486294</t>
  </si>
  <si>
    <t xml:space="preserve">10102877</t>
  </si>
  <si>
    <t xml:space="preserve">Tweed City Shopping Centre, Minjungbal Dr, Tweed Heads South NSW 2486</t>
  </si>
  <si>
    <t xml:space="preserve">Tweed Heads Coach Stop</t>
  </si>
  <si>
    <t xml:space="preserve">248593</t>
  </si>
  <si>
    <t xml:space="preserve">10102725</t>
  </si>
  <si>
    <t xml:space="preserve">Tweed Mall, Wharf St, Tweed Head NSW 2485</t>
  </si>
  <si>
    <t xml:space="preserve">Tyndale Coach Stop</t>
  </si>
  <si>
    <t xml:space="preserve">2460721</t>
  </si>
  <si>
    <t xml:space="preserve">10102765</t>
  </si>
  <si>
    <t xml:space="preserve">Sheeys Lane at Pacific Hwy, Tyndale NSW 2460</t>
  </si>
  <si>
    <t xml:space="preserve">Ulmarra Coach Stop</t>
  </si>
  <si>
    <t xml:space="preserve">2462156</t>
  </si>
  <si>
    <t xml:space="preserve">10102767</t>
  </si>
  <si>
    <t xml:space="preserve">Coldstream St at River St, Ulmarra NSW 2462</t>
  </si>
  <si>
    <t xml:space="preserve">Unanderra Station</t>
  </si>
  <si>
    <t xml:space="preserve">252610</t>
  </si>
  <si>
    <t xml:space="preserve">10101378</t>
  </si>
  <si>
    <t xml:space="preserve">Central Rd, Unanderra NSW 2526</t>
  </si>
  <si>
    <t xml:space="preserve">Commuter car park | Wheelchair accessible car space | Kiss and ride stopping area | Taxi rank | Bike racks | Bike lockers | Toilets | Wheelchair accessible toilet | Baby change table | Emergency help point | Payphone | Opal card top up or single trip ticket machine (Cash or Card Payment)</t>
  </si>
  <si>
    <t xml:space="preserve">02 4223 5640</t>
  </si>
  <si>
    <t xml:space="preserve">Ungarie Coach Stop</t>
  </si>
  <si>
    <t xml:space="preserve">266929</t>
  </si>
  <si>
    <t xml:space="preserve">10102628</t>
  </si>
  <si>
    <t xml:space="preserve">Bing Walder Park. Wollongough St, Ungarie NSW 2669</t>
  </si>
  <si>
    <t xml:space="preserve">UNSW Anzac Parade Light Rail</t>
  </si>
  <si>
    <t xml:space="preserve">203360</t>
  </si>
  <si>
    <t xml:space="preserve">10101615</t>
  </si>
  <si>
    <t xml:space="preserve">UNSW High Street Light Rail</t>
  </si>
  <si>
    <t xml:space="preserve">2031156</t>
  </si>
  <si>
    <t xml:space="preserve">10101611</t>
  </si>
  <si>
    <t xml:space="preserve">UNSW High St, Randwick NSW 2052</t>
  </si>
  <si>
    <t xml:space="preserve">Upper Manilla Coach Stop</t>
  </si>
  <si>
    <t xml:space="preserve">234621</t>
  </si>
  <si>
    <t xml:space="preserve">10102698</t>
  </si>
  <si>
    <t xml:space="preserve">Upper Manilla General Store, Barraba Rd, Upper Manilla NSW 2346</t>
  </si>
  <si>
    <t xml:space="preserve">Uralla Station</t>
  </si>
  <si>
    <t xml:space="preserve">235813</t>
  </si>
  <si>
    <t xml:space="preserve">10101820</t>
  </si>
  <si>
    <t xml:space="preserve">Duke St, Uralla NSW 2358</t>
  </si>
  <si>
    <t xml:space="preserve">Commuter car park | Wheelchair accessible car space | Information point</t>
  </si>
  <si>
    <t xml:space="preserve">Uralla Town Coach Stop</t>
  </si>
  <si>
    <t xml:space="preserve">2358222</t>
  </si>
  <si>
    <t xml:space="preserve">10102868</t>
  </si>
  <si>
    <t xml:space="preserve">Uralla Tourist Information Centre, Bridge St, Uralla NSW 2358</t>
  </si>
  <si>
    <t xml:space="preserve">Urana Coach Stop</t>
  </si>
  <si>
    <t xml:space="preserve">264517</t>
  </si>
  <si>
    <t xml:space="preserve">10102836</t>
  </si>
  <si>
    <t xml:space="preserve">Urana Post Office, Anna St, Urana NSW 2645</t>
  </si>
  <si>
    <t xml:space="preserve">Urunga Station</t>
  </si>
  <si>
    <t xml:space="preserve">24551</t>
  </si>
  <si>
    <t xml:space="preserve">10101834</t>
  </si>
  <si>
    <t xml:space="preserve">Orara St, Urunga NSW 2455</t>
  </si>
  <si>
    <t xml:space="preserve">Commuter car park | Wheelchair accessible toilet | Emergency help point | Information point</t>
  </si>
  <si>
    <t xml:space="preserve">Valley Heights Station</t>
  </si>
  <si>
    <t xml:space="preserve">277710</t>
  </si>
  <si>
    <t xml:space="preserve">10101258</t>
  </si>
  <si>
    <t xml:space="preserve">Great Western Hwy, Valley Heights NSW 2777</t>
  </si>
  <si>
    <t xml:space="preserve">02 4780 3105</t>
  </si>
  <si>
    <t xml:space="preserve">Victoria Cross Station</t>
  </si>
  <si>
    <t xml:space="preserve">206044</t>
  </si>
  <si>
    <t xml:space="preserve">10101512</t>
  </si>
  <si>
    <t xml:space="preserve">Miller St, North Sydney NSW 2060</t>
  </si>
  <si>
    <t xml:space="preserve">Victoria Street Station</t>
  </si>
  <si>
    <t xml:space="preserve">232320</t>
  </si>
  <si>
    <t xml:space="preserve">10101175</t>
  </si>
  <si>
    <t xml:space="preserve">Victoria St, East Maitland NSW 2323</t>
  </si>
  <si>
    <t xml:space="preserve">Villawood Station</t>
  </si>
  <si>
    <t xml:space="preserve">216320</t>
  </si>
  <si>
    <t xml:space="preserve">10101407</t>
  </si>
  <si>
    <t xml:space="preserve">River Ave, Villawood NSW 2163</t>
  </si>
  <si>
    <t xml:space="preserve">02 9765 1268</t>
  </si>
  <si>
    <t xml:space="preserve">Vineyard Station</t>
  </si>
  <si>
    <t xml:space="preserve">276520</t>
  </si>
  <si>
    <t xml:space="preserve">10101240</t>
  </si>
  <si>
    <t xml:space="preserve">Cnr Riverstone Pde &amp; Bandon Rd, Vineyard NSW 2765</t>
  </si>
  <si>
    <t xml:space="preserve">Commuter car park | Emergency help point | Next service display | No Opal card top up or single trip ticket sales</t>
  </si>
  <si>
    <t xml:space="preserve">Wagga Wagga Station</t>
  </si>
  <si>
    <t xml:space="preserve">26501</t>
  </si>
  <si>
    <t xml:space="preserve">10101853</t>
  </si>
  <si>
    <t xml:space="preserve">Station Pl, Turvey Park NSW 2650</t>
  </si>
  <si>
    <t xml:space="preserve">Wahroonga Station</t>
  </si>
  <si>
    <t xml:space="preserve">207610</t>
  </si>
  <si>
    <t xml:space="preserve">10101125</t>
  </si>
  <si>
    <t xml:space="preserve">Redleaf Ave, Wahroonga NSW 2076</t>
  </si>
  <si>
    <t xml:space="preserve">02 9847 8463</t>
  </si>
  <si>
    <t xml:space="preserve">Waitara Station</t>
  </si>
  <si>
    <t xml:space="preserve">207710</t>
  </si>
  <si>
    <t xml:space="preserve">10101126</t>
  </si>
  <si>
    <t xml:space="preserve">Alexandria Pde, Waitara NSW 2077</t>
  </si>
  <si>
    <t xml:space="preserve">Commuter car park | Transport Park&amp;Ride | Wheelchair accessible car space | Kiss and ride stopping area | Bike racks | Toilets | Wheelchair accessible toilet | Baby change table | Emergency help point | Payphone | Next service display | Opal card top up or single trip ticket machine (Cash or Card Payment)</t>
  </si>
  <si>
    <t xml:space="preserve">This location is Independent Access | Wheelchair ramp boarding assistance | PA system for announcements | Hearing loop | Platform edge tactiles | Stairs | Lift</t>
  </si>
  <si>
    <t xml:space="preserve">02 9847 8468</t>
  </si>
  <si>
    <t xml:space="preserve">Walcha Coach Stop</t>
  </si>
  <si>
    <t xml:space="preserve">235461</t>
  </si>
  <si>
    <t xml:space="preserve">10102715</t>
  </si>
  <si>
    <t xml:space="preserve">McHatton Park, Walsh St, Walcha NSW 2354</t>
  </si>
  <si>
    <t xml:space="preserve">Walcha Road Station</t>
  </si>
  <si>
    <t xml:space="preserve">23541</t>
  </si>
  <si>
    <t xml:space="preserve">10101821</t>
  </si>
  <si>
    <t xml:space="preserve">Wollun Rd, Walcha Road NSW 2354</t>
  </si>
  <si>
    <t xml:space="preserve">Walgett Coach Stop</t>
  </si>
  <si>
    <t xml:space="preserve">283212</t>
  </si>
  <si>
    <t xml:space="preserve">10102619</t>
  </si>
  <si>
    <t xml:space="preserve">Gray Park, Euroka St, Walgett NSW 2832</t>
  </si>
  <si>
    <t xml:space="preserve">Wallarobba Station</t>
  </si>
  <si>
    <t xml:space="preserve">242020</t>
  </si>
  <si>
    <t xml:space="preserve">10101184</t>
  </si>
  <si>
    <t xml:space="preserve">Brookfield Rd, Wallarobba NSW 2420</t>
  </si>
  <si>
    <t xml:space="preserve">Wallendbeen Coach Stop</t>
  </si>
  <si>
    <t xml:space="preserve">258812</t>
  </si>
  <si>
    <t xml:space="preserve">10102639</t>
  </si>
  <si>
    <t xml:space="preserve">Mackay Park, Olympic Hwy, Wallendbeen NSW 2588</t>
  </si>
  <si>
    <t xml:space="preserve">Wallerawang Coach Stop</t>
  </si>
  <si>
    <t xml:space="preserve">284520</t>
  </si>
  <si>
    <t xml:space="preserve">10102687</t>
  </si>
  <si>
    <t xml:space="preserve">Barton Ave opp Pipers Flat Rd, Wallerawang NSW 2845</t>
  </si>
  <si>
    <t xml:space="preserve">Wallerawang Station</t>
  </si>
  <si>
    <t xml:space="preserve">284594</t>
  </si>
  <si>
    <t xml:space="preserve">10101432</t>
  </si>
  <si>
    <t xml:space="preserve">Main St, Wallerawang NSW 2845</t>
  </si>
  <si>
    <t xml:space="preserve">Regional train, Coach, Bus</t>
  </si>
  <si>
    <t xml:space="preserve">Commuter car park | Wheelchair accessible car space | Kiss and ride stopping area | Bike racks | Emergency help point | Information point | No Opal card top up or single trip ticket sales</t>
  </si>
  <si>
    <t xml:space="preserve">Wansey Road Light Rail</t>
  </si>
  <si>
    <t xml:space="preserve">2031157</t>
  </si>
  <si>
    <t xml:space="preserve">10101610</t>
  </si>
  <si>
    <t xml:space="preserve">Wansey Rd, Randwick NSW 2031</t>
  </si>
  <si>
    <t xml:space="preserve">Warabrook Station</t>
  </si>
  <si>
    <t xml:space="preserve">230420</t>
  </si>
  <si>
    <t xml:space="preserve">10101168</t>
  </si>
  <si>
    <t xml:space="preserve">Warabrook Bvd, Warabrook NSW 2304</t>
  </si>
  <si>
    <t xml:space="preserve">Commuter car park | Wheelchair accessible car space | Emergency help point | Information point | Next service display | Opal card top up or single trip ticket machine (Card Payment only)</t>
  </si>
  <si>
    <t xml:space="preserve">This location is Assisted Access | Wheelchair ramp boarding assistance | PA system for announcements | Platform edge tactiles | Stairs | Lift</t>
  </si>
  <si>
    <t xml:space="preserve">02 4968 1487</t>
  </si>
  <si>
    <t xml:space="preserve">Waratah Mills Light Rail</t>
  </si>
  <si>
    <t xml:space="preserve">220320</t>
  </si>
  <si>
    <t xml:space="preserve">10101624</t>
  </si>
  <si>
    <t xml:space="preserve">Weston St, Dulwich Hill NSW 2203</t>
  </si>
  <si>
    <t xml:space="preserve">Waratah Station</t>
  </si>
  <si>
    <t xml:space="preserve">230410</t>
  </si>
  <si>
    <t xml:space="preserve">10101167</t>
  </si>
  <si>
    <t xml:space="preserve">Station St, Waratah NSW 2304</t>
  </si>
  <si>
    <t xml:space="preserve">Wheelchair accessible car space | Kiss and ride stopping area | Taxi rank | Bike racks | Toilets | Wheelchair accessible toilet | Baby change table | Emergency help point | No Opal card top up or single trip ticket sales</t>
  </si>
  <si>
    <t xml:space="preserve">Wardell Coach Stop</t>
  </si>
  <si>
    <t xml:space="preserve">2477433</t>
  </si>
  <si>
    <t xml:space="preserve">10102754</t>
  </si>
  <si>
    <t xml:space="preserve">Pacific Hwy at Fitzroy St, Wardell NSW 2477</t>
  </si>
  <si>
    <t xml:space="preserve">Wards River Coach Stop</t>
  </si>
  <si>
    <t xml:space="preserve">242298</t>
  </si>
  <si>
    <t xml:space="preserve">10102776</t>
  </si>
  <si>
    <t xml:space="preserve">Wards River General Store, The Bucketts Way, Wards River NSW 2422</t>
  </si>
  <si>
    <t xml:space="preserve">Warialda Coach Stop</t>
  </si>
  <si>
    <t xml:space="preserve">240212</t>
  </si>
  <si>
    <t xml:space="preserve">10102701</t>
  </si>
  <si>
    <t xml:space="preserve">Warialda Visitor Information Centre, Geddes St, Warialda NSW 2402</t>
  </si>
  <si>
    <t xml:space="preserve">Warialda Rail Coach Stop</t>
  </si>
  <si>
    <t xml:space="preserve">240213</t>
  </si>
  <si>
    <t xml:space="preserve">10102694</t>
  </si>
  <si>
    <t xml:space="preserve">Alan Cunningham Rd at Kellys Gully Rd, Warialda Rail NSW 2402</t>
  </si>
  <si>
    <t xml:space="preserve">Warnervale Station</t>
  </si>
  <si>
    <t xml:space="preserve">225930</t>
  </si>
  <si>
    <t xml:space="preserve">10101146</t>
  </si>
  <si>
    <t xml:space="preserve">Railway Rd, Warnervale NSW 2259</t>
  </si>
  <si>
    <t xml:space="preserve">Commuter car park | Wheelchair accessible car space | Bike lockers | Emergency help point | Information point | Payphone | Opal card top up or single trip ticket machine (Card Payment only)</t>
  </si>
  <si>
    <t xml:space="preserve">02 4353 1915</t>
  </si>
  <si>
    <t xml:space="preserve">Warrawee Station</t>
  </si>
  <si>
    <t xml:space="preserve">207420</t>
  </si>
  <si>
    <t xml:space="preserve">10101124</t>
  </si>
  <si>
    <t xml:space="preserve">Heydon Ave, Warrawee NSW 2074</t>
  </si>
  <si>
    <t xml:space="preserve">02 9847 8459</t>
  </si>
  <si>
    <t xml:space="preserve">Warren Coach Stop</t>
  </si>
  <si>
    <t xml:space="preserve">282458</t>
  </si>
  <si>
    <t xml:space="preserve">10102609</t>
  </si>
  <si>
    <t xml:space="preserve">Burton St before Chester St, Warren NSW 2824</t>
  </si>
  <si>
    <t xml:space="preserve">Warriewood B-Line</t>
  </si>
  <si>
    <t xml:space="preserve">2101131</t>
  </si>
  <si>
    <t xml:space="preserve">10102505</t>
  </si>
  <si>
    <t xml:space="preserve">Pittwater Rd, Warriewood NSW 2101</t>
  </si>
  <si>
    <t xml:space="preserve">Commuter car park | Transport Park&amp;Ride | Wheelchair accessible car space | Bike shed | Toilets | Wheelchair accessible toilet | Next service display</t>
  </si>
  <si>
    <t xml:space="preserve">Warrimoo Station</t>
  </si>
  <si>
    <t xml:space="preserve">277420</t>
  </si>
  <si>
    <t xml:space="preserve">10101257</t>
  </si>
  <si>
    <t xml:space="preserve">Railway Pde, Warrimoo NSW 2774</t>
  </si>
  <si>
    <t xml:space="preserve">Commuter car park | Bike racks | Toilets | Emergency help point | Information point | Payphone | Next service display | No Opal card top up or single trip ticket sales</t>
  </si>
  <si>
    <t xml:space="preserve">02 4780 3808</t>
  </si>
  <si>
    <t xml:space="preserve">Warringah Mall</t>
  </si>
  <si>
    <t xml:space="preserve">210020</t>
  </si>
  <si>
    <t xml:space="preserve">10102509</t>
  </si>
  <si>
    <t xml:space="preserve">Pittwater Rd, Brookvale NSW 2100</t>
  </si>
  <si>
    <t xml:space="preserve">Commuter car park | Wheelchair accessible car space | Bike racks | Bike shed | Next service display</t>
  </si>
  <si>
    <t xml:space="preserve">Warwick Farm Station</t>
  </si>
  <si>
    <t xml:space="preserve">217010</t>
  </si>
  <si>
    <t xml:space="preserve">10101288</t>
  </si>
  <si>
    <t xml:space="preserve">Remembrance Ave, Warwick Farm NSW 2170</t>
  </si>
  <si>
    <t xml:space="preserve">Commuter car park | Wheelchair accessible car space | Kiss and ride stopping area | Taxi rank | Bike racks | Bike lockers | Wheelchair accessible toilet | Baby change table | Emergency help point | Payphone | Next service display | Opal card top up or single trip ticket machine (Cash or Card Payment) | Transport Park&amp;Ride</t>
  </si>
  <si>
    <t xml:space="preserve">02 9765 1127</t>
  </si>
  <si>
    <t xml:space="preserve">Waterfall Station</t>
  </si>
  <si>
    <t xml:space="preserve">223330</t>
  </si>
  <si>
    <t xml:space="preserve">10101355</t>
  </si>
  <si>
    <t xml:space="preserve">Kooraban St, Waterfall NSW 2233</t>
  </si>
  <si>
    <t xml:space="preserve">02 9522 1396</t>
  </si>
  <si>
    <t xml:space="preserve">Waterloo Station</t>
  </si>
  <si>
    <t xml:space="preserve">201721</t>
  </si>
  <si>
    <t xml:space="preserve">10101515</t>
  </si>
  <si>
    <t xml:space="preserve">Cope St, Waterloo NSW 2017</t>
  </si>
  <si>
    <t xml:space="preserve">Watsons Bay Wharf</t>
  </si>
  <si>
    <t xml:space="preserve">2030164</t>
  </si>
  <si>
    <t xml:space="preserve">10102005</t>
  </si>
  <si>
    <t xml:space="preserve">Military Rd, Watsons Bay NSW 2030</t>
  </si>
  <si>
    <t xml:space="preserve">Wheelchair accessible car space | Kiss and ride stopping area | Bike racks | Emergency help point | Next service display | Opal card top up or single trip ticket machine (Cash or Card Payment)</t>
  </si>
  <si>
    <t xml:space="preserve">This location is Not Accessible | Hearing loop | PA system for announcements | Stairs</t>
  </si>
  <si>
    <t xml:space="preserve">Wauchope Station</t>
  </si>
  <si>
    <t xml:space="preserve">24461</t>
  </si>
  <si>
    <t xml:space="preserve">10101839</t>
  </si>
  <si>
    <t xml:space="preserve">Randall St, Wauchope NSW 2446</t>
  </si>
  <si>
    <t xml:space="preserve">Commuter car park | Wheelchair accessible car space | Kiss and ride stopping area | Taxi rank | Wheelchair accessible toilet | Baby change table | Emergency help point | Information point | Payphone | Next service display</t>
  </si>
  <si>
    <t xml:space="preserve">Waverton Station</t>
  </si>
  <si>
    <t xml:space="preserve">206020</t>
  </si>
  <si>
    <t xml:space="preserve">10101113</t>
  </si>
  <si>
    <t xml:space="preserve">Bay Rd, Waverton NSW 2060</t>
  </si>
  <si>
    <t xml:space="preserve">Kiss and ride stopping area | Toilets | Wheelchair accessible toilet | Baby change table | Emergency help point | Payphone | Next service display | Opal card top up or single trip ticket machine (Card Payment only)</t>
  </si>
  <si>
    <t xml:space="preserve">02 9379 1997</t>
  </si>
  <si>
    <t xml:space="preserve">Wee Waa Coach Stop</t>
  </si>
  <si>
    <t xml:space="preserve">238827</t>
  </si>
  <si>
    <t xml:space="preserve">10102689</t>
  </si>
  <si>
    <t xml:space="preserve">Wee Waa Library, Rose St, Wee Waa NSW 2388</t>
  </si>
  <si>
    <t xml:space="preserve">Wellington Station</t>
  </si>
  <si>
    <t xml:space="preserve">28202</t>
  </si>
  <si>
    <t xml:space="preserve">10101810</t>
  </si>
  <si>
    <t xml:space="preserve">Swift St, Wellington NSW 2820</t>
  </si>
  <si>
    <t xml:space="preserve">Commuter car park | Toilets | Wheelchair accessible toilet | Baby change table | Emergency help point | Information point | Payphone</t>
  </si>
  <si>
    <t xml:space="preserve">Wentworth Coach Stop</t>
  </si>
  <si>
    <t xml:space="preserve">264814</t>
  </si>
  <si>
    <t xml:space="preserve">10102851</t>
  </si>
  <si>
    <t xml:space="preserve">Darling St, Wentworth NSW 2648</t>
  </si>
  <si>
    <t xml:space="preserve">Wentworth Falls Station</t>
  </si>
  <si>
    <t xml:space="preserve">278210</t>
  </si>
  <si>
    <t xml:space="preserve">10101266</t>
  </si>
  <si>
    <t xml:space="preserve">Station St, Wentworth Falls NSW 2782</t>
  </si>
  <si>
    <t xml:space="preserve">02 4780 3931</t>
  </si>
  <si>
    <t xml:space="preserve">Wentworth Park Light Rail</t>
  </si>
  <si>
    <t xml:space="preserve">200953</t>
  </si>
  <si>
    <t xml:space="preserve">10101634</t>
  </si>
  <si>
    <t xml:space="preserve">Wattle St, Pyrmont NSW 2009</t>
  </si>
  <si>
    <t xml:space="preserve">Wentworthville Station</t>
  </si>
  <si>
    <t xml:space="preserve">214520</t>
  </si>
  <si>
    <t xml:space="preserve">10101231</t>
  </si>
  <si>
    <t xml:space="preserve">Wentworth Ave, Wentworthville NSW 2145</t>
  </si>
  <si>
    <t xml:space="preserve">02 9848 9151</t>
  </si>
  <si>
    <t xml:space="preserve">Werrington Station</t>
  </si>
  <si>
    <t xml:space="preserve">274710</t>
  </si>
  <si>
    <t xml:space="preserve">10101250</t>
  </si>
  <si>
    <t xml:space="preserve">Railway St, Werrington NSW 2747</t>
  </si>
  <si>
    <t xml:space="preserve">02 4780 3815</t>
  </si>
  <si>
    <t xml:space="preserve">Werris Creek Station</t>
  </si>
  <si>
    <t xml:space="preserve">23411</t>
  </si>
  <si>
    <t xml:space="preserve">10101824</t>
  </si>
  <si>
    <t xml:space="preserve">Single St, Werris Creek NSW 2341</t>
  </si>
  <si>
    <t xml:space="preserve">Werris Creek Town Coach Stop</t>
  </si>
  <si>
    <t xml:space="preserve">234171</t>
  </si>
  <si>
    <t xml:space="preserve">10102872</t>
  </si>
  <si>
    <t xml:space="preserve">Single St at Gordon St, Werris Creek NSW 2341</t>
  </si>
  <si>
    <t xml:space="preserve">West Ryde Station</t>
  </si>
  <si>
    <t xml:space="preserve">211420</t>
  </si>
  <si>
    <t xml:space="preserve">10101201</t>
  </si>
  <si>
    <t xml:space="preserve">Ryedale Rd, West Ryde NSW 2114</t>
  </si>
  <si>
    <t xml:space="preserve">Commuter car park | Transport Park&amp;Ride | Wheelchair accessible car space | Kiss and ride stopping area | Taxi rank | Bike racks | Bike shed | Toilets | Wheelchair accessible toilet | Baby change table | Emergency help point | Payphone | Next service display | Opal card top up or single trip ticket machine (Card Payment only)</t>
  </si>
  <si>
    <t xml:space="preserve">02 9752 8465</t>
  </si>
  <si>
    <t xml:space="preserve">West Wyalong Coach Stop</t>
  </si>
  <si>
    <t xml:space="preserve">267113</t>
  </si>
  <si>
    <t xml:space="preserve">10102627</t>
  </si>
  <si>
    <t xml:space="preserve">Church St at Main St, West Wyalong NSW 2671</t>
  </si>
  <si>
    <t xml:space="preserve">Westmead Hospital Light Rail</t>
  </si>
  <si>
    <t xml:space="preserve">2145584</t>
  </si>
  <si>
    <t xml:space="preserve">10101715</t>
  </si>
  <si>
    <t xml:space="preserve">Hawkesbury Rd, Westmead NSW 2145</t>
  </si>
  <si>
    <t xml:space="preserve">Westmead Station</t>
  </si>
  <si>
    <t xml:space="preserve">214510</t>
  </si>
  <si>
    <t xml:space="preserve">10101230</t>
  </si>
  <si>
    <t xml:space="preserve">Railway Pde, Westmead NSW 2145</t>
  </si>
  <si>
    <t xml:space="preserve">02 9848 9116</t>
  </si>
  <si>
    <t xml:space="preserve">Whitton Coach Stop</t>
  </si>
  <si>
    <t xml:space="preserve">270551</t>
  </si>
  <si>
    <t xml:space="preserve">10102838</t>
  </si>
  <si>
    <t xml:space="preserve">Whitton Hall, Benerambah St, Whitton NSW 2705</t>
  </si>
  <si>
    <t xml:space="preserve">Wilcannia Coach Stop</t>
  </si>
  <si>
    <t xml:space="preserve">283613</t>
  </si>
  <si>
    <t xml:space="preserve">10102602</t>
  </si>
  <si>
    <t xml:space="preserve">Myers St at Woore St, Wilcannia NSW 2836</t>
  </si>
  <si>
    <t xml:space="preserve">Wiley Park Station</t>
  </si>
  <si>
    <t xml:space="preserve">219520</t>
  </si>
  <si>
    <t xml:space="preserve">10101399</t>
  </si>
  <si>
    <t xml:space="preserve">King Georges Rd, Wiley Park NSW 2195</t>
  </si>
  <si>
    <t xml:space="preserve">Commuter car park | Wheelchair accessible car space | Toilets | Wheelchair accessible toilet | Baby change table | Emergency help point | Next service display</t>
  </si>
  <si>
    <t xml:space="preserve">This location is Independent Access | Wheelchair ramp boarding assistance | PA system for announcements | Platform edge tactiles | Lift</t>
  </si>
  <si>
    <t xml:space="preserve">02 9563 7441</t>
  </si>
  <si>
    <t xml:space="preserve">Willow Tree Station</t>
  </si>
  <si>
    <t xml:space="preserve">23391</t>
  </si>
  <si>
    <t xml:space="preserve">10101826</t>
  </si>
  <si>
    <t xml:space="preserve">Main North Rd, Willow Tree NSW 2339</t>
  </si>
  <si>
    <t xml:space="preserve">Willow Tree Town Coach Stop</t>
  </si>
  <si>
    <t xml:space="preserve">233964</t>
  </si>
  <si>
    <t xml:space="preserve">10102871</t>
  </si>
  <si>
    <t xml:space="preserve">Willow Tree Information Centre, New England Hwy, Willow Tree NSW 2339</t>
  </si>
  <si>
    <t xml:space="preserve">Windsor Station</t>
  </si>
  <si>
    <t xml:space="preserve">275620</t>
  </si>
  <si>
    <t xml:space="preserve">10101242</t>
  </si>
  <si>
    <t xml:space="preserve">George St, Windsor NSW 2756</t>
  </si>
  <si>
    <t xml:space="preserve">Commuter car park | Wheelchair accessible car space | Kiss and ride stopping area | Taxi rank | Bike lockers | Wheelchair accessible toilet | Baby change table | Emergency help point | Information point | Payphone | Next service display | Opal card top up or single trip ticket machine (Cash or Card Payment)</t>
  </si>
  <si>
    <t xml:space="preserve">02 9851 7276</t>
  </si>
  <si>
    <t xml:space="preserve">Wingello Station</t>
  </si>
  <si>
    <t xml:space="preserve">257910</t>
  </si>
  <si>
    <t xml:space="preserve">10101312</t>
  </si>
  <si>
    <t xml:space="preserve">Sydney St, Wingello NSW 2579</t>
  </si>
  <si>
    <t xml:space="preserve">Kiss and ride stopping area | Toilets | Emergency help point | No Opal card top up or single trip ticket sales</t>
  </si>
  <si>
    <t xml:space="preserve">Wingham Station</t>
  </si>
  <si>
    <t xml:space="preserve">24291</t>
  </si>
  <si>
    <t xml:space="preserve">10101842</t>
  </si>
  <si>
    <t xml:space="preserve">Price St, Wingham NSW 2429</t>
  </si>
  <si>
    <t xml:space="preserve">Commuter car park | Wheelchair accessible car space | Wheelchair accessible toilet | Baby change table | Emergency help point | Information point</t>
  </si>
  <si>
    <t xml:space="preserve">Wingham Town Coach Stop</t>
  </si>
  <si>
    <t xml:space="preserve">2429650</t>
  </si>
  <si>
    <t xml:space="preserve">10102768</t>
  </si>
  <si>
    <t xml:space="preserve">Isabella St at Brent St, Wingham NSW 2429</t>
  </si>
  <si>
    <t xml:space="preserve">Wirragulla Station</t>
  </si>
  <si>
    <t xml:space="preserve">242030</t>
  </si>
  <si>
    <t xml:space="preserve">10101185</t>
  </si>
  <si>
    <t xml:space="preserve">Dungog Rd, Wirragulla NSW 2420</t>
  </si>
  <si>
    <t xml:space="preserve">Wolli Creek Station</t>
  </si>
  <si>
    <t xml:space="preserve">220510</t>
  </si>
  <si>
    <t xml:space="preserve">10101328</t>
  </si>
  <si>
    <t xml:space="preserve">Brodie Sparks Dr, Wolli Creek NSW 2205</t>
  </si>
  <si>
    <t xml:space="preserve">Kiss and ride stopping area | Bike racks | Toilets | Wheelchair accessible toilet | Baby change table | Emergency help point | Payphone | Next service display | Opal card top up or single trip ticket machine (Cash or Card Payment)</t>
  </si>
  <si>
    <t xml:space="preserve">02 9563 7986</t>
  </si>
  <si>
    <t xml:space="preserve">Wollongbar Coach Stop</t>
  </si>
  <si>
    <t xml:space="preserve">2477434</t>
  </si>
  <si>
    <t xml:space="preserve">10102752</t>
  </si>
  <si>
    <t xml:space="preserve">Lismore Rd at Rifle Range Rd, Wollongbar NSW 2477</t>
  </si>
  <si>
    <t xml:space="preserve">Wollongong Station</t>
  </si>
  <si>
    <t xml:space="preserve">250020</t>
  </si>
  <si>
    <t xml:space="preserve">10101372</t>
  </si>
  <si>
    <t xml:space="preserve">Lowden Square, Wollongong NSW 2500</t>
  </si>
  <si>
    <t xml:space="preserve">Commuter car park | Wheelchair accessible car space | Kiss and ride stopping area | Taxi rank | Bike lockers | Toilets | Wheelchair accessible toilet | Wheelchair accessible toilet (MLAK) | Baby change table | Emergency help point | Payphone | Next service display | Opal card top up or single trip ticket machine (Cash or Card Payment)</t>
  </si>
  <si>
    <t xml:space="preserve">02 4223 5517</t>
  </si>
  <si>
    <t xml:space="preserve">Wollstonecraft Station</t>
  </si>
  <si>
    <t xml:space="preserve">206510</t>
  </si>
  <si>
    <t xml:space="preserve">10101114</t>
  </si>
  <si>
    <t xml:space="preserve">Shirley Rd, Wollstonecraft NSW 2065</t>
  </si>
  <si>
    <t xml:space="preserve">02 9379 4183</t>
  </si>
  <si>
    <t xml:space="preserve">Wolumla Coach Stop</t>
  </si>
  <si>
    <t xml:space="preserve">2550747</t>
  </si>
  <si>
    <t xml:space="preserve">10102789</t>
  </si>
  <si>
    <t xml:space="preserve">Princes Hwy at Bega St, Wolumla NSW 2550</t>
  </si>
  <si>
    <t xml:space="preserve">Wombarra Station</t>
  </si>
  <si>
    <t xml:space="preserve">251520</t>
  </si>
  <si>
    <t xml:space="preserve">10101361</t>
  </si>
  <si>
    <t xml:space="preserve">Morrison Ave, Wombarra NSW 2515</t>
  </si>
  <si>
    <t xml:space="preserve">Wondabyne Station</t>
  </si>
  <si>
    <t xml:space="preserve">225010</t>
  </si>
  <si>
    <t xml:space="preserve">10101134</t>
  </si>
  <si>
    <t xml:space="preserve">Wondabyne, Wondabyne NSW 2256</t>
  </si>
  <si>
    <t xml:space="preserve">This location is Not Accessible | Wheelchair ramp boarding assistance | PA system for announcements | Level crossing | Stairs</t>
  </si>
  <si>
    <t xml:space="preserve">Wondalga Coach Stop</t>
  </si>
  <si>
    <t xml:space="preserve">272920</t>
  </si>
  <si>
    <t xml:space="preserve">10102815</t>
  </si>
  <si>
    <t xml:space="preserve">Wondalga Rd before Batlow Rd, Wondalga NSW 2729</t>
  </si>
  <si>
    <t xml:space="preserve">Woodburn Coach Stop</t>
  </si>
  <si>
    <t xml:space="preserve">247297</t>
  </si>
  <si>
    <t xml:space="preserve">10102757</t>
  </si>
  <si>
    <t xml:space="preserve">Riverside Park, River St, Woodburn NSW 2472</t>
  </si>
  <si>
    <t xml:space="preserve">Woodford Station</t>
  </si>
  <si>
    <t xml:space="preserve">277810</t>
  </si>
  <si>
    <t xml:space="preserve">10101262</t>
  </si>
  <si>
    <t xml:space="preserve">Railway Pde, Woodford NSW 2778</t>
  </si>
  <si>
    <t xml:space="preserve">02 4780 3910</t>
  </si>
  <si>
    <t xml:space="preserve">Woodstock Coach Stop</t>
  </si>
  <si>
    <t xml:space="preserve">279324</t>
  </si>
  <si>
    <t xml:space="preserve">10102648</t>
  </si>
  <si>
    <t xml:space="preserve">Royal Hotel, Parkes St, Woodstock NSW 2793</t>
  </si>
  <si>
    <t xml:space="preserve">Woolooware Station</t>
  </si>
  <si>
    <t xml:space="preserve">223010</t>
  </si>
  <si>
    <t xml:space="preserve">10101350</t>
  </si>
  <si>
    <t xml:space="preserve">Swan St, Woolooware NSW 2230</t>
  </si>
  <si>
    <t xml:space="preserve">Commuter car park | Wheelchair accessible car space | Kiss and ride stopping area | Bike racks | Wheelchair accessible toilet | Baby change table | Emergency help point | Payphone | Next service display | Opal card top up or single trip ticket machine (Cash or Card Payment)</t>
  </si>
  <si>
    <t xml:space="preserve">02 9522 1265</t>
  </si>
  <si>
    <t xml:space="preserve">Woolwich Wharf</t>
  </si>
  <si>
    <t xml:space="preserve">211099</t>
  </si>
  <si>
    <t xml:space="preserve">10102035</t>
  </si>
  <si>
    <t xml:space="preserve">Valentia St, Woolwich NSW 2110</t>
  </si>
  <si>
    <t xml:space="preserve">Commuter car park | Wheelchair accessible car space | Kiss and ride stopping area | Bike racks | Toilets | Wheelchair accessible toilet | Emergency help point | Information point | Payphone | Next service display | No Opal card top up or single trip ticket sales</t>
  </si>
  <si>
    <t xml:space="preserve">Woombah Coach Stop</t>
  </si>
  <si>
    <t xml:space="preserve">246973</t>
  </si>
  <si>
    <t xml:space="preserve">10102759</t>
  </si>
  <si>
    <t xml:space="preserve">Middle St after Wharf St, Woombah NSW 2469</t>
  </si>
  <si>
    <t xml:space="preserve">Woonona Station</t>
  </si>
  <si>
    <t xml:space="preserve">251710</t>
  </si>
  <si>
    <t xml:space="preserve">10101366</t>
  </si>
  <si>
    <t xml:space="preserve">Park Rd, Woonona NSW 2517</t>
  </si>
  <si>
    <t xml:space="preserve">Commuter car park | Wheelchair accessible car space | Taxi rank | Bike racks | Toilets | Wheelchair accessible toilet | Baby change table | Emergency help point | No Opal card top up or single trip ticket sales</t>
  </si>
  <si>
    <t xml:space="preserve">02 4223 5578</t>
  </si>
  <si>
    <t xml:space="preserve">Woy Woy Station</t>
  </si>
  <si>
    <t xml:space="preserve">225610</t>
  </si>
  <si>
    <t xml:space="preserve">10101135</t>
  </si>
  <si>
    <t xml:space="preserve">Railway St, Woy Woy NSW 2256</t>
  </si>
  <si>
    <t xml:space="preserve">02 4349 9226</t>
  </si>
  <si>
    <t xml:space="preserve">Wyalong Coach Stop</t>
  </si>
  <si>
    <t xml:space="preserve">267112</t>
  </si>
  <si>
    <t xml:space="preserve">10102626</t>
  </si>
  <si>
    <t xml:space="preserve">Neeld St after Slee St, Wyalong NSW 2671</t>
  </si>
  <si>
    <t xml:space="preserve">Wyee Station</t>
  </si>
  <si>
    <t xml:space="preserve">225940</t>
  </si>
  <si>
    <t xml:space="preserve">10101147</t>
  </si>
  <si>
    <t xml:space="preserve">Gorokan Rd, Wyee NSW 2259</t>
  </si>
  <si>
    <t xml:space="preserve">Commuter car park | Wheelchair accessible car space | Kiss and ride stopping area | Taxi rank | Bike racks | Wheelchair accessible toilet | Baby change table | Emergency help point | Opal card top up or single trip ticket machine (Card Payment only)</t>
  </si>
  <si>
    <t xml:space="preserve">02 4357 1202</t>
  </si>
  <si>
    <t xml:space="preserve">Wynyard Station</t>
  </si>
  <si>
    <t xml:space="preserve">200080</t>
  </si>
  <si>
    <t xml:space="preserve">10101102</t>
  </si>
  <si>
    <t xml:space="preserve">Taxi rank | Toilets | Wheelchair accessible toilet | Baby change table | Emergency help point | Information point | Payphone | Next service display | Opal card top up or single trip ticket machine (Cash or Card Payment) | Opal card top up machine (Card Payment only) | Free mobile phone charging</t>
  </si>
  <si>
    <t xml:space="preserve">02 9224 2959</t>
  </si>
  <si>
    <t xml:space="preserve">Wyong Station</t>
  </si>
  <si>
    <t xml:space="preserve">225920</t>
  </si>
  <si>
    <t xml:space="preserve">10101145</t>
  </si>
  <si>
    <t xml:space="preserve">Pacific Hwy, Wyong NSW 2259</t>
  </si>
  <si>
    <t xml:space="preserve">02 4349 9259</t>
  </si>
  <si>
    <t xml:space="preserve">Yagoona Station</t>
  </si>
  <si>
    <t xml:space="preserve">219910</t>
  </si>
  <si>
    <t xml:space="preserve">10101402</t>
  </si>
  <si>
    <t xml:space="preserve">Liverpool Rd, Yagoona NSW 2199</t>
  </si>
  <si>
    <t xml:space="preserve">02 9379 7724</t>
  </si>
  <si>
    <t xml:space="preserve">Yallamundi Light Rail</t>
  </si>
  <si>
    <t xml:space="preserve">211656</t>
  </si>
  <si>
    <t xml:space="preserve">10101704</t>
  </si>
  <si>
    <t xml:space="preserve">Brodie St, Rydalmere NSW 2116</t>
  </si>
  <si>
    <t xml:space="preserve">Bike racks | Commuter car park | No Opal card top up or single trip ticket sales | Next service display | Emergency help point</t>
  </si>
  <si>
    <t xml:space="preserve">This location is Independent Access | Level crossing | Hearing loop | PA system for announcements | Platform edge tactiles</t>
  </si>
  <si>
    <t xml:space="preserve">Yamba Coach Stop</t>
  </si>
  <si>
    <t xml:space="preserve">246454</t>
  </si>
  <si>
    <t xml:space="preserve">10102761</t>
  </si>
  <si>
    <t xml:space="preserve">Yamba Bowling Club, Claude St, Yamba NSW 2464</t>
  </si>
  <si>
    <t xml:space="preserve">Yamba West Coach Stop</t>
  </si>
  <si>
    <t xml:space="preserve">24642</t>
  </si>
  <si>
    <t xml:space="preserve">10102762</t>
  </si>
  <si>
    <t xml:space="preserve">Yamba Rd opp Yamba Shopping Fair, Yamba NSW 2464</t>
  </si>
  <si>
    <t xml:space="preserve">Yanco Coach Stop</t>
  </si>
  <si>
    <t xml:space="preserve">270312</t>
  </si>
  <si>
    <t xml:space="preserve">10102840</t>
  </si>
  <si>
    <t xml:space="preserve">Main Ave opp Yanco Hall, Yanco NSW 2703</t>
  </si>
  <si>
    <t xml:space="preserve">Yarrabandai Coach Stop</t>
  </si>
  <si>
    <t xml:space="preserve">287525</t>
  </si>
  <si>
    <t xml:space="preserve">10102636</t>
  </si>
  <si>
    <t xml:space="preserve">Henry Parkes Way opp Yarrabandai Rd, Yarrabandai NSW 2875</t>
  </si>
  <si>
    <t xml:space="preserve">Yarrawonga Coach Stop</t>
  </si>
  <si>
    <t xml:space="preserve">37630</t>
  </si>
  <si>
    <t xml:space="preserve">10102921</t>
  </si>
  <si>
    <t xml:space="preserve">Orr St at Belmore St, Yarrawonga VIC 3730</t>
  </si>
  <si>
    <t xml:space="preserve">Yarrowyck Coach Stop</t>
  </si>
  <si>
    <t xml:space="preserve">235825</t>
  </si>
  <si>
    <t xml:space="preserve">10102708</t>
  </si>
  <si>
    <t xml:space="preserve">Bundarra Rd at Thunderbolts Way, Yarrowyck NSW 2358</t>
  </si>
  <si>
    <t xml:space="preserve">Yass Junction Station</t>
  </si>
  <si>
    <t xml:space="preserve">25821</t>
  </si>
  <si>
    <t xml:space="preserve">10101861</t>
  </si>
  <si>
    <t xml:space="preserve">Faulder Ave, Yass NSW 2582</t>
  </si>
  <si>
    <t xml:space="preserve">Commuter car park | Wheelchair accessible car space | Taxi rank | Toilets | Emergency help point | Information point</t>
  </si>
  <si>
    <t xml:space="preserve">This location is Assisted Access | Wheelchair ramp boarding assistance | PA system for announcements | Level crossing | Stairs</t>
  </si>
  <si>
    <t xml:space="preserve">Yass Town Coach Stop</t>
  </si>
  <si>
    <t xml:space="preserve">2582142</t>
  </si>
  <si>
    <t xml:space="preserve">10102804</t>
  </si>
  <si>
    <t xml:space="preserve">Banjo Paterson Park, Rossi St, Yass NSW 2582</t>
  </si>
  <si>
    <t xml:space="preserve">Yenda Coach Stop</t>
  </si>
  <si>
    <t xml:space="preserve">2681123</t>
  </si>
  <si>
    <t xml:space="preserve">10102844</t>
  </si>
  <si>
    <t xml:space="preserve">Yenda Pl at West Ave, Yenda NSW 2681</t>
  </si>
  <si>
    <t xml:space="preserve">Yennora Station</t>
  </si>
  <si>
    <t xml:space="preserve">216120</t>
  </si>
  <si>
    <t xml:space="preserve">10101284</t>
  </si>
  <si>
    <t xml:space="preserve">Railway St, Yennora NSW 2161</t>
  </si>
  <si>
    <t xml:space="preserve">02 9848 9414</t>
  </si>
  <si>
    <t xml:space="preserve">Yerrinbool Station</t>
  </si>
  <si>
    <t xml:space="preserve">257540</t>
  </si>
  <si>
    <t xml:space="preserve">10101304</t>
  </si>
  <si>
    <t xml:space="preserve">Hume Hwy, Yerrinbool NSW 2575</t>
  </si>
  <si>
    <t xml:space="preserve">Yetholme Coach Stop</t>
  </si>
  <si>
    <t xml:space="preserve">27951300</t>
  </si>
  <si>
    <t xml:space="preserve">10102658</t>
  </si>
  <si>
    <t xml:space="preserve">Service station, Great Western Hwy, Yetholme NSW 2795</t>
  </si>
  <si>
    <t xml:space="preserve">Young Coach Stop</t>
  </si>
  <si>
    <t xml:space="preserve">259455</t>
  </si>
  <si>
    <t xml:space="preserve">10102640</t>
  </si>
  <si>
    <t xml:space="preserve">Young &amp; Hilltops Region Information Centre, Lovell St, Young NSW 2594</t>
  </si>
  <si>
    <t xml:space="preserve">Zig Zag Station</t>
  </si>
  <si>
    <t xml:space="preserve">278630</t>
  </si>
  <si>
    <t xml:space="preserve">10101273</t>
  </si>
  <si>
    <t xml:space="preserve">Inch St, Clarence NSW 2790</t>
  </si>
  <si>
    <t xml:space="preserve">02 6353 9565</t>
  </si>
  <si>
    <t xml:space="preserve">FacilityName</t>
  </si>
  <si>
    <t xml:space="preserve">Suburb</t>
  </si>
  <si>
    <t xml:space="preserve">FacilityType</t>
  </si>
  <si>
    <t xml:space="preserve">Status</t>
  </si>
  <si>
    <t xml:space="preserve">Owner</t>
  </si>
  <si>
    <t xml:space="preserve">Sports &amp; activities</t>
  </si>
  <si>
    <t xml:space="preserve">Alan Davidson Oval</t>
  </si>
  <si>
    <t xml:space="preserve">Alexandria</t>
  </si>
  <si>
    <t xml:space="preserve">Sports field</t>
  </si>
  <si>
    <t xml:space="preserve">Current</t>
  </si>
  <si>
    <t xml:space="preserve">City of Sydney</t>
  </si>
  <si>
    <t xml:space="preserve">AFL, Cricket</t>
  </si>
  <si>
    <t xml:space="preserve">Alexandria Park and Oval</t>
  </si>
  <si>
    <t xml:space="preserve">Sports field, Tennis courts</t>
  </si>
  <si>
    <t xml:space="preserve">Basketball, Cricket, Netball, Rugby, Soccer, TennisCourts</t>
  </si>
  <si>
    <t xml:space="preserve">Andrew (Boy) Charlton Pool</t>
  </si>
  <si>
    <t xml:space="preserve">Sydney</t>
  </si>
  <si>
    <t xml:space="preserve">Pool</t>
  </si>
  <si>
    <t xml:space="preserve">Currently closed for renovation</t>
  </si>
  <si>
    <t xml:space="preserve">Beaconsfield Park</t>
  </si>
  <si>
    <t xml:space="preserve">Beaconsfield</t>
  </si>
  <si>
    <t xml:space="preserve">Tennis courts</t>
  </si>
  <si>
    <t xml:space="preserve">Basketball, TennisCourts</t>
  </si>
  <si>
    <t xml:space="preserve">Bourke Street Park</t>
  </si>
  <si>
    <t xml:space="preserve">Woolloomooloo</t>
  </si>
  <si>
    <t xml:space="preserve">Park</t>
  </si>
  <si>
    <t xml:space="preserve">OutdoorGym</t>
  </si>
  <si>
    <t xml:space="preserve">Centennial Parklands</t>
  </si>
  <si>
    <t xml:space="preserve">Centennial Park</t>
  </si>
  <si>
    <t xml:space="preserve">Not managed by City of Sydney</t>
  </si>
  <si>
    <t xml:space="preserve">Centennial Park and Moore Park Trust</t>
  </si>
  <si>
    <t xml:space="preserve">AFL, Cricket, Hockey, OutdoorGym, Rugby, Soccer</t>
  </si>
  <si>
    <t xml:space="preserve">Centennial Parklands Sports Centre</t>
  </si>
  <si>
    <t xml:space="preserve">Moore Park</t>
  </si>
  <si>
    <t xml:space="preserve">AFL, Athletics, Basketball, Netball, Pickleball, Rugby, Soccer, TennisCourts</t>
  </si>
  <si>
    <t xml:space="preserve">Cliff Noble Community Centre</t>
  </si>
  <si>
    <t xml:space="preserve">Community centre</t>
  </si>
  <si>
    <t xml:space="preserve">CityPrograms, TableTennis</t>
  </si>
  <si>
    <t xml:space="preserve">Cook + Phillip Park</t>
  </si>
  <si>
    <t xml:space="preserve">Basketball</t>
  </si>
  <si>
    <t xml:space="preserve">Cook + Phillip Park Pool</t>
  </si>
  <si>
    <t xml:space="preserve">Badminton, Basketball, Futsal, IndoorGym, Netball, Pickleball, Pool, Volleyball</t>
  </si>
  <si>
    <t xml:space="preserve">Eddie Ward Park</t>
  </si>
  <si>
    <t xml:space="preserve">Surry Hills</t>
  </si>
  <si>
    <t xml:space="preserve">SkatePark, TableTennis</t>
  </si>
  <si>
    <t xml:space="preserve">Erskineville Oval</t>
  </si>
  <si>
    <t xml:space="preserve">Erskineville</t>
  </si>
  <si>
    <t xml:space="preserve">Athletics, Cricket, Rugby</t>
  </si>
  <si>
    <t xml:space="preserve">Federal Park</t>
  </si>
  <si>
    <t xml:space="preserve">Annandale</t>
  </si>
  <si>
    <t xml:space="preserve">OutdoorGym, Rugby, SkatePark</t>
  </si>
  <si>
    <t xml:space="preserve">Garraway Park</t>
  </si>
  <si>
    <t xml:space="preserve">Rosebery</t>
  </si>
  <si>
    <t xml:space="preserve">Getiela Synthetic Sportsfield</t>
  </si>
  <si>
    <t xml:space="preserve">AFL, Hockey, Rugby, Soccer</t>
  </si>
  <si>
    <t xml:space="preserve">Green Ban Park Playground</t>
  </si>
  <si>
    <t xml:space="preserve">Netball</t>
  </si>
  <si>
    <t xml:space="preserve">Gunyama Park</t>
  </si>
  <si>
    <t xml:space="preserve">Zetland</t>
  </si>
  <si>
    <t xml:space="preserve">OutdoorGym, Rugby, SkatePark, Soccer</t>
  </si>
  <si>
    <t xml:space="preserve">Gunyama Park Aquatic and Recreation Centre</t>
  </si>
  <si>
    <t xml:space="preserve">IndoorGym, Pool</t>
  </si>
  <si>
    <t xml:space="preserve">Harbour Park community recreation space</t>
  </si>
  <si>
    <t xml:space="preserve">Millers Point</t>
  </si>
  <si>
    <t xml:space="preserve">Infrastructure NSW</t>
  </si>
  <si>
    <t xml:space="preserve">Harry Noble Reserve</t>
  </si>
  <si>
    <t xml:space="preserve">Basketball, Netball</t>
  </si>
  <si>
    <t xml:space="preserve">Hugo Street Reserve</t>
  </si>
  <si>
    <t xml:space="preserve">Redfern</t>
  </si>
  <si>
    <t xml:space="preserve">Ian Thorpe Aquatic Centre</t>
  </si>
  <si>
    <t xml:space="preserve">Ultimo</t>
  </si>
  <si>
    <t xml:space="preserve">James Hilder Reserve</t>
  </si>
  <si>
    <t xml:space="preserve">Joseph Sargeant Community Centre</t>
  </si>
  <si>
    <t xml:space="preserve">Recreation centre</t>
  </si>
  <si>
    <t xml:space="preserve">Joynton Park</t>
  </si>
  <si>
    <t xml:space="preserve">TableTennis</t>
  </si>
  <si>
    <t xml:space="preserve">Juanita Nielsen Community Centre</t>
  </si>
  <si>
    <t xml:space="preserve">CityPrograms, IndoorGym</t>
  </si>
  <si>
    <t xml:space="preserve">Jubilee Oval</t>
  </si>
  <si>
    <t xml:space="preserve">Glebe</t>
  </si>
  <si>
    <t xml:space="preserve">AFL, Cricket, Rugby, Soccer</t>
  </si>
  <si>
    <t xml:space="preserve">King George V (KGV) Recreation Centre</t>
  </si>
  <si>
    <t xml:space="preserve">The Rocks</t>
  </si>
  <si>
    <t xml:space="preserve">Badminton, Basketball, CityPrograms, Futsal, IndoorGym, Netball, Pickleball, Volleyball</t>
  </si>
  <si>
    <t xml:space="preserve">Lillian Fowler Reserve</t>
  </si>
  <si>
    <t xml:space="preserve">Newtown</t>
  </si>
  <si>
    <t xml:space="preserve">Lyons Road Park</t>
  </si>
  <si>
    <t xml:space="preserve">Camperdown</t>
  </si>
  <si>
    <t xml:space="preserve">Marrinawi Cove</t>
  </si>
  <si>
    <t xml:space="preserve">Barangaroo</t>
  </si>
  <si>
    <t xml:space="preserve">Ocean bath</t>
  </si>
  <si>
    <t xml:space="preserve">Matron Ruby Grant Park</t>
  </si>
  <si>
    <t xml:space="preserve">Basketball, Netball, TableTennis</t>
  </si>
  <si>
    <t xml:space="preserve">Maybanke Community Centre</t>
  </si>
  <si>
    <t xml:space="preserve">Pyrmont</t>
  </si>
  <si>
    <t xml:space="preserve">Basketball, CityPrograms, Futsal</t>
  </si>
  <si>
    <t xml:space="preserve">Minogue Reserve</t>
  </si>
  <si>
    <t xml:space="preserve">Moore Park - Kippax Lake Outdoor Fitness Equipment</t>
  </si>
  <si>
    <t xml:space="preserve">Nuffield Park</t>
  </si>
  <si>
    <t xml:space="preserve">Observatory Park</t>
  </si>
  <si>
    <t xml:space="preserve">Perry Park Recreation Centre</t>
  </si>
  <si>
    <t xml:space="preserve">Community centre, Sports field</t>
  </si>
  <si>
    <t xml:space="preserve">AFL, Badminton, Basketball, CityPrograms, Futsal, Hockey, Netball, Pickleball, Rugby, Soccer, Volleyball</t>
  </si>
  <si>
    <t xml:space="preserve">Peter Forsyth Auditorium</t>
  </si>
  <si>
    <t xml:space="preserve">Badminton, Basketball, Futsal, Netball, Soccer, Volleyball</t>
  </si>
  <si>
    <t xml:space="preserve">Pirrama Park</t>
  </si>
  <si>
    <t xml:space="preserve">Prince Alfred Park</t>
  </si>
  <si>
    <t xml:space="preserve">Basketball, OutdoorGym</t>
  </si>
  <si>
    <t xml:space="preserve">Prince Alfred Park Pool</t>
  </si>
  <si>
    <t xml:space="preserve">Prince Alfred Park Tennis Centre</t>
  </si>
  <si>
    <t xml:space="preserve">TennisCourts</t>
  </si>
  <si>
    <t xml:space="preserve">Pyrmont Community Centre</t>
  </si>
  <si>
    <t xml:space="preserve">Redfern Community Centre</t>
  </si>
  <si>
    <t xml:space="preserve">CityPrograms</t>
  </si>
  <si>
    <t xml:space="preserve">Redfern Oval</t>
  </si>
  <si>
    <t xml:space="preserve">Basketball, Rugby</t>
  </si>
  <si>
    <t xml:space="preserve">Redfern Park</t>
  </si>
  <si>
    <t xml:space="preserve">Basketball, SkatePark</t>
  </si>
  <si>
    <t xml:space="preserve">Reg Bartley Oval</t>
  </si>
  <si>
    <t xml:space="preserve">Rushcutters Bay</t>
  </si>
  <si>
    <t xml:space="preserve">Cricket, Rugby, Soccer</t>
  </si>
  <si>
    <t xml:space="preserve">Reginald Murphy Community Centre</t>
  </si>
  <si>
    <t xml:space="preserve">Potts Point</t>
  </si>
  <si>
    <t xml:space="preserve">Ron Williams Community Centre</t>
  </si>
  <si>
    <t xml:space="preserve">Rushcutters Bay Park</t>
  </si>
  <si>
    <t xml:space="preserve">Cricket, OutdoorGym, TennisCourts</t>
  </si>
  <si>
    <t xml:space="preserve">St Helen's Community Centre</t>
  </si>
  <si>
    <t xml:space="preserve">St James Park</t>
  </si>
  <si>
    <t xml:space="preserve">Sydney Park</t>
  </si>
  <si>
    <t xml:space="preserve">OutdoorGym, SkatePark</t>
  </si>
  <si>
    <t xml:space="preserve">The Crescent Synthetic Sportsfield</t>
  </si>
  <si>
    <t xml:space="preserve">Futsal, Hockey, Soccer</t>
  </si>
  <si>
    <t xml:space="preserve">The Domain</t>
  </si>
  <si>
    <t xml:space="preserve">Botanic Gardens and Domain Trust</t>
  </si>
  <si>
    <t xml:space="preserve">Netball, OutdoorGym, Rugby, Soccer, Volleyball</t>
  </si>
  <si>
    <t xml:space="preserve">Tumbalong Park</t>
  </si>
  <si>
    <t xml:space="preserve">Place Management NSW</t>
  </si>
  <si>
    <t xml:space="preserve">OutdoorGym, TableTennis</t>
  </si>
  <si>
    <t xml:space="preserve">Turruwul Park</t>
  </si>
  <si>
    <t xml:space="preserve">Basketball, Cricket, Netball, OutdoorGym, TennisCourts</t>
  </si>
  <si>
    <t xml:space="preserve">Turruwul Park Sportsfield</t>
  </si>
  <si>
    <t xml:space="preserve">Ultimo Community Centre</t>
  </si>
  <si>
    <t xml:space="preserve">Badminton, Basketball, CityPrograms, Futsal, Netball, Pickleball, Soccer, TableTennis, TennisCourts, Volleyball</t>
  </si>
  <si>
    <t xml:space="preserve">Victoria Park</t>
  </si>
  <si>
    <t xml:space="preserve">Broadway</t>
  </si>
  <si>
    <t xml:space="preserve">Victoria Park Pool</t>
  </si>
  <si>
    <t xml:space="preserve">Waterloo Green</t>
  </si>
  <si>
    <t xml:space="preserve">Waterloo</t>
  </si>
  <si>
    <t xml:space="preserve">Waterloo Oval</t>
  </si>
  <si>
    <t xml:space="preserve">Cricket, Rugby, SkatePark</t>
  </si>
  <si>
    <t xml:space="preserve">Waterloo Park</t>
  </si>
  <si>
    <t xml:space="preserve">Wentworth Park</t>
  </si>
  <si>
    <t xml:space="preserve">Cricket, OutdoorGym</t>
  </si>
  <si>
    <t xml:space="preserve">Wentworth Park Sportsfields</t>
  </si>
  <si>
    <t xml:space="preserve">Woolloomooloo Playground</t>
  </si>
  <si>
    <t xml:space="preserve">Wulaba Park</t>
  </si>
  <si>
    <t xml:space="preserve">Rank_name</t>
  </si>
  <si>
    <t xml:space="preserve">Postcode_confidence</t>
  </si>
  <si>
    <t xml:space="preserve">Nearest_ref_m</t>
  </si>
  <si>
    <t xml:space="preserve">Allambie rank, Allambie Rd</t>
  </si>
  <si>
    <t xml:space="preserve">high (&lt;300m)</t>
  </si>
  <si>
    <t xml:space="preserve">Arncliffe, Firth St</t>
  </si>
  <si>
    <t xml:space="preserve">Artarmon rank, Elizabeth St</t>
  </si>
  <si>
    <t xml:space="preserve">Ashfield Rank, Hercules St</t>
  </si>
  <si>
    <t xml:space="preserve">Auburn South Rank, South Parade</t>
  </si>
  <si>
    <t xml:space="preserve">Avalon rank, Old Barrenjoey rd Avalon</t>
  </si>
  <si>
    <t xml:space="preserve">low (&gt;1km)</t>
  </si>
  <si>
    <t xml:space="preserve">Balgowlah rank, Condamine St</t>
  </si>
  <si>
    <t xml:space="preserve">Balgowlah Stocklands, Condamine St</t>
  </si>
  <si>
    <t xml:space="preserve">Balmain Rank, Darling St</t>
  </si>
  <si>
    <t xml:space="preserve">Bankstown Rank, North Terrace</t>
  </si>
  <si>
    <t xml:space="preserve">Baulkham Hills Rank, Central Pl</t>
  </si>
  <si>
    <t xml:space="preserve">Beecroft Rank, Hannah St</t>
  </si>
  <si>
    <t xml:space="preserve">Bella Vista Rank, Woolworths Way</t>
  </si>
  <si>
    <t xml:space="preserve">Belmore Rank, Bridge Rd</t>
  </si>
  <si>
    <t xml:space="preserve">Belmore Rank, Burwood Rd - Club Belmore</t>
  </si>
  <si>
    <t xml:space="preserve">Beverley Hills, Morgan St</t>
  </si>
  <si>
    <t xml:space="preserve">Bexley, Kingsland Rd</t>
  </si>
  <si>
    <t xml:space="preserve">medium (300m-1km)</t>
  </si>
  <si>
    <t xml:space="preserve">Blacktown Station Rank</t>
  </si>
  <si>
    <t xml:space="preserve">Bondi Junction Rank, Grosvenor St</t>
  </si>
  <si>
    <t xml:space="preserve">Brighton Novotel Rank, Princess St</t>
  </si>
  <si>
    <t xml:space="preserve">Brookvale rank, Chard Rd</t>
  </si>
  <si>
    <t xml:space="preserve">Brookvale Warringah Mall</t>
  </si>
  <si>
    <t xml:space="preserve">Burwood Rank, Deane St</t>
  </si>
  <si>
    <t xml:space="preserve">Cabramatta Station Rank, Arthur St</t>
  </si>
  <si>
    <t xml:space="preserve">Camden Rank, John St</t>
  </si>
  <si>
    <t xml:space="preserve">Campbelltown Macarthur Square Inside</t>
  </si>
  <si>
    <t xml:space="preserve">Campbelltown Macarthur Square Outside</t>
  </si>
  <si>
    <t xml:space="preserve">Campbelltown Mall Rank, Queen St</t>
  </si>
  <si>
    <t xml:space="preserve">Campbelltown Station Rank, Hurley St</t>
  </si>
  <si>
    <t xml:space="preserve">Camperdown Rank, Missenden Rd</t>
  </si>
  <si>
    <t xml:space="preserve">Campsie Rank, North Parade</t>
  </si>
  <si>
    <t xml:space="preserve">Canley Vale Station Rank, Railway Pde</t>
  </si>
  <si>
    <t xml:space="preserve">Caringbah Rank, Hay Ave</t>
  </si>
  <si>
    <t xml:space="preserve">Carlton Rank</t>
  </si>
  <si>
    <t xml:space="preserve">Castle Hill Rank, Old Castle Hill Rd</t>
  </si>
  <si>
    <t xml:space="preserve">Central Rail, Country Trains Rank</t>
  </si>
  <si>
    <t xml:space="preserve">Chester Hill Rank, Chester Hill Rd</t>
  </si>
  <si>
    <t xml:space="preserve">Chatswood Rank, Brown St (Temporary)</t>
  </si>
  <si>
    <t xml:space="preserve">City - Bathurst St</t>
  </si>
  <si>
    <t xml:space="preserve">City - Bent St</t>
  </si>
  <si>
    <t xml:space="preserve">City - Carrington St</t>
  </si>
  <si>
    <t xml:space="preserve">City - College St - Pullman Hotel</t>
  </si>
  <si>
    <t xml:space="preserve">City - Cumberland St - Shangri La Hotel</t>
  </si>
  <si>
    <t xml:space="preserve">City - Elizabeth St - Sheraton Hotel</t>
  </si>
  <si>
    <t xml:space="preserve">City - George St - Holiday Inn</t>
  </si>
  <si>
    <t xml:space="preserve">City - Hickson Rd - Pier One</t>
  </si>
  <si>
    <t xml:space="preserve">City - Jamison St</t>
  </si>
  <si>
    <t xml:space="preserve">City - Kent St</t>
  </si>
  <si>
    <t xml:space="preserve">City - Kent St - Langham Hotel</t>
  </si>
  <si>
    <t xml:space="preserve">City - Lime St</t>
  </si>
  <si>
    <t xml:space="preserve">City - Liverpool St</t>
  </si>
  <si>
    <t xml:space="preserve">City - Macquarie St</t>
  </si>
  <si>
    <t xml:space="preserve">City - Market St</t>
  </si>
  <si>
    <t xml:space="preserve">City - O'Connell St Sydney</t>
  </si>
  <si>
    <t xml:space="preserve">City - Phillip St - Chifley Square</t>
  </si>
  <si>
    <t xml:space="preserve">City - Phillip St - Intercontinental Hotel</t>
  </si>
  <si>
    <t xml:space="preserve">City - Phillip St - Sofitel Wentworth Hotel</t>
  </si>
  <si>
    <t xml:space="preserve">City - Shelley St</t>
  </si>
  <si>
    <t xml:space="preserve">City - Sussex St</t>
  </si>
  <si>
    <t xml:space="preserve">City - Sussex St - Hyatt Regency</t>
  </si>
  <si>
    <t xml:space="preserve">City - Thomas St</t>
  </si>
  <si>
    <t xml:space="preserve">City - York St - Grace Hotel</t>
  </si>
  <si>
    <t xml:space="preserve">City - York St - Wynyard Station</t>
  </si>
  <si>
    <t xml:space="preserve">Collaroy Rank, Collaroy st</t>
  </si>
  <si>
    <t xml:space="preserve">Collaroy Plateau Rank, Veterans Pde</t>
  </si>
  <si>
    <t xml:space="preserve">Concord Hospital Rank, Hospital Rd</t>
  </si>
  <si>
    <t xml:space="preserve">Coogee Rank, Dolphn St</t>
  </si>
  <si>
    <t xml:space="preserve">Cremorne rank,Cabramatta rd Cremorne</t>
  </si>
  <si>
    <t xml:space="preserve">Cronulla Rank, Cronulla St</t>
  </si>
  <si>
    <t xml:space="preserve">Crows Nest Rank, Burlington St</t>
  </si>
  <si>
    <t xml:space="preserve">Darling Harbour Rank - Harbourside</t>
  </si>
  <si>
    <t xml:space="preserve">Darling Harbour - Iron Wharf Pl</t>
  </si>
  <si>
    <t xml:space="preserve">Darling Harbour - Murray St</t>
  </si>
  <si>
    <t xml:space="preserve">Dee Why Grand Rank, Pacific Pde</t>
  </si>
  <si>
    <t xml:space="preserve">Dee why rank, Howard Ave</t>
  </si>
  <si>
    <t xml:space="preserve">Double Bay rank, Cooper St</t>
  </si>
  <si>
    <t xml:space="preserve">Earlwood Rank, Earlwood Ave</t>
  </si>
  <si>
    <t xml:space="preserve">East Gardens</t>
  </si>
  <si>
    <t xml:space="preserve">Eastwood Station East, Railway Pde</t>
  </si>
  <si>
    <t xml:space="preserve">Eastwood Station West, West Pde</t>
  </si>
  <si>
    <t xml:space="preserve">Edgecliff Rank, New South Head Rd</t>
  </si>
  <si>
    <t xml:space="preserve">Engadine Rank, Station St</t>
  </si>
  <si>
    <t xml:space="preserve">Epping Station, Langston Pl</t>
  </si>
  <si>
    <t xml:space="preserve">Ermington, Betty Cuthbert Ave</t>
  </si>
  <si>
    <t xml:space="preserve">Fairfield Heights Rank, The Boulevarde</t>
  </si>
  <si>
    <t xml:space="preserve">Fairfield Station, The Crescent</t>
  </si>
  <si>
    <t xml:space="preserve">Five Dock Rank, Garfield St</t>
  </si>
  <si>
    <t xml:space="preserve">Forestville rank, Nicholas Ave Forestville</t>
  </si>
  <si>
    <t xml:space="preserve">Frenchs Forest rank, Forest way Frenchs Forest</t>
  </si>
  <si>
    <t xml:space="preserve">Freshwater rank,Albert st freshwater</t>
  </si>
  <si>
    <t xml:space="preserve">Gladesville Rank, Jordan St</t>
  </si>
  <si>
    <t xml:space="preserve">Glenfield Station Rank, Railway Pde</t>
  </si>
  <si>
    <t xml:space="preserve">Gordon rank, Henry St, Gordon</t>
  </si>
  <si>
    <t xml:space="preserve">Granville Dellwood Shops Rank, Dellwood St</t>
  </si>
  <si>
    <t xml:space="preserve">Granville Rank, Russell St</t>
  </si>
  <si>
    <t xml:space="preserve">Guilford Station Rank</t>
  </si>
  <si>
    <t xml:space="preserve">Gymea Rank, North St</t>
  </si>
  <si>
    <t xml:space="preserve">Homebush rank - Herb Elliott Ave - Sydney Olympic Park</t>
  </si>
  <si>
    <t xml:space="preserve">Hornsby Rank, Hunter St Hornsby (Westfields)</t>
  </si>
  <si>
    <t xml:space="preserve">Hornsby rank, Station st Hornsby</t>
  </si>
  <si>
    <t xml:space="preserve">Hurstville North, Forest Rd</t>
  </si>
  <si>
    <t xml:space="preserve">Hurstville South, Butler Rd</t>
  </si>
  <si>
    <t xml:space="preserve">Ingleburn Rank, Ingleburn Rd</t>
  </si>
  <si>
    <t xml:space="preserve">Jannali Rank, Railway Cres</t>
  </si>
  <si>
    <t xml:space="preserve">Kings Cross Rank, Bayswater Rd</t>
  </si>
  <si>
    <t xml:space="preserve">Kings Cross Rank, Darlinghurst Rd</t>
  </si>
  <si>
    <t xml:space="preserve">Kingsgrove Rank, Mashman Ave</t>
  </si>
  <si>
    <t xml:space="preserve">Kirrawee Rank, Oak Rd</t>
  </si>
  <si>
    <t xml:space="preserve">Lakemba Rank, The Boulevarde</t>
  </si>
  <si>
    <t xml:space="preserve">Lane Cove rank, Longueville Rd</t>
  </si>
  <si>
    <t xml:space="preserve">Leumeah Station, O'Sullivan Rd</t>
  </si>
  <si>
    <t xml:space="preserve">Lidcombe North, Church St</t>
  </si>
  <si>
    <t xml:space="preserve">Lindfield Rank, Lindfied ave Lindfield</t>
  </si>
  <si>
    <t xml:space="preserve">Liverpool Station Rank, off Bigge St</t>
  </si>
  <si>
    <t xml:space="preserve">Liverpool Westfields Rank, George St</t>
  </si>
  <si>
    <t xml:space="preserve">Lurnea Rank, Reilly St</t>
  </si>
  <si>
    <t xml:space="preserve">Macquarie Park rank, Lyonpark Rd - Optus Building</t>
  </si>
  <si>
    <t xml:space="preserve">Manly rank, Belgrave st</t>
  </si>
  <si>
    <t xml:space="preserve">Manly rank, North Steyne</t>
  </si>
  <si>
    <t xml:space="preserve">Maroubra Junction Rank, Maroubra Rd</t>
  </si>
  <si>
    <t xml:space="preserve">Marrickville Rank, Station St</t>
  </si>
  <si>
    <t xml:space="preserve">Mascot Rank, Bourke Rd</t>
  </si>
  <si>
    <t xml:space="preserve">Menai Rank, Duncombe Pl</t>
  </si>
  <si>
    <t xml:space="preserve">Miller Rank, Woodwatd Cr</t>
  </si>
  <si>
    <t xml:space="preserve">Millers Point Rank, Hickson Rd</t>
  </si>
  <si>
    <t xml:space="preserve">Milson's Point rank, Ennis Rd</t>
  </si>
  <si>
    <t xml:space="preserve">Minto Rank, Minto Rd</t>
  </si>
  <si>
    <t xml:space="preserve">Miranda Rank, Urunga Pde</t>
  </si>
  <si>
    <t xml:space="preserve">Mona Vale rank, Pittwater rd mona vale</t>
  </si>
  <si>
    <t xml:space="preserve">Moorebank rank, Stockton Ave</t>
  </si>
  <si>
    <t xml:space="preserve">Mortdale Rank, Morts Rd</t>
  </si>
  <si>
    <t xml:space="preserve">Mount Druitt Station Rank, North Pde</t>
  </si>
  <si>
    <t xml:space="preserve">Narrabeen rank, Pittwater rd narrabeen</t>
  </si>
  <si>
    <t xml:space="preserve">Neutral Bay rank, Rangers rd Neutral bay</t>
  </si>
  <si>
    <t xml:space="preserve">Newtown Rank, King St</t>
  </si>
  <si>
    <t xml:space="preserve">North Ryde rank, Herring Rd</t>
  </si>
  <si>
    <t xml:space="preserve">North Ryde rank, Research Park Rd - Travelodge</t>
  </si>
  <si>
    <t xml:space="preserve">North Sydney - Blue st</t>
  </si>
  <si>
    <t xml:space="preserve">North Sydney - Mclaren St</t>
  </si>
  <si>
    <t xml:space="preserve">North Sydney - Miller St</t>
  </si>
  <si>
    <t xml:space="preserve">Padstow Rank, Howard Rd</t>
  </si>
  <si>
    <t xml:space="preserve">Parramatta - Charles St</t>
  </si>
  <si>
    <t xml:space="preserve">Parramatta - Church St</t>
  </si>
  <si>
    <t xml:space="preserve">Parramatta - Fitzwilliam St</t>
  </si>
  <si>
    <t xml:space="preserve">Parramatta - George St</t>
  </si>
  <si>
    <t xml:space="preserve">Parramatta - Macquarie St</t>
  </si>
  <si>
    <t xml:space="preserve">Parramatta - Phillip St</t>
  </si>
  <si>
    <t xml:space="preserve">Parramatta - Villiers St</t>
  </si>
  <si>
    <t xml:space="preserve">Parramatta North Rank, Iron St</t>
  </si>
  <si>
    <t xml:space="preserve">Pendle Hill Station, Joyce St</t>
  </si>
  <si>
    <t xml:space="preserve">Pennant Hills rank, Ramsay Rd</t>
  </si>
  <si>
    <t xml:space="preserve">Penrith Panthers rank, Mulgoa Rd</t>
  </si>
  <si>
    <t xml:space="preserve">Penrith Station rank, Jane St</t>
  </si>
  <si>
    <t xml:space="preserve">Penrith Stocklands</t>
  </si>
  <si>
    <t xml:space="preserve">Penshurst Rank, Bridge St</t>
  </si>
  <si>
    <t xml:space="preserve">Punchbowl Rank, Arthur St</t>
  </si>
  <si>
    <t xml:space="preserve">Pymbe rank, Grandview rd</t>
  </si>
  <si>
    <t xml:space="preserve">Ramsgate Rank, Dillon St</t>
  </si>
  <si>
    <t xml:space="preserve">Redfern rank, Gibbons St</t>
  </si>
  <si>
    <t xml:space="preserve">Revesby rank, Blamey St</t>
  </si>
  <si>
    <t xml:space="preserve">Rhodes rank, Rider Blvd</t>
  </si>
  <si>
    <t xml:space="preserve">Richmond rank, East Market St</t>
  </si>
  <si>
    <t xml:space="preserve">Riverstone rank, Riverstone Pde</t>
  </si>
  <si>
    <t xml:space="preserve">Riverwood Rank, Belmore Rd</t>
  </si>
  <si>
    <t xml:space="preserve">Rockdale West, Walz St</t>
  </si>
  <si>
    <t xml:space="preserve">Rockdale East, King St</t>
  </si>
  <si>
    <t xml:space="preserve">Rosehill Rank, Hassall St</t>
  </si>
  <si>
    <t xml:space="preserve">Rosehill rank, Prospect St -Rydges Hotel</t>
  </si>
  <si>
    <t xml:space="preserve">Roselands Rank, Roseland Ave</t>
  </si>
  <si>
    <t xml:space="preserve">Roseville Rank, Hill st Roseville</t>
  </si>
  <si>
    <t xml:space="preserve">Rouse Hill rank, Tempus St</t>
  </si>
  <si>
    <t xml:space="preserve">Rushcutters Bay rank, Bayswater Rd - Vibe Hotel</t>
  </si>
  <si>
    <t xml:space="preserve">Ryde rank, Pope St</t>
  </si>
  <si>
    <t xml:space="preserve">Ryde Hospital rank, Denistone Rd</t>
  </si>
  <si>
    <t xml:space="preserve">Seaforth rank, Ethel st seaforth</t>
  </si>
  <si>
    <t xml:space="preserve">Seven Hills Shopping Centre</t>
  </si>
  <si>
    <t xml:space="preserve">St Leonards rank, Reserve Rd</t>
  </si>
  <si>
    <t xml:space="preserve">St Marys Station rank, Station St</t>
  </si>
  <si>
    <t xml:space="preserve">Smithfield Shopping Centre</t>
  </si>
  <si>
    <t xml:space="preserve">The Star Pyrmont, Jones Bay Rd</t>
  </si>
  <si>
    <t xml:space="preserve">Strathfield North rank, Everton Rd</t>
  </si>
  <si>
    <t xml:space="preserve">Strathfield South rank, Albert Rd</t>
  </si>
  <si>
    <t xml:space="preserve">Surry Hills Rank, Oxford St</t>
  </si>
  <si>
    <t xml:space="preserve">Sutherland Rank, Flora St</t>
  </si>
  <si>
    <t xml:space="preserve">Sutherland rank, Boyle St</t>
  </si>
  <si>
    <t xml:space="preserve">Sydenham rank, Railway Pde</t>
  </si>
  <si>
    <t xml:space="preserve">Telopia rank, Benaud Pl</t>
  </si>
  <si>
    <t xml:space="preserve">Toongabbie Station rank, Portico Pde</t>
  </si>
  <si>
    <t xml:space="preserve">Turramurra rank, Rohini st</t>
  </si>
  <si>
    <t xml:space="preserve">Wahroongah rank, Railway Ave</t>
  </si>
  <si>
    <t xml:space="preserve">Wentworthville Station rank, The Kingsway</t>
  </si>
  <si>
    <t xml:space="preserve">West Ryde rank, West Pde</t>
  </si>
  <si>
    <t xml:space="preserve">Westmead Children's Hospital rank, Hawkesbury Rd</t>
  </si>
  <si>
    <t xml:space="preserve">Westmead Station rank, Railway Pde</t>
  </si>
  <si>
    <t xml:space="preserve">Windsor Station rank, off George St</t>
  </si>
  <si>
    <t xml:space="preserve">Winston Hills rank, Caroline Chisolm Dr</t>
  </si>
  <si>
    <t xml:space="preserve">Woolloomooloo rank, Cowper Wharf Rd</t>
  </si>
  <si>
    <t xml:space="preserve">Name</t>
  </si>
  <si>
    <t xml:space="preserve">Address</t>
  </si>
  <si>
    <t xml:space="preserve">Detail</t>
  </si>
  <si>
    <t xml:space="preserve">EV charger</t>
  </si>
  <si>
    <t xml:space="preserve">NRMA charger</t>
  </si>
  <si>
    <t xml:space="preserve">NRMA | Upcoming | 4 plug(s)</t>
  </si>
  <si>
    <t xml:space="preserve">NRMA | Upcoming | 8 plug(s)</t>
  </si>
  <si>
    <t xml:space="preserve">NRMA | DC | 4 plug(s)</t>
  </si>
  <si>
    <t xml:space="preserve">NRMA | DC | 2 plug(s)</t>
  </si>
  <si>
    <t xml:space="preserve">NRMA | AC | 1 plug(s)</t>
  </si>
  <si>
    <t xml:space="preserve">NRMA | AC | 2 plug(s)</t>
  </si>
  <si>
    <t xml:space="preserve">NRMA | AC | 20 plug(s)</t>
  </si>
  <si>
    <t xml:space="preserve">NRMA | AC | 5 plug(s)</t>
  </si>
  <si>
    <t xml:space="preserve">NRMA | AC | 6 plug(s)</t>
  </si>
  <si>
    <t xml:space="preserve">EVUp charger</t>
  </si>
  <si>
    <t xml:space="preserve">EVUp | AC | 2 plug(s)</t>
  </si>
  <si>
    <t xml:space="preserve">BP charger</t>
  </si>
  <si>
    <t xml:space="preserve">BP | DC | 4 plug(s)</t>
  </si>
  <si>
    <t xml:space="preserve">Chargefox charger</t>
  </si>
  <si>
    <t xml:space="preserve">Chargefox | AC | 7 plug(s)</t>
  </si>
  <si>
    <t xml:space="preserve">Tesla charger</t>
  </si>
  <si>
    <t xml:space="preserve">Tesla | AC | 2 plug(s)</t>
  </si>
  <si>
    <t xml:space="preserve">Tesla | DC | 16 plug(s)</t>
  </si>
  <si>
    <t xml:space="preserve">Evie charger</t>
  </si>
  <si>
    <t xml:space="preserve">Evie | DC | 4 plug(s)</t>
  </si>
  <si>
    <t xml:space="preserve">Chargefox | AC | 1 plug(s)</t>
  </si>
  <si>
    <t xml:space="preserve">AXCharge charger</t>
  </si>
  <si>
    <t xml:space="preserve">AXCharge | AC | 3 plug(s)</t>
  </si>
  <si>
    <t xml:space="preserve">Tesla | DC | 4 plug(s)</t>
  </si>
  <si>
    <t xml:space="preserve">Everty charger</t>
  </si>
  <si>
    <t xml:space="preserve">Everty | AC | 3 plug(s)</t>
  </si>
  <si>
    <t xml:space="preserve">Tesla | AC | 1 plug(s)</t>
  </si>
  <si>
    <t xml:space="preserve">Evie | DC | 6 plug(s)</t>
  </si>
  <si>
    <t xml:space="preserve">Exploren charger</t>
  </si>
  <si>
    <t xml:space="preserve">Exploren | AC | 10 plug(s)</t>
  </si>
  <si>
    <t xml:space="preserve">Chargefox | AC | 4 plug(s)</t>
  </si>
  <si>
    <t xml:space="preserve">Chargefox | DC | 2 plug(s)</t>
  </si>
  <si>
    <t xml:space="preserve">Exploren | AC | 4 plug(s)</t>
  </si>
  <si>
    <t xml:space="preserve">Tesla | AC | 4 plug(s)</t>
  </si>
  <si>
    <t xml:space="preserve">Chargefox | AC | 2 plug(s)</t>
  </si>
  <si>
    <t xml:space="preserve">Exploren | AC | 2 plug(s)</t>
  </si>
  <si>
    <t xml:space="preserve">Chargestar charger</t>
  </si>
  <si>
    <t xml:space="preserve">Chargestar | AC | 1 plug(s)</t>
  </si>
  <si>
    <t xml:space="preserve">JOLT charger</t>
  </si>
  <si>
    <t xml:space="preserve">JOLT | DC | 2 plug(s)</t>
  </si>
  <si>
    <t xml:space="preserve">Exploren | DC | 2 plug(s)</t>
  </si>
  <si>
    <t xml:space="preserve">Chargefox | AC | 11 plug(s)</t>
  </si>
  <si>
    <t xml:space="preserve">Exploren | AC | 1 plug(s)</t>
  </si>
  <si>
    <t xml:space="preserve">Tesla | AC | 3 plug(s)</t>
  </si>
  <si>
    <t xml:space="preserve">EVX charger</t>
  </si>
  <si>
    <t xml:space="preserve">EVX | AC | 2 plug(s)</t>
  </si>
  <si>
    <t xml:space="preserve">Saascharge charger</t>
  </si>
  <si>
    <t xml:space="preserve">Saascharge | AC | 1 plug(s)</t>
  </si>
  <si>
    <t xml:space="preserve">Tesla | DC | 6 plug(s)</t>
  </si>
  <si>
    <t xml:space="preserve">Chargefox | AC | 6 plug(s)</t>
  </si>
  <si>
    <t xml:space="preserve">Chargefox | AC | 10 plug(s)</t>
  </si>
  <si>
    <t xml:space="preserve">Exploren | AC | 5 plug(s)</t>
  </si>
  <si>
    <t xml:space="preserve">Tesla | DC | 12 plug(s)</t>
  </si>
  <si>
    <t xml:space="preserve">Exploren | AC | 3 plug(s)</t>
  </si>
  <si>
    <t xml:space="preserve">Ampol charger</t>
  </si>
  <si>
    <t xml:space="preserve">Ampol | DC | 2 plug(s)</t>
  </si>
  <si>
    <t xml:space="preserve">Chargefox | DC | 4 plug(s)</t>
  </si>
  <si>
    <t xml:space="preserve">ChargePoint charger</t>
  </si>
  <si>
    <t xml:space="preserve">ChargePoint | AC | 6 plug(s)</t>
  </si>
  <si>
    <t xml:space="preserve">Engie charger</t>
  </si>
  <si>
    <t xml:space="preserve">Engie | DC | 2 plug(s)</t>
  </si>
  <si>
    <t xml:space="preserve">EVUp | AC | 4 plug(s)</t>
  </si>
  <si>
    <t xml:space="preserve">Everty | AC | 1 plug(s)</t>
  </si>
  <si>
    <t xml:space="preserve">Evie | DC | 8 plug(s)</t>
  </si>
  <si>
    <t xml:space="preserve">Ampol | DC | 9 plug(s)</t>
  </si>
  <si>
    <t xml:space="preserve">Exploren | AC | 6 plug(s)</t>
  </si>
  <si>
    <t xml:space="preserve">Chargefox | AC | 3 plug(s)</t>
  </si>
  <si>
    <t xml:space="preserve">Non-networked | AC | 4 plug(s)</t>
  </si>
  <si>
    <t xml:space="preserve">Chargefox | DC | 1 plug(s)</t>
  </si>
  <si>
    <t xml:space="preserve">Everty | AC | 2 plug(s)</t>
  </si>
  <si>
    <t xml:space="preserve">Evie | DC | 2 plug(s)</t>
  </si>
  <si>
    <t xml:space="preserve">BP | DC | 2 plug(s)</t>
  </si>
  <si>
    <t xml:space="preserve">EVX | AC | 18 plug(s)</t>
  </si>
  <si>
    <t xml:space="preserve">Non-networked | AC | 2 plug(s)</t>
  </si>
  <si>
    <t xml:space="preserve">EVUp | AC | 1 plug(s)</t>
  </si>
  <si>
    <t xml:space="preserve">ChargePoint | AC | 1 plug(s)</t>
  </si>
  <si>
    <t xml:space="preserve">EVUp | AC | 3 plug(s)</t>
  </si>
  <si>
    <t xml:space="preserve">Wevolt charger</t>
  </si>
  <si>
    <t xml:space="preserve">Wevolt | DC | 4 plug(s)</t>
  </si>
  <si>
    <t xml:space="preserve">Exploren | AC | 8 plug(s)</t>
  </si>
  <si>
    <t xml:space="preserve">Chargefox | DC | 6 plug(s)</t>
  </si>
  <si>
    <t xml:space="preserve">Chargefox | AC | 8 plug(s)</t>
  </si>
  <si>
    <t xml:space="preserve">Saascharge | AC | 2 plug(s)</t>
  </si>
  <si>
    <t xml:space="preserve">Tesla | DC | 8 plug(s)</t>
  </si>
  <si>
    <t xml:space="preserve">ChargeHub charger</t>
  </si>
  <si>
    <t xml:space="preserve">ChargeHub | AC | 2 plug(s)</t>
  </si>
  <si>
    <t xml:space="preserve">EVE Australia charger</t>
  </si>
  <si>
    <t xml:space="preserve">EVE Australia | AC | 2 plug(s)</t>
  </si>
  <si>
    <t xml:space="preserve">Non-networked charger</t>
  </si>
  <si>
    <t xml:space="preserve">Tesla | AC | 6 plug(s)</t>
  </si>
  <si>
    <t xml:space="preserve">EVX | AC | 4 plug(s)</t>
  </si>
  <si>
    <t xml:space="preserve">Ampol | DC | 10 plug(s)</t>
  </si>
  <si>
    <t xml:space="preserve">Chargestar | AC | 4 plug(s)</t>
  </si>
  <si>
    <t xml:space="preserve">Saascharge | AC | 4 plug(s)</t>
  </si>
  <si>
    <t xml:space="preserve">Everty | DC | 2 plug(s)</t>
  </si>
  <si>
    <t xml:space="preserve">Viva Energy A charger</t>
  </si>
  <si>
    <t xml:space="preserve">Viva Energy A | DC | 4 plug(s)</t>
  </si>
  <si>
    <t xml:space="preserve">EVUp | DC | 2 plug(s)</t>
  </si>
  <si>
    <t xml:space="preserve">ChargeHub | AC | 4 plug(s)</t>
  </si>
  <si>
    <t xml:space="preserve">Non-networked | AC | 3 plug(s)</t>
  </si>
  <si>
    <t xml:space="preserve">ChargePoint | AC | 4 plug(s)</t>
  </si>
  <si>
    <t xml:space="preserve">Tesla | DC | 10 plug(s)</t>
  </si>
  <si>
    <t xml:space="preserve">ChargePoint | AC | 2 plug(s)</t>
  </si>
  <si>
    <t xml:space="preserve">Porsche Smart charger</t>
  </si>
  <si>
    <t xml:space="preserve">Porsche Smart | AC | 2 plug(s)</t>
  </si>
  <si>
    <t xml:space="preserve">Exploren | AC | 20 plug(s)</t>
  </si>
  <si>
    <t xml:space="preserve">Tesla | DC | 9 plug(s)</t>
  </si>
  <si>
    <t xml:space="preserve">Gentari charger</t>
  </si>
  <si>
    <t xml:space="preserve">Gentari | AC | 1 plug(s)</t>
  </si>
  <si>
    <t xml:space="preserve">Ampol | DC | 6 plug(s)</t>
  </si>
  <si>
    <t xml:space="preserve">Saascharge | AC | 5 plug(s)</t>
  </si>
  <si>
    <t xml:space="preserve">Chargefox | DC | 8 plug(s)</t>
  </si>
  <si>
    <t xml:space="preserve">EV Meter charger</t>
  </si>
  <si>
    <t xml:space="preserve">EV Meter | AC | 1 plug(s)</t>
  </si>
  <si>
    <t xml:space="preserve">Tesla | AC | 5 plug(s)</t>
  </si>
  <si>
    <t xml:space="preserve">ChargeHub | AC | 1 plug(s)</t>
  </si>
  <si>
    <t xml:space="preserve">Chargefox | AC | 12 plug(s)</t>
  </si>
  <si>
    <t xml:space="preserve">Everty | AC | 4 plug(s)</t>
  </si>
  <si>
    <t xml:space="preserve">ChargeHub | AC | 3 plug(s)</t>
  </si>
  <si>
    <t xml:space="preserve">JOLT | DC | 4 plug(s)</t>
  </si>
  <si>
    <t xml:space="preserve">BMW charger</t>
  </si>
  <si>
    <t xml:space="preserve">BMW | AC | 2 plug(s)</t>
  </si>
  <si>
    <t xml:space="preserve">360 EV Charge | AC | 4 plug(s)</t>
  </si>
  <si>
    <t xml:space="preserve">Ampol | DC | 4 plug(s)</t>
  </si>
  <si>
    <t xml:space="preserve">Chargefox | DC | 3 plug(s)</t>
  </si>
  <si>
    <t xml:space="preserve">Wevolt | AC | 6 plug(s)</t>
  </si>
  <si>
    <t xml:space="preserve">Evie Networks charger</t>
  </si>
  <si>
    <t xml:space="preserve">Evie Networks | DC | 2 plug(s)</t>
  </si>
  <si>
    <t xml:space="preserve">ChargeHub | DC | 2 plug(s)</t>
  </si>
  <si>
    <t xml:space="preserve">Porsche Smart | AC | 1 plug(s)</t>
  </si>
  <si>
    <t xml:space="preserve">Porsche Smart | AC | 4 plug(s)</t>
  </si>
  <si>
    <t xml:space="preserve">JOLT | DC | 1 plug(s)</t>
  </si>
  <si>
    <t xml:space="preserve">EVUp | AC | 5 plug(s)</t>
  </si>
  <si>
    <t xml:space="preserve">Tesla | DC | 20 plug(s)</t>
  </si>
  <si>
    <t xml:space="preserve">Porsche Desti charger</t>
  </si>
  <si>
    <t xml:space="preserve">Porsche Desti | AC | 1 plug(s)</t>
  </si>
  <si>
    <t xml:space="preserve">Non-networked | AC | 8 plug(s)</t>
  </si>
  <si>
    <t xml:space="preserve">Exploren | DC | 4 plug(s)</t>
  </si>
  <si>
    <t xml:space="preserve">Porsche Smart | AC | 3 plug(s)</t>
  </si>
  <si>
    <t xml:space="preserve">Ampol | DC | 15 plug(s)</t>
  </si>
  <si>
    <t xml:space="preserve">Non-networked | AC | 1 plug(s)</t>
  </si>
  <si>
    <t xml:space="preserve">BP Australia charger</t>
  </si>
  <si>
    <t xml:space="preserve">BP Australia | Upcoming | 4 plug(s)</t>
  </si>
  <si>
    <t xml:space="preserve">Viva Energy A | Upcoming | 4 plug(s)</t>
  </si>
  <si>
    <t xml:space="preserve">Fast Cities A charger</t>
  </si>
  <si>
    <t xml:space="preserve">Fast Cities A | Upcoming | 4 plug(s)</t>
  </si>
  <si>
    <t xml:space="preserve">Tesla Motors charger</t>
  </si>
  <si>
    <t xml:space="preserve">Tesla Motors | Upcoming | 10 plug(s)</t>
  </si>
  <si>
    <t xml:space="preserve">Tesla Motors | Upcoming | 6 plug(s)</t>
  </si>
  <si>
    <t xml:space="preserve">Fast Cities A | Upcoming | 8 plug(s)</t>
  </si>
  <si>
    <t xml:space="preserve">BP Australia | Upcoming | 6 plug(s)</t>
  </si>
  <si>
    <t xml:space="preserve">BP Australia | Upcoming | 8 plug(s)</t>
  </si>
  <si>
    <t xml:space="preserve">BP Australia | Upcoming | 12 plug(s)</t>
  </si>
  <si>
    <t xml:space="preserve">Tesla Motors | Upcoming | 8 plug(s)</t>
  </si>
  <si>
    <t xml:space="preserve">Energy Austra charger</t>
  </si>
  <si>
    <t xml:space="preserve">Energy Austra | Upcoming | 4 plug(s)</t>
  </si>
  <si>
    <t xml:space="preserve">PLUS ES Manag charger</t>
  </si>
  <si>
    <t xml:space="preserve">PLUS ES Manag | Upcoming | 5 plug(s)</t>
  </si>
  <si>
    <t xml:space="preserve">Non-Networked | Upcoming | 4 plug(s)</t>
  </si>
  <si>
    <t xml:space="preserve">Non-Networked | Upcoming | 2 plug(s)</t>
  </si>
  <si>
    <t xml:space="preserve">Tesla Motors | DC | 6 plug(s)</t>
  </si>
  <si>
    <t xml:space="preserve">University of charger</t>
  </si>
  <si>
    <t xml:space="preserve">University of | DC | 6 plug(s)</t>
  </si>
  <si>
    <t xml:space="preserve">Non-Networked | AC | 4 plug(s)</t>
  </si>
  <si>
    <t xml:space="preserve">Non-Networked | AC | 2 plug(s)</t>
  </si>
  <si>
    <t xml:space="preserve">Tesla Motors | Upcoming | 15 plug(s)</t>
  </si>
  <si>
    <t xml:space="preserve">Tesla Motors | DC | 12 plug(s)</t>
  </si>
  <si>
    <t xml:space="preserve">Elanga | AC | 2 plug(s)</t>
  </si>
  <si>
    <t xml:space="preserve">PLUS ES | AC | 1 plug(s)</t>
  </si>
  <si>
    <t xml:space="preserve">Tesla Motors | Upcoming | 12 plug(s)</t>
  </si>
  <si>
    <t xml:space="preserve">Non-networked | AC | 6 plug(s)</t>
  </si>
  <si>
    <t xml:space="preserve">Non-networked | AC | 20 plug(s)</t>
  </si>
  <si>
    <t xml:space="preserve">Non-networked | AC | 35 plug(s)</t>
  </si>
  <si>
    <t xml:space="preserve">PLUS ES charger</t>
  </si>
  <si>
    <t xml:space="preserve">ChargePost charger</t>
  </si>
  <si>
    <t xml:space="preserve">ChargePost | AC | 4 plug(s)</t>
  </si>
  <si>
    <t xml:space="preserve">Smart Charge | AC | 4 plug(s)</t>
  </si>
  <si>
    <t xml:space="preserve">360 EV Charge | AC | 1 plug(s)</t>
  </si>
  <si>
    <t xml:space="preserve">Smart Charge | AC | 2 plug(s)</t>
  </si>
  <si>
    <t xml:space="preserve">Charge Hub | AC | 2 plug(s)</t>
  </si>
  <si>
    <t xml:space="preserve">EVNet | AC | 3 plug(s)</t>
  </si>
  <si>
    <t xml:space="preserve">Elanga | AC | 4 plug(s)</t>
  </si>
  <si>
    <t xml:space="preserve">360 EV Charge | AC | 2 plug(s)</t>
  </si>
  <si>
    <t xml:space="preserve">Tesla | DC | 15 plug(s)</t>
  </si>
  <si>
    <t xml:space="preserve">Noodoe | AC | 2 plug(s)</t>
  </si>
  <si>
    <t xml:space="preserve">EVNet | AC | 4 plug(s)</t>
  </si>
  <si>
    <t xml:space="preserve">Zeus Renewabl charger</t>
  </si>
  <si>
    <t xml:space="preserve">Zeus Renewabl | DC | 4 plug(s)</t>
  </si>
  <si>
    <t xml:space="preserve">EVSE | AC | 1 plug(s)</t>
  </si>
  <si>
    <t xml:space="preserve">ChargePost | AC | 2 plug(s)</t>
  </si>
  <si>
    <t xml:space="preserve">EVSE | AC | 4 plug(s)</t>
  </si>
  <si>
    <t xml:space="preserve">Evie Networks | DC | 4 plug(s)</t>
  </si>
  <si>
    <t xml:space="preserve">Smart Charge | AC | 1 plug(s)</t>
  </si>
  <si>
    <t xml:space="preserve">EVNet | AC | 1 plug(s)</t>
  </si>
  <si>
    <t xml:space="preserve">Noodoe | AC | 1 plug(s)</t>
  </si>
  <si>
    <t xml:space="preserve">CasaCharge | AC | 1 plug(s)</t>
  </si>
  <si>
    <t xml:space="preserve">EVNet | AC | 2 plug(s)</t>
  </si>
  <si>
    <t xml:space="preserve">EVUp | AC | 6 plug(s)</t>
  </si>
  <si>
    <t xml:space="preserve">Charge Hub | AC | 4 plug(s)</t>
  </si>
  <si>
    <t xml:space="preserve">EVE Australia | AC | 4 plug(s)</t>
  </si>
  <si>
    <t xml:space="preserve">Elanga | AC | 8 plug(s)</t>
  </si>
  <si>
    <t xml:space="preserve">Noodoe | AC | 3 plug(s)</t>
  </si>
  <si>
    <t xml:space="preserve">EVSE | AC | 3 plug(s)</t>
  </si>
  <si>
    <t xml:space="preserve">EVSE | AC | 2 plug(s)</t>
  </si>
  <si>
    <t xml:space="preserve">Charge OS | AC | 2 plug(s)</t>
  </si>
  <si>
    <t xml:space="preserve">CasaCharge | AC | 2 plug(s)</t>
  </si>
  <si>
    <t xml:space="preserve">BP | DC | 6 plug(s)</t>
  </si>
  <si>
    <t xml:space="preserve">Noodoe | AC | 4 plug(s)</t>
  </si>
  <si>
    <t xml:space="preserve">Counties Ener charger</t>
  </si>
  <si>
    <t xml:space="preserve">Counties Ener | AC | 2 plug(s)</t>
  </si>
  <si>
    <t xml:space="preserve">Charge Hub | AC | 1 plug(s)</t>
  </si>
  <si>
    <t xml:space="preserve">Smart Charge charger</t>
  </si>
  <si>
    <t xml:space="preserve">Smart Charge | AC | 8 plug(s)</t>
  </si>
  <si>
    <t xml:space="preserve">EVE Australia | DC | 2 plug(s)</t>
  </si>
  <si>
    <t xml:space="preserve">ChargePost | AC | 26 plug(s)</t>
  </si>
  <si>
    <t xml:space="preserve">Charge OS | AC | 4 plug(s)</t>
  </si>
  <si>
    <t xml:space="preserve">CasaCharge | AC | 4 plug(s)</t>
  </si>
  <si>
    <t xml:space="preserve">Alchemy Charg | AC | 2 plug(s)</t>
  </si>
  <si>
    <t xml:space="preserve">Noodoe charger</t>
  </si>
  <si>
    <t xml:space="preserve">Transport stop</t>
  </si>
  <si>
    <t xml:space="preserve">Sports facility</t>
  </si>
  <si>
    <t xml:space="preserve">original</t>
  </si>
  <si>
    <t xml:space="preserve">Taxi rank</t>
  </si>
  <si>
    <t xml:space="preserve">inferred: nearest EV/transport point (high (&lt;300m))</t>
  </si>
  <si>
    <t xml:space="preserve">inferred: nearest EV/transport point (low (&gt;1km))</t>
  </si>
  <si>
    <t xml:space="preserve">inferred: nearest EV/transport point (medium (300m-1km))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</si>
</sst>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  <c r="B1" s="2"/>
      <c r="C1" s="2"/>
      <c r="D1" s="3"/>
    </row>
    <row r="2" customFormat="false" ht="15" hidden="false" customHeight="false" outlineLevel="0" collapsed="false">
      <c r="A2" s="4"/>
      <c r="B2" s="4"/>
      <c r="C2" s="4"/>
      <c r="D2" s="5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4" t="n">
        <v>1958</v>
      </c>
      <c r="C4" s="4" t="n">
        <v>1958</v>
      </c>
      <c r="D4" s="5" t="s">
        <v>6</v>
      </c>
    </row>
    <row r="5" customFormat="false" ht="15" hidden="false" customHeight="false" outlineLevel="0" collapsed="false">
      <c r="A5" s="4" t="s">
        <v>7</v>
      </c>
      <c r="B5" s="4" t="n">
        <v>797</v>
      </c>
      <c r="C5" s="4" t="n">
        <v>797</v>
      </c>
      <c r="D5" s="5" t="s">
        <v>8</v>
      </c>
    </row>
    <row r="6" customFormat="false" ht="15" hidden="false" customHeight="false" outlineLevel="0" collapsed="false">
      <c r="A6" s="4" t="s">
        <v>9</v>
      </c>
      <c r="B6" s="4" t="n">
        <v>70</v>
      </c>
      <c r="C6" s="4" t="n">
        <v>70</v>
      </c>
      <c r="D6" s="5" t="s">
        <v>10</v>
      </c>
    </row>
    <row r="7" customFormat="false" ht="23.85" hidden="false" customHeight="false" outlineLevel="0" collapsed="false">
      <c r="A7" s="4" t="s">
        <v>11</v>
      </c>
      <c r="B7" s="4" t="n">
        <v>199</v>
      </c>
      <c r="C7" s="4" t="n">
        <v>198</v>
      </c>
      <c r="D7" s="5" t="s">
        <v>12</v>
      </c>
    </row>
    <row r="8" customFormat="false" ht="15" hidden="false" customHeight="false" outlineLevel="0" collapsed="false">
      <c r="A8" s="4" t="s">
        <v>13</v>
      </c>
      <c r="B8" s="4" t="n">
        <v>76629</v>
      </c>
      <c r="C8" s="4" t="n">
        <v>76628</v>
      </c>
      <c r="D8" s="5" t="s">
        <v>14</v>
      </c>
    </row>
    <row r="9" customFormat="false" ht="15" hidden="false" customHeight="false" outlineLevel="0" collapsed="false">
      <c r="A9" s="4"/>
      <c r="B9" s="4"/>
      <c r="C9" s="4"/>
      <c r="D9" s="5"/>
    </row>
    <row r="10" customFormat="false" ht="15" hidden="false" customHeight="false" outlineLevel="0" collapsed="false">
      <c r="A10" s="2" t="s">
        <v>15</v>
      </c>
      <c r="B10" s="2"/>
      <c r="C10" s="2"/>
      <c r="D10" s="3"/>
    </row>
    <row r="11" customFormat="false" ht="15" hidden="false" customHeight="false" outlineLevel="0" collapsed="false">
      <c r="A11" s="4" t="s">
        <v>16</v>
      </c>
      <c r="B11" s="4"/>
      <c r="C11" s="4"/>
      <c r="D11" s="5"/>
    </row>
    <row r="12" customFormat="false" ht="15" hidden="false" customHeight="false" outlineLevel="0" collapsed="false">
      <c r="A12" s="4" t="s">
        <v>17</v>
      </c>
      <c r="B12" s="4"/>
      <c r="C12" s="4"/>
      <c r="D12" s="5"/>
    </row>
    <row r="13" customFormat="false" ht="15" hidden="false" customHeight="false" outlineLevel="0" collapsed="false">
      <c r="A13" s="4" t="s">
        <v>18</v>
      </c>
      <c r="B13" s="4"/>
      <c r="C13" s="4"/>
      <c r="D13" s="5"/>
    </row>
    <row r="14" customFormat="false" ht="15" hidden="false" customHeight="false" outlineLevel="0" collapsed="false">
      <c r="A14" s="4" t="s">
        <v>19</v>
      </c>
      <c r="B14" s="4"/>
      <c r="C14" s="4"/>
      <c r="D14" s="5"/>
    </row>
    <row r="15" customFormat="false" ht="15" hidden="false" customHeight="false" outlineLevel="0" collapsed="false">
      <c r="A15" s="4" t="s">
        <v>20</v>
      </c>
      <c r="B15" s="4"/>
      <c r="C15" s="4"/>
      <c r="D15" s="5"/>
    </row>
    <row r="16" customFormat="false" ht="15" hidden="false" customHeight="false" outlineLevel="0" collapsed="false">
      <c r="A16" s="4" t="s">
        <v>21</v>
      </c>
      <c r="B16" s="4"/>
      <c r="C16" s="4"/>
      <c r="D16" s="5"/>
    </row>
    <row r="17" customFormat="false" ht="15" hidden="false" customHeight="false" outlineLevel="0" collapsed="false">
      <c r="A17" s="2"/>
      <c r="B17" s="2"/>
      <c r="C17" s="2"/>
      <c r="D17" s="3"/>
    </row>
    <row r="18" customFormat="false" ht="15" hidden="false" customHeight="false" outlineLevel="0" collapsed="false">
      <c r="A18" s="4" t="s">
        <v>22</v>
      </c>
      <c r="B18" s="4"/>
      <c r="C18" s="4"/>
      <c r="D18" s="5"/>
    </row>
    <row r="19" customFormat="false" ht="15" hidden="false" customHeight="false" outlineLevel="0" collapsed="false">
      <c r="A19" s="4" t="s">
        <v>23</v>
      </c>
      <c r="B19" s="4"/>
      <c r="C19" s="4"/>
      <c r="D19" s="5"/>
    </row>
    <row r="20" customFormat="false" ht="15" hidden="false" customHeight="false" outlineLevel="0" collapsed="false">
      <c r="A20" s="4" t="s">
        <v>24</v>
      </c>
      <c r="B20" s="4"/>
      <c r="C20" s="4"/>
      <c r="D2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</row>
    <row r="2" customFormat="false" ht="15" hidden="false" customHeight="false" outlineLevel="0" collapsed="false">
      <c r="A2" s="7" t="n">
        <v>2000</v>
      </c>
      <c r="B2" s="7" t="n">
        <f aca="false">COUNTIF(EV_Chargers!$D:$D,A2)</f>
        <v>29</v>
      </c>
      <c r="C2" s="7" t="n">
        <f aca="false">SUMIF(EV_Chargers!$D:$D,A2,EV_Chargers!$I:$I)</f>
        <v>102</v>
      </c>
      <c r="D2" s="7" t="n">
        <f aca="false">COUNTIF(Transport_Stops!$E:$E,A2)</f>
        <v>22</v>
      </c>
      <c r="E2" s="7" t="n">
        <f aca="false">COUNTIF(Sports_Facilities!$C:$C,A2)</f>
        <v>9</v>
      </c>
      <c r="F2" s="7" t="n">
        <f aca="false">COUNTIF(Taxi_Ranks!$B:$B,A2)</f>
        <v>27</v>
      </c>
      <c r="G2" s="7" t="n">
        <f aca="false">B2+D2+E2+F2</f>
        <v>87</v>
      </c>
      <c r="H2" s="7" t="n">
        <f aca="false">(B2&gt;0)+(D2&gt;0)+(E2&gt;0)+(F2&gt;0)</f>
        <v>4</v>
      </c>
    </row>
    <row r="3" customFormat="false" ht="15" hidden="false" customHeight="false" outlineLevel="0" collapsed="false">
      <c r="A3" s="7" t="n">
        <v>2007</v>
      </c>
      <c r="B3" s="7" t="n">
        <f aca="false">COUNTIF(EV_Chargers!$D:$D,A3)</f>
        <v>3</v>
      </c>
      <c r="C3" s="7" t="n">
        <f aca="false">SUMIF(EV_Chargers!$D:$D,A3,EV_Chargers!$I:$I)</f>
        <v>7</v>
      </c>
      <c r="D3" s="7" t="n">
        <f aca="false">COUNTIF(Transport_Stops!$E:$E,A3)</f>
        <v>0</v>
      </c>
      <c r="E3" s="7" t="n">
        <f aca="false">COUNTIF(Sports_Facilities!$C:$C,A3)</f>
        <v>2</v>
      </c>
      <c r="F3" s="7" t="n">
        <f aca="false">COUNTIF(Taxi_Ranks!$B:$B,A3)</f>
        <v>0</v>
      </c>
      <c r="G3" s="7" t="n">
        <f aca="false">B3+D3+E3+F3</f>
        <v>5</v>
      </c>
      <c r="H3" s="7" t="n">
        <f aca="false">(B3&gt;0)+(D3&gt;0)+(E3&gt;0)+(F3&gt;0)</f>
        <v>2</v>
      </c>
    </row>
    <row r="4" customFormat="false" ht="15" hidden="false" customHeight="false" outlineLevel="0" collapsed="false">
      <c r="A4" s="7" t="n">
        <v>2008</v>
      </c>
      <c r="B4" s="7" t="n">
        <f aca="false">COUNTIF(EV_Chargers!$D:$D,A4)</f>
        <v>2</v>
      </c>
      <c r="C4" s="7" t="n">
        <f aca="false">SUMIF(EV_Chargers!$D:$D,A4,EV_Chargers!$I:$I)</f>
        <v>6</v>
      </c>
      <c r="D4" s="7" t="n">
        <f aca="false">COUNTIF(Transport_Stops!$E:$E,A4)</f>
        <v>1</v>
      </c>
      <c r="E4" s="7" t="n">
        <f aca="false">COUNTIF(Sports_Facilities!$C:$C,A4)</f>
        <v>2</v>
      </c>
      <c r="F4" s="7" t="n">
        <f aca="false">COUNTIF(Taxi_Ranks!$B:$B,A4)</f>
        <v>0</v>
      </c>
      <c r="G4" s="7" t="n">
        <f aca="false">B4+D4+E4+F4</f>
        <v>5</v>
      </c>
      <c r="H4" s="7" t="n">
        <f aca="false">(B4&gt;0)+(D4&gt;0)+(E4&gt;0)+(F4&gt;0)</f>
        <v>3</v>
      </c>
    </row>
    <row r="5" customFormat="false" ht="15" hidden="false" customHeight="false" outlineLevel="0" collapsed="false">
      <c r="A5" s="7" t="n">
        <v>2009</v>
      </c>
      <c r="B5" s="7" t="n">
        <f aca="false">COUNTIF(EV_Chargers!$D:$D,A5)</f>
        <v>2</v>
      </c>
      <c r="C5" s="7" t="n">
        <f aca="false">SUMIF(EV_Chargers!$D:$D,A5,EV_Chargers!$I:$I)</f>
        <v>4</v>
      </c>
      <c r="D5" s="7" t="n">
        <f aca="false">COUNTIF(Transport_Stops!$E:$E,A5)</f>
        <v>8</v>
      </c>
      <c r="E5" s="7" t="n">
        <f aca="false">COUNTIF(Sports_Facilities!$C:$C,A5)</f>
        <v>3</v>
      </c>
      <c r="F5" s="7" t="n">
        <f aca="false">COUNTIF(Taxi_Ranks!$B:$B,A5)</f>
        <v>3</v>
      </c>
      <c r="G5" s="7" t="n">
        <f aca="false">B5+D5+E5+F5</f>
        <v>16</v>
      </c>
      <c r="H5" s="7" t="n">
        <f aca="false">(B5&gt;0)+(D5&gt;0)+(E5&gt;0)+(F5&gt;0)</f>
        <v>4</v>
      </c>
    </row>
    <row r="6" customFormat="false" ht="15" hidden="false" customHeight="false" outlineLevel="0" collapsed="false">
      <c r="A6" s="7" t="n">
        <v>2010</v>
      </c>
      <c r="B6" s="7" t="n">
        <f aca="false">COUNTIF(EV_Chargers!$D:$D,A6)</f>
        <v>8</v>
      </c>
      <c r="C6" s="7" t="n">
        <f aca="false">SUMIF(EV_Chargers!$D:$D,A6,EV_Chargers!$I:$I)</f>
        <v>16</v>
      </c>
      <c r="D6" s="7" t="n">
        <f aca="false">COUNTIF(Transport_Stops!$E:$E,A6)</f>
        <v>1</v>
      </c>
      <c r="E6" s="7" t="n">
        <f aca="false">COUNTIF(Sports_Facilities!$C:$C,A6)</f>
        <v>5</v>
      </c>
      <c r="F6" s="7" t="n">
        <f aca="false">COUNTIF(Taxi_Ranks!$B:$B,A6)</f>
        <v>2</v>
      </c>
      <c r="G6" s="7" t="n">
        <f aca="false">B6+D6+E6+F6</f>
        <v>16</v>
      </c>
      <c r="H6" s="7" t="n">
        <f aca="false">(B6&gt;0)+(D6&gt;0)+(E6&gt;0)+(F6&gt;0)</f>
        <v>4</v>
      </c>
    </row>
    <row r="7" customFormat="false" ht="15" hidden="false" customHeight="false" outlineLevel="0" collapsed="false">
      <c r="A7" s="7" t="n">
        <v>2011</v>
      </c>
      <c r="B7" s="7" t="n">
        <f aca="false">COUNTIF(EV_Chargers!$D:$D,A7)</f>
        <v>3</v>
      </c>
      <c r="C7" s="7" t="n">
        <f aca="false">SUMIF(EV_Chargers!$D:$D,A7,EV_Chargers!$I:$I)</f>
        <v>9</v>
      </c>
      <c r="D7" s="7" t="n">
        <f aca="false">COUNTIF(Transport_Stops!$E:$E,A7)</f>
        <v>2</v>
      </c>
      <c r="E7" s="7" t="n">
        <f aca="false">COUNTIF(Sports_Facilities!$C:$C,A7)</f>
        <v>6</v>
      </c>
      <c r="F7" s="7" t="n">
        <f aca="false">COUNTIF(Taxi_Ranks!$B:$B,A7)</f>
        <v>3</v>
      </c>
      <c r="G7" s="7" t="n">
        <f aca="false">B7+D7+E7+F7</f>
        <v>14</v>
      </c>
      <c r="H7" s="7" t="n">
        <f aca="false">(B7&gt;0)+(D7&gt;0)+(E7&gt;0)+(F7&gt;0)</f>
        <v>4</v>
      </c>
    </row>
    <row r="8" customFormat="false" ht="15" hidden="false" customHeight="false" outlineLevel="0" collapsed="false">
      <c r="A8" s="7" t="n">
        <v>2015</v>
      </c>
      <c r="B8" s="7" t="n">
        <f aca="false">COUNTIF(EV_Chargers!$D:$D,A8)</f>
        <v>8</v>
      </c>
      <c r="C8" s="7" t="n">
        <f aca="false">SUMIF(EV_Chargers!$D:$D,A8,EV_Chargers!$I:$I)</f>
        <v>25</v>
      </c>
      <c r="D8" s="7" t="n">
        <f aca="false">COUNTIF(Transport_Stops!$E:$E,A8)</f>
        <v>3</v>
      </c>
      <c r="E8" s="7" t="n">
        <f aca="false">COUNTIF(Sports_Facilities!$C:$C,A8)</f>
        <v>7</v>
      </c>
      <c r="F8" s="7" t="n">
        <f aca="false">COUNTIF(Taxi_Ranks!$B:$B,A8)</f>
        <v>1</v>
      </c>
      <c r="G8" s="7" t="n">
        <f aca="false">B8+D8+E8+F8</f>
        <v>19</v>
      </c>
      <c r="H8" s="7" t="n">
        <f aca="false">(B8&gt;0)+(D8&gt;0)+(E8&gt;0)+(F8&gt;0)</f>
        <v>4</v>
      </c>
    </row>
    <row r="9" customFormat="false" ht="15" hidden="false" customHeight="false" outlineLevel="0" collapsed="false">
      <c r="A9" s="7" t="n">
        <v>2016</v>
      </c>
      <c r="B9" s="7" t="n">
        <f aca="false">COUNTIF(EV_Chargers!$D:$D,A9)</f>
        <v>2</v>
      </c>
      <c r="C9" s="7" t="n">
        <f aca="false">SUMIF(EV_Chargers!$D:$D,A9,EV_Chargers!$I:$I)</f>
        <v>12</v>
      </c>
      <c r="D9" s="7" t="n">
        <f aca="false">COUNTIF(Transport_Stops!$E:$E,A9)</f>
        <v>0</v>
      </c>
      <c r="E9" s="7" t="n">
        <f aca="false">COUNTIF(Sports_Facilities!$C:$C,A9)</f>
        <v>5</v>
      </c>
      <c r="F9" s="7" t="n">
        <f aca="false">COUNTIF(Taxi_Ranks!$B:$B,A9)</f>
        <v>0</v>
      </c>
      <c r="G9" s="7" t="n">
        <f aca="false">B9+D9+E9+F9</f>
        <v>7</v>
      </c>
      <c r="H9" s="7" t="n">
        <f aca="false">(B9&gt;0)+(D9&gt;0)+(E9&gt;0)+(F9&gt;0)</f>
        <v>2</v>
      </c>
    </row>
    <row r="10" customFormat="false" ht="15" hidden="false" customHeight="false" outlineLevel="0" collapsed="false">
      <c r="A10" s="7" t="n">
        <v>2017</v>
      </c>
      <c r="B10" s="7" t="n">
        <f aca="false">COUNTIF(EV_Chargers!$D:$D,A10)</f>
        <v>6</v>
      </c>
      <c r="C10" s="7" t="n">
        <f aca="false">SUMIF(EV_Chargers!$D:$D,A10,EV_Chargers!$I:$I)</f>
        <v>25</v>
      </c>
      <c r="D10" s="7" t="n">
        <f aca="false">COUNTIF(Transport_Stops!$E:$E,A10)</f>
        <v>1</v>
      </c>
      <c r="E10" s="7" t="n">
        <f aca="false">COUNTIF(Sports_Facilities!$C:$C,A10)</f>
        <v>9</v>
      </c>
      <c r="F10" s="7" t="n">
        <f aca="false">COUNTIF(Taxi_Ranks!$B:$B,A10)</f>
        <v>0</v>
      </c>
      <c r="G10" s="7" t="n">
        <f aca="false">B10+D10+E10+F10</f>
        <v>16</v>
      </c>
      <c r="H10" s="7" t="n">
        <f aca="false">(B10&gt;0)+(D10&gt;0)+(E10&gt;0)+(F10&gt;0)</f>
        <v>3</v>
      </c>
    </row>
    <row r="11" customFormat="false" ht="15" hidden="false" customHeight="false" outlineLevel="0" collapsed="false">
      <c r="A11" s="7" t="n">
        <v>2018</v>
      </c>
      <c r="B11" s="7" t="n">
        <f aca="false">COUNTIF(EV_Chargers!$D:$D,A11)</f>
        <v>3</v>
      </c>
      <c r="C11" s="7" t="n">
        <f aca="false">SUMIF(EV_Chargers!$D:$D,A11,EV_Chargers!$I:$I)</f>
        <v>14</v>
      </c>
      <c r="D11" s="7" t="n">
        <f aca="false">COUNTIF(Transport_Stops!$E:$E,A11)</f>
        <v>0</v>
      </c>
      <c r="E11" s="7" t="n">
        <f aca="false">COUNTIF(Sports_Facilities!$C:$C,A11)</f>
        <v>3</v>
      </c>
      <c r="F11" s="7" t="n">
        <f aca="false">COUNTIF(Taxi_Ranks!$B:$B,A11)</f>
        <v>0</v>
      </c>
      <c r="G11" s="7" t="n">
        <f aca="false">B11+D11+E11+F11</f>
        <v>6</v>
      </c>
      <c r="H11" s="7" t="n">
        <f aca="false">(B11&gt;0)+(D11&gt;0)+(E11&gt;0)+(F11&gt;0)</f>
        <v>2</v>
      </c>
    </row>
    <row r="12" customFormat="false" ht="15" hidden="false" customHeight="false" outlineLevel="0" collapsed="false">
      <c r="A12" s="7" t="n">
        <v>2019</v>
      </c>
      <c r="B12" s="7" t="n">
        <f aca="false">COUNTIF(EV_Chargers!$D:$D,A12)</f>
        <v>3</v>
      </c>
      <c r="C12" s="7" t="n">
        <f aca="false">SUMIF(EV_Chargers!$D:$D,A12,EV_Chargers!$I:$I)</f>
        <v>6</v>
      </c>
      <c r="D12" s="7" t="n">
        <f aca="false">COUNTIF(Transport_Stops!$E:$E,A12)</f>
        <v>0</v>
      </c>
      <c r="E12" s="7" t="n">
        <f aca="false">COUNTIF(Sports_Facilities!$C:$C,A12)</f>
        <v>0</v>
      </c>
      <c r="F12" s="7" t="n">
        <f aca="false">COUNTIF(Taxi_Ranks!$B:$B,A12)</f>
        <v>0</v>
      </c>
      <c r="G12" s="7" t="n">
        <f aca="false">B12+D12+E12+F12</f>
        <v>3</v>
      </c>
      <c r="H12" s="7" t="n">
        <f aca="false">(B12&gt;0)+(D12&gt;0)+(E12&gt;0)+(F12&gt;0)</f>
        <v>1</v>
      </c>
    </row>
    <row r="13" customFormat="false" ht="15" hidden="false" customHeight="false" outlineLevel="0" collapsed="false">
      <c r="A13" s="7" t="n">
        <v>2020</v>
      </c>
      <c r="B13" s="7" t="n">
        <f aca="false">COUNTIF(EV_Chargers!$D:$D,A13)</f>
        <v>11</v>
      </c>
      <c r="C13" s="7" t="n">
        <f aca="false">SUMIF(EV_Chargers!$D:$D,A13,EV_Chargers!$I:$I)</f>
        <v>35</v>
      </c>
      <c r="D13" s="7" t="n">
        <f aca="false">COUNTIF(Transport_Stops!$E:$E,A13)</f>
        <v>3</v>
      </c>
      <c r="E13" s="7" t="n">
        <f aca="false">COUNTIF(Sports_Facilities!$C:$C,A13)</f>
        <v>0</v>
      </c>
      <c r="F13" s="7" t="n">
        <f aca="false">COUNTIF(Taxi_Ranks!$B:$B,A13)</f>
        <v>1</v>
      </c>
      <c r="G13" s="7" t="n">
        <f aca="false">B13+D13+E13+F13</f>
        <v>15</v>
      </c>
      <c r="H13" s="7" t="n">
        <f aca="false">(B13&gt;0)+(D13&gt;0)+(E13&gt;0)+(F13&gt;0)</f>
        <v>3</v>
      </c>
    </row>
    <row r="14" customFormat="false" ht="15" hidden="false" customHeight="false" outlineLevel="0" collapsed="false">
      <c r="A14" s="7" t="n">
        <v>2021</v>
      </c>
      <c r="B14" s="7" t="n">
        <f aca="false">COUNTIF(EV_Chargers!$D:$D,A14)</f>
        <v>23</v>
      </c>
      <c r="C14" s="7" t="n">
        <f aca="false">SUMIF(EV_Chargers!$D:$D,A14,EV_Chargers!$I:$I)</f>
        <v>32</v>
      </c>
      <c r="D14" s="7" t="n">
        <f aca="false">COUNTIF(Transport_Stops!$E:$E,A14)</f>
        <v>2</v>
      </c>
      <c r="E14" s="7" t="n">
        <f aca="false">COUNTIF(Sports_Facilities!$C:$C,A14)</f>
        <v>4</v>
      </c>
      <c r="F14" s="7" t="n">
        <f aca="false">COUNTIF(Taxi_Ranks!$B:$B,A14)</f>
        <v>0</v>
      </c>
      <c r="G14" s="7" t="n">
        <f aca="false">B14+D14+E14+F14</f>
        <v>29</v>
      </c>
      <c r="H14" s="7" t="n">
        <f aca="false">(B14&gt;0)+(D14&gt;0)+(E14&gt;0)+(F14&gt;0)</f>
        <v>3</v>
      </c>
    </row>
    <row r="15" customFormat="false" ht="15" hidden="false" customHeight="false" outlineLevel="0" collapsed="false">
      <c r="A15" s="7" t="n">
        <v>2022</v>
      </c>
      <c r="B15" s="7" t="n">
        <f aca="false">COUNTIF(EV_Chargers!$D:$D,A15)</f>
        <v>20</v>
      </c>
      <c r="C15" s="7" t="n">
        <f aca="false">SUMIF(EV_Chargers!$D:$D,A15,EV_Chargers!$I:$I)</f>
        <v>31</v>
      </c>
      <c r="D15" s="7" t="n">
        <f aca="false">COUNTIF(Transport_Stops!$E:$E,A15)</f>
        <v>1</v>
      </c>
      <c r="E15" s="7" t="n">
        <f aca="false">COUNTIF(Sports_Facilities!$C:$C,A15)</f>
        <v>0</v>
      </c>
      <c r="F15" s="7" t="n">
        <f aca="false">COUNTIF(Taxi_Ranks!$B:$B,A15)</f>
        <v>1</v>
      </c>
      <c r="G15" s="7" t="n">
        <f aca="false">B15+D15+E15+F15</f>
        <v>22</v>
      </c>
      <c r="H15" s="7" t="n">
        <f aca="false">(B15&gt;0)+(D15&gt;0)+(E15&gt;0)+(F15&gt;0)</f>
        <v>3</v>
      </c>
    </row>
    <row r="16" customFormat="false" ht="15" hidden="false" customHeight="false" outlineLevel="0" collapsed="false">
      <c r="A16" s="7" t="n">
        <v>2023</v>
      </c>
      <c r="B16" s="7" t="n">
        <f aca="false">COUNTIF(EV_Chargers!$D:$D,A16)</f>
        <v>5</v>
      </c>
      <c r="C16" s="7" t="n">
        <f aca="false">SUMIF(EV_Chargers!$D:$D,A16,EV_Chargers!$I:$I)</f>
        <v>10</v>
      </c>
      <c r="D16" s="7" t="n">
        <f aca="false">COUNTIF(Transport_Stops!$E:$E,A16)</f>
        <v>0</v>
      </c>
      <c r="E16" s="7" t="n">
        <f aca="false">COUNTIF(Sports_Facilities!$C:$C,A16)</f>
        <v>0</v>
      </c>
      <c r="F16" s="7" t="n">
        <f aca="false">COUNTIF(Taxi_Ranks!$B:$B,A16)</f>
        <v>0</v>
      </c>
      <c r="G16" s="7" t="n">
        <f aca="false">B16+D16+E16+F16</f>
        <v>5</v>
      </c>
      <c r="H16" s="7" t="n">
        <f aca="false">(B16&gt;0)+(D16&gt;0)+(E16&gt;0)+(F16&gt;0)</f>
        <v>1</v>
      </c>
    </row>
    <row r="17" customFormat="false" ht="15" hidden="false" customHeight="false" outlineLevel="0" collapsed="false">
      <c r="A17" s="7" t="n">
        <v>2024</v>
      </c>
      <c r="B17" s="7" t="n">
        <f aca="false">COUNTIF(EV_Chargers!$D:$D,A17)</f>
        <v>12</v>
      </c>
      <c r="C17" s="7" t="n">
        <f aca="false">SUMIF(EV_Chargers!$D:$D,A17,EV_Chargers!$I:$I)</f>
        <v>24</v>
      </c>
      <c r="D17" s="7" t="n">
        <f aca="false">COUNTIF(Transport_Stops!$E:$E,A17)</f>
        <v>0</v>
      </c>
      <c r="E17" s="7" t="n">
        <f aca="false">COUNTIF(Sports_Facilities!$C:$C,A17)</f>
        <v>0</v>
      </c>
      <c r="F17" s="7" t="n">
        <f aca="false">COUNTIF(Taxi_Ranks!$B:$B,A17)</f>
        <v>0</v>
      </c>
      <c r="G17" s="7" t="n">
        <f aca="false">B17+D17+E17+F17</f>
        <v>12</v>
      </c>
      <c r="H17" s="7" t="n">
        <f aca="false">(B17&gt;0)+(D17&gt;0)+(E17&gt;0)+(F17&gt;0)</f>
        <v>1</v>
      </c>
    </row>
    <row r="18" customFormat="false" ht="15" hidden="false" customHeight="false" outlineLevel="0" collapsed="false">
      <c r="A18" s="7" t="n">
        <v>2025</v>
      </c>
      <c r="B18" s="7" t="n">
        <f aca="false">COUNTIF(EV_Chargers!$D:$D,A18)</f>
        <v>7</v>
      </c>
      <c r="C18" s="7" t="n">
        <f aca="false">SUMIF(EV_Chargers!$D:$D,A18,EV_Chargers!$I:$I)</f>
        <v>11</v>
      </c>
      <c r="D18" s="7" t="n">
        <f aca="false">COUNTIF(Transport_Stops!$E:$E,A18)</f>
        <v>0</v>
      </c>
      <c r="E18" s="7" t="n">
        <f aca="false">COUNTIF(Sports_Facilities!$C:$C,A18)</f>
        <v>0</v>
      </c>
      <c r="F18" s="7" t="n">
        <f aca="false">COUNTIF(Taxi_Ranks!$B:$B,A18)</f>
        <v>0</v>
      </c>
      <c r="G18" s="7" t="n">
        <f aca="false">B18+D18+E18+F18</f>
        <v>7</v>
      </c>
      <c r="H18" s="7" t="n">
        <f aca="false">(B18&gt;0)+(D18&gt;0)+(E18&gt;0)+(F18&gt;0)</f>
        <v>1</v>
      </c>
    </row>
    <row r="19" customFormat="false" ht="15" hidden="false" customHeight="false" outlineLevel="0" collapsed="false">
      <c r="A19" s="7" t="n">
        <v>2026</v>
      </c>
      <c r="B19" s="7" t="n">
        <f aca="false">COUNTIF(EV_Chargers!$D:$D,A19)</f>
        <v>30</v>
      </c>
      <c r="C19" s="7" t="n">
        <f aca="false">SUMIF(EV_Chargers!$D:$D,A19,EV_Chargers!$I:$I)</f>
        <v>55</v>
      </c>
      <c r="D19" s="7" t="n">
        <f aca="false">COUNTIF(Transport_Stops!$E:$E,A19)</f>
        <v>0</v>
      </c>
      <c r="E19" s="7" t="n">
        <f aca="false">COUNTIF(Sports_Facilities!$C:$C,A19)</f>
        <v>0</v>
      </c>
      <c r="F19" s="7" t="n">
        <f aca="false">COUNTIF(Taxi_Ranks!$B:$B,A19)</f>
        <v>0</v>
      </c>
      <c r="G19" s="7" t="n">
        <f aca="false">B19+D19+E19+F19</f>
        <v>30</v>
      </c>
      <c r="H19" s="7" t="n">
        <f aca="false">(B19&gt;0)+(D19&gt;0)+(E19&gt;0)+(F19&gt;0)</f>
        <v>1</v>
      </c>
    </row>
    <row r="20" customFormat="false" ht="15" hidden="false" customHeight="false" outlineLevel="0" collapsed="false">
      <c r="A20" s="7" t="n">
        <v>2027</v>
      </c>
      <c r="B20" s="7" t="n">
        <f aca="false">COUNTIF(EV_Chargers!$D:$D,A20)</f>
        <v>4</v>
      </c>
      <c r="C20" s="7" t="n">
        <f aca="false">SUMIF(EV_Chargers!$D:$D,A20,EV_Chargers!$I:$I)</f>
        <v>9</v>
      </c>
      <c r="D20" s="7" t="n">
        <f aca="false">COUNTIF(Transport_Stops!$E:$E,A20)</f>
        <v>2</v>
      </c>
      <c r="E20" s="7" t="n">
        <f aca="false">COUNTIF(Sports_Facilities!$C:$C,A20)</f>
        <v>0</v>
      </c>
      <c r="F20" s="7" t="n">
        <f aca="false">COUNTIF(Taxi_Ranks!$B:$B,A20)</f>
        <v>2</v>
      </c>
      <c r="G20" s="7" t="n">
        <f aca="false">B20+D20+E20+F20</f>
        <v>8</v>
      </c>
      <c r="H20" s="7" t="n">
        <f aca="false">(B20&gt;0)+(D20&gt;0)+(E20&gt;0)+(F20&gt;0)</f>
        <v>3</v>
      </c>
    </row>
    <row r="21" customFormat="false" ht="15" hidden="false" customHeight="false" outlineLevel="0" collapsed="false">
      <c r="A21" s="7" t="n">
        <v>2028</v>
      </c>
      <c r="B21" s="7" t="n">
        <f aca="false">COUNTIF(EV_Chargers!$D:$D,A21)</f>
        <v>5</v>
      </c>
      <c r="C21" s="7" t="n">
        <f aca="false">SUMIF(EV_Chargers!$D:$D,A21,EV_Chargers!$I:$I)</f>
        <v>16</v>
      </c>
      <c r="D21" s="7" t="n">
        <f aca="false">COUNTIF(Transport_Stops!$E:$E,A21)</f>
        <v>1</v>
      </c>
      <c r="E21" s="7" t="n">
        <f aca="false">COUNTIF(Sports_Facilities!$C:$C,A21)</f>
        <v>0</v>
      </c>
      <c r="F21" s="7" t="n">
        <f aca="false">COUNTIF(Taxi_Ranks!$B:$B,A21)</f>
        <v>1</v>
      </c>
      <c r="G21" s="7" t="n">
        <f aca="false">B21+D21+E21+F21</f>
        <v>7</v>
      </c>
      <c r="H21" s="7" t="n">
        <f aca="false">(B21&gt;0)+(D21&gt;0)+(E21&gt;0)+(F21&gt;0)</f>
        <v>3</v>
      </c>
    </row>
    <row r="22" customFormat="false" ht="15" hidden="false" customHeight="false" outlineLevel="0" collapsed="false">
      <c r="A22" s="7" t="n">
        <v>2029</v>
      </c>
      <c r="B22" s="7" t="n">
        <f aca="false">COUNTIF(EV_Chargers!$D:$D,A22)</f>
        <v>13</v>
      </c>
      <c r="C22" s="7" t="n">
        <f aca="false">SUMIF(EV_Chargers!$D:$D,A22,EV_Chargers!$I:$I)</f>
        <v>26</v>
      </c>
      <c r="D22" s="7" t="n">
        <f aca="false">COUNTIF(Transport_Stops!$E:$E,A22)</f>
        <v>1</v>
      </c>
      <c r="E22" s="7" t="n">
        <f aca="false">COUNTIF(Sports_Facilities!$C:$C,A22)</f>
        <v>0</v>
      </c>
      <c r="F22" s="7" t="n">
        <f aca="false">COUNTIF(Taxi_Ranks!$B:$B,A22)</f>
        <v>0</v>
      </c>
      <c r="G22" s="7" t="n">
        <f aca="false">B22+D22+E22+F22</f>
        <v>14</v>
      </c>
      <c r="H22" s="7" t="n">
        <f aca="false">(B22&gt;0)+(D22&gt;0)+(E22&gt;0)+(F22&gt;0)</f>
        <v>2</v>
      </c>
    </row>
    <row r="23" customFormat="false" ht="15" hidden="false" customHeight="false" outlineLevel="0" collapsed="false">
      <c r="A23" s="7" t="n">
        <v>2030</v>
      </c>
      <c r="B23" s="7" t="n">
        <f aca="false">COUNTIF(EV_Chargers!$D:$D,A23)</f>
        <v>9</v>
      </c>
      <c r="C23" s="7" t="n">
        <f aca="false">SUMIF(EV_Chargers!$D:$D,A23,EV_Chargers!$I:$I)</f>
        <v>13</v>
      </c>
      <c r="D23" s="7" t="n">
        <f aca="false">COUNTIF(Transport_Stops!$E:$E,A23)</f>
        <v>1</v>
      </c>
      <c r="E23" s="7" t="n">
        <f aca="false">COUNTIF(Sports_Facilities!$C:$C,A23)</f>
        <v>0</v>
      </c>
      <c r="F23" s="7" t="n">
        <f aca="false">COUNTIF(Taxi_Ranks!$B:$B,A23)</f>
        <v>0</v>
      </c>
      <c r="G23" s="7" t="n">
        <f aca="false">B23+D23+E23+F23</f>
        <v>10</v>
      </c>
      <c r="H23" s="7" t="n">
        <f aca="false">(B23&gt;0)+(D23&gt;0)+(E23&gt;0)+(F23&gt;0)</f>
        <v>2</v>
      </c>
    </row>
    <row r="24" customFormat="false" ht="15" hidden="false" customHeight="false" outlineLevel="0" collapsed="false">
      <c r="A24" s="7" t="n">
        <v>2031</v>
      </c>
      <c r="B24" s="7" t="n">
        <f aca="false">COUNTIF(EV_Chargers!$D:$D,A24)</f>
        <v>30</v>
      </c>
      <c r="C24" s="7" t="n">
        <f aca="false">SUMIF(EV_Chargers!$D:$D,A24,EV_Chargers!$I:$I)</f>
        <v>43</v>
      </c>
      <c r="D24" s="7" t="n">
        <f aca="false">COUNTIF(Transport_Stops!$E:$E,A24)</f>
        <v>3</v>
      </c>
      <c r="E24" s="7" t="n">
        <f aca="false">COUNTIF(Sports_Facilities!$C:$C,A24)</f>
        <v>0</v>
      </c>
      <c r="F24" s="7" t="n">
        <f aca="false">COUNTIF(Taxi_Ranks!$B:$B,A24)</f>
        <v>0</v>
      </c>
      <c r="G24" s="7" t="n">
        <f aca="false">B24+D24+E24+F24</f>
        <v>33</v>
      </c>
      <c r="H24" s="7" t="n">
        <f aca="false">(B24&gt;0)+(D24&gt;0)+(E24&gt;0)+(F24&gt;0)</f>
        <v>2</v>
      </c>
    </row>
    <row r="25" customFormat="false" ht="15" hidden="false" customHeight="false" outlineLevel="0" collapsed="false">
      <c r="A25" s="7" t="n">
        <v>2032</v>
      </c>
      <c r="B25" s="7" t="n">
        <f aca="false">COUNTIF(EV_Chargers!$D:$D,A25)</f>
        <v>10</v>
      </c>
      <c r="C25" s="7" t="n">
        <f aca="false">SUMIF(EV_Chargers!$D:$D,A25,EV_Chargers!$I:$I)</f>
        <v>23</v>
      </c>
      <c r="D25" s="7" t="n">
        <f aca="false">COUNTIF(Transport_Stops!$E:$E,A25)</f>
        <v>2</v>
      </c>
      <c r="E25" s="7" t="n">
        <f aca="false">COUNTIF(Sports_Facilities!$C:$C,A25)</f>
        <v>0</v>
      </c>
      <c r="F25" s="7" t="n">
        <f aca="false">COUNTIF(Taxi_Ranks!$B:$B,A25)</f>
        <v>0</v>
      </c>
      <c r="G25" s="7" t="n">
        <f aca="false">B25+D25+E25+F25</f>
        <v>12</v>
      </c>
      <c r="H25" s="7" t="n">
        <f aca="false">(B25&gt;0)+(D25&gt;0)+(E25&gt;0)+(F25&gt;0)</f>
        <v>2</v>
      </c>
    </row>
    <row r="26" customFormat="false" ht="15" hidden="false" customHeight="false" outlineLevel="0" collapsed="false">
      <c r="A26" s="7" t="n">
        <v>2033</v>
      </c>
      <c r="B26" s="7" t="n">
        <f aca="false">COUNTIF(EV_Chargers!$D:$D,A26)</f>
        <v>13</v>
      </c>
      <c r="C26" s="7" t="n">
        <f aca="false">SUMIF(EV_Chargers!$D:$D,A26,EV_Chargers!$I:$I)</f>
        <v>36</v>
      </c>
      <c r="D26" s="7" t="n">
        <f aca="false">COUNTIF(Transport_Stops!$E:$E,A26)</f>
        <v>2</v>
      </c>
      <c r="E26" s="7" t="n">
        <f aca="false">COUNTIF(Sports_Facilities!$C:$C,A26)</f>
        <v>0</v>
      </c>
      <c r="F26" s="7" t="n">
        <f aca="false">COUNTIF(Taxi_Ranks!$B:$B,A26)</f>
        <v>0</v>
      </c>
      <c r="G26" s="7" t="n">
        <f aca="false">B26+D26+E26+F26</f>
        <v>15</v>
      </c>
      <c r="H26" s="7" t="n">
        <f aca="false">(B26&gt;0)+(D26&gt;0)+(E26&gt;0)+(F26&gt;0)</f>
        <v>2</v>
      </c>
    </row>
    <row r="27" customFormat="false" ht="15" hidden="false" customHeight="false" outlineLevel="0" collapsed="false">
      <c r="A27" s="7" t="n">
        <v>2034</v>
      </c>
      <c r="B27" s="7" t="n">
        <f aca="false">COUNTIF(EV_Chargers!$D:$D,A27)</f>
        <v>13</v>
      </c>
      <c r="C27" s="7" t="n">
        <f aca="false">SUMIF(EV_Chargers!$D:$D,A27,EV_Chargers!$I:$I)</f>
        <v>17</v>
      </c>
      <c r="D27" s="7" t="n">
        <f aca="false">COUNTIF(Transport_Stops!$E:$E,A27)</f>
        <v>0</v>
      </c>
      <c r="E27" s="7" t="n">
        <f aca="false">COUNTIF(Sports_Facilities!$C:$C,A27)</f>
        <v>0</v>
      </c>
      <c r="F27" s="7" t="n">
        <f aca="false">COUNTIF(Taxi_Ranks!$B:$B,A27)</f>
        <v>1</v>
      </c>
      <c r="G27" s="7" t="n">
        <f aca="false">B27+D27+E27+F27</f>
        <v>14</v>
      </c>
      <c r="H27" s="7" t="n">
        <f aca="false">(B27&gt;0)+(D27&gt;0)+(E27&gt;0)+(F27&gt;0)</f>
        <v>2</v>
      </c>
    </row>
    <row r="28" customFormat="false" ht="15" hidden="false" customHeight="false" outlineLevel="0" collapsed="false">
      <c r="A28" s="7" t="n">
        <v>2035</v>
      </c>
      <c r="B28" s="7" t="n">
        <f aca="false">COUNTIF(EV_Chargers!$D:$D,A28)</f>
        <v>17</v>
      </c>
      <c r="C28" s="7" t="n">
        <f aca="false">SUMIF(EV_Chargers!$D:$D,A28,EV_Chargers!$I:$I)</f>
        <v>37</v>
      </c>
      <c r="D28" s="7" t="n">
        <f aca="false">COUNTIF(Transport_Stops!$E:$E,A28)</f>
        <v>0</v>
      </c>
      <c r="E28" s="7" t="n">
        <f aca="false">COUNTIF(Sports_Facilities!$C:$C,A28)</f>
        <v>0</v>
      </c>
      <c r="F28" s="7" t="n">
        <f aca="false">COUNTIF(Taxi_Ranks!$B:$B,A28)</f>
        <v>1</v>
      </c>
      <c r="G28" s="7" t="n">
        <f aca="false">B28+D28+E28+F28</f>
        <v>18</v>
      </c>
      <c r="H28" s="7" t="n">
        <f aca="false">(B28&gt;0)+(D28&gt;0)+(E28&gt;0)+(F28&gt;0)</f>
        <v>2</v>
      </c>
    </row>
    <row r="29" customFormat="false" ht="15" hidden="false" customHeight="false" outlineLevel="0" collapsed="false">
      <c r="A29" s="7" t="n">
        <v>2036</v>
      </c>
      <c r="B29" s="7" t="n">
        <f aca="false">COUNTIF(EV_Chargers!$D:$D,A29)</f>
        <v>17</v>
      </c>
      <c r="C29" s="7" t="n">
        <f aca="false">SUMIF(EV_Chargers!$D:$D,A29,EV_Chargers!$I:$I)</f>
        <v>39</v>
      </c>
      <c r="D29" s="7" t="n">
        <f aca="false">COUNTIF(Transport_Stops!$E:$E,A29)</f>
        <v>0</v>
      </c>
      <c r="E29" s="7" t="n">
        <f aca="false">COUNTIF(Sports_Facilities!$C:$C,A29)</f>
        <v>0</v>
      </c>
      <c r="F29" s="7" t="n">
        <f aca="false">COUNTIF(Taxi_Ranks!$B:$B,A29)</f>
        <v>1</v>
      </c>
      <c r="G29" s="7" t="n">
        <f aca="false">B29+D29+E29+F29</f>
        <v>18</v>
      </c>
      <c r="H29" s="7" t="n">
        <f aca="false">(B29&gt;0)+(D29&gt;0)+(E29&gt;0)+(F29&gt;0)</f>
        <v>2</v>
      </c>
    </row>
    <row r="30" customFormat="false" ht="15" hidden="false" customHeight="false" outlineLevel="0" collapsed="false">
      <c r="A30" s="7" t="n">
        <v>2037</v>
      </c>
      <c r="B30" s="7" t="n">
        <f aca="false">COUNTIF(EV_Chargers!$D:$D,A30)</f>
        <v>5</v>
      </c>
      <c r="C30" s="7" t="n">
        <f aca="false">SUMIF(EV_Chargers!$D:$D,A30,EV_Chargers!$I:$I)</f>
        <v>27</v>
      </c>
      <c r="D30" s="7" t="n">
        <f aca="false">COUNTIF(Transport_Stops!$E:$E,A30)</f>
        <v>3</v>
      </c>
      <c r="E30" s="7" t="n">
        <f aca="false">COUNTIF(Sports_Facilities!$C:$C,A30)</f>
        <v>7</v>
      </c>
      <c r="F30" s="7" t="n">
        <f aca="false">COUNTIF(Taxi_Ranks!$B:$B,A30)</f>
        <v>0</v>
      </c>
      <c r="G30" s="7" t="n">
        <f aca="false">B30+D30+E30+F30</f>
        <v>15</v>
      </c>
      <c r="H30" s="7" t="n">
        <f aca="false">(B30&gt;0)+(D30&gt;0)+(E30&gt;0)+(F30&gt;0)</f>
        <v>3</v>
      </c>
    </row>
    <row r="31" customFormat="false" ht="15" hidden="false" customHeight="false" outlineLevel="0" collapsed="false">
      <c r="A31" s="7" t="n">
        <v>2038</v>
      </c>
      <c r="B31" s="7" t="n">
        <f aca="false">COUNTIF(EV_Chargers!$D:$D,A31)</f>
        <v>13</v>
      </c>
      <c r="C31" s="7" t="n">
        <f aca="false">SUMIF(EV_Chargers!$D:$D,A31,EV_Chargers!$I:$I)</f>
        <v>15</v>
      </c>
      <c r="D31" s="7" t="n">
        <f aca="false">COUNTIF(Transport_Stops!$E:$E,A31)</f>
        <v>1</v>
      </c>
      <c r="E31" s="7" t="n">
        <f aca="false">COUNTIF(Sports_Facilities!$C:$C,A31)</f>
        <v>2</v>
      </c>
      <c r="F31" s="7" t="n">
        <f aca="false">COUNTIF(Taxi_Ranks!$B:$B,A31)</f>
        <v>0</v>
      </c>
      <c r="G31" s="7" t="n">
        <f aca="false">B31+D31+E31+F31</f>
        <v>16</v>
      </c>
      <c r="H31" s="7" t="n">
        <f aca="false">(B31&gt;0)+(D31&gt;0)+(E31&gt;0)+(F31&gt;0)</f>
        <v>3</v>
      </c>
    </row>
    <row r="32" customFormat="false" ht="15" hidden="false" customHeight="false" outlineLevel="0" collapsed="false">
      <c r="A32" s="7" t="n">
        <v>2039</v>
      </c>
      <c r="B32" s="7" t="n">
        <f aca="false">COUNTIF(EV_Chargers!$D:$D,A32)</f>
        <v>8</v>
      </c>
      <c r="C32" s="7" t="n">
        <f aca="false">SUMIF(EV_Chargers!$D:$D,A32,EV_Chargers!$I:$I)</f>
        <v>15</v>
      </c>
      <c r="D32" s="7" t="n">
        <f aca="false">COUNTIF(Transport_Stops!$E:$E,A32)</f>
        <v>0</v>
      </c>
      <c r="E32" s="7" t="n">
        <f aca="false">COUNTIF(Sports_Facilities!$C:$C,A32)</f>
        <v>0</v>
      </c>
      <c r="F32" s="7" t="n">
        <f aca="false">COUNTIF(Taxi_Ranks!$B:$B,A32)</f>
        <v>0</v>
      </c>
      <c r="G32" s="7" t="n">
        <f aca="false">B32+D32+E32+F32</f>
        <v>8</v>
      </c>
      <c r="H32" s="7" t="n">
        <f aca="false">(B32&gt;0)+(D32&gt;0)+(E32&gt;0)+(F32&gt;0)</f>
        <v>1</v>
      </c>
    </row>
    <row r="33" customFormat="false" ht="15" hidden="false" customHeight="false" outlineLevel="0" collapsed="false">
      <c r="A33" s="7" t="n">
        <v>2040</v>
      </c>
      <c r="B33" s="7" t="n">
        <f aca="false">COUNTIF(EV_Chargers!$D:$D,A33)</f>
        <v>11</v>
      </c>
      <c r="C33" s="7" t="n">
        <f aca="false">SUMIF(EV_Chargers!$D:$D,A33,EV_Chargers!$I:$I)</f>
        <v>29</v>
      </c>
      <c r="D33" s="7" t="n">
        <f aca="false">COUNTIF(Transport_Stops!$E:$E,A33)</f>
        <v>5</v>
      </c>
      <c r="E33" s="7" t="n">
        <f aca="false">COUNTIF(Sports_Facilities!$C:$C,A33)</f>
        <v>0</v>
      </c>
      <c r="F33" s="7" t="n">
        <f aca="false">COUNTIF(Taxi_Ranks!$B:$B,A33)</f>
        <v>0</v>
      </c>
      <c r="G33" s="7" t="n">
        <f aca="false">B33+D33+E33+F33</f>
        <v>16</v>
      </c>
      <c r="H33" s="7" t="n">
        <f aca="false">(B33&gt;0)+(D33&gt;0)+(E33&gt;0)+(F33&gt;0)</f>
        <v>2</v>
      </c>
    </row>
    <row r="34" customFormat="false" ht="15" hidden="false" customHeight="false" outlineLevel="0" collapsed="false">
      <c r="A34" s="7" t="n">
        <v>2041</v>
      </c>
      <c r="B34" s="7" t="n">
        <f aca="false">COUNTIF(EV_Chargers!$D:$D,A34)</f>
        <v>17</v>
      </c>
      <c r="C34" s="7" t="n">
        <f aca="false">SUMIF(EV_Chargers!$D:$D,A34,EV_Chargers!$I:$I)</f>
        <v>23</v>
      </c>
      <c r="D34" s="7" t="n">
        <f aca="false">COUNTIF(Transport_Stops!$E:$E,A34)</f>
        <v>5</v>
      </c>
      <c r="E34" s="7" t="n">
        <f aca="false">COUNTIF(Sports_Facilities!$C:$C,A34)</f>
        <v>0</v>
      </c>
      <c r="F34" s="7" t="n">
        <f aca="false">COUNTIF(Taxi_Ranks!$B:$B,A34)</f>
        <v>1</v>
      </c>
      <c r="G34" s="7" t="n">
        <f aca="false">B34+D34+E34+F34</f>
        <v>23</v>
      </c>
      <c r="H34" s="7" t="n">
        <f aca="false">(B34&gt;0)+(D34&gt;0)+(E34&gt;0)+(F34&gt;0)</f>
        <v>3</v>
      </c>
    </row>
    <row r="35" customFormat="false" ht="15" hidden="false" customHeight="false" outlineLevel="0" collapsed="false">
      <c r="A35" s="7" t="n">
        <v>2042</v>
      </c>
      <c r="B35" s="7" t="n">
        <f aca="false">COUNTIF(EV_Chargers!$D:$D,A35)</f>
        <v>15</v>
      </c>
      <c r="C35" s="7" t="n">
        <f aca="false">SUMIF(EV_Chargers!$D:$D,A35,EV_Chargers!$I:$I)</f>
        <v>18</v>
      </c>
      <c r="D35" s="7" t="n">
        <f aca="false">COUNTIF(Transport_Stops!$E:$E,A35)</f>
        <v>1</v>
      </c>
      <c r="E35" s="7" t="n">
        <f aca="false">COUNTIF(Sports_Facilities!$C:$C,A35)</f>
        <v>1</v>
      </c>
      <c r="F35" s="7" t="n">
        <f aca="false">COUNTIF(Taxi_Ranks!$B:$B,A35)</f>
        <v>1</v>
      </c>
      <c r="G35" s="7" t="n">
        <f aca="false">B35+D35+E35+F35</f>
        <v>18</v>
      </c>
      <c r="H35" s="7" t="n">
        <f aca="false">(B35&gt;0)+(D35&gt;0)+(E35&gt;0)+(F35&gt;0)</f>
        <v>4</v>
      </c>
    </row>
    <row r="36" customFormat="false" ht="15" hidden="false" customHeight="false" outlineLevel="0" collapsed="false">
      <c r="A36" s="7" t="n">
        <v>2043</v>
      </c>
      <c r="B36" s="7" t="n">
        <f aca="false">COUNTIF(EV_Chargers!$D:$D,A36)</f>
        <v>0</v>
      </c>
      <c r="C36" s="7" t="n">
        <f aca="false">SUMIF(EV_Chargers!$D:$D,A36,EV_Chargers!$I:$I)</f>
        <v>0</v>
      </c>
      <c r="D36" s="7" t="n">
        <f aca="false">COUNTIF(Transport_Stops!$E:$E,A36)</f>
        <v>1</v>
      </c>
      <c r="E36" s="7" t="n">
        <f aca="false">COUNTIF(Sports_Facilities!$C:$C,A36)</f>
        <v>4</v>
      </c>
      <c r="F36" s="7" t="n">
        <f aca="false">COUNTIF(Taxi_Ranks!$B:$B,A36)</f>
        <v>0</v>
      </c>
      <c r="G36" s="7" t="n">
        <f aca="false">B36+D36+E36+F36</f>
        <v>5</v>
      </c>
      <c r="H36" s="7" t="n">
        <f aca="false">(B36&gt;0)+(D36&gt;0)+(E36&gt;0)+(F36&gt;0)</f>
        <v>2</v>
      </c>
    </row>
    <row r="37" customFormat="false" ht="15" hidden="false" customHeight="false" outlineLevel="0" collapsed="false">
      <c r="A37" s="7" t="n">
        <v>2044</v>
      </c>
      <c r="B37" s="7" t="n">
        <f aca="false">COUNTIF(EV_Chargers!$D:$D,A37)</f>
        <v>4</v>
      </c>
      <c r="C37" s="7" t="n">
        <f aca="false">SUMIF(EV_Chargers!$D:$D,A37,EV_Chargers!$I:$I)</f>
        <v>11</v>
      </c>
      <c r="D37" s="7" t="n">
        <f aca="false">COUNTIF(Transport_Stops!$E:$E,A37)</f>
        <v>3</v>
      </c>
      <c r="E37" s="7" t="n">
        <f aca="false">COUNTIF(Sports_Facilities!$C:$C,A37)</f>
        <v>0</v>
      </c>
      <c r="F37" s="7" t="n">
        <f aca="false">COUNTIF(Taxi_Ranks!$B:$B,A37)</f>
        <v>1</v>
      </c>
      <c r="G37" s="7" t="n">
        <f aca="false">B37+D37+E37+F37</f>
        <v>8</v>
      </c>
      <c r="H37" s="7" t="n">
        <f aca="false">(B37&gt;0)+(D37&gt;0)+(E37&gt;0)+(F37&gt;0)</f>
        <v>3</v>
      </c>
    </row>
    <row r="38" customFormat="false" ht="15" hidden="false" customHeight="false" outlineLevel="0" collapsed="false">
      <c r="A38" s="7" t="n">
        <v>2045</v>
      </c>
      <c r="B38" s="7" t="n">
        <f aca="false">COUNTIF(EV_Chargers!$D:$D,A38)</f>
        <v>4</v>
      </c>
      <c r="C38" s="7" t="n">
        <f aca="false">SUMIF(EV_Chargers!$D:$D,A38,EV_Chargers!$I:$I)</f>
        <v>6</v>
      </c>
      <c r="D38" s="7" t="n">
        <f aca="false">COUNTIF(Transport_Stops!$E:$E,A38)</f>
        <v>0</v>
      </c>
      <c r="E38" s="7" t="n">
        <f aca="false">COUNTIF(Sports_Facilities!$C:$C,A38)</f>
        <v>0</v>
      </c>
      <c r="F38" s="7" t="n">
        <f aca="false">COUNTIF(Taxi_Ranks!$B:$B,A38)</f>
        <v>0</v>
      </c>
      <c r="G38" s="7" t="n">
        <f aca="false">B38+D38+E38+F38</f>
        <v>4</v>
      </c>
      <c r="H38" s="7" t="n">
        <f aca="false">(B38&gt;0)+(D38&gt;0)+(E38&gt;0)+(F38&gt;0)</f>
        <v>1</v>
      </c>
    </row>
    <row r="39" customFormat="false" ht="15" hidden="false" customHeight="false" outlineLevel="0" collapsed="false">
      <c r="A39" s="7" t="n">
        <v>2046</v>
      </c>
      <c r="B39" s="7" t="n">
        <f aca="false">COUNTIF(EV_Chargers!$D:$D,A39)</f>
        <v>2</v>
      </c>
      <c r="C39" s="7" t="n">
        <f aca="false">SUMIF(EV_Chargers!$D:$D,A39,EV_Chargers!$I:$I)</f>
        <v>6</v>
      </c>
      <c r="D39" s="7" t="n">
        <f aca="false">COUNTIF(Transport_Stops!$E:$E,A39)</f>
        <v>2</v>
      </c>
      <c r="E39" s="7" t="n">
        <f aca="false">COUNTIF(Sports_Facilities!$C:$C,A39)</f>
        <v>0</v>
      </c>
      <c r="F39" s="7" t="n">
        <f aca="false">COUNTIF(Taxi_Ranks!$B:$B,A39)</f>
        <v>1</v>
      </c>
      <c r="G39" s="7" t="n">
        <f aca="false">B39+D39+E39+F39</f>
        <v>5</v>
      </c>
      <c r="H39" s="7" t="n">
        <f aca="false">(B39&gt;0)+(D39&gt;0)+(E39&gt;0)+(F39&gt;0)</f>
        <v>3</v>
      </c>
    </row>
    <row r="40" customFormat="false" ht="15" hidden="false" customHeight="false" outlineLevel="0" collapsed="false">
      <c r="A40" s="7" t="n">
        <v>2047</v>
      </c>
      <c r="B40" s="7" t="n">
        <f aca="false">COUNTIF(EV_Chargers!$D:$D,A40)</f>
        <v>1</v>
      </c>
      <c r="C40" s="7" t="n">
        <f aca="false">SUMIF(EV_Chargers!$D:$D,A40,EV_Chargers!$I:$I)</f>
        <v>4</v>
      </c>
      <c r="D40" s="7" t="n">
        <f aca="false">COUNTIF(Transport_Stops!$E:$E,A40)</f>
        <v>1</v>
      </c>
      <c r="E40" s="7" t="n">
        <f aca="false">COUNTIF(Sports_Facilities!$C:$C,A40)</f>
        <v>0</v>
      </c>
      <c r="F40" s="7" t="n">
        <f aca="false">COUNTIF(Taxi_Ranks!$B:$B,A40)</f>
        <v>0</v>
      </c>
      <c r="G40" s="7" t="n">
        <f aca="false">B40+D40+E40+F40</f>
        <v>2</v>
      </c>
      <c r="H40" s="7" t="n">
        <f aca="false">(B40&gt;0)+(D40&gt;0)+(E40&gt;0)+(F40&gt;0)</f>
        <v>2</v>
      </c>
    </row>
    <row r="41" customFormat="false" ht="15" hidden="false" customHeight="false" outlineLevel="0" collapsed="false">
      <c r="A41" s="7" t="n">
        <v>2048</v>
      </c>
      <c r="B41" s="7" t="n">
        <f aca="false">COUNTIF(EV_Chargers!$D:$D,A41)</f>
        <v>2</v>
      </c>
      <c r="C41" s="7" t="n">
        <f aca="false">SUMIF(EV_Chargers!$D:$D,A41,EV_Chargers!$I:$I)</f>
        <v>2</v>
      </c>
      <c r="D41" s="7" t="n">
        <f aca="false">COUNTIF(Transport_Stops!$E:$E,A41)</f>
        <v>1</v>
      </c>
      <c r="E41" s="7" t="n">
        <f aca="false">COUNTIF(Sports_Facilities!$C:$C,A41)</f>
        <v>0</v>
      </c>
      <c r="F41" s="7" t="n">
        <f aca="false">COUNTIF(Taxi_Ranks!$B:$B,A41)</f>
        <v>0</v>
      </c>
      <c r="G41" s="7" t="n">
        <f aca="false">B41+D41+E41+F41</f>
        <v>3</v>
      </c>
      <c r="H41" s="7" t="n">
        <f aca="false">(B41&gt;0)+(D41&gt;0)+(E41&gt;0)+(F41&gt;0)</f>
        <v>2</v>
      </c>
    </row>
    <row r="42" customFormat="false" ht="15" hidden="false" customHeight="false" outlineLevel="0" collapsed="false">
      <c r="A42" s="7" t="n">
        <v>2049</v>
      </c>
      <c r="B42" s="7" t="n">
        <f aca="false">COUNTIF(EV_Chargers!$D:$D,A42)</f>
        <v>5</v>
      </c>
      <c r="C42" s="7" t="n">
        <f aca="false">SUMIF(EV_Chargers!$D:$D,A42,EV_Chargers!$I:$I)</f>
        <v>7</v>
      </c>
      <c r="D42" s="7" t="n">
        <f aca="false">COUNTIF(Transport_Stops!$E:$E,A42)</f>
        <v>3</v>
      </c>
      <c r="E42" s="7" t="n">
        <f aca="false">COUNTIF(Sports_Facilities!$C:$C,A42)</f>
        <v>0</v>
      </c>
      <c r="F42" s="7" t="n">
        <f aca="false">COUNTIF(Taxi_Ranks!$B:$B,A42)</f>
        <v>0</v>
      </c>
      <c r="G42" s="7" t="n">
        <f aca="false">B42+D42+E42+F42</f>
        <v>8</v>
      </c>
      <c r="H42" s="7" t="n">
        <f aca="false">(B42&gt;0)+(D42&gt;0)+(E42&gt;0)+(F42&gt;0)</f>
        <v>2</v>
      </c>
    </row>
    <row r="43" customFormat="false" ht="15" hidden="false" customHeight="false" outlineLevel="0" collapsed="false">
      <c r="A43" s="7" t="n">
        <v>2050</v>
      </c>
      <c r="B43" s="7" t="n">
        <f aca="false">COUNTIF(EV_Chargers!$D:$D,A43)</f>
        <v>9</v>
      </c>
      <c r="C43" s="7" t="n">
        <f aca="false">SUMIF(EV_Chargers!$D:$D,A43,EV_Chargers!$I:$I)</f>
        <v>15</v>
      </c>
      <c r="D43" s="7" t="n">
        <f aca="false">COUNTIF(Transport_Stops!$E:$E,A43)</f>
        <v>0</v>
      </c>
      <c r="E43" s="7" t="n">
        <f aca="false">COUNTIF(Sports_Facilities!$C:$C,A43)</f>
        <v>1</v>
      </c>
      <c r="F43" s="7" t="n">
        <f aca="false">COUNTIF(Taxi_Ranks!$B:$B,A43)</f>
        <v>1</v>
      </c>
      <c r="G43" s="7" t="n">
        <f aca="false">B43+D43+E43+F43</f>
        <v>11</v>
      </c>
      <c r="H43" s="7" t="n">
        <f aca="false">(B43&gt;0)+(D43&gt;0)+(E43&gt;0)+(F43&gt;0)</f>
        <v>3</v>
      </c>
    </row>
    <row r="44" customFormat="false" ht="15" hidden="false" customHeight="false" outlineLevel="0" collapsed="false">
      <c r="A44" s="7" t="n">
        <v>2052</v>
      </c>
      <c r="B44" s="7" t="n">
        <f aca="false">COUNTIF(EV_Chargers!$D:$D,A44)</f>
        <v>0</v>
      </c>
      <c r="C44" s="7" t="n">
        <f aca="false">SUMIF(EV_Chargers!$D:$D,A44,EV_Chargers!$I:$I)</f>
        <v>0</v>
      </c>
      <c r="D44" s="7" t="n">
        <f aca="false">COUNTIF(Transport_Stops!$E:$E,A44)</f>
        <v>1</v>
      </c>
      <c r="E44" s="7" t="n">
        <f aca="false">COUNTIF(Sports_Facilities!$C:$C,A44)</f>
        <v>0</v>
      </c>
      <c r="F44" s="7" t="n">
        <f aca="false">COUNTIF(Taxi_Ranks!$B:$B,A44)</f>
        <v>0</v>
      </c>
      <c r="G44" s="7" t="n">
        <f aca="false">B44+D44+E44+F44</f>
        <v>1</v>
      </c>
      <c r="H44" s="7" t="n">
        <f aca="false">(B44&gt;0)+(D44&gt;0)+(E44&gt;0)+(F44&gt;0)</f>
        <v>1</v>
      </c>
    </row>
    <row r="45" customFormat="false" ht="15" hidden="false" customHeight="false" outlineLevel="0" collapsed="false">
      <c r="A45" s="7" t="n">
        <v>2060</v>
      </c>
      <c r="B45" s="7" t="n">
        <f aca="false">COUNTIF(EV_Chargers!$D:$D,A45)</f>
        <v>8</v>
      </c>
      <c r="C45" s="7" t="n">
        <f aca="false">SUMIF(EV_Chargers!$D:$D,A45,EV_Chargers!$I:$I)</f>
        <v>27</v>
      </c>
      <c r="D45" s="7" t="n">
        <f aca="false">COUNTIF(Transport_Stops!$E:$E,A45)</f>
        <v>5</v>
      </c>
      <c r="E45" s="7" t="n">
        <f aca="false">COUNTIF(Sports_Facilities!$C:$C,A45)</f>
        <v>0</v>
      </c>
      <c r="F45" s="7" t="n">
        <f aca="false">COUNTIF(Taxi_Ranks!$B:$B,A45)</f>
        <v>3</v>
      </c>
      <c r="G45" s="7" t="n">
        <f aca="false">B45+D45+E45+F45</f>
        <v>16</v>
      </c>
      <c r="H45" s="7" t="n">
        <f aca="false">(B45&gt;0)+(D45&gt;0)+(E45&gt;0)+(F45&gt;0)</f>
        <v>3</v>
      </c>
    </row>
    <row r="46" customFormat="false" ht="15" hidden="false" customHeight="false" outlineLevel="0" collapsed="false">
      <c r="A46" s="7" t="n">
        <v>2061</v>
      </c>
      <c r="B46" s="7" t="n">
        <f aca="false">COUNTIF(EV_Chargers!$D:$D,A46)</f>
        <v>2</v>
      </c>
      <c r="C46" s="7" t="n">
        <f aca="false">SUMIF(EV_Chargers!$D:$D,A46,EV_Chargers!$I:$I)</f>
        <v>6</v>
      </c>
      <c r="D46" s="7" t="n">
        <f aca="false">COUNTIF(Transport_Stops!$E:$E,A46)</f>
        <v>4</v>
      </c>
      <c r="E46" s="7" t="n">
        <f aca="false">COUNTIF(Sports_Facilities!$C:$C,A46)</f>
        <v>0</v>
      </c>
      <c r="F46" s="7" t="n">
        <f aca="false">COUNTIF(Taxi_Ranks!$B:$B,A46)</f>
        <v>1</v>
      </c>
      <c r="G46" s="7" t="n">
        <f aca="false">B46+D46+E46+F46</f>
        <v>7</v>
      </c>
      <c r="H46" s="7" t="n">
        <f aca="false">(B46&gt;0)+(D46&gt;0)+(E46&gt;0)+(F46&gt;0)</f>
        <v>3</v>
      </c>
    </row>
    <row r="47" customFormat="false" ht="15" hidden="false" customHeight="false" outlineLevel="0" collapsed="false">
      <c r="A47" s="7" t="n">
        <v>2062</v>
      </c>
      <c r="B47" s="7" t="n">
        <f aca="false">COUNTIF(EV_Chargers!$D:$D,A47)</f>
        <v>3</v>
      </c>
      <c r="C47" s="7" t="n">
        <f aca="false">SUMIF(EV_Chargers!$D:$D,A47,EV_Chargers!$I:$I)</f>
        <v>12</v>
      </c>
      <c r="D47" s="7" t="n">
        <f aca="false">COUNTIF(Transport_Stops!$E:$E,A47)</f>
        <v>0</v>
      </c>
      <c r="E47" s="7" t="n">
        <f aca="false">COUNTIF(Sports_Facilities!$C:$C,A47)</f>
        <v>0</v>
      </c>
      <c r="F47" s="7" t="n">
        <f aca="false">COUNTIF(Taxi_Ranks!$B:$B,A47)</f>
        <v>0</v>
      </c>
      <c r="G47" s="7" t="n">
        <f aca="false">B47+D47+E47+F47</f>
        <v>3</v>
      </c>
      <c r="H47" s="7" t="n">
        <f aca="false">(B47&gt;0)+(D47&gt;0)+(E47&gt;0)+(F47&gt;0)</f>
        <v>1</v>
      </c>
    </row>
    <row r="48" customFormat="false" ht="15" hidden="false" customHeight="false" outlineLevel="0" collapsed="false">
      <c r="A48" s="7" t="n">
        <v>2063</v>
      </c>
      <c r="B48" s="7" t="n">
        <f aca="false">COUNTIF(EV_Chargers!$D:$D,A48)</f>
        <v>2</v>
      </c>
      <c r="C48" s="7" t="n">
        <f aca="false">SUMIF(EV_Chargers!$D:$D,A48,EV_Chargers!$I:$I)</f>
        <v>10</v>
      </c>
      <c r="D48" s="7" t="n">
        <f aca="false">COUNTIF(Transport_Stops!$E:$E,A48)</f>
        <v>0</v>
      </c>
      <c r="E48" s="7" t="n">
        <f aca="false">COUNTIF(Sports_Facilities!$C:$C,A48)</f>
        <v>0</v>
      </c>
      <c r="F48" s="7" t="n">
        <f aca="false">COUNTIF(Taxi_Ranks!$B:$B,A48)</f>
        <v>0</v>
      </c>
      <c r="G48" s="7" t="n">
        <f aca="false">B48+D48+E48+F48</f>
        <v>2</v>
      </c>
      <c r="H48" s="7" t="n">
        <f aca="false">(B48&gt;0)+(D48&gt;0)+(E48&gt;0)+(F48&gt;0)</f>
        <v>1</v>
      </c>
    </row>
    <row r="49" customFormat="false" ht="15" hidden="false" customHeight="false" outlineLevel="0" collapsed="false">
      <c r="A49" s="7" t="n">
        <v>2064</v>
      </c>
      <c r="B49" s="7" t="n">
        <f aca="false">COUNTIF(EV_Chargers!$D:$D,A49)</f>
        <v>6</v>
      </c>
      <c r="C49" s="7" t="n">
        <f aca="false">SUMIF(EV_Chargers!$D:$D,A49,EV_Chargers!$I:$I)</f>
        <v>24</v>
      </c>
      <c r="D49" s="7" t="n">
        <f aca="false">COUNTIF(Transport_Stops!$E:$E,A49)</f>
        <v>1</v>
      </c>
      <c r="E49" s="7" t="n">
        <f aca="false">COUNTIF(Sports_Facilities!$C:$C,A49)</f>
        <v>0</v>
      </c>
      <c r="F49" s="7" t="n">
        <f aca="false">COUNTIF(Taxi_Ranks!$B:$B,A49)</f>
        <v>1</v>
      </c>
      <c r="G49" s="7" t="n">
        <f aca="false">B49+D49+E49+F49</f>
        <v>8</v>
      </c>
      <c r="H49" s="7" t="n">
        <f aca="false">(B49&gt;0)+(D49&gt;0)+(E49&gt;0)+(F49&gt;0)</f>
        <v>3</v>
      </c>
    </row>
    <row r="50" customFormat="false" ht="15" hidden="false" customHeight="false" outlineLevel="0" collapsed="false">
      <c r="A50" s="7" t="n">
        <v>2065</v>
      </c>
      <c r="B50" s="7" t="n">
        <f aca="false">COUNTIF(EV_Chargers!$D:$D,A50)</f>
        <v>17</v>
      </c>
      <c r="C50" s="7" t="n">
        <f aca="false">SUMIF(EV_Chargers!$D:$D,A50,EV_Chargers!$I:$I)</f>
        <v>70</v>
      </c>
      <c r="D50" s="7" t="n">
        <f aca="false">COUNTIF(Transport_Stops!$E:$E,A50)</f>
        <v>5</v>
      </c>
      <c r="E50" s="7" t="n">
        <f aca="false">COUNTIF(Sports_Facilities!$C:$C,A50)</f>
        <v>0</v>
      </c>
      <c r="F50" s="7" t="n">
        <f aca="false">COUNTIF(Taxi_Ranks!$B:$B,A50)</f>
        <v>2</v>
      </c>
      <c r="G50" s="7" t="n">
        <f aca="false">B50+D50+E50+F50</f>
        <v>24</v>
      </c>
      <c r="H50" s="7" t="n">
        <f aca="false">(B50&gt;0)+(D50&gt;0)+(E50&gt;0)+(F50&gt;0)</f>
        <v>3</v>
      </c>
    </row>
    <row r="51" customFormat="false" ht="15" hidden="false" customHeight="false" outlineLevel="0" collapsed="false">
      <c r="A51" s="7" t="n">
        <v>2066</v>
      </c>
      <c r="B51" s="7" t="n">
        <f aca="false">COUNTIF(EV_Chargers!$D:$D,A51)</f>
        <v>17</v>
      </c>
      <c r="C51" s="7" t="n">
        <f aca="false">SUMIF(EV_Chargers!$D:$D,A51,EV_Chargers!$I:$I)</f>
        <v>36</v>
      </c>
      <c r="D51" s="7" t="n">
        <f aca="false">COUNTIF(Transport_Stops!$E:$E,A51)</f>
        <v>3</v>
      </c>
      <c r="E51" s="7" t="n">
        <f aca="false">COUNTIF(Sports_Facilities!$C:$C,A51)</f>
        <v>0</v>
      </c>
      <c r="F51" s="7" t="n">
        <f aca="false">COUNTIF(Taxi_Ranks!$B:$B,A51)</f>
        <v>1</v>
      </c>
      <c r="G51" s="7" t="n">
        <f aca="false">B51+D51+E51+F51</f>
        <v>21</v>
      </c>
      <c r="H51" s="7" t="n">
        <f aca="false">(B51&gt;0)+(D51&gt;0)+(E51&gt;0)+(F51&gt;0)</f>
        <v>3</v>
      </c>
    </row>
    <row r="52" customFormat="false" ht="15" hidden="false" customHeight="false" outlineLevel="0" collapsed="false">
      <c r="A52" s="7" t="n">
        <v>2067</v>
      </c>
      <c r="B52" s="7" t="n">
        <f aca="false">COUNTIF(EV_Chargers!$D:$D,A52)</f>
        <v>17</v>
      </c>
      <c r="C52" s="7" t="n">
        <f aca="false">SUMIF(EV_Chargers!$D:$D,A52,EV_Chargers!$I:$I)</f>
        <v>48</v>
      </c>
      <c r="D52" s="7" t="n">
        <f aca="false">COUNTIF(Transport_Stops!$E:$E,A52)</f>
        <v>1</v>
      </c>
      <c r="E52" s="7" t="n">
        <f aca="false">COUNTIF(Sports_Facilities!$C:$C,A52)</f>
        <v>0</v>
      </c>
      <c r="F52" s="7" t="n">
        <f aca="false">COUNTIF(Taxi_Ranks!$B:$B,A52)</f>
        <v>1</v>
      </c>
      <c r="G52" s="7" t="n">
        <f aca="false">B52+D52+E52+F52</f>
        <v>19</v>
      </c>
      <c r="H52" s="7" t="n">
        <f aca="false">(B52&gt;0)+(D52&gt;0)+(E52&gt;0)+(F52&gt;0)</f>
        <v>3</v>
      </c>
    </row>
    <row r="53" customFormat="false" ht="15" hidden="false" customHeight="false" outlineLevel="0" collapsed="false">
      <c r="A53" s="7" t="n">
        <v>2068</v>
      </c>
      <c r="B53" s="7" t="n">
        <f aca="false">COUNTIF(EV_Chargers!$D:$D,A53)</f>
        <v>3</v>
      </c>
      <c r="C53" s="7" t="n">
        <f aca="false">SUMIF(EV_Chargers!$D:$D,A53,EV_Chargers!$I:$I)</f>
        <v>6</v>
      </c>
      <c r="D53" s="7" t="n">
        <f aca="false">COUNTIF(Transport_Stops!$E:$E,A53)</f>
        <v>0</v>
      </c>
      <c r="E53" s="7" t="n">
        <f aca="false">COUNTIF(Sports_Facilities!$C:$C,A53)</f>
        <v>0</v>
      </c>
      <c r="F53" s="7" t="n">
        <f aca="false">COUNTIF(Taxi_Ranks!$B:$B,A53)</f>
        <v>0</v>
      </c>
      <c r="G53" s="7" t="n">
        <f aca="false">B53+D53+E53+F53</f>
        <v>3</v>
      </c>
      <c r="H53" s="7" t="n">
        <f aca="false">(B53&gt;0)+(D53&gt;0)+(E53&gt;0)+(F53&gt;0)</f>
        <v>1</v>
      </c>
    </row>
    <row r="54" customFormat="false" ht="15" hidden="false" customHeight="false" outlineLevel="0" collapsed="false">
      <c r="A54" s="7" t="n">
        <v>2069</v>
      </c>
      <c r="B54" s="7" t="n">
        <f aca="false">COUNTIF(EV_Chargers!$D:$D,A54)</f>
        <v>1</v>
      </c>
      <c r="C54" s="7" t="n">
        <f aca="false">SUMIF(EV_Chargers!$D:$D,A54,EV_Chargers!$I:$I)</f>
        <v>1</v>
      </c>
      <c r="D54" s="7" t="n">
        <f aca="false">COUNTIF(Transport_Stops!$E:$E,A54)</f>
        <v>1</v>
      </c>
      <c r="E54" s="7" t="n">
        <f aca="false">COUNTIF(Sports_Facilities!$C:$C,A54)</f>
        <v>0</v>
      </c>
      <c r="F54" s="7" t="n">
        <f aca="false">COUNTIF(Taxi_Ranks!$B:$B,A54)</f>
        <v>1</v>
      </c>
      <c r="G54" s="7" t="n">
        <f aca="false">B54+D54+E54+F54</f>
        <v>3</v>
      </c>
      <c r="H54" s="7" t="n">
        <f aca="false">(B54&gt;0)+(D54&gt;0)+(E54&gt;0)+(F54&gt;0)</f>
        <v>3</v>
      </c>
    </row>
    <row r="55" customFormat="false" ht="15" hidden="false" customHeight="false" outlineLevel="0" collapsed="false">
      <c r="A55" s="7" t="n">
        <v>2070</v>
      </c>
      <c r="B55" s="7" t="n">
        <f aca="false">COUNTIF(EV_Chargers!$D:$D,A55)</f>
        <v>3</v>
      </c>
      <c r="C55" s="7" t="n">
        <f aca="false">SUMIF(EV_Chargers!$D:$D,A55,EV_Chargers!$I:$I)</f>
        <v>22</v>
      </c>
      <c r="D55" s="7" t="n">
        <f aca="false">COUNTIF(Transport_Stops!$E:$E,A55)</f>
        <v>1</v>
      </c>
      <c r="E55" s="7" t="n">
        <f aca="false">COUNTIF(Sports_Facilities!$C:$C,A55)</f>
        <v>0</v>
      </c>
      <c r="F55" s="7" t="n">
        <f aca="false">COUNTIF(Taxi_Ranks!$B:$B,A55)</f>
        <v>1</v>
      </c>
      <c r="G55" s="7" t="n">
        <f aca="false">B55+D55+E55+F55</f>
        <v>5</v>
      </c>
      <c r="H55" s="7" t="n">
        <f aca="false">(B55&gt;0)+(D55&gt;0)+(E55&gt;0)+(F55&gt;0)</f>
        <v>3</v>
      </c>
    </row>
    <row r="56" customFormat="false" ht="15" hidden="false" customHeight="false" outlineLevel="0" collapsed="false">
      <c r="A56" s="7" t="n">
        <v>2071</v>
      </c>
      <c r="B56" s="7" t="n">
        <f aca="false">COUNTIF(EV_Chargers!$D:$D,A56)</f>
        <v>1</v>
      </c>
      <c r="C56" s="7" t="n">
        <f aca="false">SUMIF(EV_Chargers!$D:$D,A56,EV_Chargers!$I:$I)</f>
        <v>12</v>
      </c>
      <c r="D56" s="7" t="n">
        <f aca="false">COUNTIF(Transport_Stops!$E:$E,A56)</f>
        <v>1</v>
      </c>
      <c r="E56" s="7" t="n">
        <f aca="false">COUNTIF(Sports_Facilities!$C:$C,A56)</f>
        <v>0</v>
      </c>
      <c r="F56" s="7" t="n">
        <f aca="false">COUNTIF(Taxi_Ranks!$B:$B,A56)</f>
        <v>0</v>
      </c>
      <c r="G56" s="7" t="n">
        <f aca="false">B56+D56+E56+F56</f>
        <v>2</v>
      </c>
      <c r="H56" s="7" t="n">
        <f aca="false">(B56&gt;0)+(D56&gt;0)+(E56&gt;0)+(F56&gt;0)</f>
        <v>2</v>
      </c>
    </row>
    <row r="57" customFormat="false" ht="15" hidden="false" customHeight="false" outlineLevel="0" collapsed="false">
      <c r="A57" s="7" t="n">
        <v>2072</v>
      </c>
      <c r="B57" s="7" t="n">
        <f aca="false">COUNTIF(EV_Chargers!$D:$D,A57)</f>
        <v>0</v>
      </c>
      <c r="C57" s="7" t="n">
        <f aca="false">SUMIF(EV_Chargers!$D:$D,A57,EV_Chargers!$I:$I)</f>
        <v>0</v>
      </c>
      <c r="D57" s="7" t="n">
        <f aca="false">COUNTIF(Transport_Stops!$E:$E,A57)</f>
        <v>1</v>
      </c>
      <c r="E57" s="7" t="n">
        <f aca="false">COUNTIF(Sports_Facilities!$C:$C,A57)</f>
        <v>0</v>
      </c>
      <c r="F57" s="7" t="n">
        <f aca="false">COUNTIF(Taxi_Ranks!$B:$B,A57)</f>
        <v>1</v>
      </c>
      <c r="G57" s="7" t="n">
        <f aca="false">B57+D57+E57+F57</f>
        <v>2</v>
      </c>
      <c r="H57" s="7" t="n">
        <f aca="false">(B57&gt;0)+(D57&gt;0)+(E57&gt;0)+(F57&gt;0)</f>
        <v>2</v>
      </c>
    </row>
    <row r="58" customFormat="false" ht="15" hidden="false" customHeight="false" outlineLevel="0" collapsed="false">
      <c r="A58" s="7" t="n">
        <v>2073</v>
      </c>
      <c r="B58" s="7" t="n">
        <f aca="false">COUNTIF(EV_Chargers!$D:$D,A58)</f>
        <v>2</v>
      </c>
      <c r="C58" s="7" t="n">
        <f aca="false">SUMIF(EV_Chargers!$D:$D,A58,EV_Chargers!$I:$I)</f>
        <v>4</v>
      </c>
      <c r="D58" s="7" t="n">
        <f aca="false">COUNTIF(Transport_Stops!$E:$E,A58)</f>
        <v>1</v>
      </c>
      <c r="E58" s="7" t="n">
        <f aca="false">COUNTIF(Sports_Facilities!$C:$C,A58)</f>
        <v>0</v>
      </c>
      <c r="F58" s="7" t="n">
        <f aca="false">COUNTIF(Taxi_Ranks!$B:$B,A58)</f>
        <v>1</v>
      </c>
      <c r="G58" s="7" t="n">
        <f aca="false">B58+D58+E58+F58</f>
        <v>4</v>
      </c>
      <c r="H58" s="7" t="n">
        <f aca="false">(B58&gt;0)+(D58&gt;0)+(E58&gt;0)+(F58&gt;0)</f>
        <v>3</v>
      </c>
    </row>
    <row r="59" customFormat="false" ht="15" hidden="false" customHeight="false" outlineLevel="0" collapsed="false">
      <c r="A59" s="7" t="n">
        <v>2074</v>
      </c>
      <c r="B59" s="7" t="n">
        <f aca="false">COUNTIF(EV_Chargers!$D:$D,A59)</f>
        <v>4</v>
      </c>
      <c r="C59" s="7" t="n">
        <f aca="false">SUMIF(EV_Chargers!$D:$D,A59,EV_Chargers!$I:$I)</f>
        <v>12</v>
      </c>
      <c r="D59" s="7" t="n">
        <f aca="false">COUNTIF(Transport_Stops!$E:$E,A59)</f>
        <v>2</v>
      </c>
      <c r="E59" s="7" t="n">
        <f aca="false">COUNTIF(Sports_Facilities!$C:$C,A59)</f>
        <v>0</v>
      </c>
      <c r="F59" s="7" t="n">
        <f aca="false">COUNTIF(Taxi_Ranks!$B:$B,A59)</f>
        <v>1</v>
      </c>
      <c r="G59" s="7" t="n">
        <f aca="false">B59+D59+E59+F59</f>
        <v>7</v>
      </c>
      <c r="H59" s="7" t="n">
        <f aca="false">(B59&gt;0)+(D59&gt;0)+(E59&gt;0)+(F59&gt;0)</f>
        <v>3</v>
      </c>
    </row>
    <row r="60" customFormat="false" ht="15" hidden="false" customHeight="false" outlineLevel="0" collapsed="false">
      <c r="A60" s="7" t="n">
        <v>2075</v>
      </c>
      <c r="B60" s="7" t="n">
        <f aca="false">COUNTIF(EV_Chargers!$D:$D,A60)</f>
        <v>2</v>
      </c>
      <c r="C60" s="7" t="n">
        <f aca="false">SUMIF(EV_Chargers!$D:$D,A60,EV_Chargers!$I:$I)</f>
        <v>4</v>
      </c>
      <c r="D60" s="7" t="n">
        <f aca="false">COUNTIF(Transport_Stops!$E:$E,A60)</f>
        <v>0</v>
      </c>
      <c r="E60" s="7" t="n">
        <f aca="false">COUNTIF(Sports_Facilities!$C:$C,A60)</f>
        <v>0</v>
      </c>
      <c r="F60" s="7" t="n">
        <f aca="false">COUNTIF(Taxi_Ranks!$B:$B,A60)</f>
        <v>0</v>
      </c>
      <c r="G60" s="7" t="n">
        <f aca="false">B60+D60+E60+F60</f>
        <v>2</v>
      </c>
      <c r="H60" s="7" t="n">
        <f aca="false">(B60&gt;0)+(D60&gt;0)+(E60&gt;0)+(F60&gt;0)</f>
        <v>1</v>
      </c>
    </row>
    <row r="61" customFormat="false" ht="15" hidden="false" customHeight="false" outlineLevel="0" collapsed="false">
      <c r="A61" s="7" t="n">
        <v>2076</v>
      </c>
      <c r="B61" s="7" t="n">
        <f aca="false">COUNTIF(EV_Chargers!$D:$D,A61)</f>
        <v>1</v>
      </c>
      <c r="C61" s="7" t="n">
        <f aca="false">SUMIF(EV_Chargers!$D:$D,A61,EV_Chargers!$I:$I)</f>
        <v>4</v>
      </c>
      <c r="D61" s="7" t="n">
        <f aca="false">COUNTIF(Transport_Stops!$E:$E,A61)</f>
        <v>2</v>
      </c>
      <c r="E61" s="7" t="n">
        <f aca="false">COUNTIF(Sports_Facilities!$C:$C,A61)</f>
        <v>0</v>
      </c>
      <c r="F61" s="7" t="n">
        <f aca="false">COUNTIF(Taxi_Ranks!$B:$B,A61)</f>
        <v>1</v>
      </c>
      <c r="G61" s="7" t="n">
        <f aca="false">B61+D61+E61+F61</f>
        <v>4</v>
      </c>
      <c r="H61" s="7" t="n">
        <f aca="false">(B61&gt;0)+(D61&gt;0)+(E61&gt;0)+(F61&gt;0)</f>
        <v>3</v>
      </c>
    </row>
    <row r="62" customFormat="false" ht="15" hidden="false" customHeight="false" outlineLevel="0" collapsed="false">
      <c r="A62" s="7" t="n">
        <v>2077</v>
      </c>
      <c r="B62" s="7" t="n">
        <f aca="false">COUNTIF(EV_Chargers!$D:$D,A62)</f>
        <v>4</v>
      </c>
      <c r="C62" s="7" t="n">
        <f aca="false">SUMIF(EV_Chargers!$D:$D,A62,EV_Chargers!$I:$I)</f>
        <v>10</v>
      </c>
      <c r="D62" s="7" t="n">
        <f aca="false">COUNTIF(Transport_Stops!$E:$E,A62)</f>
        <v>3</v>
      </c>
      <c r="E62" s="7" t="n">
        <f aca="false">COUNTIF(Sports_Facilities!$C:$C,A62)</f>
        <v>0</v>
      </c>
      <c r="F62" s="7" t="n">
        <f aca="false">COUNTIF(Taxi_Ranks!$B:$B,A62)</f>
        <v>2</v>
      </c>
      <c r="G62" s="7" t="n">
        <f aca="false">B62+D62+E62+F62</f>
        <v>9</v>
      </c>
      <c r="H62" s="7" t="n">
        <f aca="false">(B62&gt;0)+(D62&gt;0)+(E62&gt;0)+(F62&gt;0)</f>
        <v>3</v>
      </c>
    </row>
    <row r="63" customFormat="false" ht="15" hidden="false" customHeight="false" outlineLevel="0" collapsed="false">
      <c r="A63" s="7" t="n">
        <v>2079</v>
      </c>
      <c r="B63" s="7" t="n">
        <f aca="false">COUNTIF(EV_Chargers!$D:$D,A63)</f>
        <v>0</v>
      </c>
      <c r="C63" s="7" t="n">
        <f aca="false">SUMIF(EV_Chargers!$D:$D,A63,EV_Chargers!$I:$I)</f>
        <v>0</v>
      </c>
      <c r="D63" s="7" t="n">
        <f aca="false">COUNTIF(Transport_Stops!$E:$E,A63)</f>
        <v>1</v>
      </c>
      <c r="E63" s="7" t="n">
        <f aca="false">COUNTIF(Sports_Facilities!$C:$C,A63)</f>
        <v>0</v>
      </c>
      <c r="F63" s="7" t="n">
        <f aca="false">COUNTIF(Taxi_Ranks!$B:$B,A63)</f>
        <v>0</v>
      </c>
      <c r="G63" s="7" t="n">
        <f aca="false">B63+D63+E63+F63</f>
        <v>1</v>
      </c>
      <c r="H63" s="7" t="n">
        <f aca="false">(B63&gt;0)+(D63&gt;0)+(E63&gt;0)+(F63&gt;0)</f>
        <v>1</v>
      </c>
    </row>
    <row r="64" customFormat="false" ht="15" hidden="false" customHeight="false" outlineLevel="0" collapsed="false">
      <c r="A64" s="7" t="n">
        <v>2080</v>
      </c>
      <c r="B64" s="7" t="n">
        <f aca="false">COUNTIF(EV_Chargers!$D:$D,A64)</f>
        <v>0</v>
      </c>
      <c r="C64" s="7" t="n">
        <f aca="false">SUMIF(EV_Chargers!$D:$D,A64,EV_Chargers!$I:$I)</f>
        <v>0</v>
      </c>
      <c r="D64" s="7" t="n">
        <f aca="false">COUNTIF(Transport_Stops!$E:$E,A64)</f>
        <v>1</v>
      </c>
      <c r="E64" s="7" t="n">
        <f aca="false">COUNTIF(Sports_Facilities!$C:$C,A64)</f>
        <v>0</v>
      </c>
      <c r="F64" s="7" t="n">
        <f aca="false">COUNTIF(Taxi_Ranks!$B:$B,A64)</f>
        <v>0</v>
      </c>
      <c r="G64" s="7" t="n">
        <f aca="false">B64+D64+E64+F64</f>
        <v>1</v>
      </c>
      <c r="H64" s="7" t="n">
        <f aca="false">(B64&gt;0)+(D64&gt;0)+(E64&gt;0)+(F64&gt;0)</f>
        <v>1</v>
      </c>
    </row>
    <row r="65" customFormat="false" ht="15" hidden="false" customHeight="false" outlineLevel="0" collapsed="false">
      <c r="A65" s="7" t="n">
        <v>2081</v>
      </c>
      <c r="B65" s="7" t="n">
        <f aca="false">COUNTIF(EV_Chargers!$D:$D,A65)</f>
        <v>2</v>
      </c>
      <c r="C65" s="7" t="n">
        <f aca="false">SUMIF(EV_Chargers!$D:$D,A65,EV_Chargers!$I:$I)</f>
        <v>3</v>
      </c>
      <c r="D65" s="7" t="n">
        <f aca="false">COUNTIF(Transport_Stops!$E:$E,A65)</f>
        <v>2</v>
      </c>
      <c r="E65" s="7" t="n">
        <f aca="false">COUNTIF(Sports_Facilities!$C:$C,A65)</f>
        <v>0</v>
      </c>
      <c r="F65" s="7" t="n">
        <f aca="false">COUNTIF(Taxi_Ranks!$B:$B,A65)</f>
        <v>0</v>
      </c>
      <c r="G65" s="7" t="n">
        <f aca="false">B65+D65+E65+F65</f>
        <v>4</v>
      </c>
      <c r="H65" s="7" t="n">
        <f aca="false">(B65&gt;0)+(D65&gt;0)+(E65&gt;0)+(F65&gt;0)</f>
        <v>2</v>
      </c>
    </row>
    <row r="66" customFormat="false" ht="15" hidden="false" customHeight="false" outlineLevel="0" collapsed="false">
      <c r="A66" s="7" t="n">
        <v>2083</v>
      </c>
      <c r="B66" s="7" t="n">
        <f aca="false">COUNTIF(EV_Chargers!$D:$D,A66)</f>
        <v>1</v>
      </c>
      <c r="C66" s="7" t="n">
        <f aca="false">SUMIF(EV_Chargers!$D:$D,A66,EV_Chargers!$I:$I)</f>
        <v>1</v>
      </c>
      <c r="D66" s="7" t="n">
        <f aca="false">COUNTIF(Transport_Stops!$E:$E,A66)</f>
        <v>1</v>
      </c>
      <c r="E66" s="7" t="n">
        <f aca="false">COUNTIF(Sports_Facilities!$C:$C,A66)</f>
        <v>0</v>
      </c>
      <c r="F66" s="7" t="n">
        <f aca="false">COUNTIF(Taxi_Ranks!$B:$B,A66)</f>
        <v>0</v>
      </c>
      <c r="G66" s="7" t="n">
        <f aca="false">B66+D66+E66+F66</f>
        <v>2</v>
      </c>
      <c r="H66" s="7" t="n">
        <f aca="false">(B66&gt;0)+(D66&gt;0)+(E66&gt;0)+(F66&gt;0)</f>
        <v>2</v>
      </c>
    </row>
    <row r="67" customFormat="false" ht="15" hidden="false" customHeight="false" outlineLevel="0" collapsed="false">
      <c r="A67" s="7" t="n">
        <v>2084</v>
      </c>
      <c r="B67" s="7" t="n">
        <f aca="false">COUNTIF(EV_Chargers!$D:$D,A67)</f>
        <v>2</v>
      </c>
      <c r="C67" s="7" t="n">
        <f aca="false">SUMIF(EV_Chargers!$D:$D,A67,EV_Chargers!$I:$I)</f>
        <v>3</v>
      </c>
      <c r="D67" s="7" t="n">
        <f aca="false">COUNTIF(Transport_Stops!$E:$E,A67)</f>
        <v>0</v>
      </c>
      <c r="E67" s="7" t="n">
        <f aca="false">COUNTIF(Sports_Facilities!$C:$C,A67)</f>
        <v>0</v>
      </c>
      <c r="F67" s="7" t="n">
        <f aca="false">COUNTIF(Taxi_Ranks!$B:$B,A67)</f>
        <v>0</v>
      </c>
      <c r="G67" s="7" t="n">
        <f aca="false">B67+D67+E67+F67</f>
        <v>2</v>
      </c>
      <c r="H67" s="7" t="n">
        <f aca="false">(B67&gt;0)+(D67&gt;0)+(E67&gt;0)+(F67&gt;0)</f>
        <v>1</v>
      </c>
    </row>
    <row r="68" customFormat="false" ht="15" hidden="false" customHeight="false" outlineLevel="0" collapsed="false">
      <c r="A68" s="7" t="n">
        <v>2085</v>
      </c>
      <c r="B68" s="7" t="n">
        <f aca="false">COUNTIF(EV_Chargers!$D:$D,A68)</f>
        <v>3</v>
      </c>
      <c r="C68" s="7" t="n">
        <f aca="false">SUMIF(EV_Chargers!$D:$D,A68,EV_Chargers!$I:$I)</f>
        <v>11</v>
      </c>
      <c r="D68" s="7" t="n">
        <f aca="false">COUNTIF(Transport_Stops!$E:$E,A68)</f>
        <v>0</v>
      </c>
      <c r="E68" s="7" t="n">
        <f aca="false">COUNTIF(Sports_Facilities!$C:$C,A68)</f>
        <v>0</v>
      </c>
      <c r="F68" s="7" t="n">
        <f aca="false">COUNTIF(Taxi_Ranks!$B:$B,A68)</f>
        <v>0</v>
      </c>
      <c r="G68" s="7" t="n">
        <f aca="false">B68+D68+E68+F68</f>
        <v>3</v>
      </c>
      <c r="H68" s="7" t="n">
        <f aca="false">(B68&gt;0)+(D68&gt;0)+(E68&gt;0)+(F68&gt;0)</f>
        <v>1</v>
      </c>
    </row>
    <row r="69" customFormat="false" ht="15" hidden="false" customHeight="false" outlineLevel="0" collapsed="false">
      <c r="A69" s="7" t="n">
        <v>2086</v>
      </c>
      <c r="B69" s="7" t="n">
        <f aca="false">COUNTIF(EV_Chargers!$D:$D,A69)</f>
        <v>4</v>
      </c>
      <c r="C69" s="7" t="n">
        <f aca="false">SUMIF(EV_Chargers!$D:$D,A69,EV_Chargers!$I:$I)</f>
        <v>24</v>
      </c>
      <c r="D69" s="7" t="n">
        <f aca="false">COUNTIF(Transport_Stops!$E:$E,A69)</f>
        <v>0</v>
      </c>
      <c r="E69" s="7" t="n">
        <f aca="false">COUNTIF(Sports_Facilities!$C:$C,A69)</f>
        <v>0</v>
      </c>
      <c r="F69" s="7" t="n">
        <f aca="false">COUNTIF(Taxi_Ranks!$B:$B,A69)</f>
        <v>1</v>
      </c>
      <c r="G69" s="7" t="n">
        <f aca="false">B69+D69+E69+F69</f>
        <v>5</v>
      </c>
      <c r="H69" s="7" t="n">
        <f aca="false">(B69&gt;0)+(D69&gt;0)+(E69&gt;0)+(F69&gt;0)</f>
        <v>2</v>
      </c>
    </row>
    <row r="70" customFormat="false" ht="15" hidden="false" customHeight="false" outlineLevel="0" collapsed="false">
      <c r="A70" s="7" t="n">
        <v>2087</v>
      </c>
      <c r="B70" s="7" t="n">
        <f aca="false">COUNTIF(EV_Chargers!$D:$D,A70)</f>
        <v>1</v>
      </c>
      <c r="C70" s="7" t="n">
        <f aca="false">SUMIF(EV_Chargers!$D:$D,A70,EV_Chargers!$I:$I)</f>
        <v>2</v>
      </c>
      <c r="D70" s="7" t="n">
        <f aca="false">COUNTIF(Transport_Stops!$E:$E,A70)</f>
        <v>0</v>
      </c>
      <c r="E70" s="7" t="n">
        <f aca="false">COUNTIF(Sports_Facilities!$C:$C,A70)</f>
        <v>0</v>
      </c>
      <c r="F70" s="7" t="n">
        <f aca="false">COUNTIF(Taxi_Ranks!$B:$B,A70)</f>
        <v>1</v>
      </c>
      <c r="G70" s="7" t="n">
        <f aca="false">B70+D70+E70+F70</f>
        <v>2</v>
      </c>
      <c r="H70" s="7" t="n">
        <f aca="false">(B70&gt;0)+(D70&gt;0)+(E70&gt;0)+(F70&gt;0)</f>
        <v>2</v>
      </c>
    </row>
    <row r="71" customFormat="false" ht="15" hidden="false" customHeight="false" outlineLevel="0" collapsed="false">
      <c r="A71" s="7" t="n">
        <v>2088</v>
      </c>
      <c r="B71" s="7" t="n">
        <f aca="false">COUNTIF(EV_Chargers!$D:$D,A71)</f>
        <v>10</v>
      </c>
      <c r="C71" s="7" t="n">
        <f aca="false">SUMIF(EV_Chargers!$D:$D,A71,EV_Chargers!$I:$I)</f>
        <v>26</v>
      </c>
      <c r="D71" s="7" t="n">
        <f aca="false">COUNTIF(Transport_Stops!$E:$E,A71)</f>
        <v>4</v>
      </c>
      <c r="E71" s="7" t="n">
        <f aca="false">COUNTIF(Sports_Facilities!$C:$C,A71)</f>
        <v>0</v>
      </c>
      <c r="F71" s="7" t="n">
        <f aca="false">COUNTIF(Taxi_Ranks!$B:$B,A71)</f>
        <v>0</v>
      </c>
      <c r="G71" s="7" t="n">
        <f aca="false">B71+D71+E71+F71</f>
        <v>14</v>
      </c>
      <c r="H71" s="7" t="n">
        <f aca="false">(B71&gt;0)+(D71&gt;0)+(E71&gt;0)+(F71&gt;0)</f>
        <v>2</v>
      </c>
    </row>
    <row r="72" customFormat="false" ht="15" hidden="false" customHeight="false" outlineLevel="0" collapsed="false">
      <c r="A72" s="7" t="n">
        <v>2089</v>
      </c>
      <c r="B72" s="7" t="n">
        <f aca="false">COUNTIF(EV_Chargers!$D:$D,A72)</f>
        <v>0</v>
      </c>
      <c r="C72" s="7" t="n">
        <f aca="false">SUMIF(EV_Chargers!$D:$D,A72,EV_Chargers!$I:$I)</f>
        <v>0</v>
      </c>
      <c r="D72" s="7" t="n">
        <f aca="false">COUNTIF(Transport_Stops!$E:$E,A72)</f>
        <v>3</v>
      </c>
      <c r="E72" s="7" t="n">
        <f aca="false">COUNTIF(Sports_Facilities!$C:$C,A72)</f>
        <v>0</v>
      </c>
      <c r="F72" s="7" t="n">
        <f aca="false">COUNTIF(Taxi_Ranks!$B:$B,A72)</f>
        <v>1</v>
      </c>
      <c r="G72" s="7" t="n">
        <f aca="false">B72+D72+E72+F72</f>
        <v>4</v>
      </c>
      <c r="H72" s="7" t="n">
        <f aca="false">(B72&gt;0)+(D72&gt;0)+(E72&gt;0)+(F72&gt;0)</f>
        <v>2</v>
      </c>
    </row>
    <row r="73" customFormat="false" ht="15" hidden="false" customHeight="false" outlineLevel="0" collapsed="false">
      <c r="A73" s="7" t="n">
        <v>2090</v>
      </c>
      <c r="B73" s="7" t="n">
        <f aca="false">COUNTIF(EV_Chargers!$D:$D,A73)</f>
        <v>2</v>
      </c>
      <c r="C73" s="7" t="n">
        <f aca="false">SUMIF(EV_Chargers!$D:$D,A73,EV_Chargers!$I:$I)</f>
        <v>8</v>
      </c>
      <c r="D73" s="7" t="n">
        <f aca="false">COUNTIF(Transport_Stops!$E:$E,A73)</f>
        <v>2</v>
      </c>
      <c r="E73" s="7" t="n">
        <f aca="false">COUNTIF(Sports_Facilities!$C:$C,A73)</f>
        <v>0</v>
      </c>
      <c r="F73" s="7" t="n">
        <f aca="false">COUNTIF(Taxi_Ranks!$B:$B,A73)</f>
        <v>1</v>
      </c>
      <c r="G73" s="7" t="n">
        <f aca="false">B73+D73+E73+F73</f>
        <v>5</v>
      </c>
      <c r="H73" s="7" t="n">
        <f aca="false">(B73&gt;0)+(D73&gt;0)+(E73&gt;0)+(F73&gt;0)</f>
        <v>3</v>
      </c>
    </row>
    <row r="74" customFormat="false" ht="15" hidden="false" customHeight="false" outlineLevel="0" collapsed="false">
      <c r="A74" s="7" t="n">
        <v>2093</v>
      </c>
      <c r="B74" s="7" t="n">
        <f aca="false">COUNTIF(EV_Chargers!$D:$D,A74)</f>
        <v>6</v>
      </c>
      <c r="C74" s="7" t="n">
        <f aca="false">SUMIF(EV_Chargers!$D:$D,A74,EV_Chargers!$I:$I)</f>
        <v>22</v>
      </c>
      <c r="D74" s="7" t="n">
        <f aca="false">COUNTIF(Transport_Stops!$E:$E,A74)</f>
        <v>1</v>
      </c>
      <c r="E74" s="7" t="n">
        <f aca="false">COUNTIF(Sports_Facilities!$C:$C,A74)</f>
        <v>0</v>
      </c>
      <c r="F74" s="7" t="n">
        <f aca="false">COUNTIF(Taxi_Ranks!$B:$B,A74)</f>
        <v>3</v>
      </c>
      <c r="G74" s="7" t="n">
        <f aca="false">B74+D74+E74+F74</f>
        <v>10</v>
      </c>
      <c r="H74" s="7" t="n">
        <f aca="false">(B74&gt;0)+(D74&gt;0)+(E74&gt;0)+(F74&gt;0)</f>
        <v>3</v>
      </c>
    </row>
    <row r="75" customFormat="false" ht="15" hidden="false" customHeight="false" outlineLevel="0" collapsed="false">
      <c r="A75" s="7" t="n">
        <v>2094</v>
      </c>
      <c r="B75" s="7" t="n">
        <f aca="false">COUNTIF(EV_Chargers!$D:$D,A75)</f>
        <v>2</v>
      </c>
      <c r="C75" s="7" t="n">
        <f aca="false">SUMIF(EV_Chargers!$D:$D,A75,EV_Chargers!$I:$I)</f>
        <v>4</v>
      </c>
      <c r="D75" s="7" t="n">
        <f aca="false">COUNTIF(Transport_Stops!$E:$E,A75)</f>
        <v>0</v>
      </c>
      <c r="E75" s="7" t="n">
        <f aca="false">COUNTIF(Sports_Facilities!$C:$C,A75)</f>
        <v>0</v>
      </c>
      <c r="F75" s="7" t="n">
        <f aca="false">COUNTIF(Taxi_Ranks!$B:$B,A75)</f>
        <v>0</v>
      </c>
      <c r="G75" s="7" t="n">
        <f aca="false">B75+D75+E75+F75</f>
        <v>2</v>
      </c>
      <c r="H75" s="7" t="n">
        <f aca="false">(B75&gt;0)+(D75&gt;0)+(E75&gt;0)+(F75&gt;0)</f>
        <v>1</v>
      </c>
    </row>
    <row r="76" customFormat="false" ht="15" hidden="false" customHeight="false" outlineLevel="0" collapsed="false">
      <c r="A76" s="7" t="n">
        <v>2095</v>
      </c>
      <c r="B76" s="7" t="n">
        <f aca="false">COUNTIF(EV_Chargers!$D:$D,A76)</f>
        <v>5</v>
      </c>
      <c r="C76" s="7" t="n">
        <f aca="false">SUMIF(EV_Chargers!$D:$D,A76,EV_Chargers!$I:$I)</f>
        <v>12</v>
      </c>
      <c r="D76" s="7" t="n">
        <f aca="false">COUNTIF(Transport_Stops!$E:$E,A76)</f>
        <v>1</v>
      </c>
      <c r="E76" s="7" t="n">
        <f aca="false">COUNTIF(Sports_Facilities!$C:$C,A76)</f>
        <v>0</v>
      </c>
      <c r="F76" s="7" t="n">
        <f aca="false">COUNTIF(Taxi_Ranks!$B:$B,A76)</f>
        <v>2</v>
      </c>
      <c r="G76" s="7" t="n">
        <f aca="false">B76+D76+E76+F76</f>
        <v>8</v>
      </c>
      <c r="H76" s="7" t="n">
        <f aca="false">(B76&gt;0)+(D76&gt;0)+(E76&gt;0)+(F76&gt;0)</f>
        <v>3</v>
      </c>
    </row>
    <row r="77" customFormat="false" ht="15" hidden="false" customHeight="false" outlineLevel="0" collapsed="false">
      <c r="A77" s="7" t="n">
        <v>2096</v>
      </c>
      <c r="B77" s="7" t="n">
        <f aca="false">COUNTIF(EV_Chargers!$D:$D,A77)</f>
        <v>3</v>
      </c>
      <c r="C77" s="7" t="n">
        <f aca="false">SUMIF(EV_Chargers!$D:$D,A77,EV_Chargers!$I:$I)</f>
        <v>9</v>
      </c>
      <c r="D77" s="7" t="n">
        <f aca="false">COUNTIF(Transport_Stops!$E:$E,A77)</f>
        <v>0</v>
      </c>
      <c r="E77" s="7" t="n">
        <f aca="false">COUNTIF(Sports_Facilities!$C:$C,A77)</f>
        <v>0</v>
      </c>
      <c r="F77" s="7" t="n">
        <f aca="false">COUNTIF(Taxi_Ranks!$B:$B,A77)</f>
        <v>1</v>
      </c>
      <c r="G77" s="7" t="n">
        <f aca="false">B77+D77+E77+F77</f>
        <v>4</v>
      </c>
      <c r="H77" s="7" t="n">
        <f aca="false">(B77&gt;0)+(D77&gt;0)+(E77&gt;0)+(F77&gt;0)</f>
        <v>2</v>
      </c>
    </row>
    <row r="78" customFormat="false" ht="15" hidden="false" customHeight="false" outlineLevel="0" collapsed="false">
      <c r="A78" s="7" t="n">
        <v>2097</v>
      </c>
      <c r="B78" s="7" t="n">
        <f aca="false">COUNTIF(EV_Chargers!$D:$D,A78)</f>
        <v>3</v>
      </c>
      <c r="C78" s="7" t="n">
        <f aca="false">SUMIF(EV_Chargers!$D:$D,A78,EV_Chargers!$I:$I)</f>
        <v>5</v>
      </c>
      <c r="D78" s="7" t="n">
        <f aca="false">COUNTIF(Transport_Stops!$E:$E,A78)</f>
        <v>1</v>
      </c>
      <c r="E78" s="7" t="n">
        <f aca="false">COUNTIF(Sports_Facilities!$C:$C,A78)</f>
        <v>0</v>
      </c>
      <c r="F78" s="7" t="n">
        <f aca="false">COUNTIF(Taxi_Ranks!$B:$B,A78)</f>
        <v>1</v>
      </c>
      <c r="G78" s="7" t="n">
        <f aca="false">B78+D78+E78+F78</f>
        <v>5</v>
      </c>
      <c r="H78" s="7" t="n">
        <f aca="false">(B78&gt;0)+(D78&gt;0)+(E78&gt;0)+(F78&gt;0)</f>
        <v>3</v>
      </c>
    </row>
    <row r="79" customFormat="false" ht="15" hidden="false" customHeight="false" outlineLevel="0" collapsed="false">
      <c r="A79" s="7" t="n">
        <v>2099</v>
      </c>
      <c r="B79" s="7" t="n">
        <f aca="false">COUNTIF(EV_Chargers!$D:$D,A79)</f>
        <v>6</v>
      </c>
      <c r="C79" s="7" t="n">
        <f aca="false">SUMIF(EV_Chargers!$D:$D,A79,EV_Chargers!$I:$I)</f>
        <v>15</v>
      </c>
      <c r="D79" s="7" t="n">
        <f aca="false">COUNTIF(Transport_Stops!$E:$E,A79)</f>
        <v>1</v>
      </c>
      <c r="E79" s="7" t="n">
        <f aca="false">COUNTIF(Sports_Facilities!$C:$C,A79)</f>
        <v>0</v>
      </c>
      <c r="F79" s="7" t="n">
        <f aca="false">COUNTIF(Taxi_Ranks!$B:$B,A79)</f>
        <v>2</v>
      </c>
      <c r="G79" s="7" t="n">
        <f aca="false">B79+D79+E79+F79</f>
        <v>9</v>
      </c>
      <c r="H79" s="7" t="n">
        <f aca="false">(B79&gt;0)+(D79&gt;0)+(E79&gt;0)+(F79&gt;0)</f>
        <v>3</v>
      </c>
    </row>
    <row r="80" customFormat="false" ht="15" hidden="false" customHeight="false" outlineLevel="0" collapsed="false">
      <c r="A80" s="7" t="n">
        <v>2100</v>
      </c>
      <c r="B80" s="7" t="n">
        <f aca="false">COUNTIF(EV_Chargers!$D:$D,A80)</f>
        <v>7</v>
      </c>
      <c r="C80" s="7" t="n">
        <f aca="false">SUMIF(EV_Chargers!$D:$D,A80,EV_Chargers!$I:$I)</f>
        <v>12</v>
      </c>
      <c r="D80" s="7" t="n">
        <f aca="false">COUNTIF(Transport_Stops!$E:$E,A80)</f>
        <v>1</v>
      </c>
      <c r="E80" s="7" t="n">
        <f aca="false">COUNTIF(Sports_Facilities!$C:$C,A80)</f>
        <v>0</v>
      </c>
      <c r="F80" s="7" t="n">
        <f aca="false">COUNTIF(Taxi_Ranks!$B:$B,A80)</f>
        <v>3</v>
      </c>
      <c r="G80" s="7" t="n">
        <f aca="false">B80+D80+E80+F80</f>
        <v>11</v>
      </c>
      <c r="H80" s="7" t="n">
        <f aca="false">(B80&gt;0)+(D80&gt;0)+(E80&gt;0)+(F80&gt;0)</f>
        <v>3</v>
      </c>
    </row>
    <row r="81" customFormat="false" ht="15" hidden="false" customHeight="false" outlineLevel="0" collapsed="false">
      <c r="A81" s="7" t="n">
        <v>2101</v>
      </c>
      <c r="B81" s="7" t="n">
        <f aca="false">COUNTIF(EV_Chargers!$D:$D,A81)</f>
        <v>5</v>
      </c>
      <c r="C81" s="7" t="n">
        <f aca="false">SUMIF(EV_Chargers!$D:$D,A81,EV_Chargers!$I:$I)</f>
        <v>10</v>
      </c>
      <c r="D81" s="7" t="n">
        <f aca="false">COUNTIF(Transport_Stops!$E:$E,A81)</f>
        <v>2</v>
      </c>
      <c r="E81" s="7" t="n">
        <f aca="false">COUNTIF(Sports_Facilities!$C:$C,A81)</f>
        <v>0</v>
      </c>
      <c r="F81" s="7" t="n">
        <f aca="false">COUNTIF(Taxi_Ranks!$B:$B,A81)</f>
        <v>2</v>
      </c>
      <c r="G81" s="7" t="n">
        <f aca="false">B81+D81+E81+F81</f>
        <v>9</v>
      </c>
      <c r="H81" s="7" t="n">
        <f aca="false">(B81&gt;0)+(D81&gt;0)+(E81&gt;0)+(F81&gt;0)</f>
        <v>3</v>
      </c>
    </row>
    <row r="82" customFormat="false" ht="15" hidden="false" customHeight="false" outlineLevel="0" collapsed="false">
      <c r="A82" s="7" t="n">
        <v>2102</v>
      </c>
      <c r="B82" s="7" t="n">
        <f aca="false">COUNTIF(EV_Chargers!$D:$D,A82)</f>
        <v>3</v>
      </c>
      <c r="C82" s="7" t="n">
        <f aca="false">SUMIF(EV_Chargers!$D:$D,A82,EV_Chargers!$I:$I)</f>
        <v>6</v>
      </c>
      <c r="D82" s="7" t="n">
        <f aca="false">COUNTIF(Transport_Stops!$E:$E,A82)</f>
        <v>0</v>
      </c>
      <c r="E82" s="7" t="n">
        <f aca="false">COUNTIF(Sports_Facilities!$C:$C,A82)</f>
        <v>0</v>
      </c>
      <c r="F82" s="7" t="n">
        <f aca="false">COUNTIF(Taxi_Ranks!$B:$B,A82)</f>
        <v>0</v>
      </c>
      <c r="G82" s="7" t="n">
        <f aca="false">B82+D82+E82+F82</f>
        <v>3</v>
      </c>
      <c r="H82" s="7" t="n">
        <f aca="false">(B82&gt;0)+(D82&gt;0)+(E82&gt;0)+(F82&gt;0)</f>
        <v>1</v>
      </c>
    </row>
    <row r="83" customFormat="false" ht="15" hidden="false" customHeight="false" outlineLevel="0" collapsed="false">
      <c r="A83" s="7" t="n">
        <v>2103</v>
      </c>
      <c r="B83" s="7" t="n">
        <f aca="false">COUNTIF(EV_Chargers!$D:$D,A83)</f>
        <v>4</v>
      </c>
      <c r="C83" s="7" t="n">
        <f aca="false">SUMIF(EV_Chargers!$D:$D,A83,EV_Chargers!$I:$I)</f>
        <v>10</v>
      </c>
      <c r="D83" s="7" t="n">
        <f aca="false">COUNTIF(Transport_Stops!$E:$E,A83)</f>
        <v>1</v>
      </c>
      <c r="E83" s="7" t="n">
        <f aca="false">COUNTIF(Sports_Facilities!$C:$C,A83)</f>
        <v>0</v>
      </c>
      <c r="F83" s="7" t="n">
        <f aca="false">COUNTIF(Taxi_Ranks!$B:$B,A83)</f>
        <v>1</v>
      </c>
      <c r="G83" s="7" t="n">
        <f aca="false">B83+D83+E83+F83</f>
        <v>6</v>
      </c>
      <c r="H83" s="7" t="n">
        <f aca="false">(B83&gt;0)+(D83&gt;0)+(E83&gt;0)+(F83&gt;0)</f>
        <v>3</v>
      </c>
    </row>
    <row r="84" customFormat="false" ht="15" hidden="false" customHeight="false" outlineLevel="0" collapsed="false">
      <c r="A84" s="7" t="n">
        <v>2105</v>
      </c>
      <c r="B84" s="7" t="n">
        <f aca="false">COUNTIF(EV_Chargers!$D:$D,A84)</f>
        <v>1</v>
      </c>
      <c r="C84" s="7" t="n">
        <f aca="false">SUMIF(EV_Chargers!$D:$D,A84,EV_Chargers!$I:$I)</f>
        <v>2</v>
      </c>
      <c r="D84" s="7" t="n">
        <f aca="false">COUNTIF(Transport_Stops!$E:$E,A84)</f>
        <v>0</v>
      </c>
      <c r="E84" s="7" t="n">
        <f aca="false">COUNTIF(Sports_Facilities!$C:$C,A84)</f>
        <v>0</v>
      </c>
      <c r="F84" s="7" t="n">
        <f aca="false">COUNTIF(Taxi_Ranks!$B:$B,A84)</f>
        <v>0</v>
      </c>
      <c r="G84" s="7" t="n">
        <f aca="false">B84+D84+E84+F84</f>
        <v>1</v>
      </c>
      <c r="H84" s="7" t="n">
        <f aca="false">(B84&gt;0)+(D84&gt;0)+(E84&gt;0)+(F84&gt;0)</f>
        <v>1</v>
      </c>
    </row>
    <row r="85" customFormat="false" ht="15" hidden="false" customHeight="false" outlineLevel="0" collapsed="false">
      <c r="A85" s="7" t="n">
        <v>2106</v>
      </c>
      <c r="B85" s="7" t="n">
        <f aca="false">COUNTIF(EV_Chargers!$D:$D,A85)</f>
        <v>3</v>
      </c>
      <c r="C85" s="7" t="n">
        <f aca="false">SUMIF(EV_Chargers!$D:$D,A85,EV_Chargers!$I:$I)</f>
        <v>5</v>
      </c>
      <c r="D85" s="7" t="n">
        <f aca="false">COUNTIF(Transport_Stops!$E:$E,A85)</f>
        <v>0</v>
      </c>
      <c r="E85" s="7" t="n">
        <f aca="false">COUNTIF(Sports_Facilities!$C:$C,A85)</f>
        <v>0</v>
      </c>
      <c r="F85" s="7" t="n">
        <f aca="false">COUNTIF(Taxi_Ranks!$B:$B,A85)</f>
        <v>1</v>
      </c>
      <c r="G85" s="7" t="n">
        <f aca="false">B85+D85+E85+F85</f>
        <v>4</v>
      </c>
      <c r="H85" s="7" t="n">
        <f aca="false">(B85&gt;0)+(D85&gt;0)+(E85&gt;0)+(F85&gt;0)</f>
        <v>2</v>
      </c>
    </row>
    <row r="86" customFormat="false" ht="15" hidden="false" customHeight="false" outlineLevel="0" collapsed="false">
      <c r="A86" s="7" t="n">
        <v>2108</v>
      </c>
      <c r="B86" s="7" t="n">
        <f aca="false">COUNTIF(EV_Chargers!$D:$D,A86)</f>
        <v>1</v>
      </c>
      <c r="C86" s="7" t="n">
        <f aca="false">SUMIF(EV_Chargers!$D:$D,A86,EV_Chargers!$I:$I)</f>
        <v>2</v>
      </c>
      <c r="D86" s="7" t="n">
        <f aca="false">COUNTIF(Transport_Stops!$E:$E,A86)</f>
        <v>0</v>
      </c>
      <c r="E86" s="7" t="n">
        <f aca="false">COUNTIF(Sports_Facilities!$C:$C,A86)</f>
        <v>0</v>
      </c>
      <c r="F86" s="7" t="n">
        <f aca="false">COUNTIF(Taxi_Ranks!$B:$B,A86)</f>
        <v>0</v>
      </c>
      <c r="G86" s="7" t="n">
        <f aca="false">B86+D86+E86+F86</f>
        <v>1</v>
      </c>
      <c r="H86" s="7" t="n">
        <f aca="false">(B86&gt;0)+(D86&gt;0)+(E86&gt;0)+(F86&gt;0)</f>
        <v>1</v>
      </c>
    </row>
    <row r="87" customFormat="false" ht="15" hidden="false" customHeight="false" outlineLevel="0" collapsed="false">
      <c r="A87" s="7" t="n">
        <v>2110</v>
      </c>
      <c r="B87" s="7" t="n">
        <f aca="false">COUNTIF(EV_Chargers!$D:$D,A87)</f>
        <v>0</v>
      </c>
      <c r="C87" s="7" t="n">
        <f aca="false">SUMIF(EV_Chargers!$D:$D,A87,EV_Chargers!$I:$I)</f>
        <v>0</v>
      </c>
      <c r="D87" s="7" t="n">
        <f aca="false">COUNTIF(Transport_Stops!$E:$E,A87)</f>
        <v>2</v>
      </c>
      <c r="E87" s="7" t="n">
        <f aca="false">COUNTIF(Sports_Facilities!$C:$C,A87)</f>
        <v>0</v>
      </c>
      <c r="F87" s="7" t="n">
        <f aca="false">COUNTIF(Taxi_Ranks!$B:$B,A87)</f>
        <v>0</v>
      </c>
      <c r="G87" s="7" t="n">
        <f aca="false">B87+D87+E87+F87</f>
        <v>2</v>
      </c>
      <c r="H87" s="7" t="n">
        <f aca="false">(B87&gt;0)+(D87&gt;0)+(E87&gt;0)+(F87&gt;0)</f>
        <v>1</v>
      </c>
    </row>
    <row r="88" customFormat="false" ht="15" hidden="false" customHeight="false" outlineLevel="0" collapsed="false">
      <c r="A88" s="7" t="n">
        <v>2111</v>
      </c>
      <c r="B88" s="7" t="n">
        <f aca="false">COUNTIF(EV_Chargers!$D:$D,A88)</f>
        <v>4</v>
      </c>
      <c r="C88" s="7" t="n">
        <f aca="false">SUMIF(EV_Chargers!$D:$D,A88,EV_Chargers!$I:$I)</f>
        <v>10</v>
      </c>
      <c r="D88" s="7" t="n">
        <f aca="false">COUNTIF(Transport_Stops!$E:$E,A88)</f>
        <v>1</v>
      </c>
      <c r="E88" s="7" t="n">
        <f aca="false">COUNTIF(Sports_Facilities!$C:$C,A88)</f>
        <v>0</v>
      </c>
      <c r="F88" s="7" t="n">
        <f aca="false">COUNTIF(Taxi_Ranks!$B:$B,A88)</f>
        <v>1</v>
      </c>
      <c r="G88" s="7" t="n">
        <f aca="false">B88+D88+E88+F88</f>
        <v>6</v>
      </c>
      <c r="H88" s="7" t="n">
        <f aca="false">(B88&gt;0)+(D88&gt;0)+(E88&gt;0)+(F88&gt;0)</f>
        <v>3</v>
      </c>
    </row>
    <row r="89" customFormat="false" ht="15" hidden="false" customHeight="false" outlineLevel="0" collapsed="false">
      <c r="A89" s="7" t="n">
        <v>2112</v>
      </c>
      <c r="B89" s="7" t="n">
        <f aca="false">COUNTIF(EV_Chargers!$D:$D,A89)</f>
        <v>2</v>
      </c>
      <c r="C89" s="7" t="n">
        <f aca="false">SUMIF(EV_Chargers!$D:$D,A89,EV_Chargers!$I:$I)</f>
        <v>3</v>
      </c>
      <c r="D89" s="7" t="n">
        <f aca="false">COUNTIF(Transport_Stops!$E:$E,A89)</f>
        <v>1</v>
      </c>
      <c r="E89" s="7" t="n">
        <f aca="false">COUNTIF(Sports_Facilities!$C:$C,A89)</f>
        <v>0</v>
      </c>
      <c r="F89" s="7" t="n">
        <f aca="false">COUNTIF(Taxi_Ranks!$B:$B,A89)</f>
        <v>1</v>
      </c>
      <c r="G89" s="7" t="n">
        <f aca="false">B89+D89+E89+F89</f>
        <v>4</v>
      </c>
      <c r="H89" s="7" t="n">
        <f aca="false">(B89&gt;0)+(D89&gt;0)+(E89&gt;0)+(F89&gt;0)</f>
        <v>3</v>
      </c>
    </row>
    <row r="90" customFormat="false" ht="15" hidden="false" customHeight="false" outlineLevel="0" collapsed="false">
      <c r="A90" s="7" t="n">
        <v>2113</v>
      </c>
      <c r="B90" s="7" t="n">
        <f aca="false">COUNTIF(EV_Chargers!$D:$D,A90)</f>
        <v>7</v>
      </c>
      <c r="C90" s="7" t="n">
        <f aca="false">SUMIF(EV_Chargers!$D:$D,A90,EV_Chargers!$I:$I)</f>
        <v>39</v>
      </c>
      <c r="D90" s="7" t="n">
        <f aca="false">COUNTIF(Transport_Stops!$E:$E,A90)</f>
        <v>3</v>
      </c>
      <c r="E90" s="7" t="n">
        <f aca="false">COUNTIF(Sports_Facilities!$C:$C,A90)</f>
        <v>0</v>
      </c>
      <c r="F90" s="7" t="n">
        <f aca="false">COUNTIF(Taxi_Ranks!$B:$B,A90)</f>
        <v>3</v>
      </c>
      <c r="G90" s="7" t="n">
        <f aca="false">B90+D90+E90+F90</f>
        <v>13</v>
      </c>
      <c r="H90" s="7" t="n">
        <f aca="false">(B90&gt;0)+(D90&gt;0)+(E90&gt;0)+(F90&gt;0)</f>
        <v>3</v>
      </c>
    </row>
    <row r="91" customFormat="false" ht="15" hidden="false" customHeight="false" outlineLevel="0" collapsed="false">
      <c r="A91" s="7" t="n">
        <v>2114</v>
      </c>
      <c r="B91" s="7" t="n">
        <f aca="false">COUNTIF(EV_Chargers!$D:$D,A91)</f>
        <v>2</v>
      </c>
      <c r="C91" s="7" t="n">
        <f aca="false">SUMIF(EV_Chargers!$D:$D,A91,EV_Chargers!$I:$I)</f>
        <v>8</v>
      </c>
      <c r="D91" s="7" t="n">
        <f aca="false">COUNTIF(Transport_Stops!$E:$E,A91)</f>
        <v>4</v>
      </c>
      <c r="E91" s="7" t="n">
        <f aca="false">COUNTIF(Sports_Facilities!$C:$C,A91)</f>
        <v>0</v>
      </c>
      <c r="F91" s="7" t="n">
        <f aca="false">COUNTIF(Taxi_Ranks!$B:$B,A91)</f>
        <v>2</v>
      </c>
      <c r="G91" s="7" t="n">
        <f aca="false">B91+D91+E91+F91</f>
        <v>8</v>
      </c>
      <c r="H91" s="7" t="n">
        <f aca="false">(B91&gt;0)+(D91&gt;0)+(E91&gt;0)+(F91&gt;0)</f>
        <v>3</v>
      </c>
    </row>
    <row r="92" customFormat="false" ht="15" hidden="false" customHeight="false" outlineLevel="0" collapsed="false">
      <c r="A92" s="7" t="n">
        <v>2116</v>
      </c>
      <c r="B92" s="7" t="n">
        <f aca="false">COUNTIF(EV_Chargers!$D:$D,A92)</f>
        <v>3</v>
      </c>
      <c r="C92" s="7" t="n">
        <f aca="false">SUMIF(EV_Chargers!$D:$D,A92,EV_Chargers!$I:$I)</f>
        <v>11</v>
      </c>
      <c r="D92" s="7" t="n">
        <f aca="false">COUNTIF(Transport_Stops!$E:$E,A92)</f>
        <v>2</v>
      </c>
      <c r="E92" s="7" t="n">
        <f aca="false">COUNTIF(Sports_Facilities!$C:$C,A92)</f>
        <v>0</v>
      </c>
      <c r="F92" s="7" t="n">
        <f aca="false">COUNTIF(Taxi_Ranks!$B:$B,A92)</f>
        <v>1</v>
      </c>
      <c r="G92" s="7" t="n">
        <f aca="false">B92+D92+E92+F92</f>
        <v>6</v>
      </c>
      <c r="H92" s="7" t="n">
        <f aca="false">(B92&gt;0)+(D92&gt;0)+(E92&gt;0)+(F92&gt;0)</f>
        <v>3</v>
      </c>
    </row>
    <row r="93" customFormat="false" ht="15" hidden="false" customHeight="false" outlineLevel="0" collapsed="false">
      <c r="A93" s="7" t="n">
        <v>2117</v>
      </c>
      <c r="B93" s="7" t="n">
        <f aca="false">COUNTIF(EV_Chargers!$D:$D,A93)</f>
        <v>1</v>
      </c>
      <c r="C93" s="7" t="n">
        <f aca="false">SUMIF(EV_Chargers!$D:$D,A93,EV_Chargers!$I:$I)</f>
        <v>4</v>
      </c>
      <c r="D93" s="7" t="n">
        <f aca="false">COUNTIF(Transport_Stops!$E:$E,A93)</f>
        <v>2</v>
      </c>
      <c r="E93" s="7" t="n">
        <f aca="false">COUNTIF(Sports_Facilities!$C:$C,A93)</f>
        <v>0</v>
      </c>
      <c r="F93" s="7" t="n">
        <f aca="false">COUNTIF(Taxi_Ranks!$B:$B,A93)</f>
        <v>1</v>
      </c>
      <c r="G93" s="7" t="n">
        <f aca="false">B93+D93+E93+F93</f>
        <v>4</v>
      </c>
      <c r="H93" s="7" t="n">
        <f aca="false">(B93&gt;0)+(D93&gt;0)+(E93&gt;0)+(F93&gt;0)</f>
        <v>3</v>
      </c>
    </row>
    <row r="94" customFormat="false" ht="15" hidden="false" customHeight="false" outlineLevel="0" collapsed="false">
      <c r="A94" s="7" t="n">
        <v>2118</v>
      </c>
      <c r="B94" s="7" t="n">
        <f aca="false">COUNTIF(EV_Chargers!$D:$D,A94)</f>
        <v>1</v>
      </c>
      <c r="C94" s="7" t="n">
        <f aca="false">SUMIF(EV_Chargers!$D:$D,A94,EV_Chargers!$I:$I)</f>
        <v>4</v>
      </c>
      <c r="D94" s="7" t="n">
        <f aca="false">COUNTIF(Transport_Stops!$E:$E,A94)</f>
        <v>1</v>
      </c>
      <c r="E94" s="7" t="n">
        <f aca="false">COUNTIF(Sports_Facilities!$C:$C,A94)</f>
        <v>0</v>
      </c>
      <c r="F94" s="7" t="n">
        <f aca="false">COUNTIF(Taxi_Ranks!$B:$B,A94)</f>
        <v>0</v>
      </c>
      <c r="G94" s="7" t="n">
        <f aca="false">B94+D94+E94+F94</f>
        <v>2</v>
      </c>
      <c r="H94" s="7" t="n">
        <f aca="false">(B94&gt;0)+(D94&gt;0)+(E94&gt;0)+(F94&gt;0)</f>
        <v>2</v>
      </c>
    </row>
    <row r="95" customFormat="false" ht="15" hidden="false" customHeight="false" outlineLevel="0" collapsed="false">
      <c r="A95" s="7" t="n">
        <v>2119</v>
      </c>
      <c r="B95" s="7" t="n">
        <f aca="false">COUNTIF(EV_Chargers!$D:$D,A95)</f>
        <v>1</v>
      </c>
      <c r="C95" s="7" t="n">
        <f aca="false">SUMIF(EV_Chargers!$D:$D,A95,EV_Chargers!$I:$I)</f>
        <v>2</v>
      </c>
      <c r="D95" s="7" t="n">
        <f aca="false">COUNTIF(Transport_Stops!$E:$E,A95)</f>
        <v>2</v>
      </c>
      <c r="E95" s="7" t="n">
        <f aca="false">COUNTIF(Sports_Facilities!$C:$C,A95)</f>
        <v>0</v>
      </c>
      <c r="F95" s="7" t="n">
        <f aca="false">COUNTIF(Taxi_Ranks!$B:$B,A95)</f>
        <v>1</v>
      </c>
      <c r="G95" s="7" t="n">
        <f aca="false">B95+D95+E95+F95</f>
        <v>4</v>
      </c>
      <c r="H95" s="7" t="n">
        <f aca="false">(B95&gt;0)+(D95&gt;0)+(E95&gt;0)+(F95&gt;0)</f>
        <v>3</v>
      </c>
    </row>
    <row r="96" customFormat="false" ht="15" hidden="false" customHeight="false" outlineLevel="0" collapsed="false">
      <c r="A96" s="7" t="n">
        <v>2120</v>
      </c>
      <c r="B96" s="7" t="n">
        <f aca="false">COUNTIF(EV_Chargers!$D:$D,A96)</f>
        <v>4</v>
      </c>
      <c r="C96" s="7" t="n">
        <f aca="false">SUMIF(EV_Chargers!$D:$D,A96,EV_Chargers!$I:$I)</f>
        <v>10</v>
      </c>
      <c r="D96" s="7" t="n">
        <f aca="false">COUNTIF(Transport_Stops!$E:$E,A96)</f>
        <v>2</v>
      </c>
      <c r="E96" s="7" t="n">
        <f aca="false">COUNTIF(Sports_Facilities!$C:$C,A96)</f>
        <v>0</v>
      </c>
      <c r="F96" s="7" t="n">
        <f aca="false">COUNTIF(Taxi_Ranks!$B:$B,A96)</f>
        <v>1</v>
      </c>
      <c r="G96" s="7" t="n">
        <f aca="false">B96+D96+E96+F96</f>
        <v>7</v>
      </c>
      <c r="H96" s="7" t="n">
        <f aca="false">(B96&gt;0)+(D96&gt;0)+(E96&gt;0)+(F96&gt;0)</f>
        <v>3</v>
      </c>
    </row>
    <row r="97" customFormat="false" ht="15" hidden="false" customHeight="false" outlineLevel="0" collapsed="false">
      <c r="A97" s="7" t="n">
        <v>2121</v>
      </c>
      <c r="B97" s="7" t="n">
        <f aca="false">COUNTIF(EV_Chargers!$D:$D,A97)</f>
        <v>0</v>
      </c>
      <c r="C97" s="7" t="n">
        <f aca="false">SUMIF(EV_Chargers!$D:$D,A97,EV_Chargers!$I:$I)</f>
        <v>0</v>
      </c>
      <c r="D97" s="7" t="n">
        <f aca="false">COUNTIF(Transport_Stops!$E:$E,A97)</f>
        <v>1</v>
      </c>
      <c r="E97" s="7" t="n">
        <f aca="false">COUNTIF(Sports_Facilities!$C:$C,A97)</f>
        <v>0</v>
      </c>
      <c r="F97" s="7" t="n">
        <f aca="false">COUNTIF(Taxi_Ranks!$B:$B,A97)</f>
        <v>1</v>
      </c>
      <c r="G97" s="7" t="n">
        <f aca="false">B97+D97+E97+F97</f>
        <v>2</v>
      </c>
      <c r="H97" s="7" t="n">
        <f aca="false">(B97&gt;0)+(D97&gt;0)+(E97&gt;0)+(F97&gt;0)</f>
        <v>2</v>
      </c>
    </row>
    <row r="98" customFormat="false" ht="15" hidden="false" customHeight="false" outlineLevel="0" collapsed="false">
      <c r="A98" s="7" t="n">
        <v>2122</v>
      </c>
      <c r="B98" s="7" t="n">
        <f aca="false">COUNTIF(EV_Chargers!$D:$D,A98)</f>
        <v>2</v>
      </c>
      <c r="C98" s="7" t="n">
        <f aca="false">SUMIF(EV_Chargers!$D:$D,A98,EV_Chargers!$I:$I)</f>
        <v>4</v>
      </c>
      <c r="D98" s="7" t="n">
        <f aca="false">COUNTIF(Transport_Stops!$E:$E,A98)</f>
        <v>1</v>
      </c>
      <c r="E98" s="7" t="n">
        <f aca="false">COUNTIF(Sports_Facilities!$C:$C,A98)</f>
        <v>0</v>
      </c>
      <c r="F98" s="7" t="n">
        <f aca="false">COUNTIF(Taxi_Ranks!$B:$B,A98)</f>
        <v>2</v>
      </c>
      <c r="G98" s="7" t="n">
        <f aca="false">B98+D98+E98+F98</f>
        <v>5</v>
      </c>
      <c r="H98" s="7" t="n">
        <f aca="false">(B98&gt;0)+(D98&gt;0)+(E98&gt;0)+(F98&gt;0)</f>
        <v>3</v>
      </c>
    </row>
    <row r="99" customFormat="false" ht="15" hidden="false" customHeight="false" outlineLevel="0" collapsed="false">
      <c r="A99" s="7" t="n">
        <v>2126</v>
      </c>
      <c r="B99" s="7" t="n">
        <f aca="false">COUNTIF(EV_Chargers!$D:$D,A99)</f>
        <v>1</v>
      </c>
      <c r="C99" s="7" t="n">
        <f aca="false">SUMIF(EV_Chargers!$D:$D,A99,EV_Chargers!$I:$I)</f>
        <v>2</v>
      </c>
      <c r="D99" s="7" t="n">
        <f aca="false">COUNTIF(Transport_Stops!$E:$E,A99)</f>
        <v>1</v>
      </c>
      <c r="E99" s="7" t="n">
        <f aca="false">COUNTIF(Sports_Facilities!$C:$C,A99)</f>
        <v>0</v>
      </c>
      <c r="F99" s="7" t="n">
        <f aca="false">COUNTIF(Taxi_Ranks!$B:$B,A99)</f>
        <v>0</v>
      </c>
      <c r="G99" s="7" t="n">
        <f aca="false">B99+D99+E99+F99</f>
        <v>2</v>
      </c>
      <c r="H99" s="7" t="n">
        <f aca="false">(B99&gt;0)+(D99&gt;0)+(E99&gt;0)+(F99&gt;0)</f>
        <v>2</v>
      </c>
    </row>
    <row r="100" customFormat="false" ht="15" hidden="false" customHeight="false" outlineLevel="0" collapsed="false">
      <c r="A100" s="7" t="n">
        <v>2127</v>
      </c>
      <c r="B100" s="7" t="n">
        <f aca="false">COUNTIF(EV_Chargers!$D:$D,A100)</f>
        <v>5</v>
      </c>
      <c r="C100" s="7" t="n">
        <f aca="false">SUMIF(EV_Chargers!$D:$D,A100,EV_Chargers!$I:$I)</f>
        <v>18</v>
      </c>
      <c r="D100" s="7" t="n">
        <f aca="false">COUNTIF(Transport_Stops!$E:$E,A100)</f>
        <v>2</v>
      </c>
      <c r="E100" s="7" t="n">
        <f aca="false">COUNTIF(Sports_Facilities!$C:$C,A100)</f>
        <v>0</v>
      </c>
      <c r="F100" s="7" t="n">
        <f aca="false">COUNTIF(Taxi_Ranks!$B:$B,A100)</f>
        <v>1</v>
      </c>
      <c r="G100" s="7" t="n">
        <f aca="false">B100+D100+E100+F100</f>
        <v>8</v>
      </c>
      <c r="H100" s="7" t="n">
        <f aca="false">(B100&gt;0)+(D100&gt;0)+(E100&gt;0)+(F100&gt;0)</f>
        <v>3</v>
      </c>
    </row>
    <row r="101" customFormat="false" ht="15" hidden="false" customHeight="false" outlineLevel="0" collapsed="false">
      <c r="A101" s="7" t="n">
        <v>2130</v>
      </c>
      <c r="B101" s="7" t="n">
        <f aca="false">COUNTIF(EV_Chargers!$D:$D,A101)</f>
        <v>5</v>
      </c>
      <c r="C101" s="7" t="n">
        <f aca="false">SUMIF(EV_Chargers!$D:$D,A101,EV_Chargers!$I:$I)</f>
        <v>11</v>
      </c>
      <c r="D101" s="7" t="n">
        <f aca="false">COUNTIF(Transport_Stops!$E:$E,A101)</f>
        <v>1</v>
      </c>
      <c r="E101" s="7" t="n">
        <f aca="false">COUNTIF(Sports_Facilities!$C:$C,A101)</f>
        <v>0</v>
      </c>
      <c r="F101" s="7" t="n">
        <f aca="false">COUNTIF(Taxi_Ranks!$B:$B,A101)</f>
        <v>0</v>
      </c>
      <c r="G101" s="7" t="n">
        <f aca="false">B101+D101+E101+F101</f>
        <v>6</v>
      </c>
      <c r="H101" s="7" t="n">
        <f aca="false">(B101&gt;0)+(D101&gt;0)+(E101&gt;0)+(F101&gt;0)</f>
        <v>2</v>
      </c>
    </row>
    <row r="102" customFormat="false" ht="15" hidden="false" customHeight="false" outlineLevel="0" collapsed="false">
      <c r="A102" s="7" t="n">
        <v>2131</v>
      </c>
      <c r="B102" s="7" t="n">
        <f aca="false">COUNTIF(EV_Chargers!$D:$D,A102)</f>
        <v>12</v>
      </c>
      <c r="C102" s="7" t="n">
        <f aca="false">SUMIF(EV_Chargers!$D:$D,A102,EV_Chargers!$I:$I)</f>
        <v>33</v>
      </c>
      <c r="D102" s="7" t="n">
        <f aca="false">COUNTIF(Transport_Stops!$E:$E,A102)</f>
        <v>1</v>
      </c>
      <c r="E102" s="7" t="n">
        <f aca="false">COUNTIF(Sports_Facilities!$C:$C,A102)</f>
        <v>0</v>
      </c>
      <c r="F102" s="7" t="n">
        <f aca="false">COUNTIF(Taxi_Ranks!$B:$B,A102)</f>
        <v>1</v>
      </c>
      <c r="G102" s="7" t="n">
        <f aca="false">B102+D102+E102+F102</f>
        <v>14</v>
      </c>
      <c r="H102" s="7" t="n">
        <f aca="false">(B102&gt;0)+(D102&gt;0)+(E102&gt;0)+(F102&gt;0)</f>
        <v>3</v>
      </c>
    </row>
    <row r="103" customFormat="false" ht="15" hidden="false" customHeight="false" outlineLevel="0" collapsed="false">
      <c r="A103" s="7" t="n">
        <v>2132</v>
      </c>
      <c r="B103" s="7" t="n">
        <f aca="false">COUNTIF(EV_Chargers!$D:$D,A103)</f>
        <v>3</v>
      </c>
      <c r="C103" s="7" t="n">
        <f aca="false">SUMIF(EV_Chargers!$D:$D,A103,EV_Chargers!$I:$I)</f>
        <v>8</v>
      </c>
      <c r="D103" s="7" t="n">
        <f aca="false">COUNTIF(Transport_Stops!$E:$E,A103)</f>
        <v>1</v>
      </c>
      <c r="E103" s="7" t="n">
        <f aca="false">COUNTIF(Sports_Facilities!$C:$C,A103)</f>
        <v>0</v>
      </c>
      <c r="F103" s="7" t="n">
        <f aca="false">COUNTIF(Taxi_Ranks!$B:$B,A103)</f>
        <v>0</v>
      </c>
      <c r="G103" s="7" t="n">
        <f aca="false">B103+D103+E103+F103</f>
        <v>4</v>
      </c>
      <c r="H103" s="7" t="n">
        <f aca="false">(B103&gt;0)+(D103&gt;0)+(E103&gt;0)+(F103&gt;0)</f>
        <v>2</v>
      </c>
    </row>
    <row r="104" customFormat="false" ht="15" hidden="false" customHeight="false" outlineLevel="0" collapsed="false">
      <c r="A104" s="7" t="n">
        <v>2134</v>
      </c>
      <c r="B104" s="7" t="n">
        <f aca="false">COUNTIF(EV_Chargers!$D:$D,A104)</f>
        <v>6</v>
      </c>
      <c r="C104" s="7" t="n">
        <f aca="false">SUMIF(EV_Chargers!$D:$D,A104,EV_Chargers!$I:$I)</f>
        <v>12</v>
      </c>
      <c r="D104" s="7" t="n">
        <f aca="false">COUNTIF(Transport_Stops!$E:$E,A104)</f>
        <v>1</v>
      </c>
      <c r="E104" s="7" t="n">
        <f aca="false">COUNTIF(Sports_Facilities!$C:$C,A104)</f>
        <v>0</v>
      </c>
      <c r="F104" s="7" t="n">
        <f aca="false">COUNTIF(Taxi_Ranks!$B:$B,A104)</f>
        <v>1</v>
      </c>
      <c r="G104" s="7" t="n">
        <f aca="false">B104+D104+E104+F104</f>
        <v>8</v>
      </c>
      <c r="H104" s="7" t="n">
        <f aca="false">(B104&gt;0)+(D104&gt;0)+(E104&gt;0)+(F104&gt;0)</f>
        <v>3</v>
      </c>
    </row>
    <row r="105" customFormat="false" ht="15" hidden="false" customHeight="false" outlineLevel="0" collapsed="false">
      <c r="A105" s="7" t="n">
        <v>2135</v>
      </c>
      <c r="B105" s="7" t="n">
        <f aca="false">COUNTIF(EV_Chargers!$D:$D,A105)</f>
        <v>6</v>
      </c>
      <c r="C105" s="7" t="n">
        <f aca="false">SUMIF(EV_Chargers!$D:$D,A105,EV_Chargers!$I:$I)</f>
        <v>18</v>
      </c>
      <c r="D105" s="7" t="n">
        <f aca="false">COUNTIF(Transport_Stops!$E:$E,A105)</f>
        <v>1</v>
      </c>
      <c r="E105" s="7" t="n">
        <f aca="false">COUNTIF(Sports_Facilities!$C:$C,A105)</f>
        <v>0</v>
      </c>
      <c r="F105" s="7" t="n">
        <f aca="false">COUNTIF(Taxi_Ranks!$B:$B,A105)</f>
        <v>2</v>
      </c>
      <c r="G105" s="7" t="n">
        <f aca="false">B105+D105+E105+F105</f>
        <v>9</v>
      </c>
      <c r="H105" s="7" t="n">
        <f aca="false">(B105&gt;0)+(D105&gt;0)+(E105&gt;0)+(F105&gt;0)</f>
        <v>3</v>
      </c>
    </row>
    <row r="106" customFormat="false" ht="15" hidden="false" customHeight="false" outlineLevel="0" collapsed="false">
      <c r="A106" s="7" t="n">
        <v>2137</v>
      </c>
      <c r="B106" s="7" t="n">
        <f aca="false">COUNTIF(EV_Chargers!$D:$D,A106)</f>
        <v>4</v>
      </c>
      <c r="C106" s="7" t="n">
        <f aca="false">SUMIF(EV_Chargers!$D:$D,A106,EV_Chargers!$I:$I)</f>
        <v>16</v>
      </c>
      <c r="D106" s="7" t="n">
        <f aca="false">COUNTIF(Transport_Stops!$E:$E,A106)</f>
        <v>2</v>
      </c>
      <c r="E106" s="7" t="n">
        <f aca="false">COUNTIF(Sports_Facilities!$C:$C,A106)</f>
        <v>0</v>
      </c>
      <c r="F106" s="7" t="n">
        <f aca="false">COUNTIF(Taxi_Ranks!$B:$B,A106)</f>
        <v>0</v>
      </c>
      <c r="G106" s="7" t="n">
        <f aca="false">B106+D106+E106+F106</f>
        <v>6</v>
      </c>
      <c r="H106" s="7" t="n">
        <f aca="false">(B106&gt;0)+(D106&gt;0)+(E106&gt;0)+(F106&gt;0)</f>
        <v>2</v>
      </c>
    </row>
    <row r="107" customFormat="false" ht="15" hidden="false" customHeight="false" outlineLevel="0" collapsed="false">
      <c r="A107" s="7" t="n">
        <v>2138</v>
      </c>
      <c r="B107" s="7" t="n">
        <f aca="false">COUNTIF(EV_Chargers!$D:$D,A107)</f>
        <v>2</v>
      </c>
      <c r="C107" s="7" t="n">
        <f aca="false">SUMIF(EV_Chargers!$D:$D,A107,EV_Chargers!$I:$I)</f>
        <v>6</v>
      </c>
      <c r="D107" s="7" t="n">
        <f aca="false">COUNTIF(Transport_Stops!$E:$E,A107)</f>
        <v>2</v>
      </c>
      <c r="E107" s="7" t="n">
        <f aca="false">COUNTIF(Sports_Facilities!$C:$C,A107)</f>
        <v>0</v>
      </c>
      <c r="F107" s="7" t="n">
        <f aca="false">COUNTIF(Taxi_Ranks!$B:$B,A107)</f>
        <v>2</v>
      </c>
      <c r="G107" s="7" t="n">
        <f aca="false">B107+D107+E107+F107</f>
        <v>6</v>
      </c>
      <c r="H107" s="7" t="n">
        <f aca="false">(B107&gt;0)+(D107&gt;0)+(E107&gt;0)+(F107&gt;0)</f>
        <v>3</v>
      </c>
    </row>
    <row r="108" customFormat="false" ht="15" hidden="false" customHeight="false" outlineLevel="0" collapsed="false">
      <c r="A108" s="7" t="n">
        <v>2140</v>
      </c>
      <c r="B108" s="7" t="n">
        <f aca="false">COUNTIF(EV_Chargers!$D:$D,A108)</f>
        <v>7</v>
      </c>
      <c r="C108" s="7" t="n">
        <f aca="false">SUMIF(EV_Chargers!$D:$D,A108,EV_Chargers!$I:$I)</f>
        <v>20</v>
      </c>
      <c r="D108" s="7" t="n">
        <f aca="false">COUNTIF(Transport_Stops!$E:$E,A108)</f>
        <v>2</v>
      </c>
      <c r="E108" s="7" t="n">
        <f aca="false">COUNTIF(Sports_Facilities!$C:$C,A108)</f>
        <v>0</v>
      </c>
      <c r="F108" s="7" t="n">
        <f aca="false">COUNTIF(Taxi_Ranks!$B:$B,A108)</f>
        <v>0</v>
      </c>
      <c r="G108" s="7" t="n">
        <f aca="false">B108+D108+E108+F108</f>
        <v>9</v>
      </c>
      <c r="H108" s="7" t="n">
        <f aca="false">(B108&gt;0)+(D108&gt;0)+(E108&gt;0)+(F108&gt;0)</f>
        <v>2</v>
      </c>
    </row>
    <row r="109" customFormat="false" ht="15" hidden="false" customHeight="false" outlineLevel="0" collapsed="false">
      <c r="A109" s="7" t="n">
        <v>2141</v>
      </c>
      <c r="B109" s="7" t="n">
        <f aca="false">COUNTIF(EV_Chargers!$D:$D,A109)</f>
        <v>1</v>
      </c>
      <c r="C109" s="7" t="n">
        <f aca="false">SUMIF(EV_Chargers!$D:$D,A109,EV_Chargers!$I:$I)</f>
        <v>5</v>
      </c>
      <c r="D109" s="7" t="n">
        <f aca="false">COUNTIF(Transport_Stops!$E:$E,A109)</f>
        <v>2</v>
      </c>
      <c r="E109" s="7" t="n">
        <f aca="false">COUNTIF(Sports_Facilities!$C:$C,A109)</f>
        <v>0</v>
      </c>
      <c r="F109" s="7" t="n">
        <f aca="false">COUNTIF(Taxi_Ranks!$B:$B,A109)</f>
        <v>1</v>
      </c>
      <c r="G109" s="7" t="n">
        <f aca="false">B109+D109+E109+F109</f>
        <v>4</v>
      </c>
      <c r="H109" s="7" t="n">
        <f aca="false">(B109&gt;0)+(D109&gt;0)+(E109&gt;0)+(F109&gt;0)</f>
        <v>3</v>
      </c>
    </row>
    <row r="110" customFormat="false" ht="15" hidden="false" customHeight="false" outlineLevel="0" collapsed="false">
      <c r="A110" s="7" t="n">
        <v>2142</v>
      </c>
      <c r="B110" s="7" t="n">
        <f aca="false">COUNTIF(EV_Chargers!$D:$D,A110)</f>
        <v>5</v>
      </c>
      <c r="C110" s="7" t="n">
        <f aca="false">SUMIF(EV_Chargers!$D:$D,A110,EV_Chargers!$I:$I)</f>
        <v>14</v>
      </c>
      <c r="D110" s="7" t="n">
        <f aca="false">COUNTIF(Transport_Stops!$E:$E,A110)</f>
        <v>3</v>
      </c>
      <c r="E110" s="7" t="n">
        <f aca="false">COUNTIF(Sports_Facilities!$C:$C,A110)</f>
        <v>0</v>
      </c>
      <c r="F110" s="7" t="n">
        <f aca="false">COUNTIF(Taxi_Ranks!$B:$B,A110)</f>
        <v>3</v>
      </c>
      <c r="G110" s="7" t="n">
        <f aca="false">B110+D110+E110+F110</f>
        <v>11</v>
      </c>
      <c r="H110" s="7" t="n">
        <f aca="false">(B110&gt;0)+(D110&gt;0)+(E110&gt;0)+(F110&gt;0)</f>
        <v>3</v>
      </c>
    </row>
    <row r="111" customFormat="false" ht="15" hidden="false" customHeight="false" outlineLevel="0" collapsed="false">
      <c r="A111" s="7" t="n">
        <v>2143</v>
      </c>
      <c r="B111" s="7" t="n">
        <f aca="false">COUNTIF(EV_Chargers!$D:$D,A111)</f>
        <v>0</v>
      </c>
      <c r="C111" s="7" t="n">
        <f aca="false">SUMIF(EV_Chargers!$D:$D,A111,EV_Chargers!$I:$I)</f>
        <v>0</v>
      </c>
      <c r="D111" s="7" t="n">
        <f aca="false">COUNTIF(Transport_Stops!$E:$E,A111)</f>
        <v>2</v>
      </c>
      <c r="E111" s="7" t="n">
        <f aca="false">COUNTIF(Sports_Facilities!$C:$C,A111)</f>
        <v>0</v>
      </c>
      <c r="F111" s="7" t="n">
        <f aca="false">COUNTIF(Taxi_Ranks!$B:$B,A111)</f>
        <v>0</v>
      </c>
      <c r="G111" s="7" t="n">
        <f aca="false">B111+D111+E111+F111</f>
        <v>2</v>
      </c>
      <c r="H111" s="7" t="n">
        <f aca="false">(B111&gt;0)+(D111&gt;0)+(E111&gt;0)+(F111&gt;0)</f>
        <v>1</v>
      </c>
    </row>
    <row r="112" customFormat="false" ht="15" hidden="false" customHeight="false" outlineLevel="0" collapsed="false">
      <c r="A112" s="7" t="n">
        <v>2144</v>
      </c>
      <c r="B112" s="7" t="n">
        <f aca="false">COUNTIF(EV_Chargers!$D:$D,A112)</f>
        <v>1</v>
      </c>
      <c r="C112" s="7" t="n">
        <f aca="false">SUMIF(EV_Chargers!$D:$D,A112,EV_Chargers!$I:$I)</f>
        <v>2</v>
      </c>
      <c r="D112" s="7" t="n">
        <f aca="false">COUNTIF(Transport_Stops!$E:$E,A112)</f>
        <v>1</v>
      </c>
      <c r="E112" s="7" t="n">
        <f aca="false">COUNTIF(Sports_Facilities!$C:$C,A112)</f>
        <v>0</v>
      </c>
      <c r="F112" s="7" t="n">
        <f aca="false">COUNTIF(Taxi_Ranks!$B:$B,A112)</f>
        <v>1</v>
      </c>
      <c r="G112" s="7" t="n">
        <f aca="false">B112+D112+E112+F112</f>
        <v>3</v>
      </c>
      <c r="H112" s="7" t="n">
        <f aca="false">(B112&gt;0)+(D112&gt;0)+(E112&gt;0)+(F112&gt;0)</f>
        <v>3</v>
      </c>
    </row>
    <row r="113" customFormat="false" ht="15" hidden="false" customHeight="false" outlineLevel="0" collapsed="false">
      <c r="A113" s="7" t="n">
        <v>2145</v>
      </c>
      <c r="B113" s="7" t="n">
        <f aca="false">COUNTIF(EV_Chargers!$D:$D,A113)</f>
        <v>2</v>
      </c>
      <c r="C113" s="7" t="n">
        <f aca="false">SUMIF(EV_Chargers!$D:$D,A113,EV_Chargers!$I:$I)</f>
        <v>9</v>
      </c>
      <c r="D113" s="7" t="n">
        <f aca="false">COUNTIF(Transport_Stops!$E:$E,A113)</f>
        <v>5</v>
      </c>
      <c r="E113" s="7" t="n">
        <f aca="false">COUNTIF(Sports_Facilities!$C:$C,A113)</f>
        <v>0</v>
      </c>
      <c r="F113" s="7" t="n">
        <f aca="false">COUNTIF(Taxi_Ranks!$B:$B,A113)</f>
        <v>4</v>
      </c>
      <c r="G113" s="7" t="n">
        <f aca="false">B113+D113+E113+F113</f>
        <v>11</v>
      </c>
      <c r="H113" s="7" t="n">
        <f aca="false">(B113&gt;0)+(D113&gt;0)+(E113&gt;0)+(F113&gt;0)</f>
        <v>3</v>
      </c>
    </row>
    <row r="114" customFormat="false" ht="15" hidden="false" customHeight="false" outlineLevel="0" collapsed="false">
      <c r="A114" s="7" t="n">
        <v>2146</v>
      </c>
      <c r="B114" s="7" t="n">
        <f aca="false">COUNTIF(EV_Chargers!$D:$D,A114)</f>
        <v>0</v>
      </c>
      <c r="C114" s="7" t="n">
        <f aca="false">SUMIF(EV_Chargers!$D:$D,A114,EV_Chargers!$I:$I)</f>
        <v>0</v>
      </c>
      <c r="D114" s="7" t="n">
        <f aca="false">COUNTIF(Transport_Stops!$E:$E,A114)</f>
        <v>1</v>
      </c>
      <c r="E114" s="7" t="n">
        <f aca="false">COUNTIF(Sports_Facilities!$C:$C,A114)</f>
        <v>0</v>
      </c>
      <c r="F114" s="7" t="n">
        <f aca="false">COUNTIF(Taxi_Ranks!$B:$B,A114)</f>
        <v>1</v>
      </c>
      <c r="G114" s="7" t="n">
        <f aca="false">B114+D114+E114+F114</f>
        <v>2</v>
      </c>
      <c r="H114" s="7" t="n">
        <f aca="false">(B114&gt;0)+(D114&gt;0)+(E114&gt;0)+(F114&gt;0)</f>
        <v>2</v>
      </c>
    </row>
    <row r="115" customFormat="false" ht="15" hidden="false" customHeight="false" outlineLevel="0" collapsed="false">
      <c r="A115" s="7" t="n">
        <v>2147</v>
      </c>
      <c r="B115" s="7" t="n">
        <f aca="false">COUNTIF(EV_Chargers!$D:$D,A115)</f>
        <v>5</v>
      </c>
      <c r="C115" s="7" t="n">
        <f aca="false">SUMIF(EV_Chargers!$D:$D,A115,EV_Chargers!$I:$I)</f>
        <v>11</v>
      </c>
      <c r="D115" s="7" t="n">
        <f aca="false">COUNTIF(Transport_Stops!$E:$E,A115)</f>
        <v>1</v>
      </c>
      <c r="E115" s="7" t="n">
        <f aca="false">COUNTIF(Sports_Facilities!$C:$C,A115)</f>
        <v>0</v>
      </c>
      <c r="F115" s="7" t="n">
        <f aca="false">COUNTIF(Taxi_Ranks!$B:$B,A115)</f>
        <v>2</v>
      </c>
      <c r="G115" s="7" t="n">
        <f aca="false">B115+D115+E115+F115</f>
        <v>8</v>
      </c>
      <c r="H115" s="7" t="n">
        <f aca="false">(B115&gt;0)+(D115&gt;0)+(E115&gt;0)+(F115&gt;0)</f>
        <v>3</v>
      </c>
    </row>
    <row r="116" customFormat="false" ht="15" hidden="false" customHeight="false" outlineLevel="0" collapsed="false">
      <c r="A116" s="7" t="n">
        <v>2148</v>
      </c>
      <c r="B116" s="7" t="n">
        <f aca="false">COUNTIF(EV_Chargers!$D:$D,A116)</f>
        <v>4</v>
      </c>
      <c r="C116" s="7" t="n">
        <f aca="false">SUMIF(EV_Chargers!$D:$D,A116,EV_Chargers!$I:$I)</f>
        <v>9</v>
      </c>
      <c r="D116" s="7" t="n">
        <f aca="false">COUNTIF(Transport_Stops!$E:$E,A116)</f>
        <v>2</v>
      </c>
      <c r="E116" s="7" t="n">
        <f aca="false">COUNTIF(Sports_Facilities!$C:$C,A116)</f>
        <v>0</v>
      </c>
      <c r="F116" s="7" t="n">
        <f aca="false">COUNTIF(Taxi_Ranks!$B:$B,A116)</f>
        <v>1</v>
      </c>
      <c r="G116" s="7" t="n">
        <f aca="false">B116+D116+E116+F116</f>
        <v>7</v>
      </c>
      <c r="H116" s="7" t="n">
        <f aca="false">(B116&gt;0)+(D116&gt;0)+(E116&gt;0)+(F116&gt;0)</f>
        <v>3</v>
      </c>
    </row>
    <row r="117" customFormat="false" ht="15" hidden="false" customHeight="false" outlineLevel="0" collapsed="false">
      <c r="A117" s="7" t="n">
        <v>2150</v>
      </c>
      <c r="B117" s="7" t="n">
        <f aca="false">COUNTIF(EV_Chargers!$D:$D,A117)</f>
        <v>10</v>
      </c>
      <c r="C117" s="7" t="n">
        <f aca="false">SUMIF(EV_Chargers!$D:$D,A117,EV_Chargers!$I:$I)</f>
        <v>38</v>
      </c>
      <c r="D117" s="7" t="n">
        <f aca="false">COUNTIF(Transport_Stops!$E:$E,A117)</f>
        <v>9</v>
      </c>
      <c r="E117" s="7" t="n">
        <f aca="false">COUNTIF(Sports_Facilities!$C:$C,A117)</f>
        <v>0</v>
      </c>
      <c r="F117" s="7" t="n">
        <f aca="false">COUNTIF(Taxi_Ranks!$B:$B,A117)</f>
        <v>7</v>
      </c>
      <c r="G117" s="7" t="n">
        <f aca="false">B117+D117+E117+F117</f>
        <v>26</v>
      </c>
      <c r="H117" s="7" t="n">
        <f aca="false">(B117&gt;0)+(D117&gt;0)+(E117&gt;0)+(F117&gt;0)</f>
        <v>3</v>
      </c>
    </row>
    <row r="118" customFormat="false" ht="15" hidden="false" customHeight="false" outlineLevel="0" collapsed="false">
      <c r="A118" s="7" t="n">
        <v>2151</v>
      </c>
      <c r="B118" s="7" t="n">
        <f aca="false">COUNTIF(EV_Chargers!$D:$D,A118)</f>
        <v>1</v>
      </c>
      <c r="C118" s="7" t="n">
        <f aca="false">SUMIF(EV_Chargers!$D:$D,A118,EV_Chargers!$I:$I)</f>
        <v>4</v>
      </c>
      <c r="D118" s="7" t="n">
        <f aca="false">COUNTIF(Transport_Stops!$E:$E,A118)</f>
        <v>2</v>
      </c>
      <c r="E118" s="7" t="n">
        <f aca="false">COUNTIF(Sports_Facilities!$C:$C,A118)</f>
        <v>0</v>
      </c>
      <c r="F118" s="7" t="n">
        <f aca="false">COUNTIF(Taxi_Ranks!$B:$B,A118)</f>
        <v>1</v>
      </c>
      <c r="G118" s="7" t="n">
        <f aca="false">B118+D118+E118+F118</f>
        <v>4</v>
      </c>
      <c r="H118" s="7" t="n">
        <f aca="false">(B118&gt;0)+(D118&gt;0)+(E118&gt;0)+(F118&gt;0)</f>
        <v>3</v>
      </c>
    </row>
    <row r="119" customFormat="false" ht="15" hidden="false" customHeight="false" outlineLevel="0" collapsed="false">
      <c r="A119" s="7" t="n">
        <v>2152</v>
      </c>
      <c r="B119" s="7" t="n">
        <f aca="false">COUNTIF(EV_Chargers!$D:$D,A119)</f>
        <v>1</v>
      </c>
      <c r="C119" s="7" t="n">
        <f aca="false">SUMIF(EV_Chargers!$D:$D,A119,EV_Chargers!$I:$I)</f>
        <v>2</v>
      </c>
      <c r="D119" s="7" t="n">
        <f aca="false">COUNTIF(Transport_Stops!$E:$E,A119)</f>
        <v>0</v>
      </c>
      <c r="E119" s="7" t="n">
        <f aca="false">COUNTIF(Sports_Facilities!$C:$C,A119)</f>
        <v>0</v>
      </c>
      <c r="F119" s="7" t="n">
        <f aca="false">COUNTIF(Taxi_Ranks!$B:$B,A119)</f>
        <v>0</v>
      </c>
      <c r="G119" s="7" t="n">
        <f aca="false">B119+D119+E119+F119</f>
        <v>1</v>
      </c>
      <c r="H119" s="7" t="n">
        <f aca="false">(B119&gt;0)+(D119&gt;0)+(E119&gt;0)+(F119&gt;0)</f>
        <v>1</v>
      </c>
    </row>
    <row r="120" customFormat="false" ht="15" hidden="false" customHeight="false" outlineLevel="0" collapsed="false">
      <c r="A120" s="7" t="n">
        <v>2153</v>
      </c>
      <c r="B120" s="7" t="n">
        <f aca="false">COUNTIF(EV_Chargers!$D:$D,A120)</f>
        <v>8</v>
      </c>
      <c r="C120" s="7" t="n">
        <f aca="false">SUMIF(EV_Chargers!$D:$D,A120,EV_Chargers!$I:$I)</f>
        <v>26</v>
      </c>
      <c r="D120" s="7" t="n">
        <f aca="false">COUNTIF(Transport_Stops!$E:$E,A120)</f>
        <v>2</v>
      </c>
      <c r="E120" s="7" t="n">
        <f aca="false">COUNTIF(Sports_Facilities!$C:$C,A120)</f>
        <v>0</v>
      </c>
      <c r="F120" s="7" t="n">
        <f aca="false">COUNTIF(Taxi_Ranks!$B:$B,A120)</f>
        <v>3</v>
      </c>
      <c r="G120" s="7" t="n">
        <f aca="false">B120+D120+E120+F120</f>
        <v>13</v>
      </c>
      <c r="H120" s="7" t="n">
        <f aca="false">(B120&gt;0)+(D120&gt;0)+(E120&gt;0)+(F120&gt;0)</f>
        <v>3</v>
      </c>
    </row>
    <row r="121" customFormat="false" ht="15" hidden="false" customHeight="false" outlineLevel="0" collapsed="false">
      <c r="A121" s="7" t="n">
        <v>2154</v>
      </c>
      <c r="B121" s="7" t="n">
        <f aca="false">COUNTIF(EV_Chargers!$D:$D,A121)</f>
        <v>5</v>
      </c>
      <c r="C121" s="7" t="n">
        <f aca="false">SUMIF(EV_Chargers!$D:$D,A121,EV_Chargers!$I:$I)</f>
        <v>14</v>
      </c>
      <c r="D121" s="7" t="n">
        <f aca="false">COUNTIF(Transport_Stops!$E:$E,A121)</f>
        <v>2</v>
      </c>
      <c r="E121" s="7" t="n">
        <f aca="false">COUNTIF(Sports_Facilities!$C:$C,A121)</f>
        <v>0</v>
      </c>
      <c r="F121" s="7" t="n">
        <f aca="false">COUNTIF(Taxi_Ranks!$B:$B,A121)</f>
        <v>1</v>
      </c>
      <c r="G121" s="7" t="n">
        <f aca="false">B121+D121+E121+F121</f>
        <v>8</v>
      </c>
      <c r="H121" s="7" t="n">
        <f aca="false">(B121&gt;0)+(D121&gt;0)+(E121&gt;0)+(F121&gt;0)</f>
        <v>3</v>
      </c>
    </row>
    <row r="122" customFormat="false" ht="15" hidden="false" customHeight="false" outlineLevel="0" collapsed="false">
      <c r="A122" s="7" t="n">
        <v>2155</v>
      </c>
      <c r="B122" s="7" t="n">
        <f aca="false">COUNTIF(EV_Chargers!$D:$D,A122)</f>
        <v>8</v>
      </c>
      <c r="C122" s="7" t="n">
        <f aca="false">SUMIF(EV_Chargers!$D:$D,A122,EV_Chargers!$I:$I)</f>
        <v>18</v>
      </c>
      <c r="D122" s="7" t="n">
        <f aca="false">COUNTIF(Transport_Stops!$E:$E,A122)</f>
        <v>3</v>
      </c>
      <c r="E122" s="7" t="n">
        <f aca="false">COUNTIF(Sports_Facilities!$C:$C,A122)</f>
        <v>0</v>
      </c>
      <c r="F122" s="7" t="n">
        <f aca="false">COUNTIF(Taxi_Ranks!$B:$B,A122)</f>
        <v>1</v>
      </c>
      <c r="G122" s="7" t="n">
        <f aca="false">B122+D122+E122+F122</f>
        <v>12</v>
      </c>
      <c r="H122" s="7" t="n">
        <f aca="false">(B122&gt;0)+(D122&gt;0)+(E122&gt;0)+(F122&gt;0)</f>
        <v>3</v>
      </c>
    </row>
    <row r="123" customFormat="false" ht="15" hidden="false" customHeight="false" outlineLevel="0" collapsed="false">
      <c r="A123" s="7" t="n">
        <v>2157</v>
      </c>
      <c r="B123" s="7" t="n">
        <f aca="false">COUNTIF(EV_Chargers!$D:$D,A123)</f>
        <v>1</v>
      </c>
      <c r="C123" s="7" t="n">
        <f aca="false">SUMIF(EV_Chargers!$D:$D,A123,EV_Chargers!$I:$I)</f>
        <v>4</v>
      </c>
      <c r="D123" s="7" t="n">
        <f aca="false">COUNTIF(Transport_Stops!$E:$E,A123)</f>
        <v>0</v>
      </c>
      <c r="E123" s="7" t="n">
        <f aca="false">COUNTIF(Sports_Facilities!$C:$C,A123)</f>
        <v>0</v>
      </c>
      <c r="F123" s="7" t="n">
        <f aca="false">COUNTIF(Taxi_Ranks!$B:$B,A123)</f>
        <v>0</v>
      </c>
      <c r="G123" s="7" t="n">
        <f aca="false">B123+D123+E123+F123</f>
        <v>1</v>
      </c>
      <c r="H123" s="7" t="n">
        <f aca="false">(B123&gt;0)+(D123&gt;0)+(E123&gt;0)+(F123&gt;0)</f>
        <v>1</v>
      </c>
    </row>
    <row r="124" customFormat="false" ht="15" hidden="false" customHeight="false" outlineLevel="0" collapsed="false">
      <c r="A124" s="7" t="n">
        <v>2158</v>
      </c>
      <c r="B124" s="7" t="n">
        <f aca="false">COUNTIF(EV_Chargers!$D:$D,A124)</f>
        <v>2</v>
      </c>
      <c r="C124" s="7" t="n">
        <f aca="false">SUMIF(EV_Chargers!$D:$D,A124,EV_Chargers!$I:$I)</f>
        <v>4</v>
      </c>
      <c r="D124" s="7" t="n">
        <f aca="false">COUNTIF(Transport_Stops!$E:$E,A124)</f>
        <v>0</v>
      </c>
      <c r="E124" s="7" t="n">
        <f aca="false">COUNTIF(Sports_Facilities!$C:$C,A124)</f>
        <v>0</v>
      </c>
      <c r="F124" s="7" t="n">
        <f aca="false">COUNTIF(Taxi_Ranks!$B:$B,A124)</f>
        <v>0</v>
      </c>
      <c r="G124" s="7" t="n">
        <f aca="false">B124+D124+E124+F124</f>
        <v>2</v>
      </c>
      <c r="H124" s="7" t="n">
        <f aca="false">(B124&gt;0)+(D124&gt;0)+(E124&gt;0)+(F124&gt;0)</f>
        <v>1</v>
      </c>
    </row>
    <row r="125" customFormat="false" ht="15" hidden="false" customHeight="false" outlineLevel="0" collapsed="false">
      <c r="A125" s="7" t="n">
        <v>2160</v>
      </c>
      <c r="B125" s="7" t="n">
        <f aca="false">COUNTIF(EV_Chargers!$D:$D,A125)</f>
        <v>1</v>
      </c>
      <c r="C125" s="7" t="n">
        <f aca="false">SUMIF(EV_Chargers!$D:$D,A125,EV_Chargers!$I:$I)</f>
        <v>2</v>
      </c>
      <c r="D125" s="7" t="n">
        <f aca="false">COUNTIF(Transport_Stops!$E:$E,A125)</f>
        <v>1</v>
      </c>
      <c r="E125" s="7" t="n">
        <f aca="false">COUNTIF(Sports_Facilities!$C:$C,A125)</f>
        <v>0</v>
      </c>
      <c r="F125" s="7" t="n">
        <f aca="false">COUNTIF(Taxi_Ranks!$B:$B,A125)</f>
        <v>0</v>
      </c>
      <c r="G125" s="7" t="n">
        <f aca="false">B125+D125+E125+F125</f>
        <v>2</v>
      </c>
      <c r="H125" s="7" t="n">
        <f aca="false">(B125&gt;0)+(D125&gt;0)+(E125&gt;0)+(F125&gt;0)</f>
        <v>2</v>
      </c>
    </row>
    <row r="126" customFormat="false" ht="15" hidden="false" customHeight="false" outlineLevel="0" collapsed="false">
      <c r="A126" s="7" t="n">
        <v>2161</v>
      </c>
      <c r="B126" s="7" t="n">
        <f aca="false">COUNTIF(EV_Chargers!$D:$D,A126)</f>
        <v>2</v>
      </c>
      <c r="C126" s="7" t="n">
        <f aca="false">SUMIF(EV_Chargers!$D:$D,A126,EV_Chargers!$I:$I)</f>
        <v>12</v>
      </c>
      <c r="D126" s="7" t="n">
        <f aca="false">COUNTIF(Transport_Stops!$E:$E,A126)</f>
        <v>2</v>
      </c>
      <c r="E126" s="7" t="n">
        <f aca="false">COUNTIF(Sports_Facilities!$C:$C,A126)</f>
        <v>0</v>
      </c>
      <c r="F126" s="7" t="n">
        <f aca="false">COUNTIF(Taxi_Ranks!$B:$B,A126)</f>
        <v>2</v>
      </c>
      <c r="G126" s="7" t="n">
        <f aca="false">B126+D126+E126+F126</f>
        <v>6</v>
      </c>
      <c r="H126" s="7" t="n">
        <f aca="false">(B126&gt;0)+(D126&gt;0)+(E126&gt;0)+(F126&gt;0)</f>
        <v>3</v>
      </c>
    </row>
    <row r="127" customFormat="false" ht="15" hidden="false" customHeight="false" outlineLevel="0" collapsed="false">
      <c r="A127" s="7" t="n">
        <v>2162</v>
      </c>
      <c r="B127" s="7" t="n">
        <f aca="false">COUNTIF(EV_Chargers!$D:$D,A127)</f>
        <v>0</v>
      </c>
      <c r="C127" s="7" t="n">
        <f aca="false">SUMIF(EV_Chargers!$D:$D,A127,EV_Chargers!$I:$I)</f>
        <v>0</v>
      </c>
      <c r="D127" s="7" t="n">
        <f aca="false">COUNTIF(Transport_Stops!$E:$E,A127)</f>
        <v>2</v>
      </c>
      <c r="E127" s="7" t="n">
        <f aca="false">COUNTIF(Sports_Facilities!$C:$C,A127)</f>
        <v>0</v>
      </c>
      <c r="F127" s="7" t="n">
        <f aca="false">COUNTIF(Taxi_Ranks!$B:$B,A127)</f>
        <v>1</v>
      </c>
      <c r="G127" s="7" t="n">
        <f aca="false">B127+D127+E127+F127</f>
        <v>3</v>
      </c>
      <c r="H127" s="7" t="n">
        <f aca="false">(B127&gt;0)+(D127&gt;0)+(E127&gt;0)+(F127&gt;0)</f>
        <v>2</v>
      </c>
    </row>
    <row r="128" customFormat="false" ht="15" hidden="false" customHeight="false" outlineLevel="0" collapsed="false">
      <c r="A128" s="7" t="n">
        <v>2163</v>
      </c>
      <c r="B128" s="7" t="n">
        <f aca="false">COUNTIF(EV_Chargers!$D:$D,A128)</f>
        <v>1</v>
      </c>
      <c r="C128" s="7" t="n">
        <f aca="false">SUMIF(EV_Chargers!$D:$D,A128,EV_Chargers!$I:$I)</f>
        <v>4</v>
      </c>
      <c r="D128" s="7" t="n">
        <f aca="false">COUNTIF(Transport_Stops!$E:$E,A128)</f>
        <v>3</v>
      </c>
      <c r="E128" s="7" t="n">
        <f aca="false">COUNTIF(Sports_Facilities!$C:$C,A128)</f>
        <v>0</v>
      </c>
      <c r="F128" s="7" t="n">
        <f aca="false">COUNTIF(Taxi_Ranks!$B:$B,A128)</f>
        <v>0</v>
      </c>
      <c r="G128" s="7" t="n">
        <f aca="false">B128+D128+E128+F128</f>
        <v>4</v>
      </c>
      <c r="H128" s="7" t="n">
        <f aca="false">(B128&gt;0)+(D128&gt;0)+(E128&gt;0)+(F128&gt;0)</f>
        <v>2</v>
      </c>
    </row>
    <row r="129" customFormat="false" ht="15" hidden="false" customHeight="false" outlineLevel="0" collapsed="false">
      <c r="A129" s="7" t="n">
        <v>2164</v>
      </c>
      <c r="B129" s="7" t="n">
        <f aca="false">COUNTIF(EV_Chargers!$D:$D,A129)</f>
        <v>3</v>
      </c>
      <c r="C129" s="7" t="n">
        <f aca="false">SUMIF(EV_Chargers!$D:$D,A129,EV_Chargers!$I:$I)</f>
        <v>8</v>
      </c>
      <c r="D129" s="7" t="n">
        <f aca="false">COUNTIF(Transport_Stops!$E:$E,A129)</f>
        <v>0</v>
      </c>
      <c r="E129" s="7" t="n">
        <f aca="false">COUNTIF(Sports_Facilities!$C:$C,A129)</f>
        <v>0</v>
      </c>
      <c r="F129" s="7" t="n">
        <f aca="false">COUNTIF(Taxi_Ranks!$B:$B,A129)</f>
        <v>2</v>
      </c>
      <c r="G129" s="7" t="n">
        <f aca="false">B129+D129+E129+F129</f>
        <v>5</v>
      </c>
      <c r="H129" s="7" t="n">
        <f aca="false">(B129&gt;0)+(D129&gt;0)+(E129&gt;0)+(F129&gt;0)</f>
        <v>2</v>
      </c>
    </row>
    <row r="130" customFormat="false" ht="15" hidden="false" customHeight="false" outlineLevel="0" collapsed="false">
      <c r="A130" s="7" t="n">
        <v>2165</v>
      </c>
      <c r="B130" s="7" t="n">
        <f aca="false">COUNTIF(EV_Chargers!$D:$D,A130)</f>
        <v>1</v>
      </c>
      <c r="C130" s="7" t="n">
        <f aca="false">SUMIF(EV_Chargers!$D:$D,A130,EV_Chargers!$I:$I)</f>
        <v>12</v>
      </c>
      <c r="D130" s="7" t="n">
        <f aca="false">COUNTIF(Transport_Stops!$E:$E,A130)</f>
        <v>1</v>
      </c>
      <c r="E130" s="7" t="n">
        <f aca="false">COUNTIF(Sports_Facilities!$C:$C,A130)</f>
        <v>0</v>
      </c>
      <c r="F130" s="7" t="n">
        <f aca="false">COUNTIF(Taxi_Ranks!$B:$B,A130)</f>
        <v>1</v>
      </c>
      <c r="G130" s="7" t="n">
        <f aca="false">B130+D130+E130+F130</f>
        <v>3</v>
      </c>
      <c r="H130" s="7" t="n">
        <f aca="false">(B130&gt;0)+(D130&gt;0)+(E130&gt;0)+(F130&gt;0)</f>
        <v>3</v>
      </c>
    </row>
    <row r="131" customFormat="false" ht="15" hidden="false" customHeight="false" outlineLevel="0" collapsed="false">
      <c r="A131" s="7" t="n">
        <v>2166</v>
      </c>
      <c r="B131" s="7" t="n">
        <f aca="false">COUNTIF(EV_Chargers!$D:$D,A131)</f>
        <v>4</v>
      </c>
      <c r="C131" s="7" t="n">
        <f aca="false">SUMIF(EV_Chargers!$D:$D,A131,EV_Chargers!$I:$I)</f>
        <v>14</v>
      </c>
      <c r="D131" s="7" t="n">
        <f aca="false">COUNTIF(Transport_Stops!$E:$E,A131)</f>
        <v>2</v>
      </c>
      <c r="E131" s="7" t="n">
        <f aca="false">COUNTIF(Sports_Facilities!$C:$C,A131)</f>
        <v>0</v>
      </c>
      <c r="F131" s="7" t="n">
        <f aca="false">COUNTIF(Taxi_Ranks!$B:$B,A131)</f>
        <v>2</v>
      </c>
      <c r="G131" s="7" t="n">
        <f aca="false">B131+D131+E131+F131</f>
        <v>8</v>
      </c>
      <c r="H131" s="7" t="n">
        <f aca="false">(B131&gt;0)+(D131&gt;0)+(E131&gt;0)+(F131&gt;0)</f>
        <v>3</v>
      </c>
    </row>
    <row r="132" customFormat="false" ht="15" hidden="false" customHeight="false" outlineLevel="0" collapsed="false">
      <c r="A132" s="7" t="n">
        <v>2167</v>
      </c>
      <c r="B132" s="7" t="n">
        <f aca="false">COUNTIF(EV_Chargers!$D:$D,A132)</f>
        <v>0</v>
      </c>
      <c r="C132" s="7" t="n">
        <f aca="false">SUMIF(EV_Chargers!$D:$D,A132,EV_Chargers!$I:$I)</f>
        <v>0</v>
      </c>
      <c r="D132" s="7" t="n">
        <f aca="false">COUNTIF(Transport_Stops!$E:$E,A132)</f>
        <v>1</v>
      </c>
      <c r="E132" s="7" t="n">
        <f aca="false">COUNTIF(Sports_Facilities!$C:$C,A132)</f>
        <v>0</v>
      </c>
      <c r="F132" s="7" t="n">
        <f aca="false">COUNTIF(Taxi_Ranks!$B:$B,A132)</f>
        <v>1</v>
      </c>
      <c r="G132" s="7" t="n">
        <f aca="false">B132+D132+E132+F132</f>
        <v>2</v>
      </c>
      <c r="H132" s="7" t="n">
        <f aca="false">(B132&gt;0)+(D132&gt;0)+(E132&gt;0)+(F132&gt;0)</f>
        <v>2</v>
      </c>
    </row>
    <row r="133" customFormat="false" ht="15" hidden="false" customHeight="false" outlineLevel="0" collapsed="false">
      <c r="A133" s="7" t="n">
        <v>2170</v>
      </c>
      <c r="B133" s="7" t="n">
        <f aca="false">COUNTIF(EV_Chargers!$D:$D,A133)</f>
        <v>10</v>
      </c>
      <c r="C133" s="7" t="n">
        <f aca="false">SUMIF(EV_Chargers!$D:$D,A133,EV_Chargers!$I:$I)</f>
        <v>33</v>
      </c>
      <c r="D133" s="7" t="n">
        <f aca="false">COUNTIF(Transport_Stops!$E:$E,A133)</f>
        <v>3</v>
      </c>
      <c r="E133" s="7" t="n">
        <f aca="false">COUNTIF(Sports_Facilities!$C:$C,A133)</f>
        <v>0</v>
      </c>
      <c r="F133" s="7" t="n">
        <f aca="false">COUNTIF(Taxi_Ranks!$B:$B,A133)</f>
        <v>5</v>
      </c>
      <c r="G133" s="7" t="n">
        <f aca="false">B133+D133+E133+F133</f>
        <v>18</v>
      </c>
      <c r="H133" s="7" t="n">
        <f aca="false">(B133&gt;0)+(D133&gt;0)+(E133&gt;0)+(F133&gt;0)</f>
        <v>3</v>
      </c>
    </row>
    <row r="134" customFormat="false" ht="15" hidden="false" customHeight="false" outlineLevel="0" collapsed="false">
      <c r="A134" s="7" t="n">
        <v>2171</v>
      </c>
      <c r="B134" s="7" t="n">
        <f aca="false">COUNTIF(EV_Chargers!$D:$D,A134)</f>
        <v>1</v>
      </c>
      <c r="C134" s="7" t="n">
        <f aca="false">SUMIF(EV_Chargers!$D:$D,A134,EV_Chargers!$I:$I)</f>
        <v>8</v>
      </c>
      <c r="D134" s="7" t="n">
        <f aca="false">COUNTIF(Transport_Stops!$E:$E,A134)</f>
        <v>0</v>
      </c>
      <c r="E134" s="7" t="n">
        <f aca="false">COUNTIF(Sports_Facilities!$C:$C,A134)</f>
        <v>0</v>
      </c>
      <c r="F134" s="7" t="n">
        <f aca="false">COUNTIF(Taxi_Ranks!$B:$B,A134)</f>
        <v>0</v>
      </c>
      <c r="G134" s="7" t="n">
        <f aca="false">B134+D134+E134+F134</f>
        <v>1</v>
      </c>
      <c r="H134" s="7" t="n">
        <f aca="false">(B134&gt;0)+(D134&gt;0)+(E134&gt;0)+(F134&gt;0)</f>
        <v>1</v>
      </c>
    </row>
    <row r="135" customFormat="false" ht="15" hidden="false" customHeight="false" outlineLevel="0" collapsed="false">
      <c r="A135" s="7" t="n">
        <v>2173</v>
      </c>
      <c r="B135" s="7" t="n">
        <f aca="false">COUNTIF(EV_Chargers!$D:$D,A135)</f>
        <v>0</v>
      </c>
      <c r="C135" s="7" t="n">
        <f aca="false">SUMIF(EV_Chargers!$D:$D,A135,EV_Chargers!$I:$I)</f>
        <v>0</v>
      </c>
      <c r="D135" s="7" t="n">
        <f aca="false">COUNTIF(Transport_Stops!$E:$E,A135)</f>
        <v>1</v>
      </c>
      <c r="E135" s="7" t="n">
        <f aca="false">COUNTIF(Sports_Facilities!$C:$C,A135)</f>
        <v>0</v>
      </c>
      <c r="F135" s="7" t="n">
        <f aca="false">COUNTIF(Taxi_Ranks!$B:$B,A135)</f>
        <v>0</v>
      </c>
      <c r="G135" s="7" t="n">
        <f aca="false">B135+D135+E135+F135</f>
        <v>1</v>
      </c>
      <c r="H135" s="7" t="n">
        <f aca="false">(B135&gt;0)+(D135&gt;0)+(E135&gt;0)+(F135&gt;0)</f>
        <v>1</v>
      </c>
    </row>
    <row r="136" customFormat="false" ht="15" hidden="false" customHeight="false" outlineLevel="0" collapsed="false">
      <c r="A136" s="7" t="n">
        <v>2174</v>
      </c>
      <c r="B136" s="7" t="n">
        <f aca="false">COUNTIF(EV_Chargers!$D:$D,A136)</f>
        <v>4</v>
      </c>
      <c r="C136" s="7" t="n">
        <f aca="false">SUMIF(EV_Chargers!$D:$D,A136,EV_Chargers!$I:$I)</f>
        <v>30</v>
      </c>
      <c r="D136" s="7" t="n">
        <f aca="false">COUNTIF(Transport_Stops!$E:$E,A136)</f>
        <v>1</v>
      </c>
      <c r="E136" s="7" t="n">
        <f aca="false">COUNTIF(Sports_Facilities!$C:$C,A136)</f>
        <v>0</v>
      </c>
      <c r="F136" s="7" t="n">
        <f aca="false">COUNTIF(Taxi_Ranks!$B:$B,A136)</f>
        <v>0</v>
      </c>
      <c r="G136" s="7" t="n">
        <f aca="false">B136+D136+E136+F136</f>
        <v>5</v>
      </c>
      <c r="H136" s="7" t="n">
        <f aca="false">(B136&gt;0)+(D136&gt;0)+(E136&gt;0)+(F136&gt;0)</f>
        <v>2</v>
      </c>
    </row>
    <row r="137" customFormat="false" ht="15" hidden="false" customHeight="false" outlineLevel="0" collapsed="false">
      <c r="A137" s="7" t="n">
        <v>2176</v>
      </c>
      <c r="B137" s="7" t="n">
        <f aca="false">COUNTIF(EV_Chargers!$D:$D,A137)</f>
        <v>1</v>
      </c>
      <c r="C137" s="7" t="n">
        <f aca="false">SUMIF(EV_Chargers!$D:$D,A137,EV_Chargers!$I:$I)</f>
        <v>2</v>
      </c>
      <c r="D137" s="7" t="n">
        <f aca="false">COUNTIF(Transport_Stops!$E:$E,A137)</f>
        <v>1</v>
      </c>
      <c r="E137" s="7" t="n">
        <f aca="false">COUNTIF(Sports_Facilities!$C:$C,A137)</f>
        <v>0</v>
      </c>
      <c r="F137" s="7" t="n">
        <f aca="false">COUNTIF(Taxi_Ranks!$B:$B,A137)</f>
        <v>0</v>
      </c>
      <c r="G137" s="7" t="n">
        <f aca="false">B137+D137+E137+F137</f>
        <v>2</v>
      </c>
      <c r="H137" s="7" t="n">
        <f aca="false">(B137&gt;0)+(D137&gt;0)+(E137&gt;0)+(F137&gt;0)</f>
        <v>2</v>
      </c>
    </row>
    <row r="138" customFormat="false" ht="15" hidden="false" customHeight="false" outlineLevel="0" collapsed="false">
      <c r="A138" s="7" t="n">
        <v>2177</v>
      </c>
      <c r="B138" s="7" t="n">
        <f aca="false">COUNTIF(EV_Chargers!$D:$D,A138)</f>
        <v>1</v>
      </c>
      <c r="C138" s="7" t="n">
        <f aca="false">SUMIF(EV_Chargers!$D:$D,A138,EV_Chargers!$I:$I)</f>
        <v>4</v>
      </c>
      <c r="D138" s="7" t="n">
        <f aca="false">COUNTIF(Transport_Stops!$E:$E,A138)</f>
        <v>0</v>
      </c>
      <c r="E138" s="7" t="n">
        <f aca="false">COUNTIF(Sports_Facilities!$C:$C,A138)</f>
        <v>0</v>
      </c>
      <c r="F138" s="7" t="n">
        <f aca="false">COUNTIF(Taxi_Ranks!$B:$B,A138)</f>
        <v>0</v>
      </c>
      <c r="G138" s="7" t="n">
        <f aca="false">B138+D138+E138+F138</f>
        <v>1</v>
      </c>
      <c r="H138" s="7" t="n">
        <f aca="false">(B138&gt;0)+(D138&gt;0)+(E138&gt;0)+(F138&gt;0)</f>
        <v>1</v>
      </c>
    </row>
    <row r="139" customFormat="false" ht="15" hidden="false" customHeight="false" outlineLevel="0" collapsed="false">
      <c r="A139" s="7" t="n">
        <v>2179</v>
      </c>
      <c r="B139" s="7" t="n">
        <f aca="false">COUNTIF(EV_Chargers!$D:$D,A139)</f>
        <v>3</v>
      </c>
      <c r="C139" s="7" t="n">
        <f aca="false">SUMIF(EV_Chargers!$D:$D,A139,EV_Chargers!$I:$I)</f>
        <v>16</v>
      </c>
      <c r="D139" s="7" t="n">
        <f aca="false">COUNTIF(Transport_Stops!$E:$E,A139)</f>
        <v>1</v>
      </c>
      <c r="E139" s="7" t="n">
        <f aca="false">COUNTIF(Sports_Facilities!$C:$C,A139)</f>
        <v>0</v>
      </c>
      <c r="F139" s="7" t="n">
        <f aca="false">COUNTIF(Taxi_Ranks!$B:$B,A139)</f>
        <v>0</v>
      </c>
      <c r="G139" s="7" t="n">
        <f aca="false">B139+D139+E139+F139</f>
        <v>4</v>
      </c>
      <c r="H139" s="7" t="n">
        <f aca="false">(B139&gt;0)+(D139&gt;0)+(E139&gt;0)+(F139&gt;0)</f>
        <v>2</v>
      </c>
    </row>
    <row r="140" customFormat="false" ht="15" hidden="false" customHeight="false" outlineLevel="0" collapsed="false">
      <c r="A140" s="7" t="n">
        <v>2190</v>
      </c>
      <c r="B140" s="7" t="n">
        <f aca="false">COUNTIF(EV_Chargers!$D:$D,A140)</f>
        <v>3</v>
      </c>
      <c r="C140" s="7" t="n">
        <f aca="false">SUMIF(EV_Chargers!$D:$D,A140,EV_Chargers!$I:$I)</f>
        <v>8</v>
      </c>
      <c r="D140" s="7" t="n">
        <f aca="false">COUNTIF(Transport_Stops!$E:$E,A140)</f>
        <v>0</v>
      </c>
      <c r="E140" s="7" t="n">
        <f aca="false">COUNTIF(Sports_Facilities!$C:$C,A140)</f>
        <v>0</v>
      </c>
      <c r="F140" s="7" t="n">
        <f aca="false">COUNTIF(Taxi_Ranks!$B:$B,A140)</f>
        <v>0</v>
      </c>
      <c r="G140" s="7" t="n">
        <f aca="false">B140+D140+E140+F140</f>
        <v>3</v>
      </c>
      <c r="H140" s="7" t="n">
        <f aca="false">(B140&gt;0)+(D140&gt;0)+(E140&gt;0)+(F140&gt;0)</f>
        <v>1</v>
      </c>
    </row>
    <row r="141" customFormat="false" ht="15" hidden="false" customHeight="false" outlineLevel="0" collapsed="false">
      <c r="A141" s="7" t="n">
        <v>2192</v>
      </c>
      <c r="B141" s="7" t="n">
        <f aca="false">COUNTIF(EV_Chargers!$D:$D,A141)</f>
        <v>0</v>
      </c>
      <c r="C141" s="7" t="n">
        <f aca="false">SUMIF(EV_Chargers!$D:$D,A141,EV_Chargers!$I:$I)</f>
        <v>0</v>
      </c>
      <c r="D141" s="7" t="n">
        <f aca="false">COUNTIF(Transport_Stops!$E:$E,A141)</f>
        <v>1</v>
      </c>
      <c r="E141" s="7" t="n">
        <f aca="false">COUNTIF(Sports_Facilities!$C:$C,A141)</f>
        <v>0</v>
      </c>
      <c r="F141" s="7" t="n">
        <f aca="false">COUNTIF(Taxi_Ranks!$B:$B,A141)</f>
        <v>2</v>
      </c>
      <c r="G141" s="7" t="n">
        <f aca="false">B141+D141+E141+F141</f>
        <v>3</v>
      </c>
      <c r="H141" s="7" t="n">
        <f aca="false">(B141&gt;0)+(D141&gt;0)+(E141&gt;0)+(F141&gt;0)</f>
        <v>2</v>
      </c>
    </row>
    <row r="142" customFormat="false" ht="15" hidden="false" customHeight="false" outlineLevel="0" collapsed="false">
      <c r="A142" s="7" t="n">
        <v>2193</v>
      </c>
      <c r="B142" s="7" t="n">
        <f aca="false">COUNTIF(EV_Chargers!$D:$D,A142)</f>
        <v>1</v>
      </c>
      <c r="C142" s="7" t="n">
        <f aca="false">SUMIF(EV_Chargers!$D:$D,A142,EV_Chargers!$I:$I)</f>
        <v>1</v>
      </c>
      <c r="D142" s="7" t="n">
        <f aca="false">COUNTIF(Transport_Stops!$E:$E,A142)</f>
        <v>2</v>
      </c>
      <c r="E142" s="7" t="n">
        <f aca="false">COUNTIF(Sports_Facilities!$C:$C,A142)</f>
        <v>0</v>
      </c>
      <c r="F142" s="7" t="n">
        <f aca="false">COUNTIF(Taxi_Ranks!$B:$B,A142)</f>
        <v>0</v>
      </c>
      <c r="G142" s="7" t="n">
        <f aca="false">B142+D142+E142+F142</f>
        <v>3</v>
      </c>
      <c r="H142" s="7" t="n">
        <f aca="false">(B142&gt;0)+(D142&gt;0)+(E142&gt;0)+(F142&gt;0)</f>
        <v>2</v>
      </c>
    </row>
    <row r="143" customFormat="false" ht="15" hidden="false" customHeight="false" outlineLevel="0" collapsed="false">
      <c r="A143" s="7" t="n">
        <v>2194</v>
      </c>
      <c r="B143" s="7" t="n">
        <f aca="false">COUNTIF(EV_Chargers!$D:$D,A143)</f>
        <v>2</v>
      </c>
      <c r="C143" s="7" t="n">
        <f aca="false">SUMIF(EV_Chargers!$D:$D,A143,EV_Chargers!$I:$I)</f>
        <v>6</v>
      </c>
      <c r="D143" s="7" t="n">
        <f aca="false">COUNTIF(Transport_Stops!$E:$E,A143)</f>
        <v>1</v>
      </c>
      <c r="E143" s="7" t="n">
        <f aca="false">COUNTIF(Sports_Facilities!$C:$C,A143)</f>
        <v>0</v>
      </c>
      <c r="F143" s="7" t="n">
        <f aca="false">COUNTIF(Taxi_Ranks!$B:$B,A143)</f>
        <v>1</v>
      </c>
      <c r="G143" s="7" t="n">
        <f aca="false">B143+D143+E143+F143</f>
        <v>4</v>
      </c>
      <c r="H143" s="7" t="n">
        <f aca="false">(B143&gt;0)+(D143&gt;0)+(E143&gt;0)+(F143&gt;0)</f>
        <v>3</v>
      </c>
    </row>
    <row r="144" customFormat="false" ht="15" hidden="false" customHeight="false" outlineLevel="0" collapsed="false">
      <c r="A144" s="7" t="n">
        <v>2195</v>
      </c>
      <c r="B144" s="7" t="n">
        <f aca="false">COUNTIF(EV_Chargers!$D:$D,A144)</f>
        <v>2</v>
      </c>
      <c r="C144" s="7" t="n">
        <f aca="false">SUMIF(EV_Chargers!$D:$D,A144,EV_Chargers!$I:$I)</f>
        <v>4</v>
      </c>
      <c r="D144" s="7" t="n">
        <f aca="false">COUNTIF(Transport_Stops!$E:$E,A144)</f>
        <v>2</v>
      </c>
      <c r="E144" s="7" t="n">
        <f aca="false">COUNTIF(Sports_Facilities!$C:$C,A144)</f>
        <v>0</v>
      </c>
      <c r="F144" s="7" t="n">
        <f aca="false">COUNTIF(Taxi_Ranks!$B:$B,A144)</f>
        <v>1</v>
      </c>
      <c r="G144" s="7" t="n">
        <f aca="false">B144+D144+E144+F144</f>
        <v>5</v>
      </c>
      <c r="H144" s="7" t="n">
        <f aca="false">(B144&gt;0)+(D144&gt;0)+(E144&gt;0)+(F144&gt;0)</f>
        <v>3</v>
      </c>
    </row>
    <row r="145" customFormat="false" ht="15" hidden="false" customHeight="false" outlineLevel="0" collapsed="false">
      <c r="A145" s="7" t="n">
        <v>2196</v>
      </c>
      <c r="B145" s="7" t="n">
        <f aca="false">COUNTIF(EV_Chargers!$D:$D,A145)</f>
        <v>2</v>
      </c>
      <c r="C145" s="7" t="n">
        <f aca="false">SUMIF(EV_Chargers!$D:$D,A145,EV_Chargers!$I:$I)</f>
        <v>4</v>
      </c>
      <c r="D145" s="7" t="n">
        <f aca="false">COUNTIF(Transport_Stops!$E:$E,A145)</f>
        <v>1</v>
      </c>
      <c r="E145" s="7" t="n">
        <f aca="false">COUNTIF(Sports_Facilities!$C:$C,A145)</f>
        <v>0</v>
      </c>
      <c r="F145" s="7" t="n">
        <f aca="false">COUNTIF(Taxi_Ranks!$B:$B,A145)</f>
        <v>2</v>
      </c>
      <c r="G145" s="7" t="n">
        <f aca="false">B145+D145+E145+F145</f>
        <v>5</v>
      </c>
      <c r="H145" s="7" t="n">
        <f aca="false">(B145&gt;0)+(D145&gt;0)+(E145&gt;0)+(F145&gt;0)</f>
        <v>3</v>
      </c>
    </row>
    <row r="146" customFormat="false" ht="15" hidden="false" customHeight="false" outlineLevel="0" collapsed="false">
      <c r="A146" s="7" t="n">
        <v>2199</v>
      </c>
      <c r="B146" s="7" t="n">
        <f aca="false">COUNTIF(EV_Chargers!$D:$D,A146)</f>
        <v>1</v>
      </c>
      <c r="C146" s="7" t="n">
        <f aca="false">SUMIF(EV_Chargers!$D:$D,A146,EV_Chargers!$I:$I)</f>
        <v>4</v>
      </c>
      <c r="D146" s="7" t="n">
        <f aca="false">COUNTIF(Transport_Stops!$E:$E,A146)</f>
        <v>1</v>
      </c>
      <c r="E146" s="7" t="n">
        <f aca="false">COUNTIF(Sports_Facilities!$C:$C,A146)</f>
        <v>0</v>
      </c>
      <c r="F146" s="7" t="n">
        <f aca="false">COUNTIF(Taxi_Ranks!$B:$B,A146)</f>
        <v>0</v>
      </c>
      <c r="G146" s="7" t="n">
        <f aca="false">B146+D146+E146+F146</f>
        <v>2</v>
      </c>
      <c r="H146" s="7" t="n">
        <f aca="false">(B146&gt;0)+(D146&gt;0)+(E146&gt;0)+(F146&gt;0)</f>
        <v>2</v>
      </c>
    </row>
    <row r="147" customFormat="false" ht="15" hidden="false" customHeight="false" outlineLevel="0" collapsed="false">
      <c r="A147" s="7" t="n">
        <v>2200</v>
      </c>
      <c r="B147" s="7" t="n">
        <f aca="false">COUNTIF(EV_Chargers!$D:$D,A147)</f>
        <v>11</v>
      </c>
      <c r="C147" s="7" t="n">
        <f aca="false">SUMIF(EV_Chargers!$D:$D,A147,EV_Chargers!$I:$I)</f>
        <v>45</v>
      </c>
      <c r="D147" s="7" t="n">
        <f aca="false">COUNTIF(Transport_Stops!$E:$E,A147)</f>
        <v>1</v>
      </c>
      <c r="E147" s="7" t="n">
        <f aca="false">COUNTIF(Sports_Facilities!$C:$C,A147)</f>
        <v>0</v>
      </c>
      <c r="F147" s="7" t="n">
        <f aca="false">COUNTIF(Taxi_Ranks!$B:$B,A147)</f>
        <v>1</v>
      </c>
      <c r="G147" s="7" t="n">
        <f aca="false">B147+D147+E147+F147</f>
        <v>13</v>
      </c>
      <c r="H147" s="7" t="n">
        <f aca="false">(B147&gt;0)+(D147&gt;0)+(E147&gt;0)+(F147&gt;0)</f>
        <v>3</v>
      </c>
    </row>
    <row r="148" customFormat="false" ht="15" hidden="false" customHeight="false" outlineLevel="0" collapsed="false">
      <c r="A148" s="7" t="n">
        <v>2203</v>
      </c>
      <c r="B148" s="7" t="n">
        <f aca="false">COUNTIF(EV_Chargers!$D:$D,A148)</f>
        <v>12</v>
      </c>
      <c r="C148" s="7" t="n">
        <f aca="false">SUMIF(EV_Chargers!$D:$D,A148,EV_Chargers!$I:$I)</f>
        <v>18</v>
      </c>
      <c r="D148" s="7" t="n">
        <f aca="false">COUNTIF(Transport_Stops!$E:$E,A148)</f>
        <v>5</v>
      </c>
      <c r="E148" s="7" t="n">
        <f aca="false">COUNTIF(Sports_Facilities!$C:$C,A148)</f>
        <v>0</v>
      </c>
      <c r="F148" s="7" t="n">
        <f aca="false">COUNTIF(Taxi_Ranks!$B:$B,A148)</f>
        <v>0</v>
      </c>
      <c r="G148" s="7" t="n">
        <f aca="false">B148+D148+E148+F148</f>
        <v>17</v>
      </c>
      <c r="H148" s="7" t="n">
        <f aca="false">(B148&gt;0)+(D148&gt;0)+(E148&gt;0)+(F148&gt;0)</f>
        <v>2</v>
      </c>
    </row>
    <row r="149" customFormat="false" ht="15" hidden="false" customHeight="false" outlineLevel="0" collapsed="false">
      <c r="A149" s="7" t="n">
        <v>2204</v>
      </c>
      <c r="B149" s="7" t="n">
        <f aca="false">COUNTIF(EV_Chargers!$D:$D,A149)</f>
        <v>15</v>
      </c>
      <c r="C149" s="7" t="n">
        <f aca="false">SUMIF(EV_Chargers!$D:$D,A149,EV_Chargers!$I:$I)</f>
        <v>34</v>
      </c>
      <c r="D149" s="7" t="n">
        <f aca="false">COUNTIF(Transport_Stops!$E:$E,A149)</f>
        <v>1</v>
      </c>
      <c r="E149" s="7" t="n">
        <f aca="false">COUNTIF(Sports_Facilities!$C:$C,A149)</f>
        <v>0</v>
      </c>
      <c r="F149" s="7" t="n">
        <f aca="false">COUNTIF(Taxi_Ranks!$B:$B,A149)</f>
        <v>1</v>
      </c>
      <c r="G149" s="7" t="n">
        <f aca="false">B149+D149+E149+F149</f>
        <v>17</v>
      </c>
      <c r="H149" s="7" t="n">
        <f aca="false">(B149&gt;0)+(D149&gt;0)+(E149&gt;0)+(F149&gt;0)</f>
        <v>3</v>
      </c>
    </row>
    <row r="150" customFormat="false" ht="15" hidden="false" customHeight="false" outlineLevel="0" collapsed="false">
      <c r="A150" s="7" t="n">
        <v>2205</v>
      </c>
      <c r="B150" s="7" t="n">
        <f aca="false">COUNTIF(EV_Chargers!$D:$D,A150)</f>
        <v>2</v>
      </c>
      <c r="C150" s="7" t="n">
        <f aca="false">SUMIF(EV_Chargers!$D:$D,A150,EV_Chargers!$I:$I)</f>
        <v>2</v>
      </c>
      <c r="D150" s="7" t="n">
        <f aca="false">COUNTIF(Transport_Stops!$E:$E,A150)</f>
        <v>3</v>
      </c>
      <c r="E150" s="7" t="n">
        <f aca="false">COUNTIF(Sports_Facilities!$C:$C,A150)</f>
        <v>0</v>
      </c>
      <c r="F150" s="7" t="n">
        <f aca="false">COUNTIF(Taxi_Ranks!$B:$B,A150)</f>
        <v>1</v>
      </c>
      <c r="G150" s="7" t="n">
        <f aca="false">B150+D150+E150+F150</f>
        <v>6</v>
      </c>
      <c r="H150" s="7" t="n">
        <f aca="false">(B150&gt;0)+(D150&gt;0)+(E150&gt;0)+(F150&gt;0)</f>
        <v>3</v>
      </c>
    </row>
    <row r="151" customFormat="false" ht="15" hidden="false" customHeight="false" outlineLevel="0" collapsed="false">
      <c r="A151" s="7" t="n">
        <v>2207</v>
      </c>
      <c r="B151" s="7" t="n">
        <f aca="false">COUNTIF(EV_Chargers!$D:$D,A151)</f>
        <v>2</v>
      </c>
      <c r="C151" s="7" t="n">
        <f aca="false">SUMIF(EV_Chargers!$D:$D,A151,EV_Chargers!$I:$I)</f>
        <v>5</v>
      </c>
      <c r="D151" s="7" t="n">
        <f aca="false">COUNTIF(Transport_Stops!$E:$E,A151)</f>
        <v>2</v>
      </c>
      <c r="E151" s="7" t="n">
        <f aca="false">COUNTIF(Sports_Facilities!$C:$C,A151)</f>
        <v>0</v>
      </c>
      <c r="F151" s="7" t="n">
        <f aca="false">COUNTIF(Taxi_Ranks!$B:$B,A151)</f>
        <v>2</v>
      </c>
      <c r="G151" s="7" t="n">
        <f aca="false">B151+D151+E151+F151</f>
        <v>6</v>
      </c>
      <c r="H151" s="7" t="n">
        <f aca="false">(B151&gt;0)+(D151&gt;0)+(E151&gt;0)+(F151&gt;0)</f>
        <v>3</v>
      </c>
    </row>
    <row r="152" customFormat="false" ht="15" hidden="false" customHeight="false" outlineLevel="0" collapsed="false">
      <c r="A152" s="7" t="n">
        <v>2208</v>
      </c>
      <c r="B152" s="7" t="n">
        <f aca="false">COUNTIF(EV_Chargers!$D:$D,A152)</f>
        <v>1</v>
      </c>
      <c r="C152" s="7" t="n">
        <f aca="false">SUMIF(EV_Chargers!$D:$D,A152,EV_Chargers!$I:$I)</f>
        <v>2</v>
      </c>
      <c r="D152" s="7" t="n">
        <f aca="false">COUNTIF(Transport_Stops!$E:$E,A152)</f>
        <v>1</v>
      </c>
      <c r="E152" s="7" t="n">
        <f aca="false">COUNTIF(Sports_Facilities!$C:$C,A152)</f>
        <v>0</v>
      </c>
      <c r="F152" s="7" t="n">
        <f aca="false">COUNTIF(Taxi_Ranks!$B:$B,A152)</f>
        <v>1</v>
      </c>
      <c r="G152" s="7" t="n">
        <f aca="false">B152+D152+E152+F152</f>
        <v>3</v>
      </c>
      <c r="H152" s="7" t="n">
        <f aca="false">(B152&gt;0)+(D152&gt;0)+(E152&gt;0)+(F152&gt;0)</f>
        <v>3</v>
      </c>
    </row>
    <row r="153" customFormat="false" ht="15" hidden="false" customHeight="false" outlineLevel="0" collapsed="false">
      <c r="A153" s="7" t="n">
        <v>2209</v>
      </c>
      <c r="B153" s="7" t="n">
        <f aca="false">COUNTIF(EV_Chargers!$D:$D,A153)</f>
        <v>3</v>
      </c>
      <c r="C153" s="7" t="n">
        <f aca="false">SUMIF(EV_Chargers!$D:$D,A153,EV_Chargers!$I:$I)</f>
        <v>5</v>
      </c>
      <c r="D153" s="7" t="n">
        <f aca="false">COUNTIF(Transport_Stops!$E:$E,A153)</f>
        <v>2</v>
      </c>
      <c r="E153" s="7" t="n">
        <f aca="false">COUNTIF(Sports_Facilities!$C:$C,A153)</f>
        <v>0</v>
      </c>
      <c r="F153" s="7" t="n">
        <f aca="false">COUNTIF(Taxi_Ranks!$B:$B,A153)</f>
        <v>1</v>
      </c>
      <c r="G153" s="7" t="n">
        <f aca="false">B153+D153+E153+F153</f>
        <v>6</v>
      </c>
      <c r="H153" s="7" t="n">
        <f aca="false">(B153&gt;0)+(D153&gt;0)+(E153&gt;0)+(F153&gt;0)</f>
        <v>3</v>
      </c>
    </row>
    <row r="154" customFormat="false" ht="15" hidden="false" customHeight="false" outlineLevel="0" collapsed="false">
      <c r="A154" s="7" t="n">
        <v>2210</v>
      </c>
      <c r="B154" s="7" t="n">
        <f aca="false">COUNTIF(EV_Chargers!$D:$D,A154)</f>
        <v>3</v>
      </c>
      <c r="C154" s="7" t="n">
        <f aca="false">SUMIF(EV_Chargers!$D:$D,A154,EV_Chargers!$I:$I)</f>
        <v>8</v>
      </c>
      <c r="D154" s="7" t="n">
        <f aca="false">COUNTIF(Transport_Stops!$E:$E,A154)</f>
        <v>1</v>
      </c>
      <c r="E154" s="7" t="n">
        <f aca="false">COUNTIF(Sports_Facilities!$C:$C,A154)</f>
        <v>0</v>
      </c>
      <c r="F154" s="7" t="n">
        <f aca="false">COUNTIF(Taxi_Ranks!$B:$B,A154)</f>
        <v>1</v>
      </c>
      <c r="G154" s="7" t="n">
        <f aca="false">B154+D154+E154+F154</f>
        <v>5</v>
      </c>
      <c r="H154" s="7" t="n">
        <f aca="false">(B154&gt;0)+(D154&gt;0)+(E154&gt;0)+(F154&gt;0)</f>
        <v>3</v>
      </c>
    </row>
    <row r="155" customFormat="false" ht="15" hidden="false" customHeight="false" outlineLevel="0" collapsed="false">
      <c r="A155" s="7" t="n">
        <v>2211</v>
      </c>
      <c r="B155" s="7" t="n">
        <f aca="false">COUNTIF(EV_Chargers!$D:$D,A155)</f>
        <v>0</v>
      </c>
      <c r="C155" s="7" t="n">
        <f aca="false">SUMIF(EV_Chargers!$D:$D,A155,EV_Chargers!$I:$I)</f>
        <v>0</v>
      </c>
      <c r="D155" s="7" t="n">
        <f aca="false">COUNTIF(Transport_Stops!$E:$E,A155)</f>
        <v>1</v>
      </c>
      <c r="E155" s="7" t="n">
        <f aca="false">COUNTIF(Sports_Facilities!$C:$C,A155)</f>
        <v>0</v>
      </c>
      <c r="F155" s="7" t="n">
        <f aca="false">COUNTIF(Taxi_Ranks!$B:$B,A155)</f>
        <v>1</v>
      </c>
      <c r="G155" s="7" t="n">
        <f aca="false">B155+D155+E155+F155</f>
        <v>2</v>
      </c>
      <c r="H155" s="7" t="n">
        <f aca="false">(B155&gt;0)+(D155&gt;0)+(E155&gt;0)+(F155&gt;0)</f>
        <v>2</v>
      </c>
    </row>
    <row r="156" customFormat="false" ht="15" hidden="false" customHeight="false" outlineLevel="0" collapsed="false">
      <c r="A156" s="7" t="n">
        <v>2212</v>
      </c>
      <c r="B156" s="7" t="n">
        <f aca="false">COUNTIF(EV_Chargers!$D:$D,A156)</f>
        <v>0</v>
      </c>
      <c r="C156" s="7" t="n">
        <f aca="false">SUMIF(EV_Chargers!$D:$D,A156,EV_Chargers!$I:$I)</f>
        <v>0</v>
      </c>
      <c r="D156" s="7" t="n">
        <f aca="false">COUNTIF(Transport_Stops!$E:$E,A156)</f>
        <v>1</v>
      </c>
      <c r="E156" s="7" t="n">
        <f aca="false">COUNTIF(Sports_Facilities!$C:$C,A156)</f>
        <v>0</v>
      </c>
      <c r="F156" s="7" t="n">
        <f aca="false">COUNTIF(Taxi_Ranks!$B:$B,A156)</f>
        <v>1</v>
      </c>
      <c r="G156" s="7" t="n">
        <f aca="false">B156+D156+E156+F156</f>
        <v>2</v>
      </c>
      <c r="H156" s="7" t="n">
        <f aca="false">(B156&gt;0)+(D156&gt;0)+(E156&gt;0)+(F156&gt;0)</f>
        <v>2</v>
      </c>
    </row>
    <row r="157" customFormat="false" ht="15" hidden="false" customHeight="false" outlineLevel="0" collapsed="false">
      <c r="A157" s="7" t="n">
        <v>2213</v>
      </c>
      <c r="B157" s="7" t="n">
        <f aca="false">COUNTIF(EV_Chargers!$D:$D,A157)</f>
        <v>0</v>
      </c>
      <c r="C157" s="7" t="n">
        <f aca="false">SUMIF(EV_Chargers!$D:$D,A157,EV_Chargers!$I:$I)</f>
        <v>0</v>
      </c>
      <c r="D157" s="7" t="n">
        <f aca="false">COUNTIF(Transport_Stops!$E:$E,A157)</f>
        <v>2</v>
      </c>
      <c r="E157" s="7" t="n">
        <f aca="false">COUNTIF(Sports_Facilities!$C:$C,A157)</f>
        <v>0</v>
      </c>
      <c r="F157" s="7" t="n">
        <f aca="false">COUNTIF(Taxi_Ranks!$B:$B,A157)</f>
        <v>0</v>
      </c>
      <c r="G157" s="7" t="n">
        <f aca="false">B157+D157+E157+F157</f>
        <v>2</v>
      </c>
      <c r="H157" s="7" t="n">
        <f aca="false">(B157&gt;0)+(D157&gt;0)+(E157&gt;0)+(F157&gt;0)</f>
        <v>1</v>
      </c>
    </row>
    <row r="158" customFormat="false" ht="15" hidden="false" customHeight="false" outlineLevel="0" collapsed="false">
      <c r="A158" s="7" t="n">
        <v>2216</v>
      </c>
      <c r="B158" s="7" t="n">
        <f aca="false">COUNTIF(EV_Chargers!$D:$D,A158)</f>
        <v>2</v>
      </c>
      <c r="C158" s="7" t="n">
        <f aca="false">SUMIF(EV_Chargers!$D:$D,A158,EV_Chargers!$I:$I)</f>
        <v>2</v>
      </c>
      <c r="D158" s="7" t="n">
        <f aca="false">COUNTIF(Transport_Stops!$E:$E,A158)</f>
        <v>2</v>
      </c>
      <c r="E158" s="7" t="n">
        <f aca="false">COUNTIF(Sports_Facilities!$C:$C,A158)</f>
        <v>0</v>
      </c>
      <c r="F158" s="7" t="n">
        <f aca="false">COUNTIF(Taxi_Ranks!$B:$B,A158)</f>
        <v>3</v>
      </c>
      <c r="G158" s="7" t="n">
        <f aca="false">B158+D158+E158+F158</f>
        <v>7</v>
      </c>
      <c r="H158" s="7" t="n">
        <f aca="false">(B158&gt;0)+(D158&gt;0)+(E158&gt;0)+(F158&gt;0)</f>
        <v>3</v>
      </c>
    </row>
    <row r="159" customFormat="false" ht="15" hidden="false" customHeight="false" outlineLevel="0" collapsed="false">
      <c r="A159" s="7" t="n">
        <v>2217</v>
      </c>
      <c r="B159" s="7" t="n">
        <f aca="false">COUNTIF(EV_Chargers!$D:$D,A159)</f>
        <v>4</v>
      </c>
      <c r="C159" s="7" t="n">
        <f aca="false">SUMIF(EV_Chargers!$D:$D,A159,EV_Chargers!$I:$I)</f>
        <v>12</v>
      </c>
      <c r="D159" s="7" t="n">
        <f aca="false">COUNTIF(Transport_Stops!$E:$E,A159)</f>
        <v>1</v>
      </c>
      <c r="E159" s="7" t="n">
        <f aca="false">COUNTIF(Sports_Facilities!$C:$C,A159)</f>
        <v>0</v>
      </c>
      <c r="F159" s="7" t="n">
        <f aca="false">COUNTIF(Taxi_Ranks!$B:$B,A159)</f>
        <v>0</v>
      </c>
      <c r="G159" s="7" t="n">
        <f aca="false">B159+D159+E159+F159</f>
        <v>5</v>
      </c>
      <c r="H159" s="7" t="n">
        <f aca="false">(B159&gt;0)+(D159&gt;0)+(E159&gt;0)+(F159&gt;0)</f>
        <v>2</v>
      </c>
    </row>
    <row r="160" customFormat="false" ht="15" hidden="false" customHeight="false" outlineLevel="0" collapsed="false">
      <c r="A160" s="7" t="n">
        <v>2218</v>
      </c>
      <c r="B160" s="7" t="n">
        <f aca="false">COUNTIF(EV_Chargers!$D:$D,A160)</f>
        <v>0</v>
      </c>
      <c r="C160" s="7" t="n">
        <f aca="false">SUMIF(EV_Chargers!$D:$D,A160,EV_Chargers!$I:$I)</f>
        <v>0</v>
      </c>
      <c r="D160" s="7" t="n">
        <f aca="false">COUNTIF(Transport_Stops!$E:$E,A160)</f>
        <v>2</v>
      </c>
      <c r="E160" s="7" t="n">
        <f aca="false">COUNTIF(Sports_Facilities!$C:$C,A160)</f>
        <v>0</v>
      </c>
      <c r="F160" s="7" t="n">
        <f aca="false">COUNTIF(Taxi_Ranks!$B:$B,A160)</f>
        <v>2</v>
      </c>
      <c r="G160" s="7" t="n">
        <f aca="false">B160+D160+E160+F160</f>
        <v>4</v>
      </c>
      <c r="H160" s="7" t="n">
        <f aca="false">(B160&gt;0)+(D160&gt;0)+(E160&gt;0)+(F160&gt;0)</f>
        <v>2</v>
      </c>
    </row>
    <row r="161" customFormat="false" ht="15" hidden="false" customHeight="false" outlineLevel="0" collapsed="false">
      <c r="A161" s="7" t="n">
        <v>2220</v>
      </c>
      <c r="B161" s="7" t="n">
        <f aca="false">COUNTIF(EV_Chargers!$D:$D,A161)</f>
        <v>2</v>
      </c>
      <c r="C161" s="7" t="n">
        <f aca="false">SUMIF(EV_Chargers!$D:$D,A161,EV_Chargers!$I:$I)</f>
        <v>6</v>
      </c>
      <c r="D161" s="7" t="n">
        <f aca="false">COUNTIF(Transport_Stops!$E:$E,A161)</f>
        <v>1</v>
      </c>
      <c r="E161" s="7" t="n">
        <f aca="false">COUNTIF(Sports_Facilities!$C:$C,A161)</f>
        <v>0</v>
      </c>
      <c r="F161" s="7" t="n">
        <f aca="false">COUNTIF(Taxi_Ranks!$B:$B,A161)</f>
        <v>2</v>
      </c>
      <c r="G161" s="7" t="n">
        <f aca="false">B161+D161+E161+F161</f>
        <v>5</v>
      </c>
      <c r="H161" s="7" t="n">
        <f aca="false">(B161&gt;0)+(D161&gt;0)+(E161&gt;0)+(F161&gt;0)</f>
        <v>3</v>
      </c>
    </row>
    <row r="162" customFormat="false" ht="15" hidden="false" customHeight="false" outlineLevel="0" collapsed="false">
      <c r="A162" s="7" t="n">
        <v>2222</v>
      </c>
      <c r="B162" s="7" t="n">
        <f aca="false">COUNTIF(EV_Chargers!$D:$D,A162)</f>
        <v>0</v>
      </c>
      <c r="C162" s="7" t="n">
        <f aca="false">SUMIF(EV_Chargers!$D:$D,A162,EV_Chargers!$I:$I)</f>
        <v>0</v>
      </c>
      <c r="D162" s="7" t="n">
        <f aca="false">COUNTIF(Transport_Stops!$E:$E,A162)</f>
        <v>1</v>
      </c>
      <c r="E162" s="7" t="n">
        <f aca="false">COUNTIF(Sports_Facilities!$C:$C,A162)</f>
        <v>0</v>
      </c>
      <c r="F162" s="7" t="n">
        <f aca="false">COUNTIF(Taxi_Ranks!$B:$B,A162)</f>
        <v>1</v>
      </c>
      <c r="G162" s="7" t="n">
        <f aca="false">B162+D162+E162+F162</f>
        <v>2</v>
      </c>
      <c r="H162" s="7" t="n">
        <f aca="false">(B162&gt;0)+(D162&gt;0)+(E162&gt;0)+(F162&gt;0)</f>
        <v>2</v>
      </c>
    </row>
    <row r="163" customFormat="false" ht="15" hidden="false" customHeight="false" outlineLevel="0" collapsed="false">
      <c r="A163" s="7" t="n">
        <v>2223</v>
      </c>
      <c r="B163" s="7" t="n">
        <f aca="false">COUNTIF(EV_Chargers!$D:$D,A163)</f>
        <v>3</v>
      </c>
      <c r="C163" s="7" t="n">
        <f aca="false">SUMIF(EV_Chargers!$D:$D,A163,EV_Chargers!$I:$I)</f>
        <v>7</v>
      </c>
      <c r="D163" s="7" t="n">
        <f aca="false">COUNTIF(Transport_Stops!$E:$E,A163)</f>
        <v>2</v>
      </c>
      <c r="E163" s="7" t="n">
        <f aca="false">COUNTIF(Sports_Facilities!$C:$C,A163)</f>
        <v>0</v>
      </c>
      <c r="F163" s="7" t="n">
        <f aca="false">COUNTIF(Taxi_Ranks!$B:$B,A163)</f>
        <v>1</v>
      </c>
      <c r="G163" s="7" t="n">
        <f aca="false">B163+D163+E163+F163</f>
        <v>6</v>
      </c>
      <c r="H163" s="7" t="n">
        <f aca="false">(B163&gt;0)+(D163&gt;0)+(E163&gt;0)+(F163&gt;0)</f>
        <v>3</v>
      </c>
    </row>
    <row r="164" customFormat="false" ht="15" hidden="false" customHeight="false" outlineLevel="0" collapsed="false">
      <c r="A164" s="7" t="n">
        <v>2226</v>
      </c>
      <c r="B164" s="7" t="n">
        <f aca="false">COUNTIF(EV_Chargers!$D:$D,A164)</f>
        <v>0</v>
      </c>
      <c r="C164" s="7" t="n">
        <f aca="false">SUMIF(EV_Chargers!$D:$D,A164,EV_Chargers!$I:$I)</f>
        <v>0</v>
      </c>
      <c r="D164" s="7" t="n">
        <f aca="false">COUNTIF(Transport_Stops!$E:$E,A164)</f>
        <v>2</v>
      </c>
      <c r="E164" s="7" t="n">
        <f aca="false">COUNTIF(Sports_Facilities!$C:$C,A164)</f>
        <v>0</v>
      </c>
      <c r="F164" s="7" t="n">
        <f aca="false">COUNTIF(Taxi_Ranks!$B:$B,A164)</f>
        <v>1</v>
      </c>
      <c r="G164" s="7" t="n">
        <f aca="false">B164+D164+E164+F164</f>
        <v>3</v>
      </c>
      <c r="H164" s="7" t="n">
        <f aca="false">(B164&gt;0)+(D164&gt;0)+(E164&gt;0)+(F164&gt;0)</f>
        <v>2</v>
      </c>
    </row>
    <row r="165" customFormat="false" ht="15" hidden="false" customHeight="false" outlineLevel="0" collapsed="false">
      <c r="A165" s="7" t="n">
        <v>2227</v>
      </c>
      <c r="B165" s="7" t="n">
        <f aca="false">COUNTIF(EV_Chargers!$D:$D,A165)</f>
        <v>1</v>
      </c>
      <c r="C165" s="7" t="n">
        <f aca="false">SUMIF(EV_Chargers!$D:$D,A165,EV_Chargers!$I:$I)</f>
        <v>4</v>
      </c>
      <c r="D165" s="7" t="n">
        <f aca="false">COUNTIF(Transport_Stops!$E:$E,A165)</f>
        <v>1</v>
      </c>
      <c r="E165" s="7" t="n">
        <f aca="false">COUNTIF(Sports_Facilities!$C:$C,A165)</f>
        <v>0</v>
      </c>
      <c r="F165" s="7" t="n">
        <f aca="false">COUNTIF(Taxi_Ranks!$B:$B,A165)</f>
        <v>1</v>
      </c>
      <c r="G165" s="7" t="n">
        <f aca="false">B165+D165+E165+F165</f>
        <v>3</v>
      </c>
      <c r="H165" s="7" t="n">
        <f aca="false">(B165&gt;0)+(D165&gt;0)+(E165&gt;0)+(F165&gt;0)</f>
        <v>3</v>
      </c>
    </row>
    <row r="166" customFormat="false" ht="15" hidden="false" customHeight="false" outlineLevel="0" collapsed="false">
      <c r="A166" s="7" t="n">
        <v>2228</v>
      </c>
      <c r="B166" s="7" t="n">
        <f aca="false">COUNTIF(EV_Chargers!$D:$D,A166)</f>
        <v>1</v>
      </c>
      <c r="C166" s="7" t="n">
        <f aca="false">SUMIF(EV_Chargers!$D:$D,A166,EV_Chargers!$I:$I)</f>
        <v>2</v>
      </c>
      <c r="D166" s="7" t="n">
        <f aca="false">COUNTIF(Transport_Stops!$E:$E,A166)</f>
        <v>1</v>
      </c>
      <c r="E166" s="7" t="n">
        <f aca="false">COUNTIF(Sports_Facilities!$C:$C,A166)</f>
        <v>0</v>
      </c>
      <c r="F166" s="7" t="n">
        <f aca="false">COUNTIF(Taxi_Ranks!$B:$B,A166)</f>
        <v>1</v>
      </c>
      <c r="G166" s="7" t="n">
        <f aca="false">B166+D166+E166+F166</f>
        <v>3</v>
      </c>
      <c r="H166" s="7" t="n">
        <f aca="false">(B166&gt;0)+(D166&gt;0)+(E166&gt;0)+(F166&gt;0)</f>
        <v>3</v>
      </c>
    </row>
    <row r="167" customFormat="false" ht="15" hidden="false" customHeight="false" outlineLevel="0" collapsed="false">
      <c r="A167" s="7" t="n">
        <v>2229</v>
      </c>
      <c r="B167" s="7" t="n">
        <f aca="false">COUNTIF(EV_Chargers!$D:$D,A167)</f>
        <v>4</v>
      </c>
      <c r="C167" s="7" t="n">
        <f aca="false">SUMIF(EV_Chargers!$D:$D,A167,EV_Chargers!$I:$I)</f>
        <v>14</v>
      </c>
      <c r="D167" s="7" t="n">
        <f aca="false">COUNTIF(Transport_Stops!$E:$E,A167)</f>
        <v>1</v>
      </c>
      <c r="E167" s="7" t="n">
        <f aca="false">COUNTIF(Sports_Facilities!$C:$C,A167)</f>
        <v>0</v>
      </c>
      <c r="F167" s="7" t="n">
        <f aca="false">COUNTIF(Taxi_Ranks!$B:$B,A167)</f>
        <v>1</v>
      </c>
      <c r="G167" s="7" t="n">
        <f aca="false">B167+D167+E167+F167</f>
        <v>6</v>
      </c>
      <c r="H167" s="7" t="n">
        <f aca="false">(B167&gt;0)+(D167&gt;0)+(E167&gt;0)+(F167&gt;0)</f>
        <v>3</v>
      </c>
    </row>
    <row r="168" customFormat="false" ht="15" hidden="false" customHeight="false" outlineLevel="0" collapsed="false">
      <c r="A168" s="7" t="n">
        <v>2230</v>
      </c>
      <c r="B168" s="7" t="n">
        <f aca="false">COUNTIF(EV_Chargers!$D:$D,A168)</f>
        <v>3</v>
      </c>
      <c r="C168" s="7" t="n">
        <f aca="false">SUMIF(EV_Chargers!$D:$D,A168,EV_Chargers!$I:$I)</f>
        <v>7</v>
      </c>
      <c r="D168" s="7" t="n">
        <f aca="false">COUNTIF(Transport_Stops!$E:$E,A168)</f>
        <v>2</v>
      </c>
      <c r="E168" s="7" t="n">
        <f aca="false">COUNTIF(Sports_Facilities!$C:$C,A168)</f>
        <v>0</v>
      </c>
      <c r="F168" s="7" t="n">
        <f aca="false">COUNTIF(Taxi_Ranks!$B:$B,A168)</f>
        <v>1</v>
      </c>
      <c r="G168" s="7" t="n">
        <f aca="false">B168+D168+E168+F168</f>
        <v>6</v>
      </c>
      <c r="H168" s="7" t="n">
        <f aca="false">(B168&gt;0)+(D168&gt;0)+(E168&gt;0)+(F168&gt;0)</f>
        <v>3</v>
      </c>
    </row>
    <row r="169" customFormat="false" ht="15" hidden="false" customHeight="false" outlineLevel="0" collapsed="false">
      <c r="A169" s="7" t="n">
        <v>2232</v>
      </c>
      <c r="B169" s="7" t="n">
        <f aca="false">COUNTIF(EV_Chargers!$D:$D,A169)</f>
        <v>3</v>
      </c>
      <c r="C169" s="7" t="n">
        <f aca="false">SUMIF(EV_Chargers!$D:$D,A169,EV_Chargers!$I:$I)</f>
        <v>12</v>
      </c>
      <c r="D169" s="7" t="n">
        <f aca="false">COUNTIF(Transport_Stops!$E:$E,A169)</f>
        <v>3</v>
      </c>
      <c r="E169" s="7" t="n">
        <f aca="false">COUNTIF(Sports_Facilities!$C:$C,A169)</f>
        <v>0</v>
      </c>
      <c r="F169" s="7" t="n">
        <f aca="false">COUNTIF(Taxi_Ranks!$B:$B,A169)</f>
        <v>3</v>
      </c>
      <c r="G169" s="7" t="n">
        <f aca="false">B169+D169+E169+F169</f>
        <v>9</v>
      </c>
      <c r="H169" s="7" t="n">
        <f aca="false">(B169&gt;0)+(D169&gt;0)+(E169&gt;0)+(F169&gt;0)</f>
        <v>3</v>
      </c>
    </row>
    <row r="170" customFormat="false" ht="15" hidden="false" customHeight="false" outlineLevel="0" collapsed="false">
      <c r="A170" s="7" t="n">
        <v>2233</v>
      </c>
      <c r="B170" s="7" t="n">
        <f aca="false">COUNTIF(EV_Chargers!$D:$D,A170)</f>
        <v>1</v>
      </c>
      <c r="C170" s="7" t="n">
        <f aca="false">SUMIF(EV_Chargers!$D:$D,A170,EV_Chargers!$I:$I)</f>
        <v>4</v>
      </c>
      <c r="D170" s="7" t="n">
        <f aca="false">COUNTIF(Transport_Stops!$E:$E,A170)</f>
        <v>3</v>
      </c>
      <c r="E170" s="7" t="n">
        <f aca="false">COUNTIF(Sports_Facilities!$C:$C,A170)</f>
        <v>0</v>
      </c>
      <c r="F170" s="7" t="n">
        <f aca="false">COUNTIF(Taxi_Ranks!$B:$B,A170)</f>
        <v>1</v>
      </c>
      <c r="G170" s="7" t="n">
        <f aca="false">B170+D170+E170+F170</f>
        <v>5</v>
      </c>
      <c r="H170" s="7" t="n">
        <f aca="false">(B170&gt;0)+(D170&gt;0)+(E170&gt;0)+(F170&gt;0)</f>
        <v>3</v>
      </c>
    </row>
    <row r="171" customFormat="false" ht="15" hidden="false" customHeight="false" outlineLevel="0" collapsed="false">
      <c r="A171" s="7" t="n">
        <v>2234</v>
      </c>
      <c r="B171" s="7" t="n">
        <f aca="false">COUNTIF(EV_Chargers!$D:$D,A171)</f>
        <v>2</v>
      </c>
      <c r="C171" s="7" t="n">
        <f aca="false">SUMIF(EV_Chargers!$D:$D,A171,EV_Chargers!$I:$I)</f>
        <v>6</v>
      </c>
      <c r="D171" s="7" t="n">
        <f aca="false">COUNTIF(Transport_Stops!$E:$E,A171)</f>
        <v>0</v>
      </c>
      <c r="E171" s="7" t="n">
        <f aca="false">COUNTIF(Sports_Facilities!$C:$C,A171)</f>
        <v>0</v>
      </c>
      <c r="F171" s="7" t="n">
        <f aca="false">COUNTIF(Taxi_Ranks!$B:$B,A171)</f>
        <v>1</v>
      </c>
      <c r="G171" s="7" t="n">
        <f aca="false">B171+D171+E171+F171</f>
        <v>3</v>
      </c>
      <c r="H171" s="7" t="n">
        <f aca="false">(B171&gt;0)+(D171&gt;0)+(E171&gt;0)+(F171&gt;0)</f>
        <v>2</v>
      </c>
    </row>
    <row r="172" customFormat="false" ht="15" hidden="false" customHeight="false" outlineLevel="0" collapsed="false">
      <c r="A172" s="7" t="n">
        <v>2250</v>
      </c>
      <c r="B172" s="7" t="n">
        <f aca="false">COUNTIF(EV_Chargers!$D:$D,A172)</f>
        <v>18</v>
      </c>
      <c r="C172" s="7" t="n">
        <f aca="false">SUMIF(EV_Chargers!$D:$D,A172,EV_Chargers!$I:$I)</f>
        <v>62</v>
      </c>
      <c r="D172" s="7" t="n">
        <f aca="false">COUNTIF(Transport_Stops!$E:$E,A172)</f>
        <v>6</v>
      </c>
      <c r="E172" s="7" t="n">
        <f aca="false">COUNTIF(Sports_Facilities!$C:$C,A172)</f>
        <v>0</v>
      </c>
      <c r="F172" s="7" t="n">
        <f aca="false">COUNTIF(Taxi_Ranks!$B:$B,A172)</f>
        <v>0</v>
      </c>
      <c r="G172" s="7" t="n">
        <f aca="false">B172+D172+E172+F172</f>
        <v>24</v>
      </c>
      <c r="H172" s="7" t="n">
        <f aca="false">(B172&gt;0)+(D172&gt;0)+(E172&gt;0)+(F172&gt;0)</f>
        <v>2</v>
      </c>
    </row>
    <row r="173" customFormat="false" ht="15" hidden="false" customHeight="false" outlineLevel="0" collapsed="false">
      <c r="A173" s="7" t="n">
        <v>2256</v>
      </c>
      <c r="B173" s="7" t="n">
        <f aca="false">COUNTIF(EV_Chargers!$D:$D,A173)</f>
        <v>0</v>
      </c>
      <c r="C173" s="7" t="n">
        <f aca="false">SUMIF(EV_Chargers!$D:$D,A173,EV_Chargers!$I:$I)</f>
        <v>0</v>
      </c>
      <c r="D173" s="7" t="n">
        <f aca="false">COUNTIF(Transport_Stops!$E:$E,A173)</f>
        <v>3</v>
      </c>
      <c r="E173" s="7" t="n">
        <f aca="false">COUNTIF(Sports_Facilities!$C:$C,A173)</f>
        <v>0</v>
      </c>
      <c r="F173" s="7" t="n">
        <f aca="false">COUNTIF(Taxi_Ranks!$B:$B,A173)</f>
        <v>0</v>
      </c>
      <c r="G173" s="7" t="n">
        <f aca="false">B173+D173+E173+F173</f>
        <v>3</v>
      </c>
      <c r="H173" s="7" t="n">
        <f aca="false">(B173&gt;0)+(D173&gt;0)+(E173&gt;0)+(F173&gt;0)</f>
        <v>1</v>
      </c>
    </row>
    <row r="174" customFormat="false" ht="15" hidden="false" customHeight="false" outlineLevel="0" collapsed="false">
      <c r="A174" s="7" t="n">
        <v>2257</v>
      </c>
      <c r="B174" s="7" t="n">
        <f aca="false">COUNTIF(EV_Chargers!$D:$D,A174)</f>
        <v>4</v>
      </c>
      <c r="C174" s="7" t="n">
        <f aca="false">SUMIF(EV_Chargers!$D:$D,A174,EV_Chargers!$I:$I)</f>
        <v>6</v>
      </c>
      <c r="D174" s="7" t="n">
        <f aca="false">COUNTIF(Transport_Stops!$E:$E,A174)</f>
        <v>0</v>
      </c>
      <c r="E174" s="7" t="n">
        <f aca="false">COUNTIF(Sports_Facilities!$C:$C,A174)</f>
        <v>0</v>
      </c>
      <c r="F174" s="7" t="n">
        <f aca="false">COUNTIF(Taxi_Ranks!$B:$B,A174)</f>
        <v>0</v>
      </c>
      <c r="G174" s="7" t="n">
        <f aca="false">B174+D174+E174+F174</f>
        <v>4</v>
      </c>
      <c r="H174" s="7" t="n">
        <f aca="false">(B174&gt;0)+(D174&gt;0)+(E174&gt;0)+(F174&gt;0)</f>
        <v>1</v>
      </c>
    </row>
    <row r="175" customFormat="false" ht="15" hidden="false" customHeight="false" outlineLevel="0" collapsed="false">
      <c r="A175" s="7" t="n">
        <v>2258</v>
      </c>
      <c r="B175" s="7" t="n">
        <f aca="false">COUNTIF(EV_Chargers!$D:$D,A175)</f>
        <v>2</v>
      </c>
      <c r="C175" s="7" t="n">
        <f aca="false">SUMIF(EV_Chargers!$D:$D,A175,EV_Chargers!$I:$I)</f>
        <v>6</v>
      </c>
      <c r="D175" s="7" t="n">
        <f aca="false">COUNTIF(Transport_Stops!$E:$E,A175)</f>
        <v>1</v>
      </c>
      <c r="E175" s="7" t="n">
        <f aca="false">COUNTIF(Sports_Facilities!$C:$C,A175)</f>
        <v>0</v>
      </c>
      <c r="F175" s="7" t="n">
        <f aca="false">COUNTIF(Taxi_Ranks!$B:$B,A175)</f>
        <v>0</v>
      </c>
      <c r="G175" s="7" t="n">
        <f aca="false">B175+D175+E175+F175</f>
        <v>3</v>
      </c>
      <c r="H175" s="7" t="n">
        <f aca="false">(B175&gt;0)+(D175&gt;0)+(E175&gt;0)+(F175&gt;0)</f>
        <v>2</v>
      </c>
    </row>
    <row r="176" customFormat="false" ht="15" hidden="false" customHeight="false" outlineLevel="0" collapsed="false">
      <c r="A176" s="7" t="n">
        <v>2259</v>
      </c>
      <c r="B176" s="7" t="n">
        <f aca="false">COUNTIF(EV_Chargers!$D:$D,A176)</f>
        <v>3</v>
      </c>
      <c r="C176" s="7" t="n">
        <f aca="false">SUMIF(EV_Chargers!$D:$D,A176,EV_Chargers!$I:$I)</f>
        <v>22</v>
      </c>
      <c r="D176" s="7" t="n">
        <f aca="false">COUNTIF(Transport_Stops!$E:$E,A176)</f>
        <v>4</v>
      </c>
      <c r="E176" s="7" t="n">
        <f aca="false">COUNTIF(Sports_Facilities!$C:$C,A176)</f>
        <v>0</v>
      </c>
      <c r="F176" s="7" t="n">
        <f aca="false">COUNTIF(Taxi_Ranks!$B:$B,A176)</f>
        <v>0</v>
      </c>
      <c r="G176" s="7" t="n">
        <f aca="false">B176+D176+E176+F176</f>
        <v>7</v>
      </c>
      <c r="H176" s="7" t="n">
        <f aca="false">(B176&gt;0)+(D176&gt;0)+(E176&gt;0)+(F176&gt;0)</f>
        <v>2</v>
      </c>
    </row>
    <row r="177" customFormat="false" ht="15" hidden="false" customHeight="false" outlineLevel="0" collapsed="false">
      <c r="A177" s="7" t="n">
        <v>2260</v>
      </c>
      <c r="B177" s="7" t="n">
        <f aca="false">COUNTIF(EV_Chargers!$D:$D,A177)</f>
        <v>2</v>
      </c>
      <c r="C177" s="7" t="n">
        <f aca="false">SUMIF(EV_Chargers!$D:$D,A177,EV_Chargers!$I:$I)</f>
        <v>6</v>
      </c>
      <c r="D177" s="7" t="n">
        <f aca="false">COUNTIF(Transport_Stops!$E:$E,A177)</f>
        <v>0</v>
      </c>
      <c r="E177" s="7" t="n">
        <f aca="false">COUNTIF(Sports_Facilities!$C:$C,A177)</f>
        <v>0</v>
      </c>
      <c r="F177" s="7" t="n">
        <f aca="false">COUNTIF(Taxi_Ranks!$B:$B,A177)</f>
        <v>0</v>
      </c>
      <c r="G177" s="7" t="n">
        <f aca="false">B177+D177+E177+F177</f>
        <v>2</v>
      </c>
      <c r="H177" s="7" t="n">
        <f aca="false">(B177&gt;0)+(D177&gt;0)+(E177&gt;0)+(F177&gt;0)</f>
        <v>1</v>
      </c>
    </row>
    <row r="178" customFormat="false" ht="15" hidden="false" customHeight="false" outlineLevel="0" collapsed="false">
      <c r="A178" s="7" t="n">
        <v>2261</v>
      </c>
      <c r="B178" s="7" t="n">
        <f aca="false">COUNTIF(EV_Chargers!$D:$D,A178)</f>
        <v>9</v>
      </c>
      <c r="C178" s="7" t="n">
        <f aca="false">SUMIF(EV_Chargers!$D:$D,A178,EV_Chargers!$I:$I)</f>
        <v>21</v>
      </c>
      <c r="D178" s="7" t="n">
        <f aca="false">COUNTIF(Transport_Stops!$E:$E,A178)</f>
        <v>0</v>
      </c>
      <c r="E178" s="7" t="n">
        <f aca="false">COUNTIF(Sports_Facilities!$C:$C,A178)</f>
        <v>0</v>
      </c>
      <c r="F178" s="7" t="n">
        <f aca="false">COUNTIF(Taxi_Ranks!$B:$B,A178)</f>
        <v>0</v>
      </c>
      <c r="G178" s="7" t="n">
        <f aca="false">B178+D178+E178+F178</f>
        <v>9</v>
      </c>
      <c r="H178" s="7" t="n">
        <f aca="false">(B178&gt;0)+(D178&gt;0)+(E178&gt;0)+(F178&gt;0)</f>
        <v>1</v>
      </c>
    </row>
    <row r="179" customFormat="false" ht="15" hidden="false" customHeight="false" outlineLevel="0" collapsed="false">
      <c r="A179" s="7" t="n">
        <v>2262</v>
      </c>
      <c r="B179" s="7" t="n">
        <f aca="false">COUNTIF(EV_Chargers!$D:$D,A179)</f>
        <v>1</v>
      </c>
      <c r="C179" s="7" t="n">
        <f aca="false">SUMIF(EV_Chargers!$D:$D,A179,EV_Chargers!$I:$I)</f>
        <v>1</v>
      </c>
      <c r="D179" s="7" t="n">
        <f aca="false">COUNTIF(Transport_Stops!$E:$E,A179)</f>
        <v>0</v>
      </c>
      <c r="E179" s="7" t="n">
        <f aca="false">COUNTIF(Sports_Facilities!$C:$C,A179)</f>
        <v>0</v>
      </c>
      <c r="F179" s="7" t="n">
        <f aca="false">COUNTIF(Taxi_Ranks!$B:$B,A179)</f>
        <v>0</v>
      </c>
      <c r="G179" s="7" t="n">
        <f aca="false">B179+D179+E179+F179</f>
        <v>1</v>
      </c>
      <c r="H179" s="7" t="n">
        <f aca="false">(B179&gt;0)+(D179&gt;0)+(E179&gt;0)+(F179&gt;0)</f>
        <v>1</v>
      </c>
    </row>
    <row r="180" customFormat="false" ht="15" hidden="false" customHeight="false" outlineLevel="0" collapsed="false">
      <c r="A180" s="7" t="n">
        <v>2263</v>
      </c>
      <c r="B180" s="7" t="n">
        <f aca="false">COUNTIF(EV_Chargers!$D:$D,A180)</f>
        <v>5</v>
      </c>
      <c r="C180" s="7" t="n">
        <f aca="false">SUMIF(EV_Chargers!$D:$D,A180,EV_Chargers!$I:$I)</f>
        <v>12</v>
      </c>
      <c r="D180" s="7" t="n">
        <f aca="false">COUNTIF(Transport_Stops!$E:$E,A180)</f>
        <v>0</v>
      </c>
      <c r="E180" s="7" t="n">
        <f aca="false">COUNTIF(Sports_Facilities!$C:$C,A180)</f>
        <v>0</v>
      </c>
      <c r="F180" s="7" t="n">
        <f aca="false">COUNTIF(Taxi_Ranks!$B:$B,A180)</f>
        <v>0</v>
      </c>
      <c r="G180" s="7" t="n">
        <f aca="false">B180+D180+E180+F180</f>
        <v>5</v>
      </c>
      <c r="H180" s="7" t="n">
        <f aca="false">(B180&gt;0)+(D180&gt;0)+(E180&gt;0)+(F180&gt;0)</f>
        <v>1</v>
      </c>
    </row>
    <row r="181" customFormat="false" ht="15" hidden="false" customHeight="false" outlineLevel="0" collapsed="false">
      <c r="A181" s="7" t="n">
        <v>2264</v>
      </c>
      <c r="B181" s="7" t="n">
        <f aca="false">COUNTIF(EV_Chargers!$D:$D,A181)</f>
        <v>5</v>
      </c>
      <c r="C181" s="7" t="n">
        <f aca="false">SUMIF(EV_Chargers!$D:$D,A181,EV_Chargers!$I:$I)</f>
        <v>10</v>
      </c>
      <c r="D181" s="7" t="n">
        <f aca="false">COUNTIF(Transport_Stops!$E:$E,A181)</f>
        <v>2</v>
      </c>
      <c r="E181" s="7" t="n">
        <f aca="false">COUNTIF(Sports_Facilities!$C:$C,A181)</f>
        <v>0</v>
      </c>
      <c r="F181" s="7" t="n">
        <f aca="false">COUNTIF(Taxi_Ranks!$B:$B,A181)</f>
        <v>0</v>
      </c>
      <c r="G181" s="7" t="n">
        <f aca="false">B181+D181+E181+F181</f>
        <v>7</v>
      </c>
      <c r="H181" s="7" t="n">
        <f aca="false">(B181&gt;0)+(D181&gt;0)+(E181&gt;0)+(F181&gt;0)</f>
        <v>2</v>
      </c>
    </row>
    <row r="182" customFormat="false" ht="15" hidden="false" customHeight="false" outlineLevel="0" collapsed="false">
      <c r="A182" s="7" t="n">
        <v>2280</v>
      </c>
      <c r="B182" s="7" t="n">
        <f aca="false">COUNTIF(EV_Chargers!$D:$D,A182)</f>
        <v>3</v>
      </c>
      <c r="C182" s="7" t="n">
        <f aca="false">SUMIF(EV_Chargers!$D:$D,A182,EV_Chargers!$I:$I)</f>
        <v>8</v>
      </c>
      <c r="D182" s="7" t="n">
        <f aca="false">COUNTIF(Transport_Stops!$E:$E,A182)</f>
        <v>0</v>
      </c>
      <c r="E182" s="7" t="n">
        <f aca="false">COUNTIF(Sports_Facilities!$C:$C,A182)</f>
        <v>0</v>
      </c>
      <c r="F182" s="7" t="n">
        <f aca="false">COUNTIF(Taxi_Ranks!$B:$B,A182)</f>
        <v>0</v>
      </c>
      <c r="G182" s="7" t="n">
        <f aca="false">B182+D182+E182+F182</f>
        <v>3</v>
      </c>
      <c r="H182" s="7" t="n">
        <f aca="false">(B182&gt;0)+(D182&gt;0)+(E182&gt;0)+(F182&gt;0)</f>
        <v>1</v>
      </c>
    </row>
    <row r="183" customFormat="false" ht="15" hidden="false" customHeight="false" outlineLevel="0" collapsed="false">
      <c r="A183" s="7" t="n">
        <v>2281</v>
      </c>
      <c r="B183" s="7" t="n">
        <f aca="false">COUNTIF(EV_Chargers!$D:$D,A183)</f>
        <v>6</v>
      </c>
      <c r="C183" s="7" t="n">
        <f aca="false">SUMIF(EV_Chargers!$D:$D,A183,EV_Chargers!$I:$I)</f>
        <v>21</v>
      </c>
      <c r="D183" s="7" t="n">
        <f aca="false">COUNTIF(Transport_Stops!$E:$E,A183)</f>
        <v>0</v>
      </c>
      <c r="E183" s="7" t="n">
        <f aca="false">COUNTIF(Sports_Facilities!$C:$C,A183)</f>
        <v>0</v>
      </c>
      <c r="F183" s="7" t="n">
        <f aca="false">COUNTIF(Taxi_Ranks!$B:$B,A183)</f>
        <v>0</v>
      </c>
      <c r="G183" s="7" t="n">
        <f aca="false">B183+D183+E183+F183</f>
        <v>6</v>
      </c>
      <c r="H183" s="7" t="n">
        <f aca="false">(B183&gt;0)+(D183&gt;0)+(E183&gt;0)+(F183&gt;0)</f>
        <v>1</v>
      </c>
    </row>
    <row r="184" customFormat="false" ht="15" hidden="false" customHeight="false" outlineLevel="0" collapsed="false">
      <c r="A184" s="7" t="n">
        <v>2282</v>
      </c>
      <c r="B184" s="7" t="n">
        <f aca="false">COUNTIF(EV_Chargers!$D:$D,A184)</f>
        <v>2</v>
      </c>
      <c r="C184" s="7" t="n">
        <f aca="false">SUMIF(EV_Chargers!$D:$D,A184,EV_Chargers!$I:$I)</f>
        <v>8</v>
      </c>
      <c r="D184" s="7" t="n">
        <f aca="false">COUNTIF(Transport_Stops!$E:$E,A184)</f>
        <v>0</v>
      </c>
      <c r="E184" s="7" t="n">
        <f aca="false">COUNTIF(Sports_Facilities!$C:$C,A184)</f>
        <v>0</v>
      </c>
      <c r="F184" s="7" t="n">
        <f aca="false">COUNTIF(Taxi_Ranks!$B:$B,A184)</f>
        <v>0</v>
      </c>
      <c r="G184" s="7" t="n">
        <f aca="false">B184+D184+E184+F184</f>
        <v>2</v>
      </c>
      <c r="H184" s="7" t="n">
        <f aca="false">(B184&gt;0)+(D184&gt;0)+(E184&gt;0)+(F184&gt;0)</f>
        <v>1</v>
      </c>
    </row>
    <row r="185" customFormat="false" ht="15" hidden="false" customHeight="false" outlineLevel="0" collapsed="false">
      <c r="A185" s="7" t="n">
        <v>2283</v>
      </c>
      <c r="B185" s="7" t="n">
        <f aca="false">COUNTIF(EV_Chargers!$D:$D,A185)</f>
        <v>3</v>
      </c>
      <c r="C185" s="7" t="n">
        <f aca="false">SUMIF(EV_Chargers!$D:$D,A185,EV_Chargers!$I:$I)</f>
        <v>8</v>
      </c>
      <c r="D185" s="7" t="n">
        <f aca="false">COUNTIF(Transport_Stops!$E:$E,A185)</f>
        <v>2</v>
      </c>
      <c r="E185" s="7" t="n">
        <f aca="false">COUNTIF(Sports_Facilities!$C:$C,A185)</f>
        <v>0</v>
      </c>
      <c r="F185" s="7" t="n">
        <f aca="false">COUNTIF(Taxi_Ranks!$B:$B,A185)</f>
        <v>0</v>
      </c>
      <c r="G185" s="7" t="n">
        <f aca="false">B185+D185+E185+F185</f>
        <v>5</v>
      </c>
      <c r="H185" s="7" t="n">
        <f aca="false">(B185&gt;0)+(D185&gt;0)+(E185&gt;0)+(F185&gt;0)</f>
        <v>2</v>
      </c>
    </row>
    <row r="186" customFormat="false" ht="15" hidden="false" customHeight="false" outlineLevel="0" collapsed="false">
      <c r="A186" s="7" t="n">
        <v>2284</v>
      </c>
      <c r="B186" s="7" t="n">
        <f aca="false">COUNTIF(EV_Chargers!$D:$D,A186)</f>
        <v>3</v>
      </c>
      <c r="C186" s="7" t="n">
        <f aca="false">SUMIF(EV_Chargers!$D:$D,A186,EV_Chargers!$I:$I)</f>
        <v>6</v>
      </c>
      <c r="D186" s="7" t="n">
        <f aca="false">COUNTIF(Transport_Stops!$E:$E,A186)</f>
        <v>3</v>
      </c>
      <c r="E186" s="7" t="n">
        <f aca="false">COUNTIF(Sports_Facilities!$C:$C,A186)</f>
        <v>0</v>
      </c>
      <c r="F186" s="7" t="n">
        <f aca="false">COUNTIF(Taxi_Ranks!$B:$B,A186)</f>
        <v>0</v>
      </c>
      <c r="G186" s="7" t="n">
        <f aca="false">B186+D186+E186+F186</f>
        <v>6</v>
      </c>
      <c r="H186" s="7" t="n">
        <f aca="false">(B186&gt;0)+(D186&gt;0)+(E186&gt;0)+(F186&gt;0)</f>
        <v>2</v>
      </c>
    </row>
    <row r="187" customFormat="false" ht="15" hidden="false" customHeight="false" outlineLevel="0" collapsed="false">
      <c r="A187" s="7" t="n">
        <v>2285</v>
      </c>
      <c r="B187" s="7" t="n">
        <f aca="false">COUNTIF(EV_Chargers!$D:$D,A187)</f>
        <v>9</v>
      </c>
      <c r="C187" s="7" t="n">
        <f aca="false">SUMIF(EV_Chargers!$D:$D,A187,EV_Chargers!$I:$I)</f>
        <v>30</v>
      </c>
      <c r="D187" s="7" t="n">
        <f aca="false">COUNTIF(Transport_Stops!$E:$E,A187)</f>
        <v>1</v>
      </c>
      <c r="E187" s="7" t="n">
        <f aca="false">COUNTIF(Sports_Facilities!$C:$C,A187)</f>
        <v>0</v>
      </c>
      <c r="F187" s="7" t="n">
        <f aca="false">COUNTIF(Taxi_Ranks!$B:$B,A187)</f>
        <v>0</v>
      </c>
      <c r="G187" s="7" t="n">
        <f aca="false">B187+D187+E187+F187</f>
        <v>10</v>
      </c>
      <c r="H187" s="7" t="n">
        <f aca="false">(B187&gt;0)+(D187&gt;0)+(E187&gt;0)+(F187&gt;0)</f>
        <v>2</v>
      </c>
    </row>
    <row r="188" customFormat="false" ht="15" hidden="false" customHeight="false" outlineLevel="0" collapsed="false">
      <c r="A188" s="7" t="n">
        <v>2286</v>
      </c>
      <c r="B188" s="7" t="n">
        <f aca="false">COUNTIF(EV_Chargers!$D:$D,A188)</f>
        <v>1</v>
      </c>
      <c r="C188" s="7" t="n">
        <f aca="false">SUMIF(EV_Chargers!$D:$D,A188,EV_Chargers!$I:$I)</f>
        <v>4</v>
      </c>
      <c r="D188" s="7" t="n">
        <f aca="false">COUNTIF(Transport_Stops!$E:$E,A188)</f>
        <v>0</v>
      </c>
      <c r="E188" s="7" t="n">
        <f aca="false">COUNTIF(Sports_Facilities!$C:$C,A188)</f>
        <v>0</v>
      </c>
      <c r="F188" s="7" t="n">
        <f aca="false">COUNTIF(Taxi_Ranks!$B:$B,A188)</f>
        <v>0</v>
      </c>
      <c r="G188" s="7" t="n">
        <f aca="false">B188+D188+E188+F188</f>
        <v>1</v>
      </c>
      <c r="H188" s="7" t="n">
        <f aca="false">(B188&gt;0)+(D188&gt;0)+(E188&gt;0)+(F188&gt;0)</f>
        <v>1</v>
      </c>
    </row>
    <row r="189" customFormat="false" ht="15" hidden="false" customHeight="false" outlineLevel="0" collapsed="false">
      <c r="A189" s="7" t="n">
        <v>2287</v>
      </c>
      <c r="B189" s="7" t="n">
        <f aca="false">COUNTIF(EV_Chargers!$D:$D,A189)</f>
        <v>5</v>
      </c>
      <c r="C189" s="7" t="n">
        <f aca="false">SUMIF(EV_Chargers!$D:$D,A189,EV_Chargers!$I:$I)</f>
        <v>14</v>
      </c>
      <c r="D189" s="7" t="n">
        <f aca="false">COUNTIF(Transport_Stops!$E:$E,A189)</f>
        <v>0</v>
      </c>
      <c r="E189" s="7" t="n">
        <f aca="false">COUNTIF(Sports_Facilities!$C:$C,A189)</f>
        <v>0</v>
      </c>
      <c r="F189" s="7" t="n">
        <f aca="false">COUNTIF(Taxi_Ranks!$B:$B,A189)</f>
        <v>0</v>
      </c>
      <c r="G189" s="7" t="n">
        <f aca="false">B189+D189+E189+F189</f>
        <v>5</v>
      </c>
      <c r="H189" s="7" t="n">
        <f aca="false">(B189&gt;0)+(D189&gt;0)+(E189&gt;0)+(F189&gt;0)</f>
        <v>1</v>
      </c>
    </row>
    <row r="190" customFormat="false" ht="15" hidden="false" customHeight="false" outlineLevel="0" collapsed="false">
      <c r="A190" s="7" t="n">
        <v>2289</v>
      </c>
      <c r="B190" s="7" t="n">
        <f aca="false">COUNTIF(EV_Chargers!$D:$D,A190)</f>
        <v>3</v>
      </c>
      <c r="C190" s="7" t="n">
        <f aca="false">SUMIF(EV_Chargers!$D:$D,A190,EV_Chargers!$I:$I)</f>
        <v>9</v>
      </c>
      <c r="D190" s="7" t="n">
        <f aca="false">COUNTIF(Transport_Stops!$E:$E,A190)</f>
        <v>2</v>
      </c>
      <c r="E190" s="7" t="n">
        <f aca="false">COUNTIF(Sports_Facilities!$C:$C,A190)</f>
        <v>0</v>
      </c>
      <c r="F190" s="7" t="n">
        <f aca="false">COUNTIF(Taxi_Ranks!$B:$B,A190)</f>
        <v>0</v>
      </c>
      <c r="G190" s="7" t="n">
        <f aca="false">B190+D190+E190+F190</f>
        <v>5</v>
      </c>
      <c r="H190" s="7" t="n">
        <f aca="false">(B190&gt;0)+(D190&gt;0)+(E190&gt;0)+(F190&gt;0)</f>
        <v>2</v>
      </c>
    </row>
    <row r="191" customFormat="false" ht="15" hidden="false" customHeight="false" outlineLevel="0" collapsed="false">
      <c r="A191" s="7" t="n">
        <v>2290</v>
      </c>
      <c r="B191" s="7" t="n">
        <f aca="false">COUNTIF(EV_Chargers!$D:$D,A191)</f>
        <v>7</v>
      </c>
      <c r="C191" s="7" t="n">
        <f aca="false">SUMIF(EV_Chargers!$D:$D,A191,EV_Chargers!$I:$I)</f>
        <v>19</v>
      </c>
      <c r="D191" s="7" t="n">
        <f aca="false">COUNTIF(Transport_Stops!$E:$E,A191)</f>
        <v>0</v>
      </c>
      <c r="E191" s="7" t="n">
        <f aca="false">COUNTIF(Sports_Facilities!$C:$C,A191)</f>
        <v>0</v>
      </c>
      <c r="F191" s="7" t="n">
        <f aca="false">COUNTIF(Taxi_Ranks!$B:$B,A191)</f>
        <v>0</v>
      </c>
      <c r="G191" s="7" t="n">
        <f aca="false">B191+D191+E191+F191</f>
        <v>7</v>
      </c>
      <c r="H191" s="7" t="n">
        <f aca="false">(B191&gt;0)+(D191&gt;0)+(E191&gt;0)+(F191&gt;0)</f>
        <v>1</v>
      </c>
    </row>
    <row r="192" customFormat="false" ht="15" hidden="false" customHeight="false" outlineLevel="0" collapsed="false">
      <c r="A192" s="7" t="n">
        <v>2291</v>
      </c>
      <c r="B192" s="7" t="n">
        <f aca="false">COUNTIF(EV_Chargers!$D:$D,A192)</f>
        <v>1</v>
      </c>
      <c r="C192" s="7" t="n">
        <f aca="false">SUMIF(EV_Chargers!$D:$D,A192,EV_Chargers!$I:$I)</f>
        <v>4</v>
      </c>
      <c r="D192" s="7" t="n">
        <f aca="false">COUNTIF(Transport_Stops!$E:$E,A192)</f>
        <v>0</v>
      </c>
      <c r="E192" s="7" t="n">
        <f aca="false">COUNTIF(Sports_Facilities!$C:$C,A192)</f>
        <v>0</v>
      </c>
      <c r="F192" s="7" t="n">
        <f aca="false">COUNTIF(Taxi_Ranks!$B:$B,A192)</f>
        <v>0</v>
      </c>
      <c r="G192" s="7" t="n">
        <f aca="false">B192+D192+E192+F192</f>
        <v>1</v>
      </c>
      <c r="H192" s="7" t="n">
        <f aca="false">(B192&gt;0)+(D192&gt;0)+(E192&gt;0)+(F192&gt;0)</f>
        <v>1</v>
      </c>
    </row>
    <row r="193" customFormat="false" ht="15" hidden="false" customHeight="false" outlineLevel="0" collapsed="false">
      <c r="A193" s="7" t="n">
        <v>2292</v>
      </c>
      <c r="B193" s="7" t="n">
        <f aca="false">COUNTIF(EV_Chargers!$D:$D,A193)</f>
        <v>0</v>
      </c>
      <c r="C193" s="7" t="n">
        <f aca="false">SUMIF(EV_Chargers!$D:$D,A193,EV_Chargers!$I:$I)</f>
        <v>0</v>
      </c>
      <c r="D193" s="7" t="n">
        <f aca="false">COUNTIF(Transport_Stops!$E:$E,A193)</f>
        <v>1</v>
      </c>
      <c r="E193" s="7" t="n">
        <f aca="false">COUNTIF(Sports_Facilities!$C:$C,A193)</f>
        <v>0</v>
      </c>
      <c r="F193" s="7" t="n">
        <f aca="false">COUNTIF(Taxi_Ranks!$B:$B,A193)</f>
        <v>0</v>
      </c>
      <c r="G193" s="7" t="n">
        <f aca="false">B193+D193+E193+F193</f>
        <v>1</v>
      </c>
      <c r="H193" s="7" t="n">
        <f aca="false">(B193&gt;0)+(D193&gt;0)+(E193&gt;0)+(F193&gt;0)</f>
        <v>1</v>
      </c>
    </row>
    <row r="194" customFormat="false" ht="15" hidden="false" customHeight="false" outlineLevel="0" collapsed="false">
      <c r="A194" s="7" t="n">
        <v>2293</v>
      </c>
      <c r="B194" s="7" t="n">
        <f aca="false">COUNTIF(EV_Chargers!$D:$D,A194)</f>
        <v>3</v>
      </c>
      <c r="C194" s="7" t="n">
        <f aca="false">SUMIF(EV_Chargers!$D:$D,A194,EV_Chargers!$I:$I)</f>
        <v>6</v>
      </c>
      <c r="D194" s="7" t="n">
        <f aca="false">COUNTIF(Transport_Stops!$E:$E,A194)</f>
        <v>1</v>
      </c>
      <c r="E194" s="7" t="n">
        <f aca="false">COUNTIF(Sports_Facilities!$C:$C,A194)</f>
        <v>0</v>
      </c>
      <c r="F194" s="7" t="n">
        <f aca="false">COUNTIF(Taxi_Ranks!$B:$B,A194)</f>
        <v>0</v>
      </c>
      <c r="G194" s="7" t="n">
        <f aca="false">B194+D194+E194+F194</f>
        <v>4</v>
      </c>
      <c r="H194" s="7" t="n">
        <f aca="false">(B194&gt;0)+(D194&gt;0)+(E194&gt;0)+(F194&gt;0)</f>
        <v>2</v>
      </c>
    </row>
    <row r="195" customFormat="false" ht="15" hidden="false" customHeight="false" outlineLevel="0" collapsed="false">
      <c r="A195" s="7" t="n">
        <v>2295</v>
      </c>
      <c r="B195" s="7" t="n">
        <f aca="false">COUNTIF(EV_Chargers!$D:$D,A195)</f>
        <v>1</v>
      </c>
      <c r="C195" s="7" t="n">
        <f aca="false">SUMIF(EV_Chargers!$D:$D,A195,EV_Chargers!$I:$I)</f>
        <v>4</v>
      </c>
      <c r="D195" s="7" t="n">
        <f aca="false">COUNTIF(Transport_Stops!$E:$E,A195)</f>
        <v>1</v>
      </c>
      <c r="E195" s="7" t="n">
        <f aca="false">COUNTIF(Sports_Facilities!$C:$C,A195)</f>
        <v>0</v>
      </c>
      <c r="F195" s="7" t="n">
        <f aca="false">COUNTIF(Taxi_Ranks!$B:$B,A195)</f>
        <v>0</v>
      </c>
      <c r="G195" s="7" t="n">
        <f aca="false">B195+D195+E195+F195</f>
        <v>2</v>
      </c>
      <c r="H195" s="7" t="n">
        <f aca="false">(B195&gt;0)+(D195&gt;0)+(E195&gt;0)+(F195&gt;0)</f>
        <v>2</v>
      </c>
    </row>
    <row r="196" customFormat="false" ht="15" hidden="false" customHeight="false" outlineLevel="0" collapsed="false">
      <c r="A196" s="7" t="n">
        <v>2298</v>
      </c>
      <c r="B196" s="7" t="n">
        <f aca="false">COUNTIF(EV_Chargers!$D:$D,A196)</f>
        <v>2</v>
      </c>
      <c r="C196" s="7" t="n">
        <f aca="false">SUMIF(EV_Chargers!$D:$D,A196,EV_Chargers!$I:$I)</f>
        <v>4</v>
      </c>
      <c r="D196" s="7" t="n">
        <f aca="false">COUNTIF(Transport_Stops!$E:$E,A196)</f>
        <v>0</v>
      </c>
      <c r="E196" s="7" t="n">
        <f aca="false">COUNTIF(Sports_Facilities!$C:$C,A196)</f>
        <v>0</v>
      </c>
      <c r="F196" s="7" t="n">
        <f aca="false">COUNTIF(Taxi_Ranks!$B:$B,A196)</f>
        <v>0</v>
      </c>
      <c r="G196" s="7" t="n">
        <f aca="false">B196+D196+E196+F196</f>
        <v>2</v>
      </c>
      <c r="H196" s="7" t="n">
        <f aca="false">(B196&gt;0)+(D196&gt;0)+(E196&gt;0)+(F196&gt;0)</f>
        <v>1</v>
      </c>
    </row>
    <row r="197" customFormat="false" ht="15" hidden="false" customHeight="false" outlineLevel="0" collapsed="false">
      <c r="A197" s="7" t="n">
        <v>2299</v>
      </c>
      <c r="B197" s="7" t="n">
        <f aca="false">COUNTIF(EV_Chargers!$D:$D,A197)</f>
        <v>5</v>
      </c>
      <c r="C197" s="7" t="n">
        <f aca="false">SUMIF(EV_Chargers!$D:$D,A197,EV_Chargers!$I:$I)</f>
        <v>11</v>
      </c>
      <c r="D197" s="7" t="n">
        <f aca="false">COUNTIF(Transport_Stops!$E:$E,A197)</f>
        <v>0</v>
      </c>
      <c r="E197" s="7" t="n">
        <f aca="false">COUNTIF(Sports_Facilities!$C:$C,A197)</f>
        <v>0</v>
      </c>
      <c r="F197" s="7" t="n">
        <f aca="false">COUNTIF(Taxi_Ranks!$B:$B,A197)</f>
        <v>0</v>
      </c>
      <c r="G197" s="7" t="n">
        <f aca="false">B197+D197+E197+F197</f>
        <v>5</v>
      </c>
      <c r="H197" s="7" t="n">
        <f aca="false">(B197&gt;0)+(D197&gt;0)+(E197&gt;0)+(F197&gt;0)</f>
        <v>1</v>
      </c>
    </row>
    <row r="198" customFormat="false" ht="15" hidden="false" customHeight="false" outlineLevel="0" collapsed="false">
      <c r="A198" s="7" t="n">
        <v>2300</v>
      </c>
      <c r="B198" s="7" t="n">
        <f aca="false">COUNTIF(EV_Chargers!$D:$D,A198)</f>
        <v>12</v>
      </c>
      <c r="C198" s="7" t="n">
        <f aca="false">SUMIF(EV_Chargers!$D:$D,A198,EV_Chargers!$I:$I)</f>
        <v>41</v>
      </c>
      <c r="D198" s="7" t="n">
        <f aca="false">COUNTIF(Transport_Stops!$E:$E,A198)</f>
        <v>6</v>
      </c>
      <c r="E198" s="7" t="n">
        <f aca="false">COUNTIF(Sports_Facilities!$C:$C,A198)</f>
        <v>0</v>
      </c>
      <c r="F198" s="7" t="n">
        <f aca="false">COUNTIF(Taxi_Ranks!$B:$B,A198)</f>
        <v>0</v>
      </c>
      <c r="G198" s="7" t="n">
        <f aca="false">B198+D198+E198+F198</f>
        <v>18</v>
      </c>
      <c r="H198" s="7" t="n">
        <f aca="false">(B198&gt;0)+(D198&gt;0)+(E198&gt;0)+(F198&gt;0)</f>
        <v>2</v>
      </c>
    </row>
    <row r="199" customFormat="false" ht="15" hidden="false" customHeight="false" outlineLevel="0" collapsed="false">
      <c r="A199" s="7" t="n">
        <v>2303</v>
      </c>
      <c r="B199" s="7" t="n">
        <f aca="false">COUNTIF(EV_Chargers!$D:$D,A199)</f>
        <v>3</v>
      </c>
      <c r="C199" s="7" t="n">
        <f aca="false">SUMIF(EV_Chargers!$D:$D,A199,EV_Chargers!$I:$I)</f>
        <v>8</v>
      </c>
      <c r="D199" s="7" t="n">
        <f aca="false">COUNTIF(Transport_Stops!$E:$E,A199)</f>
        <v>1</v>
      </c>
      <c r="E199" s="7" t="n">
        <f aca="false">COUNTIF(Sports_Facilities!$C:$C,A199)</f>
        <v>0</v>
      </c>
      <c r="F199" s="7" t="n">
        <f aca="false">COUNTIF(Taxi_Ranks!$B:$B,A199)</f>
        <v>0</v>
      </c>
      <c r="G199" s="7" t="n">
        <f aca="false">B199+D199+E199+F199</f>
        <v>4</v>
      </c>
      <c r="H199" s="7" t="n">
        <f aca="false">(B199&gt;0)+(D199&gt;0)+(E199&gt;0)+(F199&gt;0)</f>
        <v>2</v>
      </c>
    </row>
    <row r="200" customFormat="false" ht="15" hidden="false" customHeight="false" outlineLevel="0" collapsed="false">
      <c r="A200" s="7" t="n">
        <v>2304</v>
      </c>
      <c r="B200" s="7" t="n">
        <f aca="false">COUNTIF(EV_Chargers!$D:$D,A200)</f>
        <v>3</v>
      </c>
      <c r="C200" s="7" t="n">
        <f aca="false">SUMIF(EV_Chargers!$D:$D,A200,EV_Chargers!$I:$I)</f>
        <v>7</v>
      </c>
      <c r="D200" s="7" t="n">
        <f aca="false">COUNTIF(Transport_Stops!$E:$E,A200)</f>
        <v>3</v>
      </c>
      <c r="E200" s="7" t="n">
        <f aca="false">COUNTIF(Sports_Facilities!$C:$C,A200)</f>
        <v>0</v>
      </c>
      <c r="F200" s="7" t="n">
        <f aca="false">COUNTIF(Taxi_Ranks!$B:$B,A200)</f>
        <v>0</v>
      </c>
      <c r="G200" s="7" t="n">
        <f aca="false">B200+D200+E200+F200</f>
        <v>6</v>
      </c>
      <c r="H200" s="7" t="n">
        <f aca="false">(B200&gt;0)+(D200&gt;0)+(E200&gt;0)+(F200&gt;0)</f>
        <v>2</v>
      </c>
    </row>
    <row r="201" customFormat="false" ht="15" hidden="false" customHeight="false" outlineLevel="0" collapsed="false">
      <c r="A201" s="7" t="n">
        <v>2305</v>
      </c>
      <c r="B201" s="7" t="n">
        <f aca="false">COUNTIF(EV_Chargers!$D:$D,A201)</f>
        <v>1</v>
      </c>
      <c r="C201" s="7" t="n">
        <f aca="false">SUMIF(EV_Chargers!$D:$D,A201,EV_Chargers!$I:$I)</f>
        <v>1</v>
      </c>
      <c r="D201" s="7" t="n">
        <f aca="false">COUNTIF(Transport_Stops!$E:$E,A201)</f>
        <v>0</v>
      </c>
      <c r="E201" s="7" t="n">
        <f aca="false">COUNTIF(Sports_Facilities!$C:$C,A201)</f>
        <v>0</v>
      </c>
      <c r="F201" s="7" t="n">
        <f aca="false">COUNTIF(Taxi_Ranks!$B:$B,A201)</f>
        <v>0</v>
      </c>
      <c r="G201" s="7" t="n">
        <f aca="false">B201+D201+E201+F201</f>
        <v>1</v>
      </c>
      <c r="H201" s="7" t="n">
        <f aca="false">(B201&gt;0)+(D201&gt;0)+(E201&gt;0)+(F201&gt;0)</f>
        <v>1</v>
      </c>
    </row>
    <row r="202" customFormat="false" ht="15" hidden="false" customHeight="false" outlineLevel="0" collapsed="false">
      <c r="A202" s="7" t="n">
        <v>2306</v>
      </c>
      <c r="B202" s="7" t="n">
        <f aca="false">COUNTIF(EV_Chargers!$D:$D,A202)</f>
        <v>1</v>
      </c>
      <c r="C202" s="7" t="n">
        <f aca="false">SUMIF(EV_Chargers!$D:$D,A202,EV_Chargers!$I:$I)</f>
        <v>2</v>
      </c>
      <c r="D202" s="7" t="n">
        <f aca="false">COUNTIF(Transport_Stops!$E:$E,A202)</f>
        <v>0</v>
      </c>
      <c r="E202" s="7" t="n">
        <f aca="false">COUNTIF(Sports_Facilities!$C:$C,A202)</f>
        <v>0</v>
      </c>
      <c r="F202" s="7" t="n">
        <f aca="false">COUNTIF(Taxi_Ranks!$B:$B,A202)</f>
        <v>0</v>
      </c>
      <c r="G202" s="7" t="n">
        <f aca="false">B202+D202+E202+F202</f>
        <v>1</v>
      </c>
      <c r="H202" s="7" t="n">
        <f aca="false">(B202&gt;0)+(D202&gt;0)+(E202&gt;0)+(F202&gt;0)</f>
        <v>1</v>
      </c>
    </row>
    <row r="203" customFormat="false" ht="15" hidden="false" customHeight="false" outlineLevel="0" collapsed="false">
      <c r="A203" s="7" t="n">
        <v>2307</v>
      </c>
      <c r="B203" s="7" t="n">
        <f aca="false">COUNTIF(EV_Chargers!$D:$D,A203)</f>
        <v>1</v>
      </c>
      <c r="C203" s="7" t="n">
        <f aca="false">SUMIF(EV_Chargers!$D:$D,A203,EV_Chargers!$I:$I)</f>
        <v>2</v>
      </c>
      <c r="D203" s="7" t="n">
        <f aca="false">COUNTIF(Transport_Stops!$E:$E,A203)</f>
        <v>0</v>
      </c>
      <c r="E203" s="7" t="n">
        <f aca="false">COUNTIF(Sports_Facilities!$C:$C,A203)</f>
        <v>0</v>
      </c>
      <c r="F203" s="7" t="n">
        <f aca="false">COUNTIF(Taxi_Ranks!$B:$B,A203)</f>
        <v>0</v>
      </c>
      <c r="G203" s="7" t="n">
        <f aca="false">B203+D203+E203+F203</f>
        <v>1</v>
      </c>
      <c r="H203" s="7" t="n">
        <f aca="false">(B203&gt;0)+(D203&gt;0)+(E203&gt;0)+(F203&gt;0)</f>
        <v>1</v>
      </c>
    </row>
    <row r="204" customFormat="false" ht="15" hidden="false" customHeight="false" outlineLevel="0" collapsed="false">
      <c r="A204" s="7" t="n">
        <v>2308</v>
      </c>
      <c r="B204" s="7" t="n">
        <f aca="false">COUNTIF(EV_Chargers!$D:$D,A204)</f>
        <v>2</v>
      </c>
      <c r="C204" s="7" t="n">
        <f aca="false">SUMIF(EV_Chargers!$D:$D,A204,EV_Chargers!$I:$I)</f>
        <v>10</v>
      </c>
      <c r="D204" s="7" t="n">
        <f aca="false">COUNTIF(Transport_Stops!$E:$E,A204)</f>
        <v>0</v>
      </c>
      <c r="E204" s="7" t="n">
        <f aca="false">COUNTIF(Sports_Facilities!$C:$C,A204)</f>
        <v>0</v>
      </c>
      <c r="F204" s="7" t="n">
        <f aca="false">COUNTIF(Taxi_Ranks!$B:$B,A204)</f>
        <v>0</v>
      </c>
      <c r="G204" s="7" t="n">
        <f aca="false">B204+D204+E204+F204</f>
        <v>2</v>
      </c>
      <c r="H204" s="7" t="n">
        <f aca="false">(B204&gt;0)+(D204&gt;0)+(E204&gt;0)+(F204&gt;0)</f>
        <v>1</v>
      </c>
    </row>
    <row r="205" customFormat="false" ht="15" hidden="false" customHeight="false" outlineLevel="0" collapsed="false">
      <c r="A205" s="7" t="n">
        <v>2312</v>
      </c>
      <c r="B205" s="7" t="n">
        <f aca="false">COUNTIF(EV_Chargers!$D:$D,A205)</f>
        <v>1</v>
      </c>
      <c r="C205" s="7" t="n">
        <f aca="false">SUMIF(EV_Chargers!$D:$D,A205,EV_Chargers!$I:$I)</f>
        <v>2</v>
      </c>
      <c r="D205" s="7" t="n">
        <f aca="false">COUNTIF(Transport_Stops!$E:$E,A205)</f>
        <v>0</v>
      </c>
      <c r="E205" s="7" t="n">
        <f aca="false">COUNTIF(Sports_Facilities!$C:$C,A205)</f>
        <v>0</v>
      </c>
      <c r="F205" s="7" t="n">
        <f aca="false">COUNTIF(Taxi_Ranks!$B:$B,A205)</f>
        <v>0</v>
      </c>
      <c r="G205" s="7" t="n">
        <f aca="false">B205+D205+E205+F205</f>
        <v>1</v>
      </c>
      <c r="H205" s="7" t="n">
        <f aca="false">(B205&gt;0)+(D205&gt;0)+(E205&gt;0)+(F205&gt;0)</f>
        <v>1</v>
      </c>
    </row>
    <row r="206" customFormat="false" ht="15" hidden="false" customHeight="false" outlineLevel="0" collapsed="false">
      <c r="A206" s="7" t="n">
        <v>2315</v>
      </c>
      <c r="B206" s="7" t="n">
        <f aca="false">COUNTIF(EV_Chargers!$D:$D,A206)</f>
        <v>7</v>
      </c>
      <c r="C206" s="7" t="n">
        <f aca="false">SUMIF(EV_Chargers!$D:$D,A206,EV_Chargers!$I:$I)</f>
        <v>12</v>
      </c>
      <c r="D206" s="7" t="n">
        <f aca="false">COUNTIF(Transport_Stops!$E:$E,A206)</f>
        <v>0</v>
      </c>
      <c r="E206" s="7" t="n">
        <f aca="false">COUNTIF(Sports_Facilities!$C:$C,A206)</f>
        <v>0</v>
      </c>
      <c r="F206" s="7" t="n">
        <f aca="false">COUNTIF(Taxi_Ranks!$B:$B,A206)</f>
        <v>0</v>
      </c>
      <c r="G206" s="7" t="n">
        <f aca="false">B206+D206+E206+F206</f>
        <v>7</v>
      </c>
      <c r="H206" s="7" t="n">
        <f aca="false">(B206&gt;0)+(D206&gt;0)+(E206&gt;0)+(F206&gt;0)</f>
        <v>1</v>
      </c>
    </row>
    <row r="207" customFormat="false" ht="15" hidden="false" customHeight="false" outlineLevel="0" collapsed="false">
      <c r="A207" s="7" t="n">
        <v>2316</v>
      </c>
      <c r="B207" s="7" t="n">
        <f aca="false">COUNTIF(EV_Chargers!$D:$D,A207)</f>
        <v>3</v>
      </c>
      <c r="C207" s="7" t="n">
        <f aca="false">SUMIF(EV_Chargers!$D:$D,A207,EV_Chargers!$I:$I)</f>
        <v>9</v>
      </c>
      <c r="D207" s="7" t="n">
        <f aca="false">COUNTIF(Transport_Stops!$E:$E,A207)</f>
        <v>0</v>
      </c>
      <c r="E207" s="7" t="n">
        <f aca="false">COUNTIF(Sports_Facilities!$C:$C,A207)</f>
        <v>0</v>
      </c>
      <c r="F207" s="7" t="n">
        <f aca="false">COUNTIF(Taxi_Ranks!$B:$B,A207)</f>
        <v>0</v>
      </c>
      <c r="G207" s="7" t="n">
        <f aca="false">B207+D207+E207+F207</f>
        <v>3</v>
      </c>
      <c r="H207" s="7" t="n">
        <f aca="false">(B207&gt;0)+(D207&gt;0)+(E207&gt;0)+(F207&gt;0)</f>
        <v>1</v>
      </c>
    </row>
    <row r="208" customFormat="false" ht="15" hidden="false" customHeight="false" outlineLevel="0" collapsed="false">
      <c r="A208" s="7" t="n">
        <v>2317</v>
      </c>
      <c r="B208" s="7" t="n">
        <f aca="false">COUNTIF(EV_Chargers!$D:$D,A208)</f>
        <v>4</v>
      </c>
      <c r="C208" s="7" t="n">
        <f aca="false">SUMIF(EV_Chargers!$D:$D,A208,EV_Chargers!$I:$I)</f>
        <v>11</v>
      </c>
      <c r="D208" s="7" t="n">
        <f aca="false">COUNTIF(Transport_Stops!$E:$E,A208)</f>
        <v>0</v>
      </c>
      <c r="E208" s="7" t="n">
        <f aca="false">COUNTIF(Sports_Facilities!$C:$C,A208)</f>
        <v>0</v>
      </c>
      <c r="F208" s="7" t="n">
        <f aca="false">COUNTIF(Taxi_Ranks!$B:$B,A208)</f>
        <v>0</v>
      </c>
      <c r="G208" s="7" t="n">
        <f aca="false">B208+D208+E208+F208</f>
        <v>4</v>
      </c>
      <c r="H208" s="7" t="n">
        <f aca="false">(B208&gt;0)+(D208&gt;0)+(E208&gt;0)+(F208&gt;0)</f>
        <v>1</v>
      </c>
    </row>
    <row r="209" customFormat="false" ht="15" hidden="false" customHeight="false" outlineLevel="0" collapsed="false">
      <c r="A209" s="7" t="n">
        <v>2318</v>
      </c>
      <c r="B209" s="7" t="n">
        <f aca="false">COUNTIF(EV_Chargers!$D:$D,A209)</f>
        <v>2</v>
      </c>
      <c r="C209" s="7" t="n">
        <f aca="false">SUMIF(EV_Chargers!$D:$D,A209,EV_Chargers!$I:$I)</f>
        <v>8</v>
      </c>
      <c r="D209" s="7" t="n">
        <f aca="false">COUNTIF(Transport_Stops!$E:$E,A209)</f>
        <v>0</v>
      </c>
      <c r="E209" s="7" t="n">
        <f aca="false">COUNTIF(Sports_Facilities!$C:$C,A209)</f>
        <v>0</v>
      </c>
      <c r="F209" s="7" t="n">
        <f aca="false">COUNTIF(Taxi_Ranks!$B:$B,A209)</f>
        <v>0</v>
      </c>
      <c r="G209" s="7" t="n">
        <f aca="false">B209+D209+E209+F209</f>
        <v>2</v>
      </c>
      <c r="H209" s="7" t="n">
        <f aca="false">(B209&gt;0)+(D209&gt;0)+(E209&gt;0)+(F209&gt;0)</f>
        <v>1</v>
      </c>
    </row>
    <row r="210" customFormat="false" ht="15" hidden="false" customHeight="false" outlineLevel="0" collapsed="false">
      <c r="A210" s="7" t="n">
        <v>2319</v>
      </c>
      <c r="B210" s="7" t="n">
        <f aca="false">COUNTIF(EV_Chargers!$D:$D,A210)</f>
        <v>3</v>
      </c>
      <c r="C210" s="7" t="n">
        <f aca="false">SUMIF(EV_Chargers!$D:$D,A210,EV_Chargers!$I:$I)</f>
        <v>10</v>
      </c>
      <c r="D210" s="7" t="n">
        <f aca="false">COUNTIF(Transport_Stops!$E:$E,A210)</f>
        <v>0</v>
      </c>
      <c r="E210" s="7" t="n">
        <f aca="false">COUNTIF(Sports_Facilities!$C:$C,A210)</f>
        <v>0</v>
      </c>
      <c r="F210" s="7" t="n">
        <f aca="false">COUNTIF(Taxi_Ranks!$B:$B,A210)</f>
        <v>0</v>
      </c>
      <c r="G210" s="7" t="n">
        <f aca="false">B210+D210+E210+F210</f>
        <v>3</v>
      </c>
      <c r="H210" s="7" t="n">
        <f aca="false">(B210&gt;0)+(D210&gt;0)+(E210&gt;0)+(F210&gt;0)</f>
        <v>1</v>
      </c>
    </row>
    <row r="211" customFormat="false" ht="15" hidden="false" customHeight="false" outlineLevel="0" collapsed="false">
      <c r="A211" s="7" t="n">
        <v>2320</v>
      </c>
      <c r="B211" s="7" t="n">
        <f aca="false">COUNTIF(EV_Chargers!$D:$D,A211)</f>
        <v>46</v>
      </c>
      <c r="C211" s="7" t="n">
        <f aca="false">SUMIF(EV_Chargers!$D:$D,A211,EV_Chargers!$I:$I)</f>
        <v>107</v>
      </c>
      <c r="D211" s="7" t="n">
        <f aca="false">COUNTIF(Transport_Stops!$E:$E,A211)</f>
        <v>4</v>
      </c>
      <c r="E211" s="7" t="n">
        <f aca="false">COUNTIF(Sports_Facilities!$C:$C,A211)</f>
        <v>0</v>
      </c>
      <c r="F211" s="7" t="n">
        <f aca="false">COUNTIF(Taxi_Ranks!$B:$B,A211)</f>
        <v>0</v>
      </c>
      <c r="G211" s="7" t="n">
        <f aca="false">B211+D211+E211+F211</f>
        <v>50</v>
      </c>
      <c r="H211" s="7" t="n">
        <f aca="false">(B211&gt;0)+(D211&gt;0)+(E211&gt;0)+(F211&gt;0)</f>
        <v>2</v>
      </c>
    </row>
    <row r="212" customFormat="false" ht="15" hidden="false" customHeight="false" outlineLevel="0" collapsed="false">
      <c r="A212" s="7" t="n">
        <v>2321</v>
      </c>
      <c r="B212" s="7" t="n">
        <f aca="false">COUNTIF(EV_Chargers!$D:$D,A212)</f>
        <v>1</v>
      </c>
      <c r="C212" s="7" t="n">
        <f aca="false">SUMIF(EV_Chargers!$D:$D,A212,EV_Chargers!$I:$I)</f>
        <v>2</v>
      </c>
      <c r="D212" s="7" t="n">
        <f aca="false">COUNTIF(Transport_Stops!$E:$E,A212)</f>
        <v>1</v>
      </c>
      <c r="E212" s="7" t="n">
        <f aca="false">COUNTIF(Sports_Facilities!$C:$C,A212)</f>
        <v>0</v>
      </c>
      <c r="F212" s="7" t="n">
        <f aca="false">COUNTIF(Taxi_Ranks!$B:$B,A212)</f>
        <v>0</v>
      </c>
      <c r="G212" s="7" t="n">
        <f aca="false">B212+D212+E212+F212</f>
        <v>2</v>
      </c>
      <c r="H212" s="7" t="n">
        <f aca="false">(B212&gt;0)+(D212&gt;0)+(E212&gt;0)+(F212&gt;0)</f>
        <v>2</v>
      </c>
    </row>
    <row r="213" customFormat="false" ht="15" hidden="false" customHeight="false" outlineLevel="0" collapsed="false">
      <c r="A213" s="7" t="n">
        <v>2322</v>
      </c>
      <c r="B213" s="7" t="n">
        <f aca="false">COUNTIF(EV_Chargers!$D:$D,A213)</f>
        <v>8</v>
      </c>
      <c r="C213" s="7" t="n">
        <f aca="false">SUMIF(EV_Chargers!$D:$D,A213,EV_Chargers!$I:$I)</f>
        <v>23</v>
      </c>
      <c r="D213" s="7" t="n">
        <f aca="false">COUNTIF(Transport_Stops!$E:$E,A213)</f>
        <v>4</v>
      </c>
      <c r="E213" s="7" t="n">
        <f aca="false">COUNTIF(Sports_Facilities!$C:$C,A213)</f>
        <v>0</v>
      </c>
      <c r="F213" s="7" t="n">
        <f aca="false">COUNTIF(Taxi_Ranks!$B:$B,A213)</f>
        <v>0</v>
      </c>
      <c r="G213" s="7" t="n">
        <f aca="false">B213+D213+E213+F213</f>
        <v>12</v>
      </c>
      <c r="H213" s="7" t="n">
        <f aca="false">(B213&gt;0)+(D213&gt;0)+(E213&gt;0)+(F213&gt;0)</f>
        <v>2</v>
      </c>
    </row>
    <row r="214" customFormat="false" ht="15" hidden="false" customHeight="false" outlineLevel="0" collapsed="false">
      <c r="A214" s="7" t="n">
        <v>2323</v>
      </c>
      <c r="B214" s="7" t="n">
        <f aca="false">COUNTIF(EV_Chargers!$D:$D,A214)</f>
        <v>5</v>
      </c>
      <c r="C214" s="7" t="n">
        <f aca="false">SUMIF(EV_Chargers!$D:$D,A214,EV_Chargers!$I:$I)</f>
        <v>24</v>
      </c>
      <c r="D214" s="7" t="n">
        <f aca="false">COUNTIF(Transport_Stops!$E:$E,A214)</f>
        <v>3</v>
      </c>
      <c r="E214" s="7" t="n">
        <f aca="false">COUNTIF(Sports_Facilities!$C:$C,A214)</f>
        <v>0</v>
      </c>
      <c r="F214" s="7" t="n">
        <f aca="false">COUNTIF(Taxi_Ranks!$B:$B,A214)</f>
        <v>0</v>
      </c>
      <c r="G214" s="7" t="n">
        <f aca="false">B214+D214+E214+F214</f>
        <v>8</v>
      </c>
      <c r="H214" s="7" t="n">
        <f aca="false">(B214&gt;0)+(D214&gt;0)+(E214&gt;0)+(F214&gt;0)</f>
        <v>2</v>
      </c>
    </row>
    <row r="215" customFormat="false" ht="15" hidden="false" customHeight="false" outlineLevel="0" collapsed="false">
      <c r="A215" s="7" t="n">
        <v>2324</v>
      </c>
      <c r="B215" s="7" t="n">
        <f aca="false">COUNTIF(EV_Chargers!$D:$D,A215)</f>
        <v>7</v>
      </c>
      <c r="C215" s="7" t="n">
        <f aca="false">SUMIF(EV_Chargers!$D:$D,A215,EV_Chargers!$I:$I)</f>
        <v>48</v>
      </c>
      <c r="D215" s="7" t="n">
        <f aca="false">COUNTIF(Transport_Stops!$E:$E,A215)</f>
        <v>2</v>
      </c>
      <c r="E215" s="7" t="n">
        <f aca="false">COUNTIF(Sports_Facilities!$C:$C,A215)</f>
        <v>0</v>
      </c>
      <c r="F215" s="7" t="n">
        <f aca="false">COUNTIF(Taxi_Ranks!$B:$B,A215)</f>
        <v>0</v>
      </c>
      <c r="G215" s="7" t="n">
        <f aca="false">B215+D215+E215+F215</f>
        <v>9</v>
      </c>
      <c r="H215" s="7" t="n">
        <f aca="false">(B215&gt;0)+(D215&gt;0)+(E215&gt;0)+(F215&gt;0)</f>
        <v>2</v>
      </c>
    </row>
    <row r="216" customFormat="false" ht="15" hidden="false" customHeight="false" outlineLevel="0" collapsed="false">
      <c r="A216" s="7" t="n">
        <v>2325</v>
      </c>
      <c r="B216" s="7" t="n">
        <f aca="false">COUNTIF(EV_Chargers!$D:$D,A216)</f>
        <v>16</v>
      </c>
      <c r="C216" s="7" t="n">
        <f aca="false">SUMIF(EV_Chargers!$D:$D,A216,EV_Chargers!$I:$I)</f>
        <v>38</v>
      </c>
      <c r="D216" s="7" t="n">
        <f aca="false">COUNTIF(Transport_Stops!$E:$E,A216)</f>
        <v>0</v>
      </c>
      <c r="E216" s="7" t="n">
        <f aca="false">COUNTIF(Sports_Facilities!$C:$C,A216)</f>
        <v>0</v>
      </c>
      <c r="F216" s="7" t="n">
        <f aca="false">COUNTIF(Taxi_Ranks!$B:$B,A216)</f>
        <v>0</v>
      </c>
      <c r="G216" s="7" t="n">
        <f aca="false">B216+D216+E216+F216</f>
        <v>16</v>
      </c>
      <c r="H216" s="7" t="n">
        <f aca="false">(B216&gt;0)+(D216&gt;0)+(E216&gt;0)+(F216&gt;0)</f>
        <v>1</v>
      </c>
    </row>
    <row r="217" customFormat="false" ht="15" hidden="false" customHeight="false" outlineLevel="0" collapsed="false">
      <c r="A217" s="7" t="n">
        <v>2328</v>
      </c>
      <c r="B217" s="7" t="n">
        <f aca="false">COUNTIF(EV_Chargers!$D:$D,A217)</f>
        <v>3</v>
      </c>
      <c r="C217" s="7" t="n">
        <f aca="false">SUMIF(EV_Chargers!$D:$D,A217,EV_Chargers!$I:$I)</f>
        <v>7</v>
      </c>
      <c r="D217" s="7" t="n">
        <f aca="false">COUNTIF(Transport_Stops!$E:$E,A217)</f>
        <v>0</v>
      </c>
      <c r="E217" s="7" t="n">
        <f aca="false">COUNTIF(Sports_Facilities!$C:$C,A217)</f>
        <v>0</v>
      </c>
      <c r="F217" s="7" t="n">
        <f aca="false">COUNTIF(Taxi_Ranks!$B:$B,A217)</f>
        <v>0</v>
      </c>
      <c r="G217" s="7" t="n">
        <f aca="false">B217+D217+E217+F217</f>
        <v>3</v>
      </c>
      <c r="H217" s="7" t="n">
        <f aca="false">(B217&gt;0)+(D217&gt;0)+(E217&gt;0)+(F217&gt;0)</f>
        <v>1</v>
      </c>
    </row>
    <row r="218" customFormat="false" ht="15" hidden="false" customHeight="false" outlineLevel="0" collapsed="false">
      <c r="A218" s="7" t="n">
        <v>2330</v>
      </c>
      <c r="B218" s="7" t="n">
        <f aca="false">COUNTIF(EV_Chargers!$D:$D,A218)</f>
        <v>13</v>
      </c>
      <c r="C218" s="7" t="n">
        <f aca="false">SUMIF(EV_Chargers!$D:$D,A218,EV_Chargers!$I:$I)</f>
        <v>43</v>
      </c>
      <c r="D218" s="7" t="n">
        <f aca="false">COUNTIF(Transport_Stops!$E:$E,A218)</f>
        <v>1</v>
      </c>
      <c r="E218" s="7" t="n">
        <f aca="false">COUNTIF(Sports_Facilities!$C:$C,A218)</f>
        <v>0</v>
      </c>
      <c r="F218" s="7" t="n">
        <f aca="false">COUNTIF(Taxi_Ranks!$B:$B,A218)</f>
        <v>0</v>
      </c>
      <c r="G218" s="7" t="n">
        <f aca="false">B218+D218+E218+F218</f>
        <v>14</v>
      </c>
      <c r="H218" s="7" t="n">
        <f aca="false">(B218&gt;0)+(D218&gt;0)+(E218&gt;0)+(F218&gt;0)</f>
        <v>2</v>
      </c>
    </row>
    <row r="219" customFormat="false" ht="15" hidden="false" customHeight="false" outlineLevel="0" collapsed="false">
      <c r="A219" s="7" t="n">
        <v>2333</v>
      </c>
      <c r="B219" s="7" t="n">
        <f aca="false">COUNTIF(EV_Chargers!$D:$D,A219)</f>
        <v>6</v>
      </c>
      <c r="C219" s="7" t="n">
        <f aca="false">SUMIF(EV_Chargers!$D:$D,A219,EV_Chargers!$I:$I)</f>
        <v>12</v>
      </c>
      <c r="D219" s="7" t="n">
        <f aca="false">COUNTIF(Transport_Stops!$E:$E,A219)</f>
        <v>1</v>
      </c>
      <c r="E219" s="7" t="n">
        <f aca="false">COUNTIF(Sports_Facilities!$C:$C,A219)</f>
        <v>0</v>
      </c>
      <c r="F219" s="7" t="n">
        <f aca="false">COUNTIF(Taxi_Ranks!$B:$B,A219)</f>
        <v>0</v>
      </c>
      <c r="G219" s="7" t="n">
        <f aca="false">B219+D219+E219+F219</f>
        <v>7</v>
      </c>
      <c r="H219" s="7" t="n">
        <f aca="false">(B219&gt;0)+(D219&gt;0)+(E219&gt;0)+(F219&gt;0)</f>
        <v>2</v>
      </c>
    </row>
    <row r="220" customFormat="false" ht="15" hidden="false" customHeight="false" outlineLevel="0" collapsed="false">
      <c r="A220" s="7" t="n">
        <v>2334</v>
      </c>
      <c r="B220" s="7" t="n">
        <f aca="false">COUNTIF(EV_Chargers!$D:$D,A220)</f>
        <v>0</v>
      </c>
      <c r="C220" s="7" t="n">
        <f aca="false">SUMIF(EV_Chargers!$D:$D,A220,EV_Chargers!$I:$I)</f>
        <v>0</v>
      </c>
      <c r="D220" s="7" t="n">
        <f aca="false">COUNTIF(Transport_Stops!$E:$E,A220)</f>
        <v>1</v>
      </c>
      <c r="E220" s="7" t="n">
        <f aca="false">COUNTIF(Sports_Facilities!$C:$C,A220)</f>
        <v>0</v>
      </c>
      <c r="F220" s="7" t="n">
        <f aca="false">COUNTIF(Taxi_Ranks!$B:$B,A220)</f>
        <v>0</v>
      </c>
      <c r="G220" s="7" t="n">
        <f aca="false">B220+D220+E220+F220</f>
        <v>1</v>
      </c>
      <c r="H220" s="7" t="n">
        <f aca="false">(B220&gt;0)+(D220&gt;0)+(E220&gt;0)+(F220&gt;0)</f>
        <v>1</v>
      </c>
    </row>
    <row r="221" customFormat="false" ht="15" hidden="false" customHeight="false" outlineLevel="0" collapsed="false">
      <c r="A221" s="7" t="n">
        <v>2335</v>
      </c>
      <c r="B221" s="7" t="n">
        <f aca="false">COUNTIF(EV_Chargers!$D:$D,A221)</f>
        <v>1</v>
      </c>
      <c r="C221" s="7" t="n">
        <f aca="false">SUMIF(EV_Chargers!$D:$D,A221,EV_Chargers!$I:$I)</f>
        <v>2</v>
      </c>
      <c r="D221" s="7" t="n">
        <f aca="false">COUNTIF(Transport_Stops!$E:$E,A221)</f>
        <v>1</v>
      </c>
      <c r="E221" s="7" t="n">
        <f aca="false">COUNTIF(Sports_Facilities!$C:$C,A221)</f>
        <v>0</v>
      </c>
      <c r="F221" s="7" t="n">
        <f aca="false">COUNTIF(Taxi_Ranks!$B:$B,A221)</f>
        <v>0</v>
      </c>
      <c r="G221" s="7" t="n">
        <f aca="false">B221+D221+E221+F221</f>
        <v>2</v>
      </c>
      <c r="H221" s="7" t="n">
        <f aca="false">(B221&gt;0)+(D221&gt;0)+(E221&gt;0)+(F221&gt;0)</f>
        <v>2</v>
      </c>
    </row>
    <row r="222" customFormat="false" ht="15" hidden="false" customHeight="false" outlineLevel="0" collapsed="false">
      <c r="A222" s="7" t="n">
        <v>2336</v>
      </c>
      <c r="B222" s="7" t="n">
        <f aca="false">COUNTIF(EV_Chargers!$D:$D,A222)</f>
        <v>0</v>
      </c>
      <c r="C222" s="7" t="n">
        <f aca="false">SUMIF(EV_Chargers!$D:$D,A222,EV_Chargers!$I:$I)</f>
        <v>0</v>
      </c>
      <c r="D222" s="7" t="n">
        <f aca="false">COUNTIF(Transport_Stops!$E:$E,A222)</f>
        <v>1</v>
      </c>
      <c r="E222" s="7" t="n">
        <f aca="false">COUNTIF(Sports_Facilities!$C:$C,A222)</f>
        <v>0</v>
      </c>
      <c r="F222" s="7" t="n">
        <f aca="false">COUNTIF(Taxi_Ranks!$B:$B,A222)</f>
        <v>0</v>
      </c>
      <c r="G222" s="7" t="n">
        <f aca="false">B222+D222+E222+F222</f>
        <v>1</v>
      </c>
      <c r="H222" s="7" t="n">
        <f aca="false">(B222&gt;0)+(D222&gt;0)+(E222&gt;0)+(F222&gt;0)</f>
        <v>1</v>
      </c>
    </row>
    <row r="223" customFormat="false" ht="15" hidden="false" customHeight="false" outlineLevel="0" collapsed="false">
      <c r="A223" s="7" t="n">
        <v>2337</v>
      </c>
      <c r="B223" s="7" t="n">
        <f aca="false">COUNTIF(EV_Chargers!$D:$D,A223)</f>
        <v>4</v>
      </c>
      <c r="C223" s="7" t="n">
        <f aca="false">SUMIF(EV_Chargers!$D:$D,A223,EV_Chargers!$I:$I)</f>
        <v>9</v>
      </c>
      <c r="D223" s="7" t="n">
        <f aca="false">COUNTIF(Transport_Stops!$E:$E,A223)</f>
        <v>1</v>
      </c>
      <c r="E223" s="7" t="n">
        <f aca="false">COUNTIF(Sports_Facilities!$C:$C,A223)</f>
        <v>0</v>
      </c>
      <c r="F223" s="7" t="n">
        <f aca="false">COUNTIF(Taxi_Ranks!$B:$B,A223)</f>
        <v>0</v>
      </c>
      <c r="G223" s="7" t="n">
        <f aca="false">B223+D223+E223+F223</f>
        <v>5</v>
      </c>
      <c r="H223" s="7" t="n">
        <f aca="false">(B223&gt;0)+(D223&gt;0)+(E223&gt;0)+(F223&gt;0)</f>
        <v>2</v>
      </c>
    </row>
    <row r="224" customFormat="false" ht="15" hidden="false" customHeight="false" outlineLevel="0" collapsed="false">
      <c r="A224" s="7" t="n">
        <v>2338</v>
      </c>
      <c r="B224" s="7" t="n">
        <f aca="false">COUNTIF(EV_Chargers!$D:$D,A224)</f>
        <v>0</v>
      </c>
      <c r="C224" s="7" t="n">
        <f aca="false">SUMIF(EV_Chargers!$D:$D,A224,EV_Chargers!$I:$I)</f>
        <v>0</v>
      </c>
      <c r="D224" s="7" t="n">
        <f aca="false">COUNTIF(Transport_Stops!$E:$E,A224)</f>
        <v>2</v>
      </c>
      <c r="E224" s="7" t="n">
        <f aca="false">COUNTIF(Sports_Facilities!$C:$C,A224)</f>
        <v>0</v>
      </c>
      <c r="F224" s="7" t="n">
        <f aca="false">COUNTIF(Taxi_Ranks!$B:$B,A224)</f>
        <v>0</v>
      </c>
      <c r="G224" s="7" t="n">
        <f aca="false">B224+D224+E224+F224</f>
        <v>2</v>
      </c>
      <c r="H224" s="7" t="n">
        <f aca="false">(B224&gt;0)+(D224&gt;0)+(E224&gt;0)+(F224&gt;0)</f>
        <v>1</v>
      </c>
    </row>
    <row r="225" customFormat="false" ht="15" hidden="false" customHeight="false" outlineLevel="0" collapsed="false">
      <c r="A225" s="7" t="n">
        <v>2339</v>
      </c>
      <c r="B225" s="7" t="n">
        <f aca="false">COUNTIF(EV_Chargers!$D:$D,A225)</f>
        <v>2</v>
      </c>
      <c r="C225" s="7" t="n">
        <f aca="false">SUMIF(EV_Chargers!$D:$D,A225,EV_Chargers!$I:$I)</f>
        <v>8</v>
      </c>
      <c r="D225" s="7" t="n">
        <f aca="false">COUNTIF(Transport_Stops!$E:$E,A225)</f>
        <v>2</v>
      </c>
      <c r="E225" s="7" t="n">
        <f aca="false">COUNTIF(Sports_Facilities!$C:$C,A225)</f>
        <v>0</v>
      </c>
      <c r="F225" s="7" t="n">
        <f aca="false">COUNTIF(Taxi_Ranks!$B:$B,A225)</f>
        <v>0</v>
      </c>
      <c r="G225" s="7" t="n">
        <f aca="false">B225+D225+E225+F225</f>
        <v>4</v>
      </c>
      <c r="H225" s="7" t="n">
        <f aca="false">(B225&gt;0)+(D225&gt;0)+(E225&gt;0)+(F225&gt;0)</f>
        <v>2</v>
      </c>
    </row>
    <row r="226" customFormat="false" ht="15" hidden="false" customHeight="false" outlineLevel="0" collapsed="false">
      <c r="A226" s="7" t="n">
        <v>2340</v>
      </c>
      <c r="B226" s="7" t="n">
        <f aca="false">COUNTIF(EV_Chargers!$D:$D,A226)</f>
        <v>13</v>
      </c>
      <c r="C226" s="7" t="n">
        <f aca="false">SUMIF(EV_Chargers!$D:$D,A226,EV_Chargers!$I:$I)</f>
        <v>39</v>
      </c>
      <c r="D226" s="7" t="n">
        <f aca="false">COUNTIF(Transport_Stops!$E:$E,A226)</f>
        <v>3</v>
      </c>
      <c r="E226" s="7" t="n">
        <f aca="false">COUNTIF(Sports_Facilities!$C:$C,A226)</f>
        <v>0</v>
      </c>
      <c r="F226" s="7" t="n">
        <f aca="false">COUNTIF(Taxi_Ranks!$B:$B,A226)</f>
        <v>0</v>
      </c>
      <c r="G226" s="7" t="n">
        <f aca="false">B226+D226+E226+F226</f>
        <v>16</v>
      </c>
      <c r="H226" s="7" t="n">
        <f aca="false">(B226&gt;0)+(D226&gt;0)+(E226&gt;0)+(F226&gt;0)</f>
        <v>2</v>
      </c>
    </row>
    <row r="227" customFormat="false" ht="15" hidden="false" customHeight="false" outlineLevel="0" collapsed="false">
      <c r="A227" s="7" t="n">
        <v>2341</v>
      </c>
      <c r="B227" s="7" t="n">
        <f aca="false">COUNTIF(EV_Chargers!$D:$D,A227)</f>
        <v>0</v>
      </c>
      <c r="C227" s="7" t="n">
        <f aca="false">SUMIF(EV_Chargers!$D:$D,A227,EV_Chargers!$I:$I)</f>
        <v>0</v>
      </c>
      <c r="D227" s="7" t="n">
        <f aca="false">COUNTIF(Transport_Stops!$E:$E,A227)</f>
        <v>2</v>
      </c>
      <c r="E227" s="7" t="n">
        <f aca="false">COUNTIF(Sports_Facilities!$C:$C,A227)</f>
        <v>0</v>
      </c>
      <c r="F227" s="7" t="n">
        <f aca="false">COUNTIF(Taxi_Ranks!$B:$B,A227)</f>
        <v>0</v>
      </c>
      <c r="G227" s="7" t="n">
        <f aca="false">B227+D227+E227+F227</f>
        <v>2</v>
      </c>
      <c r="H227" s="7" t="n">
        <f aca="false">(B227&gt;0)+(D227&gt;0)+(E227&gt;0)+(F227&gt;0)</f>
        <v>1</v>
      </c>
    </row>
    <row r="228" customFormat="false" ht="15" hidden="false" customHeight="false" outlineLevel="0" collapsed="false">
      <c r="A228" s="7" t="n">
        <v>2342</v>
      </c>
      <c r="B228" s="7" t="n">
        <f aca="false">COUNTIF(EV_Chargers!$D:$D,A228)</f>
        <v>2</v>
      </c>
      <c r="C228" s="7" t="n">
        <f aca="false">SUMIF(EV_Chargers!$D:$D,A228,EV_Chargers!$I:$I)</f>
        <v>4</v>
      </c>
      <c r="D228" s="7" t="n">
        <f aca="false">COUNTIF(Transport_Stops!$E:$E,A228)</f>
        <v>0</v>
      </c>
      <c r="E228" s="7" t="n">
        <f aca="false">COUNTIF(Sports_Facilities!$C:$C,A228)</f>
        <v>0</v>
      </c>
      <c r="F228" s="7" t="n">
        <f aca="false">COUNTIF(Taxi_Ranks!$B:$B,A228)</f>
        <v>0</v>
      </c>
      <c r="G228" s="7" t="n">
        <f aca="false">B228+D228+E228+F228</f>
        <v>2</v>
      </c>
      <c r="H228" s="7" t="n">
        <f aca="false">(B228&gt;0)+(D228&gt;0)+(E228&gt;0)+(F228&gt;0)</f>
        <v>1</v>
      </c>
    </row>
    <row r="229" customFormat="false" ht="15" hidden="false" customHeight="false" outlineLevel="0" collapsed="false">
      <c r="A229" s="7" t="n">
        <v>2343</v>
      </c>
      <c r="B229" s="7" t="n">
        <f aca="false">COUNTIF(EV_Chargers!$D:$D,A229)</f>
        <v>2</v>
      </c>
      <c r="C229" s="7" t="n">
        <f aca="false">SUMIF(EV_Chargers!$D:$D,A229,EV_Chargers!$I:$I)</f>
        <v>4</v>
      </c>
      <c r="D229" s="7" t="n">
        <f aca="false">COUNTIF(Transport_Stops!$E:$E,A229)</f>
        <v>1</v>
      </c>
      <c r="E229" s="7" t="n">
        <f aca="false">COUNTIF(Sports_Facilities!$C:$C,A229)</f>
        <v>0</v>
      </c>
      <c r="F229" s="7" t="n">
        <f aca="false">COUNTIF(Taxi_Ranks!$B:$B,A229)</f>
        <v>0</v>
      </c>
      <c r="G229" s="7" t="n">
        <f aca="false">B229+D229+E229+F229</f>
        <v>3</v>
      </c>
      <c r="H229" s="7" t="n">
        <f aca="false">(B229&gt;0)+(D229&gt;0)+(E229&gt;0)+(F229&gt;0)</f>
        <v>2</v>
      </c>
    </row>
    <row r="230" customFormat="false" ht="15" hidden="false" customHeight="false" outlineLevel="0" collapsed="false">
      <c r="A230" s="7" t="n">
        <v>2345</v>
      </c>
      <c r="B230" s="7" t="n">
        <f aca="false">COUNTIF(EV_Chargers!$D:$D,A230)</f>
        <v>0</v>
      </c>
      <c r="C230" s="7" t="n">
        <f aca="false">SUMIF(EV_Chargers!$D:$D,A230,EV_Chargers!$I:$I)</f>
        <v>0</v>
      </c>
      <c r="D230" s="7" t="n">
        <f aca="false">COUNTIF(Transport_Stops!$E:$E,A230)</f>
        <v>1</v>
      </c>
      <c r="E230" s="7" t="n">
        <f aca="false">COUNTIF(Sports_Facilities!$C:$C,A230)</f>
        <v>0</v>
      </c>
      <c r="F230" s="7" t="n">
        <f aca="false">COUNTIF(Taxi_Ranks!$B:$B,A230)</f>
        <v>0</v>
      </c>
      <c r="G230" s="7" t="n">
        <f aca="false">B230+D230+E230+F230</f>
        <v>1</v>
      </c>
      <c r="H230" s="7" t="n">
        <f aca="false">(B230&gt;0)+(D230&gt;0)+(E230&gt;0)+(F230&gt;0)</f>
        <v>1</v>
      </c>
    </row>
    <row r="231" customFormat="false" ht="15" hidden="false" customHeight="false" outlineLevel="0" collapsed="false">
      <c r="A231" s="7" t="n">
        <v>2346</v>
      </c>
      <c r="B231" s="7" t="n">
        <f aca="false">COUNTIF(EV_Chargers!$D:$D,A231)</f>
        <v>0</v>
      </c>
      <c r="C231" s="7" t="n">
        <f aca="false">SUMIF(EV_Chargers!$D:$D,A231,EV_Chargers!$I:$I)</f>
        <v>0</v>
      </c>
      <c r="D231" s="7" t="n">
        <f aca="false">COUNTIF(Transport_Stops!$E:$E,A231)</f>
        <v>2</v>
      </c>
      <c r="E231" s="7" t="n">
        <f aca="false">COUNTIF(Sports_Facilities!$C:$C,A231)</f>
        <v>0</v>
      </c>
      <c r="F231" s="7" t="n">
        <f aca="false">COUNTIF(Taxi_Ranks!$B:$B,A231)</f>
        <v>0</v>
      </c>
      <c r="G231" s="7" t="n">
        <f aca="false">B231+D231+E231+F231</f>
        <v>2</v>
      </c>
      <c r="H231" s="7" t="n">
        <f aca="false">(B231&gt;0)+(D231&gt;0)+(E231&gt;0)+(F231&gt;0)</f>
        <v>1</v>
      </c>
    </row>
    <row r="232" customFormat="false" ht="15" hidden="false" customHeight="false" outlineLevel="0" collapsed="false">
      <c r="A232" s="7" t="n">
        <v>2347</v>
      </c>
      <c r="B232" s="7" t="n">
        <f aca="false">COUNTIF(EV_Chargers!$D:$D,A232)</f>
        <v>0</v>
      </c>
      <c r="C232" s="7" t="n">
        <f aca="false">SUMIF(EV_Chargers!$D:$D,A232,EV_Chargers!$I:$I)</f>
        <v>0</v>
      </c>
      <c r="D232" s="7" t="n">
        <f aca="false">COUNTIF(Transport_Stops!$E:$E,A232)</f>
        <v>2</v>
      </c>
      <c r="E232" s="7" t="n">
        <f aca="false">COUNTIF(Sports_Facilities!$C:$C,A232)</f>
        <v>0</v>
      </c>
      <c r="F232" s="7" t="n">
        <f aca="false">COUNTIF(Taxi_Ranks!$B:$B,A232)</f>
        <v>0</v>
      </c>
      <c r="G232" s="7" t="n">
        <f aca="false">B232+D232+E232+F232</f>
        <v>2</v>
      </c>
      <c r="H232" s="7" t="n">
        <f aca="false">(B232&gt;0)+(D232&gt;0)+(E232&gt;0)+(F232&gt;0)</f>
        <v>1</v>
      </c>
    </row>
    <row r="233" customFormat="false" ht="15" hidden="false" customHeight="false" outlineLevel="0" collapsed="false">
      <c r="A233" s="7" t="n">
        <v>2350</v>
      </c>
      <c r="B233" s="7" t="n">
        <f aca="false">COUNTIF(EV_Chargers!$D:$D,A233)</f>
        <v>8</v>
      </c>
      <c r="C233" s="7" t="n">
        <f aca="false">SUMIF(EV_Chargers!$D:$D,A233,EV_Chargers!$I:$I)</f>
        <v>22</v>
      </c>
      <c r="D233" s="7" t="n">
        <f aca="false">COUNTIF(Transport_Stops!$E:$E,A233)</f>
        <v>2</v>
      </c>
      <c r="E233" s="7" t="n">
        <f aca="false">COUNTIF(Sports_Facilities!$C:$C,A233)</f>
        <v>0</v>
      </c>
      <c r="F233" s="7" t="n">
        <f aca="false">COUNTIF(Taxi_Ranks!$B:$B,A233)</f>
        <v>0</v>
      </c>
      <c r="G233" s="7" t="n">
        <f aca="false">B233+D233+E233+F233</f>
        <v>10</v>
      </c>
      <c r="H233" s="7" t="n">
        <f aca="false">(B233&gt;0)+(D233&gt;0)+(E233&gt;0)+(F233&gt;0)</f>
        <v>2</v>
      </c>
    </row>
    <row r="234" customFormat="false" ht="15" hidden="false" customHeight="false" outlineLevel="0" collapsed="false">
      <c r="A234" s="7" t="n">
        <v>2352</v>
      </c>
      <c r="B234" s="7" t="n">
        <f aca="false">COUNTIF(EV_Chargers!$D:$D,A234)</f>
        <v>0</v>
      </c>
      <c r="C234" s="7" t="n">
        <f aca="false">SUMIF(EV_Chargers!$D:$D,A234,EV_Chargers!$I:$I)</f>
        <v>0</v>
      </c>
      <c r="D234" s="7" t="n">
        <f aca="false">COUNTIF(Transport_Stops!$E:$E,A234)</f>
        <v>2</v>
      </c>
      <c r="E234" s="7" t="n">
        <f aca="false">COUNTIF(Sports_Facilities!$C:$C,A234)</f>
        <v>0</v>
      </c>
      <c r="F234" s="7" t="n">
        <f aca="false">COUNTIF(Taxi_Ranks!$B:$B,A234)</f>
        <v>0</v>
      </c>
      <c r="G234" s="7" t="n">
        <f aca="false">B234+D234+E234+F234</f>
        <v>2</v>
      </c>
      <c r="H234" s="7" t="n">
        <f aca="false">(B234&gt;0)+(D234&gt;0)+(E234&gt;0)+(F234&gt;0)</f>
        <v>1</v>
      </c>
    </row>
    <row r="235" customFormat="false" ht="15" hidden="false" customHeight="false" outlineLevel="0" collapsed="false">
      <c r="A235" s="7" t="n">
        <v>2353</v>
      </c>
      <c r="B235" s="7" t="n">
        <f aca="false">COUNTIF(EV_Chargers!$D:$D,A235)</f>
        <v>0</v>
      </c>
      <c r="C235" s="7" t="n">
        <f aca="false">SUMIF(EV_Chargers!$D:$D,A235,EV_Chargers!$I:$I)</f>
        <v>0</v>
      </c>
      <c r="D235" s="7" t="n">
        <f aca="false">COUNTIF(Transport_Stops!$E:$E,A235)</f>
        <v>1</v>
      </c>
      <c r="E235" s="7" t="n">
        <f aca="false">COUNTIF(Sports_Facilities!$C:$C,A235)</f>
        <v>0</v>
      </c>
      <c r="F235" s="7" t="n">
        <f aca="false">COUNTIF(Taxi_Ranks!$B:$B,A235)</f>
        <v>0</v>
      </c>
      <c r="G235" s="7" t="n">
        <f aca="false">B235+D235+E235+F235</f>
        <v>1</v>
      </c>
      <c r="H235" s="7" t="n">
        <f aca="false">(B235&gt;0)+(D235&gt;0)+(E235&gt;0)+(F235&gt;0)</f>
        <v>1</v>
      </c>
    </row>
    <row r="236" customFormat="false" ht="15" hidden="false" customHeight="false" outlineLevel="0" collapsed="false">
      <c r="A236" s="7" t="n">
        <v>2354</v>
      </c>
      <c r="B236" s="7" t="n">
        <f aca="false">COUNTIF(EV_Chargers!$D:$D,A236)</f>
        <v>2</v>
      </c>
      <c r="C236" s="7" t="n">
        <f aca="false">SUMIF(EV_Chargers!$D:$D,A236,EV_Chargers!$I:$I)</f>
        <v>5</v>
      </c>
      <c r="D236" s="7" t="n">
        <f aca="false">COUNTIF(Transport_Stops!$E:$E,A236)</f>
        <v>2</v>
      </c>
      <c r="E236" s="7" t="n">
        <f aca="false">COUNTIF(Sports_Facilities!$C:$C,A236)</f>
        <v>0</v>
      </c>
      <c r="F236" s="7" t="n">
        <f aca="false">COUNTIF(Taxi_Ranks!$B:$B,A236)</f>
        <v>0</v>
      </c>
      <c r="G236" s="7" t="n">
        <f aca="false">B236+D236+E236+F236</f>
        <v>4</v>
      </c>
      <c r="H236" s="7" t="n">
        <f aca="false">(B236&gt;0)+(D236&gt;0)+(E236&gt;0)+(F236&gt;0)</f>
        <v>2</v>
      </c>
    </row>
    <row r="237" customFormat="false" ht="15" hidden="false" customHeight="false" outlineLevel="0" collapsed="false">
      <c r="A237" s="7" t="n">
        <v>2355</v>
      </c>
      <c r="B237" s="7" t="n">
        <f aca="false">COUNTIF(EV_Chargers!$D:$D,A237)</f>
        <v>0</v>
      </c>
      <c r="C237" s="7" t="n">
        <f aca="false">SUMIF(EV_Chargers!$D:$D,A237,EV_Chargers!$I:$I)</f>
        <v>0</v>
      </c>
      <c r="D237" s="7" t="n">
        <f aca="false">COUNTIF(Transport_Stops!$E:$E,A237)</f>
        <v>1</v>
      </c>
      <c r="E237" s="7" t="n">
        <f aca="false">COUNTIF(Sports_Facilities!$C:$C,A237)</f>
        <v>0</v>
      </c>
      <c r="F237" s="7" t="n">
        <f aca="false">COUNTIF(Taxi_Ranks!$B:$B,A237)</f>
        <v>0</v>
      </c>
      <c r="G237" s="7" t="n">
        <f aca="false">B237+D237+E237+F237</f>
        <v>1</v>
      </c>
      <c r="H237" s="7" t="n">
        <f aca="false">(B237&gt;0)+(D237&gt;0)+(E237&gt;0)+(F237&gt;0)</f>
        <v>1</v>
      </c>
    </row>
    <row r="238" customFormat="false" ht="15" hidden="false" customHeight="false" outlineLevel="0" collapsed="false">
      <c r="A238" s="7" t="n">
        <v>2357</v>
      </c>
      <c r="B238" s="7" t="n">
        <f aca="false">COUNTIF(EV_Chargers!$D:$D,A238)</f>
        <v>3</v>
      </c>
      <c r="C238" s="7" t="n">
        <f aca="false">SUMIF(EV_Chargers!$D:$D,A238,EV_Chargers!$I:$I)</f>
        <v>4</v>
      </c>
      <c r="D238" s="7" t="n">
        <f aca="false">COUNTIF(Transport_Stops!$E:$E,A238)</f>
        <v>1</v>
      </c>
      <c r="E238" s="7" t="n">
        <f aca="false">COUNTIF(Sports_Facilities!$C:$C,A238)</f>
        <v>0</v>
      </c>
      <c r="F238" s="7" t="n">
        <f aca="false">COUNTIF(Taxi_Ranks!$B:$B,A238)</f>
        <v>0</v>
      </c>
      <c r="G238" s="7" t="n">
        <f aca="false">B238+D238+E238+F238</f>
        <v>4</v>
      </c>
      <c r="H238" s="7" t="n">
        <f aca="false">(B238&gt;0)+(D238&gt;0)+(E238&gt;0)+(F238&gt;0)</f>
        <v>2</v>
      </c>
    </row>
    <row r="239" customFormat="false" ht="15" hidden="false" customHeight="false" outlineLevel="0" collapsed="false">
      <c r="A239" s="7" t="n">
        <v>2358</v>
      </c>
      <c r="B239" s="7" t="n">
        <f aca="false">COUNTIF(EV_Chargers!$D:$D,A239)</f>
        <v>1</v>
      </c>
      <c r="C239" s="7" t="n">
        <f aca="false">SUMIF(EV_Chargers!$D:$D,A239,EV_Chargers!$I:$I)</f>
        <v>4</v>
      </c>
      <c r="D239" s="7" t="n">
        <f aca="false">COUNTIF(Transport_Stops!$E:$E,A239)</f>
        <v>3</v>
      </c>
      <c r="E239" s="7" t="n">
        <f aca="false">COUNTIF(Sports_Facilities!$C:$C,A239)</f>
        <v>0</v>
      </c>
      <c r="F239" s="7" t="n">
        <f aca="false">COUNTIF(Taxi_Ranks!$B:$B,A239)</f>
        <v>0</v>
      </c>
      <c r="G239" s="7" t="n">
        <f aca="false">B239+D239+E239+F239</f>
        <v>4</v>
      </c>
      <c r="H239" s="7" t="n">
        <f aca="false">(B239&gt;0)+(D239&gt;0)+(E239&gt;0)+(F239&gt;0)</f>
        <v>2</v>
      </c>
    </row>
    <row r="240" customFormat="false" ht="15" hidden="false" customHeight="false" outlineLevel="0" collapsed="false">
      <c r="A240" s="7" t="n">
        <v>2359</v>
      </c>
      <c r="B240" s="7" t="n">
        <f aca="false">COUNTIF(EV_Chargers!$D:$D,A240)</f>
        <v>0</v>
      </c>
      <c r="C240" s="7" t="n">
        <f aca="false">SUMIF(EV_Chargers!$D:$D,A240,EV_Chargers!$I:$I)</f>
        <v>0</v>
      </c>
      <c r="D240" s="7" t="n">
        <f aca="false">COUNTIF(Transport_Stops!$E:$E,A240)</f>
        <v>1</v>
      </c>
      <c r="E240" s="7" t="n">
        <f aca="false">COUNTIF(Sports_Facilities!$C:$C,A240)</f>
        <v>0</v>
      </c>
      <c r="F240" s="7" t="n">
        <f aca="false">COUNTIF(Taxi_Ranks!$B:$B,A240)</f>
        <v>0</v>
      </c>
      <c r="G240" s="7" t="n">
        <f aca="false">B240+D240+E240+F240</f>
        <v>1</v>
      </c>
      <c r="H240" s="7" t="n">
        <f aca="false">(B240&gt;0)+(D240&gt;0)+(E240&gt;0)+(F240&gt;0)</f>
        <v>1</v>
      </c>
    </row>
    <row r="241" customFormat="false" ht="15" hidden="false" customHeight="false" outlineLevel="0" collapsed="false">
      <c r="A241" s="7" t="n">
        <v>2360</v>
      </c>
      <c r="B241" s="7" t="n">
        <f aca="false">COUNTIF(EV_Chargers!$D:$D,A241)</f>
        <v>4</v>
      </c>
      <c r="C241" s="7" t="n">
        <f aca="false">SUMIF(EV_Chargers!$D:$D,A241,EV_Chargers!$I:$I)</f>
        <v>8</v>
      </c>
      <c r="D241" s="7" t="n">
        <f aca="false">COUNTIF(Transport_Stops!$E:$E,A241)</f>
        <v>3</v>
      </c>
      <c r="E241" s="7" t="n">
        <f aca="false">COUNTIF(Sports_Facilities!$C:$C,A241)</f>
        <v>0</v>
      </c>
      <c r="F241" s="7" t="n">
        <f aca="false">COUNTIF(Taxi_Ranks!$B:$B,A241)</f>
        <v>0</v>
      </c>
      <c r="G241" s="7" t="n">
        <f aca="false">B241+D241+E241+F241</f>
        <v>7</v>
      </c>
      <c r="H241" s="7" t="n">
        <f aca="false">(B241&gt;0)+(D241&gt;0)+(E241&gt;0)+(F241&gt;0)</f>
        <v>2</v>
      </c>
    </row>
    <row r="242" customFormat="false" ht="15" hidden="false" customHeight="false" outlineLevel="0" collapsed="false">
      <c r="A242" s="7" t="n">
        <v>2365</v>
      </c>
      <c r="B242" s="7" t="n">
        <f aca="false">COUNTIF(EV_Chargers!$D:$D,A242)</f>
        <v>0</v>
      </c>
      <c r="C242" s="7" t="n">
        <f aca="false">SUMIF(EV_Chargers!$D:$D,A242,EV_Chargers!$I:$I)</f>
        <v>0</v>
      </c>
      <c r="D242" s="7" t="n">
        <f aca="false">COUNTIF(Transport_Stops!$E:$E,A242)</f>
        <v>3</v>
      </c>
      <c r="E242" s="7" t="n">
        <f aca="false">COUNTIF(Sports_Facilities!$C:$C,A242)</f>
        <v>0</v>
      </c>
      <c r="F242" s="7" t="n">
        <f aca="false">COUNTIF(Taxi_Ranks!$B:$B,A242)</f>
        <v>0</v>
      </c>
      <c r="G242" s="7" t="n">
        <f aca="false">B242+D242+E242+F242</f>
        <v>3</v>
      </c>
      <c r="H242" s="7" t="n">
        <f aca="false">(B242&gt;0)+(D242&gt;0)+(E242&gt;0)+(F242&gt;0)</f>
        <v>1</v>
      </c>
    </row>
    <row r="243" customFormat="false" ht="15" hidden="false" customHeight="false" outlineLevel="0" collapsed="false">
      <c r="A243" s="7" t="n">
        <v>2369</v>
      </c>
      <c r="B243" s="7" t="n">
        <f aca="false">COUNTIF(EV_Chargers!$D:$D,A243)</f>
        <v>0</v>
      </c>
      <c r="C243" s="7" t="n">
        <f aca="false">SUMIF(EV_Chargers!$D:$D,A243,EV_Chargers!$I:$I)</f>
        <v>0</v>
      </c>
      <c r="D243" s="7" t="n">
        <f aca="false">COUNTIF(Transport_Stops!$E:$E,A243)</f>
        <v>1</v>
      </c>
      <c r="E243" s="7" t="n">
        <f aca="false">COUNTIF(Sports_Facilities!$C:$C,A243)</f>
        <v>0</v>
      </c>
      <c r="F243" s="7" t="n">
        <f aca="false">COUNTIF(Taxi_Ranks!$B:$B,A243)</f>
        <v>0</v>
      </c>
      <c r="G243" s="7" t="n">
        <f aca="false">B243+D243+E243+F243</f>
        <v>1</v>
      </c>
      <c r="H243" s="7" t="n">
        <f aca="false">(B243&gt;0)+(D243&gt;0)+(E243&gt;0)+(F243&gt;0)</f>
        <v>1</v>
      </c>
    </row>
    <row r="244" customFormat="false" ht="15" hidden="false" customHeight="false" outlineLevel="0" collapsed="false">
      <c r="A244" s="7" t="n">
        <v>2370</v>
      </c>
      <c r="B244" s="7" t="n">
        <f aca="false">COUNTIF(EV_Chargers!$D:$D,A244)</f>
        <v>4</v>
      </c>
      <c r="C244" s="7" t="n">
        <f aca="false">SUMIF(EV_Chargers!$D:$D,A244,EV_Chargers!$I:$I)</f>
        <v>8</v>
      </c>
      <c r="D244" s="7" t="n">
        <f aca="false">COUNTIF(Transport_Stops!$E:$E,A244)</f>
        <v>3</v>
      </c>
      <c r="E244" s="7" t="n">
        <f aca="false">COUNTIF(Sports_Facilities!$C:$C,A244)</f>
        <v>0</v>
      </c>
      <c r="F244" s="7" t="n">
        <f aca="false">COUNTIF(Taxi_Ranks!$B:$B,A244)</f>
        <v>0</v>
      </c>
      <c r="G244" s="7" t="n">
        <f aca="false">B244+D244+E244+F244</f>
        <v>7</v>
      </c>
      <c r="H244" s="7" t="n">
        <f aca="false">(B244&gt;0)+(D244&gt;0)+(E244&gt;0)+(F244&gt;0)</f>
        <v>2</v>
      </c>
    </row>
    <row r="245" customFormat="false" ht="15" hidden="false" customHeight="false" outlineLevel="0" collapsed="false">
      <c r="A245" s="7" t="n">
        <v>2371</v>
      </c>
      <c r="B245" s="7" t="n">
        <f aca="false">COUNTIF(EV_Chargers!$D:$D,A245)</f>
        <v>0</v>
      </c>
      <c r="C245" s="7" t="n">
        <f aca="false">SUMIF(EV_Chargers!$D:$D,A245,EV_Chargers!$I:$I)</f>
        <v>0</v>
      </c>
      <c r="D245" s="7" t="n">
        <f aca="false">COUNTIF(Transport_Stops!$E:$E,A245)</f>
        <v>1</v>
      </c>
      <c r="E245" s="7" t="n">
        <f aca="false">COUNTIF(Sports_Facilities!$C:$C,A245)</f>
        <v>0</v>
      </c>
      <c r="F245" s="7" t="n">
        <f aca="false">COUNTIF(Taxi_Ranks!$B:$B,A245)</f>
        <v>0</v>
      </c>
      <c r="G245" s="7" t="n">
        <f aca="false">B245+D245+E245+F245</f>
        <v>1</v>
      </c>
      <c r="H245" s="7" t="n">
        <f aca="false">(B245&gt;0)+(D245&gt;0)+(E245&gt;0)+(F245&gt;0)</f>
        <v>1</v>
      </c>
    </row>
    <row r="246" customFormat="false" ht="15" hidden="false" customHeight="false" outlineLevel="0" collapsed="false">
      <c r="A246" s="7" t="n">
        <v>2372</v>
      </c>
      <c r="B246" s="7" t="n">
        <f aca="false">COUNTIF(EV_Chargers!$D:$D,A246)</f>
        <v>5</v>
      </c>
      <c r="C246" s="7" t="n">
        <f aca="false">SUMIF(EV_Chargers!$D:$D,A246,EV_Chargers!$I:$I)</f>
        <v>12</v>
      </c>
      <c r="D246" s="7" t="n">
        <f aca="false">COUNTIF(Transport_Stops!$E:$E,A246)</f>
        <v>2</v>
      </c>
      <c r="E246" s="7" t="n">
        <f aca="false">COUNTIF(Sports_Facilities!$C:$C,A246)</f>
        <v>0</v>
      </c>
      <c r="F246" s="7" t="n">
        <f aca="false">COUNTIF(Taxi_Ranks!$B:$B,A246)</f>
        <v>0</v>
      </c>
      <c r="G246" s="7" t="n">
        <f aca="false">B246+D246+E246+F246</f>
        <v>7</v>
      </c>
      <c r="H246" s="7" t="n">
        <f aca="false">(B246&gt;0)+(D246&gt;0)+(E246&gt;0)+(F246&gt;0)</f>
        <v>2</v>
      </c>
    </row>
    <row r="247" customFormat="false" ht="15" hidden="false" customHeight="false" outlineLevel="0" collapsed="false">
      <c r="A247" s="7" t="n">
        <v>2379</v>
      </c>
      <c r="B247" s="7" t="n">
        <f aca="false">COUNTIF(EV_Chargers!$D:$D,A247)</f>
        <v>0</v>
      </c>
      <c r="C247" s="7" t="n">
        <f aca="false">SUMIF(EV_Chargers!$D:$D,A247,EV_Chargers!$I:$I)</f>
        <v>0</v>
      </c>
      <c r="D247" s="7" t="n">
        <f aca="false">COUNTIF(Transport_Stops!$E:$E,A247)</f>
        <v>1</v>
      </c>
      <c r="E247" s="7" t="n">
        <f aca="false">COUNTIF(Sports_Facilities!$C:$C,A247)</f>
        <v>0</v>
      </c>
      <c r="F247" s="7" t="n">
        <f aca="false">COUNTIF(Taxi_Ranks!$B:$B,A247)</f>
        <v>0</v>
      </c>
      <c r="G247" s="7" t="n">
        <f aca="false">B247+D247+E247+F247</f>
        <v>1</v>
      </c>
      <c r="H247" s="7" t="n">
        <f aca="false">(B247&gt;0)+(D247&gt;0)+(E247&gt;0)+(F247&gt;0)</f>
        <v>1</v>
      </c>
    </row>
    <row r="248" customFormat="false" ht="15" hidden="false" customHeight="false" outlineLevel="0" collapsed="false">
      <c r="A248" s="7" t="n">
        <v>2380</v>
      </c>
      <c r="B248" s="7" t="n">
        <f aca="false">COUNTIF(EV_Chargers!$D:$D,A248)</f>
        <v>5</v>
      </c>
      <c r="C248" s="7" t="n">
        <f aca="false">SUMIF(EV_Chargers!$D:$D,A248,EV_Chargers!$I:$I)</f>
        <v>13</v>
      </c>
      <c r="D248" s="7" t="n">
        <f aca="false">COUNTIF(Transport_Stops!$E:$E,A248)</f>
        <v>1</v>
      </c>
      <c r="E248" s="7" t="n">
        <f aca="false">COUNTIF(Sports_Facilities!$C:$C,A248)</f>
        <v>0</v>
      </c>
      <c r="F248" s="7" t="n">
        <f aca="false">COUNTIF(Taxi_Ranks!$B:$B,A248)</f>
        <v>0</v>
      </c>
      <c r="G248" s="7" t="n">
        <f aca="false">B248+D248+E248+F248</f>
        <v>6</v>
      </c>
      <c r="H248" s="7" t="n">
        <f aca="false">(B248&gt;0)+(D248&gt;0)+(E248&gt;0)+(F248&gt;0)</f>
        <v>2</v>
      </c>
    </row>
    <row r="249" customFormat="false" ht="15" hidden="false" customHeight="false" outlineLevel="0" collapsed="false">
      <c r="A249" s="7" t="n">
        <v>2382</v>
      </c>
      <c r="B249" s="7" t="n">
        <f aca="false">COUNTIF(EV_Chargers!$D:$D,A249)</f>
        <v>0</v>
      </c>
      <c r="C249" s="7" t="n">
        <f aca="false">SUMIF(EV_Chargers!$D:$D,A249,EV_Chargers!$I:$I)</f>
        <v>0</v>
      </c>
      <c r="D249" s="7" t="n">
        <f aca="false">COUNTIF(Transport_Stops!$E:$E,A249)</f>
        <v>1</v>
      </c>
      <c r="E249" s="7" t="n">
        <f aca="false">COUNTIF(Sports_Facilities!$C:$C,A249)</f>
        <v>0</v>
      </c>
      <c r="F249" s="7" t="n">
        <f aca="false">COUNTIF(Taxi_Ranks!$B:$B,A249)</f>
        <v>0</v>
      </c>
      <c r="G249" s="7" t="n">
        <f aca="false">B249+D249+E249+F249</f>
        <v>1</v>
      </c>
      <c r="H249" s="7" t="n">
        <f aca="false">(B249&gt;0)+(D249&gt;0)+(E249&gt;0)+(F249&gt;0)</f>
        <v>1</v>
      </c>
    </row>
    <row r="250" customFormat="false" ht="15" hidden="false" customHeight="false" outlineLevel="0" collapsed="false">
      <c r="A250" s="7" t="n">
        <v>2386</v>
      </c>
      <c r="B250" s="7" t="n">
        <f aca="false">COUNTIF(EV_Chargers!$D:$D,A250)</f>
        <v>0</v>
      </c>
      <c r="C250" s="7" t="n">
        <f aca="false">SUMIF(EV_Chargers!$D:$D,A250,EV_Chargers!$I:$I)</f>
        <v>0</v>
      </c>
      <c r="D250" s="7" t="n">
        <f aca="false">COUNTIF(Transport_Stops!$E:$E,A250)</f>
        <v>1</v>
      </c>
      <c r="E250" s="7" t="n">
        <f aca="false">COUNTIF(Sports_Facilities!$C:$C,A250)</f>
        <v>0</v>
      </c>
      <c r="F250" s="7" t="n">
        <f aca="false">COUNTIF(Taxi_Ranks!$B:$B,A250)</f>
        <v>0</v>
      </c>
      <c r="G250" s="7" t="n">
        <f aca="false">B250+D250+E250+F250</f>
        <v>1</v>
      </c>
      <c r="H250" s="7" t="n">
        <f aca="false">(B250&gt;0)+(D250&gt;0)+(E250&gt;0)+(F250&gt;0)</f>
        <v>1</v>
      </c>
    </row>
    <row r="251" customFormat="false" ht="15" hidden="false" customHeight="false" outlineLevel="0" collapsed="false">
      <c r="A251" s="7" t="n">
        <v>2388</v>
      </c>
      <c r="B251" s="7" t="n">
        <f aca="false">COUNTIF(EV_Chargers!$D:$D,A251)</f>
        <v>0</v>
      </c>
      <c r="C251" s="7" t="n">
        <f aca="false">SUMIF(EV_Chargers!$D:$D,A251,EV_Chargers!$I:$I)</f>
        <v>0</v>
      </c>
      <c r="D251" s="7" t="n">
        <f aca="false">COUNTIF(Transport_Stops!$E:$E,A251)</f>
        <v>1</v>
      </c>
      <c r="E251" s="7" t="n">
        <f aca="false">COUNTIF(Sports_Facilities!$C:$C,A251)</f>
        <v>0</v>
      </c>
      <c r="F251" s="7" t="n">
        <f aca="false">COUNTIF(Taxi_Ranks!$B:$B,A251)</f>
        <v>0</v>
      </c>
      <c r="G251" s="7" t="n">
        <f aca="false">B251+D251+E251+F251</f>
        <v>1</v>
      </c>
      <c r="H251" s="7" t="n">
        <f aca="false">(B251&gt;0)+(D251&gt;0)+(E251&gt;0)+(F251&gt;0)</f>
        <v>1</v>
      </c>
    </row>
    <row r="252" customFormat="false" ht="15" hidden="false" customHeight="false" outlineLevel="0" collapsed="false">
      <c r="A252" s="7" t="n">
        <v>2390</v>
      </c>
      <c r="B252" s="7" t="n">
        <f aca="false">COUNTIF(EV_Chargers!$D:$D,A252)</f>
        <v>4</v>
      </c>
      <c r="C252" s="7" t="n">
        <f aca="false">SUMIF(EV_Chargers!$D:$D,A252,EV_Chargers!$I:$I)</f>
        <v>11</v>
      </c>
      <c r="D252" s="7" t="n">
        <f aca="false">COUNTIF(Transport_Stops!$E:$E,A252)</f>
        <v>1</v>
      </c>
      <c r="E252" s="7" t="n">
        <f aca="false">COUNTIF(Sports_Facilities!$C:$C,A252)</f>
        <v>0</v>
      </c>
      <c r="F252" s="7" t="n">
        <f aca="false">COUNTIF(Taxi_Ranks!$B:$B,A252)</f>
        <v>0</v>
      </c>
      <c r="G252" s="7" t="n">
        <f aca="false">B252+D252+E252+F252</f>
        <v>5</v>
      </c>
      <c r="H252" s="7" t="n">
        <f aca="false">(B252&gt;0)+(D252&gt;0)+(E252&gt;0)+(F252&gt;0)</f>
        <v>2</v>
      </c>
    </row>
    <row r="253" customFormat="false" ht="15" hidden="false" customHeight="false" outlineLevel="0" collapsed="false">
      <c r="A253" s="7" t="n">
        <v>2395</v>
      </c>
      <c r="B253" s="7" t="n">
        <f aca="false">COUNTIF(EV_Chargers!$D:$D,A253)</f>
        <v>0</v>
      </c>
      <c r="C253" s="7" t="n">
        <f aca="false">SUMIF(EV_Chargers!$D:$D,A253,EV_Chargers!$I:$I)</f>
        <v>0</v>
      </c>
      <c r="D253" s="7" t="n">
        <f aca="false">COUNTIF(Transport_Stops!$E:$E,A253)</f>
        <v>1</v>
      </c>
      <c r="E253" s="7" t="n">
        <f aca="false">COUNTIF(Sports_Facilities!$C:$C,A253)</f>
        <v>0</v>
      </c>
      <c r="F253" s="7" t="n">
        <f aca="false">COUNTIF(Taxi_Ranks!$B:$B,A253)</f>
        <v>0</v>
      </c>
      <c r="G253" s="7" t="n">
        <f aca="false">B253+D253+E253+F253</f>
        <v>1</v>
      </c>
      <c r="H253" s="7" t="n">
        <f aca="false">(B253&gt;0)+(D253&gt;0)+(E253&gt;0)+(F253&gt;0)</f>
        <v>1</v>
      </c>
    </row>
    <row r="254" customFormat="false" ht="15" hidden="false" customHeight="false" outlineLevel="0" collapsed="false">
      <c r="A254" s="7" t="n">
        <v>2396</v>
      </c>
      <c r="B254" s="7" t="n">
        <f aca="false">COUNTIF(EV_Chargers!$D:$D,A254)</f>
        <v>0</v>
      </c>
      <c r="C254" s="7" t="n">
        <f aca="false">SUMIF(EV_Chargers!$D:$D,A254,EV_Chargers!$I:$I)</f>
        <v>0</v>
      </c>
      <c r="D254" s="7" t="n">
        <f aca="false">COUNTIF(Transport_Stops!$E:$E,A254)</f>
        <v>1</v>
      </c>
      <c r="E254" s="7" t="n">
        <f aca="false">COUNTIF(Sports_Facilities!$C:$C,A254)</f>
        <v>0</v>
      </c>
      <c r="F254" s="7" t="n">
        <f aca="false">COUNTIF(Taxi_Ranks!$B:$B,A254)</f>
        <v>0</v>
      </c>
      <c r="G254" s="7" t="n">
        <f aca="false">B254+D254+E254+F254</f>
        <v>1</v>
      </c>
      <c r="H254" s="7" t="n">
        <f aca="false">(B254&gt;0)+(D254&gt;0)+(E254&gt;0)+(F254&gt;0)</f>
        <v>1</v>
      </c>
    </row>
    <row r="255" customFormat="false" ht="15" hidden="false" customHeight="false" outlineLevel="0" collapsed="false">
      <c r="A255" s="7" t="n">
        <v>2397</v>
      </c>
      <c r="B255" s="7" t="n">
        <f aca="false">COUNTIF(EV_Chargers!$D:$D,A255)</f>
        <v>0</v>
      </c>
      <c r="C255" s="7" t="n">
        <f aca="false">SUMIF(EV_Chargers!$D:$D,A255,EV_Chargers!$I:$I)</f>
        <v>0</v>
      </c>
      <c r="D255" s="7" t="n">
        <f aca="false">COUNTIF(Transport_Stops!$E:$E,A255)</f>
        <v>2</v>
      </c>
      <c r="E255" s="7" t="n">
        <f aca="false">COUNTIF(Sports_Facilities!$C:$C,A255)</f>
        <v>0</v>
      </c>
      <c r="F255" s="7" t="n">
        <f aca="false">COUNTIF(Taxi_Ranks!$B:$B,A255)</f>
        <v>0</v>
      </c>
      <c r="G255" s="7" t="n">
        <f aca="false">B255+D255+E255+F255</f>
        <v>2</v>
      </c>
      <c r="H255" s="7" t="n">
        <f aca="false">(B255&gt;0)+(D255&gt;0)+(E255&gt;0)+(F255&gt;0)</f>
        <v>1</v>
      </c>
    </row>
    <row r="256" customFormat="false" ht="15" hidden="false" customHeight="false" outlineLevel="0" collapsed="false">
      <c r="A256" s="7" t="n">
        <v>2399</v>
      </c>
      <c r="B256" s="7" t="n">
        <f aca="false">COUNTIF(EV_Chargers!$D:$D,A256)</f>
        <v>0</v>
      </c>
      <c r="C256" s="7" t="n">
        <f aca="false">SUMIF(EV_Chargers!$D:$D,A256,EV_Chargers!$I:$I)</f>
        <v>0</v>
      </c>
      <c r="D256" s="7" t="n">
        <f aca="false">COUNTIF(Transport_Stops!$E:$E,A256)</f>
        <v>1</v>
      </c>
      <c r="E256" s="7" t="n">
        <f aca="false">COUNTIF(Sports_Facilities!$C:$C,A256)</f>
        <v>0</v>
      </c>
      <c r="F256" s="7" t="n">
        <f aca="false">COUNTIF(Taxi_Ranks!$B:$B,A256)</f>
        <v>0</v>
      </c>
      <c r="G256" s="7" t="n">
        <f aca="false">B256+D256+E256+F256</f>
        <v>1</v>
      </c>
      <c r="H256" s="7" t="n">
        <f aca="false">(B256&gt;0)+(D256&gt;0)+(E256&gt;0)+(F256&gt;0)</f>
        <v>1</v>
      </c>
    </row>
    <row r="257" customFormat="false" ht="15" hidden="false" customHeight="false" outlineLevel="0" collapsed="false">
      <c r="A257" s="7" t="n">
        <v>2400</v>
      </c>
      <c r="B257" s="7" t="n">
        <f aca="false">COUNTIF(EV_Chargers!$D:$D,A257)</f>
        <v>5</v>
      </c>
      <c r="C257" s="7" t="n">
        <f aca="false">SUMIF(EV_Chargers!$D:$D,A257,EV_Chargers!$I:$I)</f>
        <v>13</v>
      </c>
      <c r="D257" s="7" t="n">
        <f aca="false">COUNTIF(Transport_Stops!$E:$E,A257)</f>
        <v>2</v>
      </c>
      <c r="E257" s="7" t="n">
        <f aca="false">COUNTIF(Sports_Facilities!$C:$C,A257)</f>
        <v>0</v>
      </c>
      <c r="F257" s="7" t="n">
        <f aca="false">COUNTIF(Taxi_Ranks!$B:$B,A257)</f>
        <v>0</v>
      </c>
      <c r="G257" s="7" t="n">
        <f aca="false">B257+D257+E257+F257</f>
        <v>7</v>
      </c>
      <c r="H257" s="7" t="n">
        <f aca="false">(B257&gt;0)+(D257&gt;0)+(E257&gt;0)+(F257&gt;0)</f>
        <v>2</v>
      </c>
    </row>
    <row r="258" customFormat="false" ht="15" hidden="false" customHeight="false" outlineLevel="0" collapsed="false">
      <c r="A258" s="7" t="n">
        <v>2401</v>
      </c>
      <c r="B258" s="7" t="n">
        <f aca="false">COUNTIF(EV_Chargers!$D:$D,A258)</f>
        <v>0</v>
      </c>
      <c r="C258" s="7" t="n">
        <f aca="false">SUMIF(EV_Chargers!$D:$D,A258,EV_Chargers!$I:$I)</f>
        <v>0</v>
      </c>
      <c r="D258" s="7" t="n">
        <f aca="false">COUNTIF(Transport_Stops!$E:$E,A258)</f>
        <v>1</v>
      </c>
      <c r="E258" s="7" t="n">
        <f aca="false">COUNTIF(Sports_Facilities!$C:$C,A258)</f>
        <v>0</v>
      </c>
      <c r="F258" s="7" t="n">
        <f aca="false">COUNTIF(Taxi_Ranks!$B:$B,A258)</f>
        <v>0</v>
      </c>
      <c r="G258" s="7" t="n">
        <f aca="false">B258+D258+E258+F258</f>
        <v>1</v>
      </c>
      <c r="H258" s="7" t="n">
        <f aca="false">(B258&gt;0)+(D258&gt;0)+(E258&gt;0)+(F258&gt;0)</f>
        <v>1</v>
      </c>
    </row>
    <row r="259" customFormat="false" ht="15" hidden="false" customHeight="false" outlineLevel="0" collapsed="false">
      <c r="A259" s="7" t="n">
        <v>2402</v>
      </c>
      <c r="B259" s="7" t="n">
        <f aca="false">COUNTIF(EV_Chargers!$D:$D,A259)</f>
        <v>1</v>
      </c>
      <c r="C259" s="7" t="n">
        <f aca="false">SUMIF(EV_Chargers!$D:$D,A259,EV_Chargers!$I:$I)</f>
        <v>1</v>
      </c>
      <c r="D259" s="7" t="n">
        <f aca="false">COUNTIF(Transport_Stops!$E:$E,A259)</f>
        <v>2</v>
      </c>
      <c r="E259" s="7" t="n">
        <f aca="false">COUNTIF(Sports_Facilities!$C:$C,A259)</f>
        <v>0</v>
      </c>
      <c r="F259" s="7" t="n">
        <f aca="false">COUNTIF(Taxi_Ranks!$B:$B,A259)</f>
        <v>0</v>
      </c>
      <c r="G259" s="7" t="n">
        <f aca="false">B259+D259+E259+F259</f>
        <v>3</v>
      </c>
      <c r="H259" s="7" t="n">
        <f aca="false">(B259&gt;0)+(D259&gt;0)+(E259&gt;0)+(F259&gt;0)</f>
        <v>2</v>
      </c>
    </row>
    <row r="260" customFormat="false" ht="15" hidden="false" customHeight="false" outlineLevel="0" collapsed="false">
      <c r="A260" s="7" t="n">
        <v>2403</v>
      </c>
      <c r="B260" s="7" t="n">
        <f aca="false">COUNTIF(EV_Chargers!$D:$D,A260)</f>
        <v>0</v>
      </c>
      <c r="C260" s="7" t="n">
        <f aca="false">SUMIF(EV_Chargers!$D:$D,A260,EV_Chargers!$I:$I)</f>
        <v>0</v>
      </c>
      <c r="D260" s="7" t="n">
        <f aca="false">COUNTIF(Transport_Stops!$E:$E,A260)</f>
        <v>1</v>
      </c>
      <c r="E260" s="7" t="n">
        <f aca="false">COUNTIF(Sports_Facilities!$C:$C,A260)</f>
        <v>0</v>
      </c>
      <c r="F260" s="7" t="n">
        <f aca="false">COUNTIF(Taxi_Ranks!$B:$B,A260)</f>
        <v>0</v>
      </c>
      <c r="G260" s="7" t="n">
        <f aca="false">B260+D260+E260+F260</f>
        <v>1</v>
      </c>
      <c r="H260" s="7" t="n">
        <f aca="false">(B260&gt;0)+(D260&gt;0)+(E260&gt;0)+(F260&gt;0)</f>
        <v>1</v>
      </c>
    </row>
    <row r="261" customFormat="false" ht="15" hidden="false" customHeight="false" outlineLevel="0" collapsed="false">
      <c r="A261" s="7" t="n">
        <v>2404</v>
      </c>
      <c r="B261" s="7" t="n">
        <f aca="false">COUNTIF(EV_Chargers!$D:$D,A261)</f>
        <v>4</v>
      </c>
      <c r="C261" s="7" t="n">
        <f aca="false">SUMIF(EV_Chargers!$D:$D,A261,EV_Chargers!$I:$I)</f>
        <v>8</v>
      </c>
      <c r="D261" s="7" t="n">
        <f aca="false">COUNTIF(Transport_Stops!$E:$E,A261)</f>
        <v>1</v>
      </c>
      <c r="E261" s="7" t="n">
        <f aca="false">COUNTIF(Sports_Facilities!$C:$C,A261)</f>
        <v>0</v>
      </c>
      <c r="F261" s="7" t="n">
        <f aca="false">COUNTIF(Taxi_Ranks!$B:$B,A261)</f>
        <v>0</v>
      </c>
      <c r="G261" s="7" t="n">
        <f aca="false">B261+D261+E261+F261</f>
        <v>5</v>
      </c>
      <c r="H261" s="7" t="n">
        <f aca="false">(B261&gt;0)+(D261&gt;0)+(E261&gt;0)+(F261&gt;0)</f>
        <v>2</v>
      </c>
    </row>
    <row r="262" customFormat="false" ht="15" hidden="false" customHeight="false" outlineLevel="0" collapsed="false">
      <c r="A262" s="7" t="n">
        <v>2415</v>
      </c>
      <c r="B262" s="7" t="n">
        <f aca="false">COUNTIF(EV_Chargers!$D:$D,A262)</f>
        <v>0</v>
      </c>
      <c r="C262" s="7" t="n">
        <f aca="false">SUMIF(EV_Chargers!$D:$D,A262,EV_Chargers!$I:$I)</f>
        <v>0</v>
      </c>
      <c r="D262" s="7" t="n">
        <f aca="false">COUNTIF(Transport_Stops!$E:$E,A262)</f>
        <v>1</v>
      </c>
      <c r="E262" s="7" t="n">
        <f aca="false">COUNTIF(Sports_Facilities!$C:$C,A262)</f>
        <v>0</v>
      </c>
      <c r="F262" s="7" t="n">
        <f aca="false">COUNTIF(Taxi_Ranks!$B:$B,A262)</f>
        <v>0</v>
      </c>
      <c r="G262" s="7" t="n">
        <f aca="false">B262+D262+E262+F262</f>
        <v>1</v>
      </c>
      <c r="H262" s="7" t="n">
        <f aca="false">(B262&gt;0)+(D262&gt;0)+(E262&gt;0)+(F262&gt;0)</f>
        <v>1</v>
      </c>
    </row>
    <row r="263" customFormat="false" ht="15" hidden="false" customHeight="false" outlineLevel="0" collapsed="false">
      <c r="A263" s="7" t="n">
        <v>2420</v>
      </c>
      <c r="B263" s="7" t="n">
        <f aca="false">COUNTIF(EV_Chargers!$D:$D,A263)</f>
        <v>1</v>
      </c>
      <c r="C263" s="7" t="n">
        <f aca="false">SUMIF(EV_Chargers!$D:$D,A263,EV_Chargers!$I:$I)</f>
        <v>4</v>
      </c>
      <c r="D263" s="7" t="n">
        <f aca="false">COUNTIF(Transport_Stops!$E:$E,A263)</f>
        <v>5</v>
      </c>
      <c r="E263" s="7" t="n">
        <f aca="false">COUNTIF(Sports_Facilities!$C:$C,A263)</f>
        <v>0</v>
      </c>
      <c r="F263" s="7" t="n">
        <f aca="false">COUNTIF(Taxi_Ranks!$B:$B,A263)</f>
        <v>0</v>
      </c>
      <c r="G263" s="7" t="n">
        <f aca="false">B263+D263+E263+F263</f>
        <v>6</v>
      </c>
      <c r="H263" s="7" t="n">
        <f aca="false">(B263&gt;0)+(D263&gt;0)+(E263&gt;0)+(F263&gt;0)</f>
        <v>2</v>
      </c>
    </row>
    <row r="264" customFormat="false" ht="15" hidden="false" customHeight="false" outlineLevel="0" collapsed="false">
      <c r="A264" s="7" t="n">
        <v>2421</v>
      </c>
      <c r="B264" s="7" t="n">
        <f aca="false">COUNTIF(EV_Chargers!$D:$D,A264)</f>
        <v>3</v>
      </c>
      <c r="C264" s="7" t="n">
        <f aca="false">SUMIF(EV_Chargers!$D:$D,A264,EV_Chargers!$I:$I)</f>
        <v>6</v>
      </c>
      <c r="D264" s="7" t="n">
        <f aca="false">COUNTIF(Transport_Stops!$E:$E,A264)</f>
        <v>1</v>
      </c>
      <c r="E264" s="7" t="n">
        <f aca="false">COUNTIF(Sports_Facilities!$C:$C,A264)</f>
        <v>0</v>
      </c>
      <c r="F264" s="7" t="n">
        <f aca="false">COUNTIF(Taxi_Ranks!$B:$B,A264)</f>
        <v>0</v>
      </c>
      <c r="G264" s="7" t="n">
        <f aca="false">B264+D264+E264+F264</f>
        <v>4</v>
      </c>
      <c r="H264" s="7" t="n">
        <f aca="false">(B264&gt;0)+(D264&gt;0)+(E264&gt;0)+(F264&gt;0)</f>
        <v>2</v>
      </c>
    </row>
    <row r="265" customFormat="false" ht="15" hidden="false" customHeight="false" outlineLevel="0" collapsed="false">
      <c r="A265" s="7" t="n">
        <v>2422</v>
      </c>
      <c r="B265" s="7" t="n">
        <f aca="false">COUNTIF(EV_Chargers!$D:$D,A265)</f>
        <v>0</v>
      </c>
      <c r="C265" s="7" t="n">
        <f aca="false">SUMIF(EV_Chargers!$D:$D,A265,EV_Chargers!$I:$I)</f>
        <v>0</v>
      </c>
      <c r="D265" s="7" t="n">
        <f aca="false">COUNTIF(Transport_Stops!$E:$E,A265)</f>
        <v>6</v>
      </c>
      <c r="E265" s="7" t="n">
        <f aca="false">COUNTIF(Sports_Facilities!$C:$C,A265)</f>
        <v>0</v>
      </c>
      <c r="F265" s="7" t="n">
        <f aca="false">COUNTIF(Taxi_Ranks!$B:$B,A265)</f>
        <v>0</v>
      </c>
      <c r="G265" s="7" t="n">
        <f aca="false">B265+D265+E265+F265</f>
        <v>6</v>
      </c>
      <c r="H265" s="7" t="n">
        <f aca="false">(B265&gt;0)+(D265&gt;0)+(E265&gt;0)+(F265&gt;0)</f>
        <v>1</v>
      </c>
    </row>
    <row r="266" customFormat="false" ht="15" hidden="false" customHeight="false" outlineLevel="0" collapsed="false">
      <c r="A266" s="7" t="n">
        <v>2423</v>
      </c>
      <c r="B266" s="7" t="n">
        <f aca="false">COUNTIF(EV_Chargers!$D:$D,A266)</f>
        <v>3</v>
      </c>
      <c r="C266" s="7" t="n">
        <f aca="false">SUMIF(EV_Chargers!$D:$D,A266,EV_Chargers!$I:$I)</f>
        <v>12</v>
      </c>
      <c r="D266" s="7" t="n">
        <f aca="false">COUNTIF(Transport_Stops!$E:$E,A266)</f>
        <v>0</v>
      </c>
      <c r="E266" s="7" t="n">
        <f aca="false">COUNTIF(Sports_Facilities!$C:$C,A266)</f>
        <v>0</v>
      </c>
      <c r="F266" s="7" t="n">
        <f aca="false">COUNTIF(Taxi_Ranks!$B:$B,A266)</f>
        <v>0</v>
      </c>
      <c r="G266" s="7" t="n">
        <f aca="false">B266+D266+E266+F266</f>
        <v>3</v>
      </c>
      <c r="H266" s="7" t="n">
        <f aca="false">(B266&gt;0)+(D266&gt;0)+(E266&gt;0)+(F266&gt;0)</f>
        <v>1</v>
      </c>
    </row>
    <row r="267" customFormat="false" ht="15" hidden="false" customHeight="false" outlineLevel="0" collapsed="false">
      <c r="A267" s="7" t="n">
        <v>2425</v>
      </c>
      <c r="B267" s="7" t="n">
        <f aca="false">COUNTIF(EV_Chargers!$D:$D,A267)</f>
        <v>0</v>
      </c>
      <c r="C267" s="7" t="n">
        <f aca="false">SUMIF(EV_Chargers!$D:$D,A267,EV_Chargers!$I:$I)</f>
        <v>0</v>
      </c>
      <c r="D267" s="7" t="n">
        <f aca="false">COUNTIF(Transport_Stops!$E:$E,A267)</f>
        <v>3</v>
      </c>
      <c r="E267" s="7" t="n">
        <f aca="false">COUNTIF(Sports_Facilities!$C:$C,A267)</f>
        <v>0</v>
      </c>
      <c r="F267" s="7" t="n">
        <f aca="false">COUNTIF(Taxi_Ranks!$B:$B,A267)</f>
        <v>0</v>
      </c>
      <c r="G267" s="7" t="n">
        <f aca="false">B267+D267+E267+F267</f>
        <v>3</v>
      </c>
      <c r="H267" s="7" t="n">
        <f aca="false">(B267&gt;0)+(D267&gt;0)+(E267&gt;0)+(F267&gt;0)</f>
        <v>1</v>
      </c>
    </row>
    <row r="268" customFormat="false" ht="15" hidden="false" customHeight="false" outlineLevel="0" collapsed="false">
      <c r="A268" s="7" t="n">
        <v>2426</v>
      </c>
      <c r="B268" s="7" t="n">
        <f aca="false">COUNTIF(EV_Chargers!$D:$D,A268)</f>
        <v>1</v>
      </c>
      <c r="C268" s="7" t="n">
        <f aca="false">SUMIF(EV_Chargers!$D:$D,A268,EV_Chargers!$I:$I)</f>
        <v>2</v>
      </c>
      <c r="D268" s="7" t="n">
        <f aca="false">COUNTIF(Transport_Stops!$E:$E,A268)</f>
        <v>0</v>
      </c>
      <c r="E268" s="7" t="n">
        <f aca="false">COUNTIF(Sports_Facilities!$C:$C,A268)</f>
        <v>0</v>
      </c>
      <c r="F268" s="7" t="n">
        <f aca="false">COUNTIF(Taxi_Ranks!$B:$B,A268)</f>
        <v>0</v>
      </c>
      <c r="G268" s="7" t="n">
        <f aca="false">B268+D268+E268+F268</f>
        <v>1</v>
      </c>
      <c r="H268" s="7" t="n">
        <f aca="false">(B268&gt;0)+(D268&gt;0)+(E268&gt;0)+(F268&gt;0)</f>
        <v>1</v>
      </c>
    </row>
    <row r="269" customFormat="false" ht="15" hidden="false" customHeight="false" outlineLevel="0" collapsed="false">
      <c r="A269" s="7" t="n">
        <v>2427</v>
      </c>
      <c r="B269" s="7" t="n">
        <f aca="false">COUNTIF(EV_Chargers!$D:$D,A269)</f>
        <v>2</v>
      </c>
      <c r="C269" s="7" t="n">
        <f aca="false">SUMIF(EV_Chargers!$D:$D,A269,EV_Chargers!$I:$I)</f>
        <v>4</v>
      </c>
      <c r="D269" s="7" t="n">
        <f aca="false">COUNTIF(Transport_Stops!$E:$E,A269)</f>
        <v>0</v>
      </c>
      <c r="E269" s="7" t="n">
        <f aca="false">COUNTIF(Sports_Facilities!$C:$C,A269)</f>
        <v>0</v>
      </c>
      <c r="F269" s="7" t="n">
        <f aca="false">COUNTIF(Taxi_Ranks!$B:$B,A269)</f>
        <v>0</v>
      </c>
      <c r="G269" s="7" t="n">
        <f aca="false">B269+D269+E269+F269</f>
        <v>2</v>
      </c>
      <c r="H269" s="7" t="n">
        <f aca="false">(B269&gt;0)+(D269&gt;0)+(E269&gt;0)+(F269&gt;0)</f>
        <v>1</v>
      </c>
    </row>
    <row r="270" customFormat="false" ht="15" hidden="false" customHeight="false" outlineLevel="0" collapsed="false">
      <c r="A270" s="7" t="n">
        <v>2428</v>
      </c>
      <c r="B270" s="7" t="n">
        <f aca="false">COUNTIF(EV_Chargers!$D:$D,A270)</f>
        <v>6</v>
      </c>
      <c r="C270" s="7" t="n">
        <f aca="false">SUMIF(EV_Chargers!$D:$D,A270,EV_Chargers!$I:$I)</f>
        <v>19</v>
      </c>
      <c r="D270" s="7" t="n">
        <f aca="false">COUNTIF(Transport_Stops!$E:$E,A270)</f>
        <v>0</v>
      </c>
      <c r="E270" s="7" t="n">
        <f aca="false">COUNTIF(Sports_Facilities!$C:$C,A270)</f>
        <v>0</v>
      </c>
      <c r="F270" s="7" t="n">
        <f aca="false">COUNTIF(Taxi_Ranks!$B:$B,A270)</f>
        <v>0</v>
      </c>
      <c r="G270" s="7" t="n">
        <f aca="false">B270+D270+E270+F270</f>
        <v>6</v>
      </c>
      <c r="H270" s="7" t="n">
        <f aca="false">(B270&gt;0)+(D270&gt;0)+(E270&gt;0)+(F270&gt;0)</f>
        <v>1</v>
      </c>
    </row>
    <row r="271" customFormat="false" ht="15" hidden="false" customHeight="false" outlineLevel="0" collapsed="false">
      <c r="A271" s="7" t="n">
        <v>2429</v>
      </c>
      <c r="B271" s="7" t="n">
        <f aca="false">COUNTIF(EV_Chargers!$D:$D,A271)</f>
        <v>0</v>
      </c>
      <c r="C271" s="7" t="n">
        <f aca="false">SUMIF(EV_Chargers!$D:$D,A271,EV_Chargers!$I:$I)</f>
        <v>0</v>
      </c>
      <c r="D271" s="7" t="n">
        <f aca="false">COUNTIF(Transport_Stops!$E:$E,A271)</f>
        <v>5</v>
      </c>
      <c r="E271" s="7" t="n">
        <f aca="false">COUNTIF(Sports_Facilities!$C:$C,A271)</f>
        <v>0</v>
      </c>
      <c r="F271" s="7" t="n">
        <f aca="false">COUNTIF(Taxi_Ranks!$B:$B,A271)</f>
        <v>0</v>
      </c>
      <c r="G271" s="7" t="n">
        <f aca="false">B271+D271+E271+F271</f>
        <v>5</v>
      </c>
      <c r="H271" s="7" t="n">
        <f aca="false">(B271&gt;0)+(D271&gt;0)+(E271&gt;0)+(F271&gt;0)</f>
        <v>1</v>
      </c>
    </row>
    <row r="272" customFormat="false" ht="15" hidden="false" customHeight="false" outlineLevel="0" collapsed="false">
      <c r="A272" s="7" t="n">
        <v>2430</v>
      </c>
      <c r="B272" s="7" t="n">
        <f aca="false">COUNTIF(EV_Chargers!$D:$D,A272)</f>
        <v>9</v>
      </c>
      <c r="C272" s="7" t="n">
        <f aca="false">SUMIF(EV_Chargers!$D:$D,A272,EV_Chargers!$I:$I)</f>
        <v>38</v>
      </c>
      <c r="D272" s="7" t="n">
        <f aca="false">COUNTIF(Transport_Stops!$E:$E,A272)</f>
        <v>2</v>
      </c>
      <c r="E272" s="7" t="n">
        <f aca="false">COUNTIF(Sports_Facilities!$C:$C,A272)</f>
        <v>0</v>
      </c>
      <c r="F272" s="7" t="n">
        <f aca="false">COUNTIF(Taxi_Ranks!$B:$B,A272)</f>
        <v>0</v>
      </c>
      <c r="G272" s="7" t="n">
        <f aca="false">B272+D272+E272+F272</f>
        <v>11</v>
      </c>
      <c r="H272" s="7" t="n">
        <f aca="false">(B272&gt;0)+(D272&gt;0)+(E272&gt;0)+(F272&gt;0)</f>
        <v>2</v>
      </c>
    </row>
    <row r="273" customFormat="false" ht="15" hidden="false" customHeight="false" outlineLevel="0" collapsed="false">
      <c r="A273" s="7" t="n">
        <v>2431</v>
      </c>
      <c r="B273" s="7" t="n">
        <f aca="false">COUNTIF(EV_Chargers!$D:$D,A273)</f>
        <v>5</v>
      </c>
      <c r="C273" s="7" t="n">
        <f aca="false">SUMIF(EV_Chargers!$D:$D,A273,EV_Chargers!$I:$I)</f>
        <v>12</v>
      </c>
      <c r="D273" s="7" t="n">
        <f aca="false">COUNTIF(Transport_Stops!$E:$E,A273)</f>
        <v>0</v>
      </c>
      <c r="E273" s="7" t="n">
        <f aca="false">COUNTIF(Sports_Facilities!$C:$C,A273)</f>
        <v>0</v>
      </c>
      <c r="F273" s="7" t="n">
        <f aca="false">COUNTIF(Taxi_Ranks!$B:$B,A273)</f>
        <v>0</v>
      </c>
      <c r="G273" s="7" t="n">
        <f aca="false">B273+D273+E273+F273</f>
        <v>5</v>
      </c>
      <c r="H273" s="7" t="n">
        <f aca="false">(B273&gt;0)+(D273&gt;0)+(E273&gt;0)+(F273&gt;0)</f>
        <v>1</v>
      </c>
    </row>
    <row r="274" customFormat="false" ht="15" hidden="false" customHeight="false" outlineLevel="0" collapsed="false">
      <c r="A274" s="7" t="n">
        <v>2439</v>
      </c>
      <c r="B274" s="7" t="n">
        <f aca="false">COUNTIF(EV_Chargers!$D:$D,A274)</f>
        <v>1</v>
      </c>
      <c r="C274" s="7" t="n">
        <f aca="false">SUMIF(EV_Chargers!$D:$D,A274,EV_Chargers!$I:$I)</f>
        <v>8</v>
      </c>
      <c r="D274" s="7" t="n">
        <f aca="false">COUNTIF(Transport_Stops!$E:$E,A274)</f>
        <v>1</v>
      </c>
      <c r="E274" s="7" t="n">
        <f aca="false">COUNTIF(Sports_Facilities!$C:$C,A274)</f>
        <v>0</v>
      </c>
      <c r="F274" s="7" t="n">
        <f aca="false">COUNTIF(Taxi_Ranks!$B:$B,A274)</f>
        <v>0</v>
      </c>
      <c r="G274" s="7" t="n">
        <f aca="false">B274+D274+E274+F274</f>
        <v>2</v>
      </c>
      <c r="H274" s="7" t="n">
        <f aca="false">(B274&gt;0)+(D274&gt;0)+(E274&gt;0)+(F274&gt;0)</f>
        <v>2</v>
      </c>
    </row>
    <row r="275" customFormat="false" ht="15" hidden="false" customHeight="false" outlineLevel="0" collapsed="false">
      <c r="A275" s="7" t="n">
        <v>2440</v>
      </c>
      <c r="B275" s="7" t="n">
        <f aca="false">COUNTIF(EV_Chargers!$D:$D,A275)</f>
        <v>3</v>
      </c>
      <c r="C275" s="7" t="n">
        <f aca="false">SUMIF(EV_Chargers!$D:$D,A275,EV_Chargers!$I:$I)</f>
        <v>6</v>
      </c>
      <c r="D275" s="7" t="n">
        <f aca="false">COUNTIF(Transport_Stops!$E:$E,A275)</f>
        <v>1</v>
      </c>
      <c r="E275" s="7" t="n">
        <f aca="false">COUNTIF(Sports_Facilities!$C:$C,A275)</f>
        <v>0</v>
      </c>
      <c r="F275" s="7" t="n">
        <f aca="false">COUNTIF(Taxi_Ranks!$B:$B,A275)</f>
        <v>0</v>
      </c>
      <c r="G275" s="7" t="n">
        <f aca="false">B275+D275+E275+F275</f>
        <v>4</v>
      </c>
      <c r="H275" s="7" t="n">
        <f aca="false">(B275&gt;0)+(D275&gt;0)+(E275&gt;0)+(F275&gt;0)</f>
        <v>2</v>
      </c>
    </row>
    <row r="276" customFormat="false" ht="15" hidden="false" customHeight="false" outlineLevel="0" collapsed="false">
      <c r="A276" s="7" t="n">
        <v>2441</v>
      </c>
      <c r="B276" s="7" t="n">
        <f aca="false">COUNTIF(EV_Chargers!$D:$D,A276)</f>
        <v>0</v>
      </c>
      <c r="C276" s="7" t="n">
        <f aca="false">SUMIF(EV_Chargers!$D:$D,A276,EV_Chargers!$I:$I)</f>
        <v>0</v>
      </c>
      <c r="D276" s="7" t="n">
        <f aca="false">COUNTIF(Transport_Stops!$E:$E,A276)</f>
        <v>1</v>
      </c>
      <c r="E276" s="7" t="n">
        <f aca="false">COUNTIF(Sports_Facilities!$C:$C,A276)</f>
        <v>0</v>
      </c>
      <c r="F276" s="7" t="n">
        <f aca="false">COUNTIF(Taxi_Ranks!$B:$B,A276)</f>
        <v>0</v>
      </c>
      <c r="G276" s="7" t="n">
        <f aca="false">B276+D276+E276+F276</f>
        <v>1</v>
      </c>
      <c r="H276" s="7" t="n">
        <f aca="false">(B276&gt;0)+(D276&gt;0)+(E276&gt;0)+(F276&gt;0)</f>
        <v>1</v>
      </c>
    </row>
    <row r="277" customFormat="false" ht="15" hidden="false" customHeight="false" outlineLevel="0" collapsed="false">
      <c r="A277" s="7" t="n">
        <v>2443</v>
      </c>
      <c r="B277" s="7" t="n">
        <f aca="false">COUNTIF(EV_Chargers!$D:$D,A277)</f>
        <v>1</v>
      </c>
      <c r="C277" s="7" t="n">
        <f aca="false">SUMIF(EV_Chargers!$D:$D,A277,EV_Chargers!$I:$I)</f>
        <v>2</v>
      </c>
      <c r="D277" s="7" t="n">
        <f aca="false">COUNTIF(Transport_Stops!$E:$E,A277)</f>
        <v>0</v>
      </c>
      <c r="E277" s="7" t="n">
        <f aca="false">COUNTIF(Sports_Facilities!$C:$C,A277)</f>
        <v>0</v>
      </c>
      <c r="F277" s="7" t="n">
        <f aca="false">COUNTIF(Taxi_Ranks!$B:$B,A277)</f>
        <v>0</v>
      </c>
      <c r="G277" s="7" t="n">
        <f aca="false">B277+D277+E277+F277</f>
        <v>1</v>
      </c>
      <c r="H277" s="7" t="n">
        <f aca="false">(B277&gt;0)+(D277&gt;0)+(E277&gt;0)+(F277&gt;0)</f>
        <v>1</v>
      </c>
    </row>
    <row r="278" customFormat="false" ht="15" hidden="false" customHeight="false" outlineLevel="0" collapsed="false">
      <c r="A278" s="7" t="n">
        <v>2444</v>
      </c>
      <c r="B278" s="7" t="n">
        <f aca="false">COUNTIF(EV_Chargers!$D:$D,A278)</f>
        <v>18</v>
      </c>
      <c r="C278" s="7" t="n">
        <f aca="false">SUMIF(EV_Chargers!$D:$D,A278,EV_Chargers!$I:$I)</f>
        <v>77</v>
      </c>
      <c r="D278" s="7" t="n">
        <f aca="false">COUNTIF(Transport_Stops!$E:$E,A278)</f>
        <v>1</v>
      </c>
      <c r="E278" s="7" t="n">
        <f aca="false">COUNTIF(Sports_Facilities!$C:$C,A278)</f>
        <v>0</v>
      </c>
      <c r="F278" s="7" t="n">
        <f aca="false">COUNTIF(Taxi_Ranks!$B:$B,A278)</f>
        <v>0</v>
      </c>
      <c r="G278" s="7" t="n">
        <f aca="false">B278+D278+E278+F278</f>
        <v>19</v>
      </c>
      <c r="H278" s="7" t="n">
        <f aca="false">(B278&gt;0)+(D278&gt;0)+(E278&gt;0)+(F278&gt;0)</f>
        <v>2</v>
      </c>
    </row>
    <row r="279" customFormat="false" ht="15" hidden="false" customHeight="false" outlineLevel="0" collapsed="false">
      <c r="A279" s="7" t="n">
        <v>2445</v>
      </c>
      <c r="B279" s="7" t="n">
        <f aca="false">COUNTIF(EV_Chargers!$D:$D,A279)</f>
        <v>3</v>
      </c>
      <c r="C279" s="7" t="n">
        <f aca="false">SUMIF(EV_Chargers!$D:$D,A279,EV_Chargers!$I:$I)</f>
        <v>10</v>
      </c>
      <c r="D279" s="7" t="n">
        <f aca="false">COUNTIF(Transport_Stops!$E:$E,A279)</f>
        <v>0</v>
      </c>
      <c r="E279" s="7" t="n">
        <f aca="false">COUNTIF(Sports_Facilities!$C:$C,A279)</f>
        <v>0</v>
      </c>
      <c r="F279" s="7" t="n">
        <f aca="false">COUNTIF(Taxi_Ranks!$B:$B,A279)</f>
        <v>0</v>
      </c>
      <c r="G279" s="7" t="n">
        <f aca="false">B279+D279+E279+F279</f>
        <v>3</v>
      </c>
      <c r="H279" s="7" t="n">
        <f aca="false">(B279&gt;0)+(D279&gt;0)+(E279&gt;0)+(F279&gt;0)</f>
        <v>1</v>
      </c>
    </row>
    <row r="280" customFormat="false" ht="15" hidden="false" customHeight="false" outlineLevel="0" collapsed="false">
      <c r="A280" s="7" t="n">
        <v>2446</v>
      </c>
      <c r="B280" s="7" t="n">
        <f aca="false">COUNTIF(EV_Chargers!$D:$D,A280)</f>
        <v>1</v>
      </c>
      <c r="C280" s="7" t="n">
        <f aca="false">SUMIF(EV_Chargers!$D:$D,A280,EV_Chargers!$I:$I)</f>
        <v>4</v>
      </c>
      <c r="D280" s="7" t="n">
        <f aca="false">COUNTIF(Transport_Stops!$E:$E,A280)</f>
        <v>2</v>
      </c>
      <c r="E280" s="7" t="n">
        <f aca="false">COUNTIF(Sports_Facilities!$C:$C,A280)</f>
        <v>0</v>
      </c>
      <c r="F280" s="7" t="n">
        <f aca="false">COUNTIF(Taxi_Ranks!$B:$B,A280)</f>
        <v>0</v>
      </c>
      <c r="G280" s="7" t="n">
        <f aca="false">B280+D280+E280+F280</f>
        <v>3</v>
      </c>
      <c r="H280" s="7" t="n">
        <f aca="false">(B280&gt;0)+(D280&gt;0)+(E280&gt;0)+(F280&gt;0)</f>
        <v>2</v>
      </c>
    </row>
    <row r="281" customFormat="false" ht="15" hidden="false" customHeight="false" outlineLevel="0" collapsed="false">
      <c r="A281" s="7" t="n">
        <v>2447</v>
      </c>
      <c r="B281" s="7" t="n">
        <f aca="false">COUNTIF(EV_Chargers!$D:$D,A281)</f>
        <v>4</v>
      </c>
      <c r="C281" s="7" t="n">
        <f aca="false">SUMIF(EV_Chargers!$D:$D,A281,EV_Chargers!$I:$I)</f>
        <v>15</v>
      </c>
      <c r="D281" s="7" t="n">
        <f aca="false">COUNTIF(Transport_Stops!$E:$E,A281)</f>
        <v>1</v>
      </c>
      <c r="E281" s="7" t="n">
        <f aca="false">COUNTIF(Sports_Facilities!$C:$C,A281)</f>
        <v>0</v>
      </c>
      <c r="F281" s="7" t="n">
        <f aca="false">COUNTIF(Taxi_Ranks!$B:$B,A281)</f>
        <v>0</v>
      </c>
      <c r="G281" s="7" t="n">
        <f aca="false">B281+D281+E281+F281</f>
        <v>5</v>
      </c>
      <c r="H281" s="7" t="n">
        <f aca="false">(B281&gt;0)+(D281&gt;0)+(E281&gt;0)+(F281&gt;0)</f>
        <v>2</v>
      </c>
    </row>
    <row r="282" customFormat="false" ht="15" hidden="false" customHeight="false" outlineLevel="0" collapsed="false">
      <c r="A282" s="7" t="n">
        <v>2448</v>
      </c>
      <c r="B282" s="7" t="n">
        <f aca="false">COUNTIF(EV_Chargers!$D:$D,A282)</f>
        <v>5</v>
      </c>
      <c r="C282" s="7" t="n">
        <f aca="false">SUMIF(EV_Chargers!$D:$D,A282,EV_Chargers!$I:$I)</f>
        <v>16</v>
      </c>
      <c r="D282" s="7" t="n">
        <f aca="false">COUNTIF(Transport_Stops!$E:$E,A282)</f>
        <v>2</v>
      </c>
      <c r="E282" s="7" t="n">
        <f aca="false">COUNTIF(Sports_Facilities!$C:$C,A282)</f>
        <v>0</v>
      </c>
      <c r="F282" s="7" t="n">
        <f aca="false">COUNTIF(Taxi_Ranks!$B:$B,A282)</f>
        <v>0</v>
      </c>
      <c r="G282" s="7" t="n">
        <f aca="false">B282+D282+E282+F282</f>
        <v>7</v>
      </c>
      <c r="H282" s="7" t="n">
        <f aca="false">(B282&gt;0)+(D282&gt;0)+(E282&gt;0)+(F282&gt;0)</f>
        <v>2</v>
      </c>
    </row>
    <row r="283" customFormat="false" ht="15" hidden="false" customHeight="false" outlineLevel="0" collapsed="false">
      <c r="A283" s="7" t="n">
        <v>2450</v>
      </c>
      <c r="B283" s="7" t="n">
        <f aca="false">COUNTIF(EV_Chargers!$D:$D,A283)</f>
        <v>15</v>
      </c>
      <c r="C283" s="7" t="n">
        <f aca="false">SUMIF(EV_Chargers!$D:$D,A283,EV_Chargers!$I:$I)</f>
        <v>73</v>
      </c>
      <c r="D283" s="7" t="n">
        <f aca="false">COUNTIF(Transport_Stops!$E:$E,A283)</f>
        <v>2</v>
      </c>
      <c r="E283" s="7" t="n">
        <f aca="false">COUNTIF(Sports_Facilities!$C:$C,A283)</f>
        <v>0</v>
      </c>
      <c r="F283" s="7" t="n">
        <f aca="false">COUNTIF(Taxi_Ranks!$B:$B,A283)</f>
        <v>0</v>
      </c>
      <c r="G283" s="7" t="n">
        <f aca="false">B283+D283+E283+F283</f>
        <v>17</v>
      </c>
      <c r="H283" s="7" t="n">
        <f aca="false">(B283&gt;0)+(D283&gt;0)+(E283&gt;0)+(F283&gt;0)</f>
        <v>2</v>
      </c>
    </row>
    <row r="284" customFormat="false" ht="15" hidden="false" customHeight="false" outlineLevel="0" collapsed="false">
      <c r="A284" s="7" t="n">
        <v>2452</v>
      </c>
      <c r="B284" s="7" t="n">
        <f aca="false">COUNTIF(EV_Chargers!$D:$D,A284)</f>
        <v>1</v>
      </c>
      <c r="C284" s="7" t="n">
        <f aca="false">SUMIF(EV_Chargers!$D:$D,A284,EV_Chargers!$I:$I)</f>
        <v>2</v>
      </c>
      <c r="D284" s="7" t="n">
        <f aca="false">COUNTIF(Transport_Stops!$E:$E,A284)</f>
        <v>1</v>
      </c>
      <c r="E284" s="7" t="n">
        <f aca="false">COUNTIF(Sports_Facilities!$C:$C,A284)</f>
        <v>0</v>
      </c>
      <c r="F284" s="7" t="n">
        <f aca="false">COUNTIF(Taxi_Ranks!$B:$B,A284)</f>
        <v>0</v>
      </c>
      <c r="G284" s="7" t="n">
        <f aca="false">B284+D284+E284+F284</f>
        <v>2</v>
      </c>
      <c r="H284" s="7" t="n">
        <f aca="false">(B284&gt;0)+(D284&gt;0)+(E284&gt;0)+(F284&gt;0)</f>
        <v>2</v>
      </c>
    </row>
    <row r="285" customFormat="false" ht="15" hidden="false" customHeight="false" outlineLevel="0" collapsed="false">
      <c r="A285" s="7" t="n">
        <v>2453</v>
      </c>
      <c r="B285" s="7" t="n">
        <f aca="false">COUNTIF(EV_Chargers!$D:$D,A285)</f>
        <v>1</v>
      </c>
      <c r="C285" s="7" t="n">
        <f aca="false">SUMIF(EV_Chargers!$D:$D,A285,EV_Chargers!$I:$I)</f>
        <v>4</v>
      </c>
      <c r="D285" s="7" t="n">
        <f aca="false">COUNTIF(Transport_Stops!$E:$E,A285)</f>
        <v>0</v>
      </c>
      <c r="E285" s="7" t="n">
        <f aca="false">COUNTIF(Sports_Facilities!$C:$C,A285)</f>
        <v>0</v>
      </c>
      <c r="F285" s="7" t="n">
        <f aca="false">COUNTIF(Taxi_Ranks!$B:$B,A285)</f>
        <v>0</v>
      </c>
      <c r="G285" s="7" t="n">
        <f aca="false">B285+D285+E285+F285</f>
        <v>1</v>
      </c>
      <c r="H285" s="7" t="n">
        <f aca="false">(B285&gt;0)+(D285&gt;0)+(E285&gt;0)+(F285&gt;0)</f>
        <v>1</v>
      </c>
    </row>
    <row r="286" customFormat="false" ht="15" hidden="false" customHeight="false" outlineLevel="0" collapsed="false">
      <c r="A286" s="7" t="n">
        <v>2454</v>
      </c>
      <c r="B286" s="7" t="n">
        <f aca="false">COUNTIF(EV_Chargers!$D:$D,A286)</f>
        <v>3</v>
      </c>
      <c r="C286" s="7" t="n">
        <f aca="false">SUMIF(EV_Chargers!$D:$D,A286,EV_Chargers!$I:$I)</f>
        <v>4</v>
      </c>
      <c r="D286" s="7" t="n">
        <f aca="false">COUNTIF(Transport_Stops!$E:$E,A286)</f>
        <v>0</v>
      </c>
      <c r="E286" s="7" t="n">
        <f aca="false">COUNTIF(Sports_Facilities!$C:$C,A286)</f>
        <v>0</v>
      </c>
      <c r="F286" s="7" t="n">
        <f aca="false">COUNTIF(Taxi_Ranks!$B:$B,A286)</f>
        <v>0</v>
      </c>
      <c r="G286" s="7" t="n">
        <f aca="false">B286+D286+E286+F286</f>
        <v>3</v>
      </c>
      <c r="H286" s="7" t="n">
        <f aca="false">(B286&gt;0)+(D286&gt;0)+(E286&gt;0)+(F286&gt;0)</f>
        <v>1</v>
      </c>
    </row>
    <row r="287" customFormat="false" ht="15" hidden="false" customHeight="false" outlineLevel="0" collapsed="false">
      <c r="A287" s="7" t="n">
        <v>2455</v>
      </c>
      <c r="B287" s="7" t="n">
        <f aca="false">COUNTIF(EV_Chargers!$D:$D,A287)</f>
        <v>1</v>
      </c>
      <c r="C287" s="7" t="n">
        <f aca="false">SUMIF(EV_Chargers!$D:$D,A287,EV_Chargers!$I:$I)</f>
        <v>2</v>
      </c>
      <c r="D287" s="7" t="n">
        <f aca="false">COUNTIF(Transport_Stops!$E:$E,A287)</f>
        <v>1</v>
      </c>
      <c r="E287" s="7" t="n">
        <f aca="false">COUNTIF(Sports_Facilities!$C:$C,A287)</f>
        <v>0</v>
      </c>
      <c r="F287" s="7" t="n">
        <f aca="false">COUNTIF(Taxi_Ranks!$B:$B,A287)</f>
        <v>0</v>
      </c>
      <c r="G287" s="7" t="n">
        <f aca="false">B287+D287+E287+F287</f>
        <v>2</v>
      </c>
      <c r="H287" s="7" t="n">
        <f aca="false">(B287&gt;0)+(D287&gt;0)+(E287&gt;0)+(F287&gt;0)</f>
        <v>2</v>
      </c>
    </row>
    <row r="288" customFormat="false" ht="15" hidden="false" customHeight="false" outlineLevel="0" collapsed="false">
      <c r="A288" s="7" t="n">
        <v>2460</v>
      </c>
      <c r="B288" s="7" t="n">
        <f aca="false">COUNTIF(EV_Chargers!$D:$D,A288)</f>
        <v>4</v>
      </c>
      <c r="C288" s="7" t="n">
        <f aca="false">SUMIF(EV_Chargers!$D:$D,A288,EV_Chargers!$I:$I)</f>
        <v>12</v>
      </c>
      <c r="D288" s="7" t="n">
        <f aca="false">COUNTIF(Transport_Stops!$E:$E,A288)</f>
        <v>5</v>
      </c>
      <c r="E288" s="7" t="n">
        <f aca="false">COUNTIF(Sports_Facilities!$C:$C,A288)</f>
        <v>0</v>
      </c>
      <c r="F288" s="7" t="n">
        <f aca="false">COUNTIF(Taxi_Ranks!$B:$B,A288)</f>
        <v>0</v>
      </c>
      <c r="G288" s="7" t="n">
        <f aca="false">B288+D288+E288+F288</f>
        <v>9</v>
      </c>
      <c r="H288" s="7" t="n">
        <f aca="false">(B288&gt;0)+(D288&gt;0)+(E288&gt;0)+(F288&gt;0)</f>
        <v>2</v>
      </c>
    </row>
    <row r="289" customFormat="false" ht="15" hidden="false" customHeight="false" outlineLevel="0" collapsed="false">
      <c r="A289" s="7" t="n">
        <v>2462</v>
      </c>
      <c r="B289" s="7" t="n">
        <f aca="false">COUNTIF(EV_Chargers!$D:$D,A289)</f>
        <v>0</v>
      </c>
      <c r="C289" s="7" t="n">
        <f aca="false">SUMIF(EV_Chargers!$D:$D,A289,EV_Chargers!$I:$I)</f>
        <v>0</v>
      </c>
      <c r="D289" s="7" t="n">
        <f aca="false">COUNTIF(Transport_Stops!$E:$E,A289)</f>
        <v>1</v>
      </c>
      <c r="E289" s="7" t="n">
        <f aca="false">COUNTIF(Sports_Facilities!$C:$C,A289)</f>
        <v>0</v>
      </c>
      <c r="F289" s="7" t="n">
        <f aca="false">COUNTIF(Taxi_Ranks!$B:$B,A289)</f>
        <v>0</v>
      </c>
      <c r="G289" s="7" t="n">
        <f aca="false">B289+D289+E289+F289</f>
        <v>1</v>
      </c>
      <c r="H289" s="7" t="n">
        <f aca="false">(B289&gt;0)+(D289&gt;0)+(E289&gt;0)+(F289&gt;0)</f>
        <v>1</v>
      </c>
    </row>
    <row r="290" customFormat="false" ht="15" hidden="false" customHeight="false" outlineLevel="0" collapsed="false">
      <c r="A290" s="7" t="n">
        <v>2463</v>
      </c>
      <c r="B290" s="7" t="n">
        <f aca="false">COUNTIF(EV_Chargers!$D:$D,A290)</f>
        <v>3</v>
      </c>
      <c r="C290" s="7" t="n">
        <f aca="false">SUMIF(EV_Chargers!$D:$D,A290,EV_Chargers!$I:$I)</f>
        <v>8</v>
      </c>
      <c r="D290" s="7" t="n">
        <f aca="false">COUNTIF(Transport_Stops!$E:$E,A290)</f>
        <v>2</v>
      </c>
      <c r="E290" s="7" t="n">
        <f aca="false">COUNTIF(Sports_Facilities!$C:$C,A290)</f>
        <v>0</v>
      </c>
      <c r="F290" s="7" t="n">
        <f aca="false">COUNTIF(Taxi_Ranks!$B:$B,A290)</f>
        <v>0</v>
      </c>
      <c r="G290" s="7" t="n">
        <f aca="false">B290+D290+E290+F290</f>
        <v>5</v>
      </c>
      <c r="H290" s="7" t="n">
        <f aca="false">(B290&gt;0)+(D290&gt;0)+(E290&gt;0)+(F290&gt;0)</f>
        <v>2</v>
      </c>
    </row>
    <row r="291" customFormat="false" ht="15" hidden="false" customHeight="false" outlineLevel="0" collapsed="false">
      <c r="A291" s="7" t="n">
        <v>2464</v>
      </c>
      <c r="B291" s="7" t="n">
        <f aca="false">COUNTIF(EV_Chargers!$D:$D,A291)</f>
        <v>4</v>
      </c>
      <c r="C291" s="7" t="n">
        <f aca="false">SUMIF(EV_Chargers!$D:$D,A291,EV_Chargers!$I:$I)</f>
        <v>12</v>
      </c>
      <c r="D291" s="7" t="n">
        <f aca="false">COUNTIF(Transport_Stops!$E:$E,A291)</f>
        <v>2</v>
      </c>
      <c r="E291" s="7" t="n">
        <f aca="false">COUNTIF(Sports_Facilities!$C:$C,A291)</f>
        <v>0</v>
      </c>
      <c r="F291" s="7" t="n">
        <f aca="false">COUNTIF(Taxi_Ranks!$B:$B,A291)</f>
        <v>0</v>
      </c>
      <c r="G291" s="7" t="n">
        <f aca="false">B291+D291+E291+F291</f>
        <v>6</v>
      </c>
      <c r="H291" s="7" t="n">
        <f aca="false">(B291&gt;0)+(D291&gt;0)+(E291&gt;0)+(F291&gt;0)</f>
        <v>2</v>
      </c>
    </row>
    <row r="292" customFormat="false" ht="15" hidden="false" customHeight="false" outlineLevel="0" collapsed="false">
      <c r="A292" s="7" t="n">
        <v>2465</v>
      </c>
      <c r="B292" s="7" t="n">
        <f aca="false">COUNTIF(EV_Chargers!$D:$D,A292)</f>
        <v>1</v>
      </c>
      <c r="C292" s="7" t="n">
        <f aca="false">SUMIF(EV_Chargers!$D:$D,A292,EV_Chargers!$I:$I)</f>
        <v>8</v>
      </c>
      <c r="D292" s="7" t="n">
        <f aca="false">COUNTIF(Transport_Stops!$E:$E,A292)</f>
        <v>0</v>
      </c>
      <c r="E292" s="7" t="n">
        <f aca="false">COUNTIF(Sports_Facilities!$C:$C,A292)</f>
        <v>0</v>
      </c>
      <c r="F292" s="7" t="n">
        <f aca="false">COUNTIF(Taxi_Ranks!$B:$B,A292)</f>
        <v>0</v>
      </c>
      <c r="G292" s="7" t="n">
        <f aca="false">B292+D292+E292+F292</f>
        <v>1</v>
      </c>
      <c r="H292" s="7" t="n">
        <f aca="false">(B292&gt;0)+(D292&gt;0)+(E292&gt;0)+(F292&gt;0)</f>
        <v>1</v>
      </c>
    </row>
    <row r="293" customFormat="false" ht="15" hidden="false" customHeight="false" outlineLevel="0" collapsed="false">
      <c r="A293" s="7" t="n">
        <v>2466</v>
      </c>
      <c r="B293" s="7" t="n">
        <f aca="false">COUNTIF(EV_Chargers!$D:$D,A293)</f>
        <v>0</v>
      </c>
      <c r="C293" s="7" t="n">
        <f aca="false">SUMIF(EV_Chargers!$D:$D,A293,EV_Chargers!$I:$I)</f>
        <v>0</v>
      </c>
      <c r="D293" s="7" t="n">
        <f aca="false">COUNTIF(Transport_Stops!$E:$E,A293)</f>
        <v>1</v>
      </c>
      <c r="E293" s="7" t="n">
        <f aca="false">COUNTIF(Sports_Facilities!$C:$C,A293)</f>
        <v>0</v>
      </c>
      <c r="F293" s="7" t="n">
        <f aca="false">COUNTIF(Taxi_Ranks!$B:$B,A293)</f>
        <v>0</v>
      </c>
      <c r="G293" s="7" t="n">
        <f aca="false">B293+D293+E293+F293</f>
        <v>1</v>
      </c>
      <c r="H293" s="7" t="n">
        <f aca="false">(B293&gt;0)+(D293&gt;0)+(E293&gt;0)+(F293&gt;0)</f>
        <v>1</v>
      </c>
    </row>
    <row r="294" customFormat="false" ht="15" hidden="false" customHeight="false" outlineLevel="0" collapsed="false">
      <c r="A294" s="7" t="n">
        <v>2469</v>
      </c>
      <c r="B294" s="7" t="n">
        <f aca="false">COUNTIF(EV_Chargers!$D:$D,A294)</f>
        <v>3</v>
      </c>
      <c r="C294" s="7" t="n">
        <f aca="false">SUMIF(EV_Chargers!$D:$D,A294,EV_Chargers!$I:$I)</f>
        <v>6</v>
      </c>
      <c r="D294" s="7" t="n">
        <f aca="false">COUNTIF(Transport_Stops!$E:$E,A294)</f>
        <v>2</v>
      </c>
      <c r="E294" s="7" t="n">
        <f aca="false">COUNTIF(Sports_Facilities!$C:$C,A294)</f>
        <v>0</v>
      </c>
      <c r="F294" s="7" t="n">
        <f aca="false">COUNTIF(Taxi_Ranks!$B:$B,A294)</f>
        <v>0</v>
      </c>
      <c r="G294" s="7" t="n">
        <f aca="false">B294+D294+E294+F294</f>
        <v>5</v>
      </c>
      <c r="H294" s="7" t="n">
        <f aca="false">(B294&gt;0)+(D294&gt;0)+(E294&gt;0)+(F294&gt;0)</f>
        <v>2</v>
      </c>
    </row>
    <row r="295" customFormat="false" ht="15" hidden="false" customHeight="false" outlineLevel="0" collapsed="false">
      <c r="A295" s="7" t="n">
        <v>2470</v>
      </c>
      <c r="B295" s="7" t="n">
        <f aca="false">COUNTIF(EV_Chargers!$D:$D,A295)</f>
        <v>4</v>
      </c>
      <c r="C295" s="7" t="n">
        <f aca="false">SUMIF(EV_Chargers!$D:$D,A295,EV_Chargers!$I:$I)</f>
        <v>9</v>
      </c>
      <c r="D295" s="7" t="n">
        <f aca="false">COUNTIF(Transport_Stops!$E:$E,A295)</f>
        <v>1</v>
      </c>
      <c r="E295" s="7" t="n">
        <f aca="false">COUNTIF(Sports_Facilities!$C:$C,A295)</f>
        <v>0</v>
      </c>
      <c r="F295" s="7" t="n">
        <f aca="false">COUNTIF(Taxi_Ranks!$B:$B,A295)</f>
        <v>0</v>
      </c>
      <c r="G295" s="7" t="n">
        <f aca="false">B295+D295+E295+F295</f>
        <v>5</v>
      </c>
      <c r="H295" s="7" t="n">
        <f aca="false">(B295&gt;0)+(D295&gt;0)+(E295&gt;0)+(F295&gt;0)</f>
        <v>2</v>
      </c>
    </row>
    <row r="296" customFormat="false" ht="15" hidden="false" customHeight="false" outlineLevel="0" collapsed="false">
      <c r="A296" s="7" t="n">
        <v>2472</v>
      </c>
      <c r="B296" s="7" t="n">
        <f aca="false">COUNTIF(EV_Chargers!$D:$D,A296)</f>
        <v>1</v>
      </c>
      <c r="C296" s="7" t="n">
        <f aca="false">SUMIF(EV_Chargers!$D:$D,A296,EV_Chargers!$I:$I)</f>
        <v>12</v>
      </c>
      <c r="D296" s="7" t="n">
        <f aca="false">COUNTIF(Transport_Stops!$E:$E,A296)</f>
        <v>2</v>
      </c>
      <c r="E296" s="7" t="n">
        <f aca="false">COUNTIF(Sports_Facilities!$C:$C,A296)</f>
        <v>0</v>
      </c>
      <c r="F296" s="7" t="n">
        <f aca="false">COUNTIF(Taxi_Ranks!$B:$B,A296)</f>
        <v>0</v>
      </c>
      <c r="G296" s="7" t="n">
        <f aca="false">B296+D296+E296+F296</f>
        <v>3</v>
      </c>
      <c r="H296" s="7" t="n">
        <f aca="false">(B296&gt;0)+(D296&gt;0)+(E296&gt;0)+(F296&gt;0)</f>
        <v>2</v>
      </c>
    </row>
    <row r="297" customFormat="false" ht="15" hidden="false" customHeight="false" outlineLevel="0" collapsed="false">
      <c r="A297" s="7" t="n">
        <v>2473</v>
      </c>
      <c r="B297" s="7" t="n">
        <f aca="false">COUNTIF(EV_Chargers!$D:$D,A297)</f>
        <v>3</v>
      </c>
      <c r="C297" s="7" t="n">
        <f aca="false">SUMIF(EV_Chargers!$D:$D,A297,EV_Chargers!$I:$I)</f>
        <v>7</v>
      </c>
      <c r="D297" s="7" t="n">
        <f aca="false">COUNTIF(Transport_Stops!$E:$E,A297)</f>
        <v>1</v>
      </c>
      <c r="E297" s="7" t="n">
        <f aca="false">COUNTIF(Sports_Facilities!$C:$C,A297)</f>
        <v>0</v>
      </c>
      <c r="F297" s="7" t="n">
        <f aca="false">COUNTIF(Taxi_Ranks!$B:$B,A297)</f>
        <v>0</v>
      </c>
      <c r="G297" s="7" t="n">
        <f aca="false">B297+D297+E297+F297</f>
        <v>4</v>
      </c>
      <c r="H297" s="7" t="n">
        <f aca="false">(B297&gt;0)+(D297&gt;0)+(E297&gt;0)+(F297&gt;0)</f>
        <v>2</v>
      </c>
    </row>
    <row r="298" customFormat="false" ht="15" hidden="false" customHeight="false" outlineLevel="0" collapsed="false">
      <c r="A298" s="7" t="n">
        <v>2474</v>
      </c>
      <c r="B298" s="7" t="n">
        <f aca="false">COUNTIF(EV_Chargers!$D:$D,A298)</f>
        <v>4</v>
      </c>
      <c r="C298" s="7" t="n">
        <f aca="false">SUMIF(EV_Chargers!$D:$D,A298,EV_Chargers!$I:$I)</f>
        <v>8</v>
      </c>
      <c r="D298" s="7" t="n">
        <f aca="false">COUNTIF(Transport_Stops!$E:$E,A298)</f>
        <v>1</v>
      </c>
      <c r="E298" s="7" t="n">
        <f aca="false">COUNTIF(Sports_Facilities!$C:$C,A298)</f>
        <v>0</v>
      </c>
      <c r="F298" s="7" t="n">
        <f aca="false">COUNTIF(Taxi_Ranks!$B:$B,A298)</f>
        <v>0</v>
      </c>
      <c r="G298" s="7" t="n">
        <f aca="false">B298+D298+E298+F298</f>
        <v>5</v>
      </c>
      <c r="H298" s="7" t="n">
        <f aca="false">(B298&gt;0)+(D298&gt;0)+(E298&gt;0)+(F298&gt;0)</f>
        <v>2</v>
      </c>
    </row>
    <row r="299" customFormat="false" ht="15" hidden="false" customHeight="false" outlineLevel="0" collapsed="false">
      <c r="A299" s="7" t="n">
        <v>2476</v>
      </c>
      <c r="B299" s="7" t="n">
        <f aca="false">COUNTIF(EV_Chargers!$D:$D,A299)</f>
        <v>1</v>
      </c>
      <c r="C299" s="7" t="n">
        <f aca="false">SUMIF(EV_Chargers!$D:$D,A299,EV_Chargers!$I:$I)</f>
        <v>2</v>
      </c>
      <c r="D299" s="7" t="n">
        <f aca="false">COUNTIF(Transport_Stops!$E:$E,A299)</f>
        <v>0</v>
      </c>
      <c r="E299" s="7" t="n">
        <f aca="false">COUNTIF(Sports_Facilities!$C:$C,A299)</f>
        <v>0</v>
      </c>
      <c r="F299" s="7" t="n">
        <f aca="false">COUNTIF(Taxi_Ranks!$B:$B,A299)</f>
        <v>0</v>
      </c>
      <c r="G299" s="7" t="n">
        <f aca="false">B299+D299+E299+F299</f>
        <v>1</v>
      </c>
      <c r="H299" s="7" t="n">
        <f aca="false">(B299&gt;0)+(D299&gt;0)+(E299&gt;0)+(F299&gt;0)</f>
        <v>1</v>
      </c>
    </row>
    <row r="300" customFormat="false" ht="15" hidden="false" customHeight="false" outlineLevel="0" collapsed="false">
      <c r="A300" s="7" t="n">
        <v>2477</v>
      </c>
      <c r="B300" s="7" t="n">
        <f aca="false">COUNTIF(EV_Chargers!$D:$D,A300)</f>
        <v>1</v>
      </c>
      <c r="C300" s="7" t="n">
        <f aca="false">SUMIF(EV_Chargers!$D:$D,A300,EV_Chargers!$I:$I)</f>
        <v>1</v>
      </c>
      <c r="D300" s="7" t="n">
        <f aca="false">COUNTIF(Transport_Stops!$E:$E,A300)</f>
        <v>3</v>
      </c>
      <c r="E300" s="7" t="n">
        <f aca="false">COUNTIF(Sports_Facilities!$C:$C,A300)</f>
        <v>0</v>
      </c>
      <c r="F300" s="7" t="n">
        <f aca="false">COUNTIF(Taxi_Ranks!$B:$B,A300)</f>
        <v>0</v>
      </c>
      <c r="G300" s="7" t="n">
        <f aca="false">B300+D300+E300+F300</f>
        <v>4</v>
      </c>
      <c r="H300" s="7" t="n">
        <f aca="false">(B300&gt;0)+(D300&gt;0)+(E300&gt;0)+(F300&gt;0)</f>
        <v>2</v>
      </c>
    </row>
    <row r="301" customFormat="false" ht="15" hidden="false" customHeight="false" outlineLevel="0" collapsed="false">
      <c r="A301" s="7" t="n">
        <v>2478</v>
      </c>
      <c r="B301" s="7" t="n">
        <f aca="false">COUNTIF(EV_Chargers!$D:$D,A301)</f>
        <v>10</v>
      </c>
      <c r="C301" s="7" t="n">
        <f aca="false">SUMIF(EV_Chargers!$D:$D,A301,EV_Chargers!$I:$I)</f>
        <v>23</v>
      </c>
      <c r="D301" s="7" t="n">
        <f aca="false">COUNTIF(Transport_Stops!$E:$E,A301)</f>
        <v>3</v>
      </c>
      <c r="E301" s="7" t="n">
        <f aca="false">COUNTIF(Sports_Facilities!$C:$C,A301)</f>
        <v>0</v>
      </c>
      <c r="F301" s="7" t="n">
        <f aca="false">COUNTIF(Taxi_Ranks!$B:$B,A301)</f>
        <v>0</v>
      </c>
      <c r="G301" s="7" t="n">
        <f aca="false">B301+D301+E301+F301</f>
        <v>13</v>
      </c>
      <c r="H301" s="7" t="n">
        <f aca="false">(B301&gt;0)+(D301&gt;0)+(E301&gt;0)+(F301&gt;0)</f>
        <v>2</v>
      </c>
    </row>
    <row r="302" customFormat="false" ht="15" hidden="false" customHeight="false" outlineLevel="0" collapsed="false">
      <c r="A302" s="7" t="n">
        <v>2479</v>
      </c>
      <c r="B302" s="7" t="n">
        <f aca="false">COUNTIF(EV_Chargers!$D:$D,A302)</f>
        <v>3</v>
      </c>
      <c r="C302" s="7" t="n">
        <f aca="false">SUMIF(EV_Chargers!$D:$D,A302,EV_Chargers!$I:$I)</f>
        <v>16</v>
      </c>
      <c r="D302" s="7" t="n">
        <f aca="false">COUNTIF(Transport_Stops!$E:$E,A302)</f>
        <v>2</v>
      </c>
      <c r="E302" s="7" t="n">
        <f aca="false">COUNTIF(Sports_Facilities!$C:$C,A302)</f>
        <v>0</v>
      </c>
      <c r="F302" s="7" t="n">
        <f aca="false">COUNTIF(Taxi_Ranks!$B:$B,A302)</f>
        <v>0</v>
      </c>
      <c r="G302" s="7" t="n">
        <f aca="false">B302+D302+E302+F302</f>
        <v>5</v>
      </c>
      <c r="H302" s="7" t="n">
        <f aca="false">(B302&gt;0)+(D302&gt;0)+(E302&gt;0)+(F302&gt;0)</f>
        <v>2</v>
      </c>
    </row>
    <row r="303" customFormat="false" ht="15" hidden="false" customHeight="false" outlineLevel="0" collapsed="false">
      <c r="A303" s="7" t="n">
        <v>2480</v>
      </c>
      <c r="B303" s="7" t="n">
        <f aca="false">COUNTIF(EV_Chargers!$D:$D,A303)</f>
        <v>5</v>
      </c>
      <c r="C303" s="7" t="n">
        <f aca="false">SUMIF(EV_Chargers!$D:$D,A303,EV_Chargers!$I:$I)</f>
        <v>13</v>
      </c>
      <c r="D303" s="7" t="n">
        <f aca="false">COUNTIF(Transport_Stops!$E:$E,A303)</f>
        <v>6</v>
      </c>
      <c r="E303" s="7" t="n">
        <f aca="false">COUNTIF(Sports_Facilities!$C:$C,A303)</f>
        <v>0</v>
      </c>
      <c r="F303" s="7" t="n">
        <f aca="false">COUNTIF(Taxi_Ranks!$B:$B,A303)</f>
        <v>0</v>
      </c>
      <c r="G303" s="7" t="n">
        <f aca="false">B303+D303+E303+F303</f>
        <v>11</v>
      </c>
      <c r="H303" s="7" t="n">
        <f aca="false">(B303&gt;0)+(D303&gt;0)+(E303&gt;0)+(F303&gt;0)</f>
        <v>2</v>
      </c>
    </row>
    <row r="304" customFormat="false" ht="15" hidden="false" customHeight="false" outlineLevel="0" collapsed="false">
      <c r="A304" s="7" t="n">
        <v>2481</v>
      </c>
      <c r="B304" s="7" t="n">
        <f aca="false">COUNTIF(EV_Chargers!$D:$D,A304)</f>
        <v>20</v>
      </c>
      <c r="C304" s="7" t="n">
        <f aca="false">SUMIF(EV_Chargers!$D:$D,A304,EV_Chargers!$I:$I)</f>
        <v>60</v>
      </c>
      <c r="D304" s="7" t="n">
        <f aca="false">COUNTIF(Transport_Stops!$E:$E,A304)</f>
        <v>2</v>
      </c>
      <c r="E304" s="7" t="n">
        <f aca="false">COUNTIF(Sports_Facilities!$C:$C,A304)</f>
        <v>0</v>
      </c>
      <c r="F304" s="7" t="n">
        <f aca="false">COUNTIF(Taxi_Ranks!$B:$B,A304)</f>
        <v>0</v>
      </c>
      <c r="G304" s="7" t="n">
        <f aca="false">B304+D304+E304+F304</f>
        <v>22</v>
      </c>
      <c r="H304" s="7" t="n">
        <f aca="false">(B304&gt;0)+(D304&gt;0)+(E304&gt;0)+(F304&gt;0)</f>
        <v>2</v>
      </c>
    </row>
    <row r="305" customFormat="false" ht="15" hidden="false" customHeight="false" outlineLevel="0" collapsed="false">
      <c r="A305" s="7" t="n">
        <v>2482</v>
      </c>
      <c r="B305" s="7" t="n">
        <f aca="false">COUNTIF(EV_Chargers!$D:$D,A305)</f>
        <v>2</v>
      </c>
      <c r="C305" s="7" t="n">
        <f aca="false">SUMIF(EV_Chargers!$D:$D,A305,EV_Chargers!$I:$I)</f>
        <v>4</v>
      </c>
      <c r="D305" s="7" t="n">
        <f aca="false">COUNTIF(Transport_Stops!$E:$E,A305)</f>
        <v>1</v>
      </c>
      <c r="E305" s="7" t="n">
        <f aca="false">COUNTIF(Sports_Facilities!$C:$C,A305)</f>
        <v>0</v>
      </c>
      <c r="F305" s="7" t="n">
        <f aca="false">COUNTIF(Taxi_Ranks!$B:$B,A305)</f>
        <v>0</v>
      </c>
      <c r="G305" s="7" t="n">
        <f aca="false">B305+D305+E305+F305</f>
        <v>3</v>
      </c>
      <c r="H305" s="7" t="n">
        <f aca="false">(B305&gt;0)+(D305&gt;0)+(E305&gt;0)+(F305&gt;0)</f>
        <v>2</v>
      </c>
    </row>
    <row r="306" customFormat="false" ht="15" hidden="false" customHeight="false" outlineLevel="0" collapsed="false">
      <c r="A306" s="7" t="n">
        <v>2483</v>
      </c>
      <c r="B306" s="7" t="n">
        <f aca="false">COUNTIF(EV_Chargers!$D:$D,A306)</f>
        <v>2</v>
      </c>
      <c r="C306" s="7" t="n">
        <f aca="false">SUMIF(EV_Chargers!$D:$D,A306,EV_Chargers!$I:$I)</f>
        <v>5</v>
      </c>
      <c r="D306" s="7" t="n">
        <f aca="false">COUNTIF(Transport_Stops!$E:$E,A306)</f>
        <v>5</v>
      </c>
      <c r="E306" s="7" t="n">
        <f aca="false">COUNTIF(Sports_Facilities!$C:$C,A306)</f>
        <v>0</v>
      </c>
      <c r="F306" s="7" t="n">
        <f aca="false">COUNTIF(Taxi_Ranks!$B:$B,A306)</f>
        <v>0</v>
      </c>
      <c r="G306" s="7" t="n">
        <f aca="false">B306+D306+E306+F306</f>
        <v>7</v>
      </c>
      <c r="H306" s="7" t="n">
        <f aca="false">(B306&gt;0)+(D306&gt;0)+(E306&gt;0)+(F306&gt;0)</f>
        <v>2</v>
      </c>
    </row>
    <row r="307" customFormat="false" ht="15" hidden="false" customHeight="false" outlineLevel="0" collapsed="false">
      <c r="A307" s="7" t="n">
        <v>2484</v>
      </c>
      <c r="B307" s="7" t="n">
        <f aca="false">COUNTIF(EV_Chargers!$D:$D,A307)</f>
        <v>1</v>
      </c>
      <c r="C307" s="7" t="n">
        <f aca="false">SUMIF(EV_Chargers!$D:$D,A307,EV_Chargers!$I:$I)</f>
        <v>2</v>
      </c>
      <c r="D307" s="7" t="n">
        <f aca="false">COUNTIF(Transport_Stops!$E:$E,A307)</f>
        <v>1</v>
      </c>
      <c r="E307" s="7" t="n">
        <f aca="false">COUNTIF(Sports_Facilities!$C:$C,A307)</f>
        <v>0</v>
      </c>
      <c r="F307" s="7" t="n">
        <f aca="false">COUNTIF(Taxi_Ranks!$B:$B,A307)</f>
        <v>0</v>
      </c>
      <c r="G307" s="7" t="n">
        <f aca="false">B307+D307+E307+F307</f>
        <v>2</v>
      </c>
      <c r="H307" s="7" t="n">
        <f aca="false">(B307&gt;0)+(D307&gt;0)+(E307&gt;0)+(F307&gt;0)</f>
        <v>2</v>
      </c>
    </row>
    <row r="308" customFormat="false" ht="15" hidden="false" customHeight="false" outlineLevel="0" collapsed="false">
      <c r="A308" s="7" t="n">
        <v>2485</v>
      </c>
      <c r="B308" s="7" t="n">
        <f aca="false">COUNTIF(EV_Chargers!$D:$D,A308)</f>
        <v>7</v>
      </c>
      <c r="C308" s="7" t="n">
        <f aca="false">SUMIF(EV_Chargers!$D:$D,A308,EV_Chargers!$I:$I)</f>
        <v>22</v>
      </c>
      <c r="D308" s="7" t="n">
        <f aca="false">COUNTIF(Transport_Stops!$E:$E,A308)</f>
        <v>1</v>
      </c>
      <c r="E308" s="7" t="n">
        <f aca="false">COUNTIF(Sports_Facilities!$C:$C,A308)</f>
        <v>0</v>
      </c>
      <c r="F308" s="7" t="n">
        <f aca="false">COUNTIF(Taxi_Ranks!$B:$B,A308)</f>
        <v>0</v>
      </c>
      <c r="G308" s="7" t="n">
        <f aca="false">B308+D308+E308+F308</f>
        <v>8</v>
      </c>
      <c r="H308" s="7" t="n">
        <f aca="false">(B308&gt;0)+(D308&gt;0)+(E308&gt;0)+(F308&gt;0)</f>
        <v>2</v>
      </c>
    </row>
    <row r="309" customFormat="false" ht="15" hidden="false" customHeight="false" outlineLevel="0" collapsed="false">
      <c r="A309" s="7" t="n">
        <v>2486</v>
      </c>
      <c r="B309" s="7" t="n">
        <f aca="false">COUNTIF(EV_Chargers!$D:$D,A309)</f>
        <v>4</v>
      </c>
      <c r="C309" s="7" t="n">
        <f aca="false">SUMIF(EV_Chargers!$D:$D,A309,EV_Chargers!$I:$I)</f>
        <v>14</v>
      </c>
      <c r="D309" s="7" t="n">
        <f aca="false">COUNTIF(Transport_Stops!$E:$E,A309)</f>
        <v>2</v>
      </c>
      <c r="E309" s="7" t="n">
        <f aca="false">COUNTIF(Sports_Facilities!$C:$C,A309)</f>
        <v>0</v>
      </c>
      <c r="F309" s="7" t="n">
        <f aca="false">COUNTIF(Taxi_Ranks!$B:$B,A309)</f>
        <v>0</v>
      </c>
      <c r="G309" s="7" t="n">
        <f aca="false">B309+D309+E309+F309</f>
        <v>6</v>
      </c>
      <c r="H309" s="7" t="n">
        <f aca="false">(B309&gt;0)+(D309&gt;0)+(E309&gt;0)+(F309&gt;0)</f>
        <v>2</v>
      </c>
    </row>
    <row r="310" customFormat="false" ht="15" hidden="false" customHeight="false" outlineLevel="0" collapsed="false">
      <c r="A310" s="7" t="n">
        <v>2487</v>
      </c>
      <c r="B310" s="7" t="n">
        <f aca="false">COUNTIF(EV_Chargers!$D:$D,A310)</f>
        <v>4</v>
      </c>
      <c r="C310" s="7" t="n">
        <f aca="false">SUMIF(EV_Chargers!$D:$D,A310,EV_Chargers!$I:$I)</f>
        <v>18</v>
      </c>
      <c r="D310" s="7" t="n">
        <f aca="false">COUNTIF(Transport_Stops!$E:$E,A310)</f>
        <v>2</v>
      </c>
      <c r="E310" s="7" t="n">
        <f aca="false">COUNTIF(Sports_Facilities!$C:$C,A310)</f>
        <v>0</v>
      </c>
      <c r="F310" s="7" t="n">
        <f aca="false">COUNTIF(Taxi_Ranks!$B:$B,A310)</f>
        <v>0</v>
      </c>
      <c r="G310" s="7" t="n">
        <f aca="false">B310+D310+E310+F310</f>
        <v>6</v>
      </c>
      <c r="H310" s="7" t="n">
        <f aca="false">(B310&gt;0)+(D310&gt;0)+(E310&gt;0)+(F310&gt;0)</f>
        <v>2</v>
      </c>
    </row>
    <row r="311" customFormat="false" ht="15" hidden="false" customHeight="false" outlineLevel="0" collapsed="false">
      <c r="A311" s="7" t="n">
        <v>2488</v>
      </c>
      <c r="B311" s="7" t="n">
        <f aca="false">COUNTIF(EV_Chargers!$D:$D,A311)</f>
        <v>2</v>
      </c>
      <c r="C311" s="7" t="n">
        <f aca="false">SUMIF(EV_Chargers!$D:$D,A311,EV_Chargers!$I:$I)</f>
        <v>5</v>
      </c>
      <c r="D311" s="7" t="n">
        <f aca="false">COUNTIF(Transport_Stops!$E:$E,A311)</f>
        <v>1</v>
      </c>
      <c r="E311" s="7" t="n">
        <f aca="false">COUNTIF(Sports_Facilities!$C:$C,A311)</f>
        <v>0</v>
      </c>
      <c r="F311" s="7" t="n">
        <f aca="false">COUNTIF(Taxi_Ranks!$B:$B,A311)</f>
        <v>0</v>
      </c>
      <c r="G311" s="7" t="n">
        <f aca="false">B311+D311+E311+F311</f>
        <v>3</v>
      </c>
      <c r="H311" s="7" t="n">
        <f aca="false">(B311&gt;0)+(D311&gt;0)+(E311&gt;0)+(F311&gt;0)</f>
        <v>2</v>
      </c>
    </row>
    <row r="312" customFormat="false" ht="15" hidden="false" customHeight="false" outlineLevel="0" collapsed="false">
      <c r="A312" s="7" t="n">
        <v>2489</v>
      </c>
      <c r="B312" s="7" t="n">
        <f aca="false">COUNTIF(EV_Chargers!$D:$D,A312)</f>
        <v>0</v>
      </c>
      <c r="C312" s="7" t="n">
        <f aca="false">SUMIF(EV_Chargers!$D:$D,A312,EV_Chargers!$I:$I)</f>
        <v>0</v>
      </c>
      <c r="D312" s="7" t="n">
        <f aca="false">COUNTIF(Transport_Stops!$E:$E,A312)</f>
        <v>2</v>
      </c>
      <c r="E312" s="7" t="n">
        <f aca="false">COUNTIF(Sports_Facilities!$C:$C,A312)</f>
        <v>0</v>
      </c>
      <c r="F312" s="7" t="n">
        <f aca="false">COUNTIF(Taxi_Ranks!$B:$B,A312)</f>
        <v>0</v>
      </c>
      <c r="G312" s="7" t="n">
        <f aca="false">B312+D312+E312+F312</f>
        <v>2</v>
      </c>
      <c r="H312" s="7" t="n">
        <f aca="false">(B312&gt;0)+(D312&gt;0)+(E312&gt;0)+(F312&gt;0)</f>
        <v>1</v>
      </c>
    </row>
    <row r="313" customFormat="false" ht="15" hidden="false" customHeight="false" outlineLevel="0" collapsed="false">
      <c r="A313" s="7" t="n">
        <v>2500</v>
      </c>
      <c r="B313" s="7" t="n">
        <f aca="false">COUNTIF(EV_Chargers!$D:$D,A313)</f>
        <v>16</v>
      </c>
      <c r="C313" s="7" t="n">
        <f aca="false">SUMIF(EV_Chargers!$D:$D,A313,EV_Chargers!$I:$I)</f>
        <v>48</v>
      </c>
      <c r="D313" s="7" t="n">
        <f aca="false">COUNTIF(Transport_Stops!$E:$E,A313)</f>
        <v>4</v>
      </c>
      <c r="E313" s="7" t="n">
        <f aca="false">COUNTIF(Sports_Facilities!$C:$C,A313)</f>
        <v>0</v>
      </c>
      <c r="F313" s="7" t="n">
        <f aca="false">COUNTIF(Taxi_Ranks!$B:$B,A313)</f>
        <v>0</v>
      </c>
      <c r="G313" s="7" t="n">
        <f aca="false">B313+D313+E313+F313</f>
        <v>20</v>
      </c>
      <c r="H313" s="7" t="n">
        <f aca="false">(B313&gt;0)+(D313&gt;0)+(E313&gt;0)+(F313&gt;0)</f>
        <v>2</v>
      </c>
    </row>
    <row r="314" customFormat="false" ht="15" hidden="false" customHeight="false" outlineLevel="0" collapsed="false">
      <c r="A314" s="7" t="n">
        <v>2502</v>
      </c>
      <c r="B314" s="7" t="n">
        <f aca="false">COUNTIF(EV_Chargers!$D:$D,A314)</f>
        <v>4</v>
      </c>
      <c r="C314" s="7" t="n">
        <f aca="false">SUMIF(EV_Chargers!$D:$D,A314,EV_Chargers!$I:$I)</f>
        <v>18</v>
      </c>
      <c r="D314" s="7" t="n">
        <f aca="false">COUNTIF(Transport_Stops!$E:$E,A314)</f>
        <v>0</v>
      </c>
      <c r="E314" s="7" t="n">
        <f aca="false">COUNTIF(Sports_Facilities!$C:$C,A314)</f>
        <v>0</v>
      </c>
      <c r="F314" s="7" t="n">
        <f aca="false">COUNTIF(Taxi_Ranks!$B:$B,A314)</f>
        <v>0</v>
      </c>
      <c r="G314" s="7" t="n">
        <f aca="false">B314+D314+E314+F314</f>
        <v>4</v>
      </c>
      <c r="H314" s="7" t="n">
        <f aca="false">(B314&gt;0)+(D314&gt;0)+(E314&gt;0)+(F314&gt;0)</f>
        <v>1</v>
      </c>
    </row>
    <row r="315" customFormat="false" ht="15" hidden="false" customHeight="false" outlineLevel="0" collapsed="false">
      <c r="A315" s="7" t="n">
        <v>2505</v>
      </c>
      <c r="B315" s="7" t="n">
        <f aca="false">COUNTIF(EV_Chargers!$D:$D,A315)</f>
        <v>0</v>
      </c>
      <c r="C315" s="7" t="n">
        <f aca="false">SUMIF(EV_Chargers!$D:$D,A315,EV_Chargers!$I:$I)</f>
        <v>0</v>
      </c>
      <c r="D315" s="7" t="n">
        <f aca="false">COUNTIF(Transport_Stops!$E:$E,A315)</f>
        <v>3</v>
      </c>
      <c r="E315" s="7" t="n">
        <f aca="false">COUNTIF(Sports_Facilities!$C:$C,A315)</f>
        <v>0</v>
      </c>
      <c r="F315" s="7" t="n">
        <f aca="false">COUNTIF(Taxi_Ranks!$B:$B,A315)</f>
        <v>0</v>
      </c>
      <c r="G315" s="7" t="n">
        <f aca="false">B315+D315+E315+F315</f>
        <v>3</v>
      </c>
      <c r="H315" s="7" t="n">
        <f aca="false">(B315&gt;0)+(D315&gt;0)+(E315&gt;0)+(F315&gt;0)</f>
        <v>1</v>
      </c>
    </row>
    <row r="316" customFormat="false" ht="15" hidden="false" customHeight="false" outlineLevel="0" collapsed="false">
      <c r="A316" s="7" t="n">
        <v>2508</v>
      </c>
      <c r="B316" s="7" t="n">
        <f aca="false">COUNTIF(EV_Chargers!$D:$D,A316)</f>
        <v>3</v>
      </c>
      <c r="C316" s="7" t="n">
        <f aca="false">SUMIF(EV_Chargers!$D:$D,A316,EV_Chargers!$I:$I)</f>
        <v>10</v>
      </c>
      <c r="D316" s="7" t="n">
        <f aca="false">COUNTIF(Transport_Stops!$E:$E,A316)</f>
        <v>4</v>
      </c>
      <c r="E316" s="7" t="n">
        <f aca="false">COUNTIF(Sports_Facilities!$C:$C,A316)</f>
        <v>0</v>
      </c>
      <c r="F316" s="7" t="n">
        <f aca="false">COUNTIF(Taxi_Ranks!$B:$B,A316)</f>
        <v>0</v>
      </c>
      <c r="G316" s="7" t="n">
        <f aca="false">B316+D316+E316+F316</f>
        <v>7</v>
      </c>
      <c r="H316" s="7" t="n">
        <f aca="false">(B316&gt;0)+(D316&gt;0)+(E316&gt;0)+(F316&gt;0)</f>
        <v>2</v>
      </c>
    </row>
    <row r="317" customFormat="false" ht="15" hidden="false" customHeight="false" outlineLevel="0" collapsed="false">
      <c r="A317" s="7" t="n">
        <v>2515</v>
      </c>
      <c r="B317" s="7" t="n">
        <f aca="false">COUNTIF(EV_Chargers!$D:$D,A317)</f>
        <v>2</v>
      </c>
      <c r="C317" s="7" t="n">
        <f aca="false">SUMIF(EV_Chargers!$D:$D,A317,EV_Chargers!$I:$I)</f>
        <v>4</v>
      </c>
      <c r="D317" s="7" t="n">
        <f aca="false">COUNTIF(Transport_Stops!$E:$E,A317)</f>
        <v>5</v>
      </c>
      <c r="E317" s="7" t="n">
        <f aca="false">COUNTIF(Sports_Facilities!$C:$C,A317)</f>
        <v>0</v>
      </c>
      <c r="F317" s="7" t="n">
        <f aca="false">COUNTIF(Taxi_Ranks!$B:$B,A317)</f>
        <v>0</v>
      </c>
      <c r="G317" s="7" t="n">
        <f aca="false">B317+D317+E317+F317</f>
        <v>7</v>
      </c>
      <c r="H317" s="7" t="n">
        <f aca="false">(B317&gt;0)+(D317&gt;0)+(E317&gt;0)+(F317&gt;0)</f>
        <v>2</v>
      </c>
    </row>
    <row r="318" customFormat="false" ht="15" hidden="false" customHeight="false" outlineLevel="0" collapsed="false">
      <c r="A318" s="7" t="n">
        <v>2516</v>
      </c>
      <c r="B318" s="7" t="n">
        <f aca="false">COUNTIF(EV_Chargers!$D:$D,A318)</f>
        <v>1</v>
      </c>
      <c r="C318" s="7" t="n">
        <f aca="false">SUMIF(EV_Chargers!$D:$D,A318,EV_Chargers!$I:$I)</f>
        <v>2</v>
      </c>
      <c r="D318" s="7" t="n">
        <f aca="false">COUNTIF(Transport_Stops!$E:$E,A318)</f>
        <v>1</v>
      </c>
      <c r="E318" s="7" t="n">
        <f aca="false">COUNTIF(Sports_Facilities!$C:$C,A318)</f>
        <v>0</v>
      </c>
      <c r="F318" s="7" t="n">
        <f aca="false">COUNTIF(Taxi_Ranks!$B:$B,A318)</f>
        <v>0</v>
      </c>
      <c r="G318" s="7" t="n">
        <f aca="false">B318+D318+E318+F318</f>
        <v>2</v>
      </c>
      <c r="H318" s="7" t="n">
        <f aca="false">(B318&gt;0)+(D318&gt;0)+(E318&gt;0)+(F318&gt;0)</f>
        <v>2</v>
      </c>
    </row>
    <row r="319" customFormat="false" ht="15" hidden="false" customHeight="false" outlineLevel="0" collapsed="false">
      <c r="A319" s="7" t="n">
        <v>2517</v>
      </c>
      <c r="B319" s="7" t="n">
        <f aca="false">COUNTIF(EV_Chargers!$D:$D,A319)</f>
        <v>0</v>
      </c>
      <c r="C319" s="7" t="n">
        <f aca="false">SUMIF(EV_Chargers!$D:$D,A319,EV_Chargers!$I:$I)</f>
        <v>0</v>
      </c>
      <c r="D319" s="7" t="n">
        <f aca="false">COUNTIF(Transport_Stops!$E:$E,A319)</f>
        <v>1</v>
      </c>
      <c r="E319" s="7" t="n">
        <f aca="false">COUNTIF(Sports_Facilities!$C:$C,A319)</f>
        <v>0</v>
      </c>
      <c r="F319" s="7" t="n">
        <f aca="false">COUNTIF(Taxi_Ranks!$B:$B,A319)</f>
        <v>0</v>
      </c>
      <c r="G319" s="7" t="n">
        <f aca="false">B319+D319+E319+F319</f>
        <v>1</v>
      </c>
      <c r="H319" s="7" t="n">
        <f aca="false">(B319&gt;0)+(D319&gt;0)+(E319&gt;0)+(F319&gt;0)</f>
        <v>1</v>
      </c>
    </row>
    <row r="320" customFormat="false" ht="15" hidden="false" customHeight="false" outlineLevel="0" collapsed="false">
      <c r="A320" s="7" t="n">
        <v>2518</v>
      </c>
      <c r="B320" s="7" t="n">
        <f aca="false">COUNTIF(EV_Chargers!$D:$D,A320)</f>
        <v>1</v>
      </c>
      <c r="C320" s="7" t="n">
        <f aca="false">SUMIF(EV_Chargers!$D:$D,A320,EV_Chargers!$I:$I)</f>
        <v>2</v>
      </c>
      <c r="D320" s="7" t="n">
        <f aca="false">COUNTIF(Transport_Stops!$E:$E,A320)</f>
        <v>3</v>
      </c>
      <c r="E320" s="7" t="n">
        <f aca="false">COUNTIF(Sports_Facilities!$C:$C,A320)</f>
        <v>0</v>
      </c>
      <c r="F320" s="7" t="n">
        <f aca="false">COUNTIF(Taxi_Ranks!$B:$B,A320)</f>
        <v>0</v>
      </c>
      <c r="G320" s="7" t="n">
        <f aca="false">B320+D320+E320+F320</f>
        <v>4</v>
      </c>
      <c r="H320" s="7" t="n">
        <f aca="false">(B320&gt;0)+(D320&gt;0)+(E320&gt;0)+(F320&gt;0)</f>
        <v>2</v>
      </c>
    </row>
    <row r="321" customFormat="false" ht="15" hidden="false" customHeight="false" outlineLevel="0" collapsed="false">
      <c r="A321" s="7" t="n">
        <v>2519</v>
      </c>
      <c r="B321" s="7" t="n">
        <f aca="false">COUNTIF(EV_Chargers!$D:$D,A321)</f>
        <v>4</v>
      </c>
      <c r="C321" s="7" t="n">
        <f aca="false">SUMIF(EV_Chargers!$D:$D,A321,EV_Chargers!$I:$I)</f>
        <v>10</v>
      </c>
      <c r="D321" s="7" t="n">
        <f aca="false">COUNTIF(Transport_Stops!$E:$E,A321)</f>
        <v>1</v>
      </c>
      <c r="E321" s="7" t="n">
        <f aca="false">COUNTIF(Sports_Facilities!$C:$C,A321)</f>
        <v>0</v>
      </c>
      <c r="F321" s="7" t="n">
        <f aca="false">COUNTIF(Taxi_Ranks!$B:$B,A321)</f>
        <v>0</v>
      </c>
      <c r="G321" s="7" t="n">
        <f aca="false">B321+D321+E321+F321</f>
        <v>5</v>
      </c>
      <c r="H321" s="7" t="n">
        <f aca="false">(B321&gt;0)+(D321&gt;0)+(E321&gt;0)+(F321&gt;0)</f>
        <v>2</v>
      </c>
    </row>
    <row r="322" customFormat="false" ht="15" hidden="false" customHeight="false" outlineLevel="0" collapsed="false">
      <c r="A322" s="7" t="n">
        <v>2522</v>
      </c>
      <c r="B322" s="7" t="n">
        <f aca="false">COUNTIF(EV_Chargers!$D:$D,A322)</f>
        <v>3</v>
      </c>
      <c r="C322" s="7" t="n">
        <f aca="false">SUMIF(EV_Chargers!$D:$D,A322,EV_Chargers!$I:$I)</f>
        <v>16</v>
      </c>
      <c r="D322" s="7" t="n">
        <f aca="false">COUNTIF(Transport_Stops!$E:$E,A322)</f>
        <v>0</v>
      </c>
      <c r="E322" s="7" t="n">
        <f aca="false">COUNTIF(Sports_Facilities!$C:$C,A322)</f>
        <v>0</v>
      </c>
      <c r="F322" s="7" t="n">
        <f aca="false">COUNTIF(Taxi_Ranks!$B:$B,A322)</f>
        <v>0</v>
      </c>
      <c r="G322" s="7" t="n">
        <f aca="false">B322+D322+E322+F322</f>
        <v>3</v>
      </c>
      <c r="H322" s="7" t="n">
        <f aca="false">(B322&gt;0)+(D322&gt;0)+(E322&gt;0)+(F322&gt;0)</f>
        <v>1</v>
      </c>
    </row>
    <row r="323" customFormat="false" ht="15" hidden="false" customHeight="false" outlineLevel="0" collapsed="false">
      <c r="A323" s="7" t="n">
        <v>2525</v>
      </c>
      <c r="B323" s="7" t="n">
        <f aca="false">COUNTIF(EV_Chargers!$D:$D,A323)</f>
        <v>4</v>
      </c>
      <c r="C323" s="7" t="n">
        <f aca="false">SUMIF(EV_Chargers!$D:$D,A323,EV_Chargers!$I:$I)</f>
        <v>18</v>
      </c>
      <c r="D323" s="7" t="n">
        <f aca="false">COUNTIF(Transport_Stops!$E:$E,A323)</f>
        <v>0</v>
      </c>
      <c r="E323" s="7" t="n">
        <f aca="false">COUNTIF(Sports_Facilities!$C:$C,A323)</f>
        <v>0</v>
      </c>
      <c r="F323" s="7" t="n">
        <f aca="false">COUNTIF(Taxi_Ranks!$B:$B,A323)</f>
        <v>0</v>
      </c>
      <c r="G323" s="7" t="n">
        <f aca="false">B323+D323+E323+F323</f>
        <v>4</v>
      </c>
      <c r="H323" s="7" t="n">
        <f aca="false">(B323&gt;0)+(D323&gt;0)+(E323&gt;0)+(F323&gt;0)</f>
        <v>1</v>
      </c>
    </row>
    <row r="324" customFormat="false" ht="15" hidden="false" customHeight="false" outlineLevel="0" collapsed="false">
      <c r="A324" s="7" t="n">
        <v>2526</v>
      </c>
      <c r="B324" s="7" t="n">
        <f aca="false">COUNTIF(EV_Chargers!$D:$D,A324)</f>
        <v>2</v>
      </c>
      <c r="C324" s="7" t="n">
        <f aca="false">SUMIF(EV_Chargers!$D:$D,A324,EV_Chargers!$I:$I)</f>
        <v>8</v>
      </c>
      <c r="D324" s="7" t="n">
        <f aca="false">COUNTIF(Transport_Stops!$E:$E,A324)</f>
        <v>2</v>
      </c>
      <c r="E324" s="7" t="n">
        <f aca="false">COUNTIF(Sports_Facilities!$C:$C,A324)</f>
        <v>0</v>
      </c>
      <c r="F324" s="7" t="n">
        <f aca="false">COUNTIF(Taxi_Ranks!$B:$B,A324)</f>
        <v>0</v>
      </c>
      <c r="G324" s="7" t="n">
        <f aca="false">B324+D324+E324+F324</f>
        <v>4</v>
      </c>
      <c r="H324" s="7" t="n">
        <f aca="false">(B324&gt;0)+(D324&gt;0)+(E324&gt;0)+(F324&gt;0)</f>
        <v>2</v>
      </c>
    </row>
    <row r="325" customFormat="false" ht="15" hidden="false" customHeight="false" outlineLevel="0" collapsed="false">
      <c r="A325" s="7" t="n">
        <v>2527</v>
      </c>
      <c r="B325" s="7" t="n">
        <f aca="false">COUNTIF(EV_Chargers!$D:$D,A325)</f>
        <v>5</v>
      </c>
      <c r="C325" s="7" t="n">
        <f aca="false">SUMIF(EV_Chargers!$D:$D,A325,EV_Chargers!$I:$I)</f>
        <v>15</v>
      </c>
      <c r="D325" s="7" t="n">
        <f aca="false">COUNTIF(Transport_Stops!$E:$E,A325)</f>
        <v>1</v>
      </c>
      <c r="E325" s="7" t="n">
        <f aca="false">COUNTIF(Sports_Facilities!$C:$C,A325)</f>
        <v>0</v>
      </c>
      <c r="F325" s="7" t="n">
        <f aca="false">COUNTIF(Taxi_Ranks!$B:$B,A325)</f>
        <v>0</v>
      </c>
      <c r="G325" s="7" t="n">
        <f aca="false">B325+D325+E325+F325</f>
        <v>6</v>
      </c>
      <c r="H325" s="7" t="n">
        <f aca="false">(B325&gt;0)+(D325&gt;0)+(E325&gt;0)+(F325&gt;0)</f>
        <v>2</v>
      </c>
    </row>
    <row r="326" customFormat="false" ht="15" hidden="false" customHeight="false" outlineLevel="0" collapsed="false">
      <c r="A326" s="7" t="n">
        <v>2529</v>
      </c>
      <c r="B326" s="7" t="n">
        <f aca="false">COUNTIF(EV_Chargers!$D:$D,A326)</f>
        <v>6</v>
      </c>
      <c r="C326" s="7" t="n">
        <f aca="false">SUMIF(EV_Chargers!$D:$D,A326,EV_Chargers!$I:$I)</f>
        <v>23</v>
      </c>
      <c r="D326" s="7" t="n">
        <f aca="false">COUNTIF(Transport_Stops!$E:$E,A326)</f>
        <v>2</v>
      </c>
      <c r="E326" s="7" t="n">
        <f aca="false">COUNTIF(Sports_Facilities!$C:$C,A326)</f>
        <v>0</v>
      </c>
      <c r="F326" s="7" t="n">
        <f aca="false">COUNTIF(Taxi_Ranks!$B:$B,A326)</f>
        <v>0</v>
      </c>
      <c r="G326" s="7" t="n">
        <f aca="false">B326+D326+E326+F326</f>
        <v>8</v>
      </c>
      <c r="H326" s="7" t="n">
        <f aca="false">(B326&gt;0)+(D326&gt;0)+(E326&gt;0)+(F326&gt;0)</f>
        <v>2</v>
      </c>
    </row>
    <row r="327" customFormat="false" ht="15" hidden="false" customHeight="false" outlineLevel="0" collapsed="false">
      <c r="A327" s="7" t="n">
        <v>2530</v>
      </c>
      <c r="B327" s="7" t="n">
        <f aca="false">COUNTIF(EV_Chargers!$D:$D,A327)</f>
        <v>3</v>
      </c>
      <c r="C327" s="7" t="n">
        <f aca="false">SUMIF(EV_Chargers!$D:$D,A327,EV_Chargers!$I:$I)</f>
        <v>10</v>
      </c>
      <c r="D327" s="7" t="n">
        <f aca="false">COUNTIF(Transport_Stops!$E:$E,A327)</f>
        <v>1</v>
      </c>
      <c r="E327" s="7" t="n">
        <f aca="false">COUNTIF(Sports_Facilities!$C:$C,A327)</f>
        <v>0</v>
      </c>
      <c r="F327" s="7" t="n">
        <f aca="false">COUNTIF(Taxi_Ranks!$B:$B,A327)</f>
        <v>0</v>
      </c>
      <c r="G327" s="7" t="n">
        <f aca="false">B327+D327+E327+F327</f>
        <v>4</v>
      </c>
      <c r="H327" s="7" t="n">
        <f aca="false">(B327&gt;0)+(D327&gt;0)+(E327&gt;0)+(F327&gt;0)</f>
        <v>2</v>
      </c>
    </row>
    <row r="328" customFormat="false" ht="15" hidden="false" customHeight="false" outlineLevel="0" collapsed="false">
      <c r="A328" s="7" t="n">
        <v>2533</v>
      </c>
      <c r="B328" s="7" t="n">
        <f aca="false">COUNTIF(EV_Chargers!$D:$D,A328)</f>
        <v>6</v>
      </c>
      <c r="C328" s="7" t="n">
        <f aca="false">SUMIF(EV_Chargers!$D:$D,A328,EV_Chargers!$I:$I)</f>
        <v>16</v>
      </c>
      <c r="D328" s="7" t="n">
        <f aca="false">COUNTIF(Transport_Stops!$E:$E,A328)</f>
        <v>3</v>
      </c>
      <c r="E328" s="7" t="n">
        <f aca="false">COUNTIF(Sports_Facilities!$C:$C,A328)</f>
        <v>0</v>
      </c>
      <c r="F328" s="7" t="n">
        <f aca="false">COUNTIF(Taxi_Ranks!$B:$B,A328)</f>
        <v>0</v>
      </c>
      <c r="G328" s="7" t="n">
        <f aca="false">B328+D328+E328+F328</f>
        <v>9</v>
      </c>
      <c r="H328" s="7" t="n">
        <f aca="false">(B328&gt;0)+(D328&gt;0)+(E328&gt;0)+(F328&gt;0)</f>
        <v>2</v>
      </c>
    </row>
    <row r="329" customFormat="false" ht="15" hidden="false" customHeight="false" outlineLevel="0" collapsed="false">
      <c r="A329" s="7" t="n">
        <v>2534</v>
      </c>
      <c r="B329" s="7" t="n">
        <f aca="false">COUNTIF(EV_Chargers!$D:$D,A329)</f>
        <v>3</v>
      </c>
      <c r="C329" s="7" t="n">
        <f aca="false">SUMIF(EV_Chargers!$D:$D,A329,EV_Chargers!$I:$I)</f>
        <v>6</v>
      </c>
      <c r="D329" s="7" t="n">
        <f aca="false">COUNTIF(Transport_Stops!$E:$E,A329)</f>
        <v>1</v>
      </c>
      <c r="E329" s="7" t="n">
        <f aca="false">COUNTIF(Sports_Facilities!$C:$C,A329)</f>
        <v>0</v>
      </c>
      <c r="F329" s="7" t="n">
        <f aca="false">COUNTIF(Taxi_Ranks!$B:$B,A329)</f>
        <v>0</v>
      </c>
      <c r="G329" s="7" t="n">
        <f aca="false">B329+D329+E329+F329</f>
        <v>4</v>
      </c>
      <c r="H329" s="7" t="n">
        <f aca="false">(B329&gt;0)+(D329&gt;0)+(E329&gt;0)+(F329&gt;0)</f>
        <v>2</v>
      </c>
    </row>
    <row r="330" customFormat="false" ht="15" hidden="false" customHeight="false" outlineLevel="0" collapsed="false">
      <c r="A330" s="7" t="n">
        <v>2535</v>
      </c>
      <c r="B330" s="7" t="n">
        <f aca="false">COUNTIF(EV_Chargers!$D:$D,A330)</f>
        <v>6</v>
      </c>
      <c r="C330" s="7" t="n">
        <f aca="false">SUMIF(EV_Chargers!$D:$D,A330,EV_Chargers!$I:$I)</f>
        <v>22</v>
      </c>
      <c r="D330" s="7" t="n">
        <f aca="false">COUNTIF(Transport_Stops!$E:$E,A330)</f>
        <v>1</v>
      </c>
      <c r="E330" s="7" t="n">
        <f aca="false">COUNTIF(Sports_Facilities!$C:$C,A330)</f>
        <v>0</v>
      </c>
      <c r="F330" s="7" t="n">
        <f aca="false">COUNTIF(Taxi_Ranks!$B:$B,A330)</f>
        <v>0</v>
      </c>
      <c r="G330" s="7" t="n">
        <f aca="false">B330+D330+E330+F330</f>
        <v>7</v>
      </c>
      <c r="H330" s="7" t="n">
        <f aca="false">(B330&gt;0)+(D330&gt;0)+(E330&gt;0)+(F330&gt;0)</f>
        <v>2</v>
      </c>
    </row>
    <row r="331" customFormat="false" ht="15" hidden="false" customHeight="false" outlineLevel="0" collapsed="false">
      <c r="A331" s="7" t="n">
        <v>2536</v>
      </c>
      <c r="B331" s="7" t="n">
        <f aca="false">COUNTIF(EV_Chargers!$D:$D,A331)</f>
        <v>10</v>
      </c>
      <c r="C331" s="7" t="n">
        <f aca="false">SUMIF(EV_Chargers!$D:$D,A331,EV_Chargers!$I:$I)</f>
        <v>35</v>
      </c>
      <c r="D331" s="7" t="n">
        <f aca="false">COUNTIF(Transport_Stops!$E:$E,A331)</f>
        <v>0</v>
      </c>
      <c r="E331" s="7" t="n">
        <f aca="false">COUNTIF(Sports_Facilities!$C:$C,A331)</f>
        <v>0</v>
      </c>
      <c r="F331" s="7" t="n">
        <f aca="false">COUNTIF(Taxi_Ranks!$B:$B,A331)</f>
        <v>0</v>
      </c>
      <c r="G331" s="7" t="n">
        <f aca="false">B331+D331+E331+F331</f>
        <v>10</v>
      </c>
      <c r="H331" s="7" t="n">
        <f aca="false">(B331&gt;0)+(D331&gt;0)+(E331&gt;0)+(F331&gt;0)</f>
        <v>1</v>
      </c>
    </row>
    <row r="332" customFormat="false" ht="15" hidden="false" customHeight="false" outlineLevel="0" collapsed="false">
      <c r="A332" s="7" t="n">
        <v>2537</v>
      </c>
      <c r="B332" s="7" t="n">
        <f aca="false">COUNTIF(EV_Chargers!$D:$D,A332)</f>
        <v>8</v>
      </c>
      <c r="C332" s="7" t="n">
        <f aca="false">SUMIF(EV_Chargers!$D:$D,A332,EV_Chargers!$I:$I)</f>
        <v>18</v>
      </c>
      <c r="D332" s="7" t="n">
        <f aca="false">COUNTIF(Transport_Stops!$E:$E,A332)</f>
        <v>0</v>
      </c>
      <c r="E332" s="7" t="n">
        <f aca="false">COUNTIF(Sports_Facilities!$C:$C,A332)</f>
        <v>0</v>
      </c>
      <c r="F332" s="7" t="n">
        <f aca="false">COUNTIF(Taxi_Ranks!$B:$B,A332)</f>
        <v>0</v>
      </c>
      <c r="G332" s="7" t="n">
        <f aca="false">B332+D332+E332+F332</f>
        <v>8</v>
      </c>
      <c r="H332" s="7" t="n">
        <f aca="false">(B332&gt;0)+(D332&gt;0)+(E332&gt;0)+(F332&gt;0)</f>
        <v>1</v>
      </c>
    </row>
    <row r="333" customFormat="false" ht="15" hidden="false" customHeight="false" outlineLevel="0" collapsed="false">
      <c r="A333" s="7" t="n">
        <v>2538</v>
      </c>
      <c r="B333" s="7" t="n">
        <f aca="false">COUNTIF(EV_Chargers!$D:$D,A333)</f>
        <v>1</v>
      </c>
      <c r="C333" s="7" t="n">
        <f aca="false">SUMIF(EV_Chargers!$D:$D,A333,EV_Chargers!$I:$I)</f>
        <v>1</v>
      </c>
      <c r="D333" s="7" t="n">
        <f aca="false">COUNTIF(Transport_Stops!$E:$E,A333)</f>
        <v>0</v>
      </c>
      <c r="E333" s="7" t="n">
        <f aca="false">COUNTIF(Sports_Facilities!$C:$C,A333)</f>
        <v>0</v>
      </c>
      <c r="F333" s="7" t="n">
        <f aca="false">COUNTIF(Taxi_Ranks!$B:$B,A333)</f>
        <v>0</v>
      </c>
      <c r="G333" s="7" t="n">
        <f aca="false">B333+D333+E333+F333</f>
        <v>1</v>
      </c>
      <c r="H333" s="7" t="n">
        <f aca="false">(B333&gt;0)+(D333&gt;0)+(E333&gt;0)+(F333&gt;0)</f>
        <v>1</v>
      </c>
    </row>
    <row r="334" customFormat="false" ht="15" hidden="false" customHeight="false" outlineLevel="0" collapsed="false">
      <c r="A334" s="7" t="n">
        <v>2539</v>
      </c>
      <c r="B334" s="7" t="n">
        <f aca="false">COUNTIF(EV_Chargers!$D:$D,A334)</f>
        <v>21</v>
      </c>
      <c r="C334" s="7" t="n">
        <f aca="false">SUMIF(EV_Chargers!$D:$D,A334,EV_Chargers!$I:$I)</f>
        <v>51</v>
      </c>
      <c r="D334" s="7" t="n">
        <f aca="false">COUNTIF(Transport_Stops!$E:$E,A334)</f>
        <v>0</v>
      </c>
      <c r="E334" s="7" t="n">
        <f aca="false">COUNTIF(Sports_Facilities!$C:$C,A334)</f>
        <v>0</v>
      </c>
      <c r="F334" s="7" t="n">
        <f aca="false">COUNTIF(Taxi_Ranks!$B:$B,A334)</f>
        <v>0</v>
      </c>
      <c r="G334" s="7" t="n">
        <f aca="false">B334+D334+E334+F334</f>
        <v>21</v>
      </c>
      <c r="H334" s="7" t="n">
        <f aca="false">(B334&gt;0)+(D334&gt;0)+(E334&gt;0)+(F334&gt;0)</f>
        <v>1</v>
      </c>
    </row>
    <row r="335" customFormat="false" ht="15" hidden="false" customHeight="false" outlineLevel="0" collapsed="false">
      <c r="A335" s="7" t="n">
        <v>2540</v>
      </c>
      <c r="B335" s="7" t="n">
        <f aca="false">COUNTIF(EV_Chargers!$D:$D,A335)</f>
        <v>18</v>
      </c>
      <c r="C335" s="7" t="n">
        <f aca="false">SUMIF(EV_Chargers!$D:$D,A335,EV_Chargers!$I:$I)</f>
        <v>36</v>
      </c>
      <c r="D335" s="7" t="n">
        <f aca="false">COUNTIF(Transport_Stops!$E:$E,A335)</f>
        <v>0</v>
      </c>
      <c r="E335" s="7" t="n">
        <f aca="false">COUNTIF(Sports_Facilities!$C:$C,A335)</f>
        <v>0</v>
      </c>
      <c r="F335" s="7" t="n">
        <f aca="false">COUNTIF(Taxi_Ranks!$B:$B,A335)</f>
        <v>0</v>
      </c>
      <c r="G335" s="7" t="n">
        <f aca="false">B335+D335+E335+F335</f>
        <v>18</v>
      </c>
      <c r="H335" s="7" t="n">
        <f aca="false">(B335&gt;0)+(D335&gt;0)+(E335&gt;0)+(F335&gt;0)</f>
        <v>1</v>
      </c>
    </row>
    <row r="336" customFormat="false" ht="15" hidden="false" customHeight="false" outlineLevel="0" collapsed="false">
      <c r="A336" s="7" t="n">
        <v>2541</v>
      </c>
      <c r="B336" s="7" t="n">
        <f aca="false">COUNTIF(EV_Chargers!$D:$D,A336)</f>
        <v>5</v>
      </c>
      <c r="C336" s="7" t="n">
        <f aca="false">SUMIF(EV_Chargers!$D:$D,A336,EV_Chargers!$I:$I)</f>
        <v>22</v>
      </c>
      <c r="D336" s="7" t="n">
        <f aca="false">COUNTIF(Transport_Stops!$E:$E,A336)</f>
        <v>1</v>
      </c>
      <c r="E336" s="7" t="n">
        <f aca="false">COUNTIF(Sports_Facilities!$C:$C,A336)</f>
        <v>0</v>
      </c>
      <c r="F336" s="7" t="n">
        <f aca="false">COUNTIF(Taxi_Ranks!$B:$B,A336)</f>
        <v>0</v>
      </c>
      <c r="G336" s="7" t="n">
        <f aca="false">B336+D336+E336+F336</f>
        <v>6</v>
      </c>
      <c r="H336" s="7" t="n">
        <f aca="false">(B336&gt;0)+(D336&gt;0)+(E336&gt;0)+(F336&gt;0)</f>
        <v>2</v>
      </c>
    </row>
    <row r="337" customFormat="false" ht="15" hidden="false" customHeight="false" outlineLevel="0" collapsed="false">
      <c r="A337" s="7" t="n">
        <v>2545</v>
      </c>
      <c r="B337" s="7" t="n">
        <f aca="false">COUNTIF(EV_Chargers!$D:$D,A337)</f>
        <v>2</v>
      </c>
      <c r="C337" s="7" t="n">
        <f aca="false">SUMIF(EV_Chargers!$D:$D,A337,EV_Chargers!$I:$I)</f>
        <v>3</v>
      </c>
      <c r="D337" s="7" t="n">
        <f aca="false">COUNTIF(Transport_Stops!$E:$E,A337)</f>
        <v>0</v>
      </c>
      <c r="E337" s="7" t="n">
        <f aca="false">COUNTIF(Sports_Facilities!$C:$C,A337)</f>
        <v>0</v>
      </c>
      <c r="F337" s="7" t="n">
        <f aca="false">COUNTIF(Taxi_Ranks!$B:$B,A337)</f>
        <v>0</v>
      </c>
      <c r="G337" s="7" t="n">
        <f aca="false">B337+D337+E337+F337</f>
        <v>2</v>
      </c>
      <c r="H337" s="7" t="n">
        <f aca="false">(B337&gt;0)+(D337&gt;0)+(E337&gt;0)+(F337&gt;0)</f>
        <v>1</v>
      </c>
    </row>
    <row r="338" customFormat="false" ht="15" hidden="false" customHeight="false" outlineLevel="0" collapsed="false">
      <c r="A338" s="7" t="n">
        <v>2546</v>
      </c>
      <c r="B338" s="7" t="n">
        <f aca="false">COUNTIF(EV_Chargers!$D:$D,A338)</f>
        <v>7</v>
      </c>
      <c r="C338" s="7" t="n">
        <f aca="false">SUMIF(EV_Chargers!$D:$D,A338,EV_Chargers!$I:$I)</f>
        <v>19</v>
      </c>
      <c r="D338" s="7" t="n">
        <f aca="false">COUNTIF(Transport_Stops!$E:$E,A338)</f>
        <v>0</v>
      </c>
      <c r="E338" s="7" t="n">
        <f aca="false">COUNTIF(Sports_Facilities!$C:$C,A338)</f>
        <v>0</v>
      </c>
      <c r="F338" s="7" t="n">
        <f aca="false">COUNTIF(Taxi_Ranks!$B:$B,A338)</f>
        <v>0</v>
      </c>
      <c r="G338" s="7" t="n">
        <f aca="false">B338+D338+E338+F338</f>
        <v>7</v>
      </c>
      <c r="H338" s="7" t="n">
        <f aca="false">(B338&gt;0)+(D338&gt;0)+(E338&gt;0)+(F338&gt;0)</f>
        <v>1</v>
      </c>
    </row>
    <row r="339" customFormat="false" ht="15" hidden="false" customHeight="false" outlineLevel="0" collapsed="false">
      <c r="A339" s="7" t="n">
        <v>2548</v>
      </c>
      <c r="B339" s="7" t="n">
        <f aca="false">COUNTIF(EV_Chargers!$D:$D,A339)</f>
        <v>8</v>
      </c>
      <c r="C339" s="7" t="n">
        <f aca="false">SUMIF(EV_Chargers!$D:$D,A339,EV_Chargers!$I:$I)</f>
        <v>21</v>
      </c>
      <c r="D339" s="7" t="n">
        <f aca="false">COUNTIF(Transport_Stops!$E:$E,A339)</f>
        <v>1</v>
      </c>
      <c r="E339" s="7" t="n">
        <f aca="false">COUNTIF(Sports_Facilities!$C:$C,A339)</f>
        <v>0</v>
      </c>
      <c r="F339" s="7" t="n">
        <f aca="false">COUNTIF(Taxi_Ranks!$B:$B,A339)</f>
        <v>0</v>
      </c>
      <c r="G339" s="7" t="n">
        <f aca="false">B339+D339+E339+F339</f>
        <v>9</v>
      </c>
      <c r="H339" s="7" t="n">
        <f aca="false">(B339&gt;0)+(D339&gt;0)+(E339&gt;0)+(F339&gt;0)</f>
        <v>2</v>
      </c>
    </row>
    <row r="340" customFormat="false" ht="15" hidden="false" customHeight="false" outlineLevel="0" collapsed="false">
      <c r="A340" s="7" t="n">
        <v>2549</v>
      </c>
      <c r="B340" s="7" t="n">
        <f aca="false">COUNTIF(EV_Chargers!$D:$D,A340)</f>
        <v>1</v>
      </c>
      <c r="C340" s="7" t="n">
        <f aca="false">SUMIF(EV_Chargers!$D:$D,A340,EV_Chargers!$I:$I)</f>
        <v>1</v>
      </c>
      <c r="D340" s="7" t="n">
        <f aca="false">COUNTIF(Transport_Stops!$E:$E,A340)</f>
        <v>1</v>
      </c>
      <c r="E340" s="7" t="n">
        <f aca="false">COUNTIF(Sports_Facilities!$C:$C,A340)</f>
        <v>0</v>
      </c>
      <c r="F340" s="7" t="n">
        <f aca="false">COUNTIF(Taxi_Ranks!$B:$B,A340)</f>
        <v>0</v>
      </c>
      <c r="G340" s="7" t="n">
        <f aca="false">B340+D340+E340+F340</f>
        <v>2</v>
      </c>
      <c r="H340" s="7" t="n">
        <f aca="false">(B340&gt;0)+(D340&gt;0)+(E340&gt;0)+(F340&gt;0)</f>
        <v>2</v>
      </c>
    </row>
    <row r="341" customFormat="false" ht="15" hidden="false" customHeight="false" outlineLevel="0" collapsed="false">
      <c r="A341" s="7" t="n">
        <v>2550</v>
      </c>
      <c r="B341" s="7" t="n">
        <f aca="false">COUNTIF(EV_Chargers!$D:$D,A341)</f>
        <v>11</v>
      </c>
      <c r="C341" s="7" t="n">
        <f aca="false">SUMIF(EV_Chargers!$D:$D,A341,EV_Chargers!$I:$I)</f>
        <v>31</v>
      </c>
      <c r="D341" s="7" t="n">
        <f aca="false">COUNTIF(Transport_Stops!$E:$E,A341)</f>
        <v>3</v>
      </c>
      <c r="E341" s="7" t="n">
        <f aca="false">COUNTIF(Sports_Facilities!$C:$C,A341)</f>
        <v>0</v>
      </c>
      <c r="F341" s="7" t="n">
        <f aca="false">COUNTIF(Taxi_Ranks!$B:$B,A341)</f>
        <v>0</v>
      </c>
      <c r="G341" s="7" t="n">
        <f aca="false">B341+D341+E341+F341</f>
        <v>14</v>
      </c>
      <c r="H341" s="7" t="n">
        <f aca="false">(B341&gt;0)+(D341&gt;0)+(E341&gt;0)+(F341&gt;0)</f>
        <v>2</v>
      </c>
    </row>
    <row r="342" customFormat="false" ht="15" hidden="false" customHeight="false" outlineLevel="0" collapsed="false">
      <c r="A342" s="7" t="n">
        <v>2551</v>
      </c>
      <c r="B342" s="7" t="n">
        <f aca="false">COUNTIF(EV_Chargers!$D:$D,A342)</f>
        <v>5</v>
      </c>
      <c r="C342" s="7" t="n">
        <f aca="false">SUMIF(EV_Chargers!$D:$D,A342,EV_Chargers!$I:$I)</f>
        <v>13</v>
      </c>
      <c r="D342" s="7" t="n">
        <f aca="false">COUNTIF(Transport_Stops!$E:$E,A342)</f>
        <v>1</v>
      </c>
      <c r="E342" s="7" t="n">
        <f aca="false">COUNTIF(Sports_Facilities!$C:$C,A342)</f>
        <v>0</v>
      </c>
      <c r="F342" s="7" t="n">
        <f aca="false">COUNTIF(Taxi_Ranks!$B:$B,A342)</f>
        <v>0</v>
      </c>
      <c r="G342" s="7" t="n">
        <f aca="false">B342+D342+E342+F342</f>
        <v>6</v>
      </c>
      <c r="H342" s="7" t="n">
        <f aca="false">(B342&gt;0)+(D342&gt;0)+(E342&gt;0)+(F342&gt;0)</f>
        <v>2</v>
      </c>
    </row>
    <row r="343" customFormat="false" ht="15" hidden="false" customHeight="false" outlineLevel="0" collapsed="false">
      <c r="A343" s="7" t="n">
        <v>2557</v>
      </c>
      <c r="B343" s="7" t="n">
        <f aca="false">COUNTIF(EV_Chargers!$D:$D,A343)</f>
        <v>2</v>
      </c>
      <c r="C343" s="7" t="n">
        <f aca="false">SUMIF(EV_Chargers!$D:$D,A343,EV_Chargers!$I:$I)</f>
        <v>8</v>
      </c>
      <c r="D343" s="7" t="n">
        <f aca="false">COUNTIF(Transport_Stops!$E:$E,A343)</f>
        <v>0</v>
      </c>
      <c r="E343" s="7" t="n">
        <f aca="false">COUNTIF(Sports_Facilities!$C:$C,A343)</f>
        <v>0</v>
      </c>
      <c r="F343" s="7" t="n">
        <f aca="false">COUNTIF(Taxi_Ranks!$B:$B,A343)</f>
        <v>0</v>
      </c>
      <c r="G343" s="7" t="n">
        <f aca="false">B343+D343+E343+F343</f>
        <v>2</v>
      </c>
      <c r="H343" s="7" t="n">
        <f aca="false">(B343&gt;0)+(D343&gt;0)+(E343&gt;0)+(F343&gt;0)</f>
        <v>1</v>
      </c>
    </row>
    <row r="344" customFormat="false" ht="15" hidden="false" customHeight="false" outlineLevel="0" collapsed="false">
      <c r="A344" s="7" t="n">
        <v>2560</v>
      </c>
      <c r="B344" s="7" t="n">
        <f aca="false">COUNTIF(EV_Chargers!$D:$D,A344)</f>
        <v>5</v>
      </c>
      <c r="C344" s="7" t="n">
        <f aca="false">SUMIF(EV_Chargers!$D:$D,A344,EV_Chargers!$I:$I)</f>
        <v>34</v>
      </c>
      <c r="D344" s="7" t="n">
        <f aca="false">COUNTIF(Transport_Stops!$E:$E,A344)</f>
        <v>3</v>
      </c>
      <c r="E344" s="7" t="n">
        <f aca="false">COUNTIF(Sports_Facilities!$C:$C,A344)</f>
        <v>0</v>
      </c>
      <c r="F344" s="7" t="n">
        <f aca="false">COUNTIF(Taxi_Ranks!$B:$B,A344)</f>
        <v>5</v>
      </c>
      <c r="G344" s="7" t="n">
        <f aca="false">B344+D344+E344+F344</f>
        <v>13</v>
      </c>
      <c r="H344" s="7" t="n">
        <f aca="false">(B344&gt;0)+(D344&gt;0)+(E344&gt;0)+(F344&gt;0)</f>
        <v>3</v>
      </c>
    </row>
    <row r="345" customFormat="false" ht="15" hidden="false" customHeight="false" outlineLevel="0" collapsed="false">
      <c r="A345" s="7" t="n">
        <v>2563</v>
      </c>
      <c r="B345" s="7" t="n">
        <f aca="false">COUNTIF(EV_Chargers!$D:$D,A345)</f>
        <v>0</v>
      </c>
      <c r="C345" s="7" t="n">
        <f aca="false">SUMIF(EV_Chargers!$D:$D,A345,EV_Chargers!$I:$I)</f>
        <v>0</v>
      </c>
      <c r="D345" s="7" t="n">
        <f aca="false">COUNTIF(Transport_Stops!$E:$E,A345)</f>
        <v>1</v>
      </c>
      <c r="E345" s="7" t="n">
        <f aca="false">COUNTIF(Sports_Facilities!$C:$C,A345)</f>
        <v>0</v>
      </c>
      <c r="F345" s="7" t="n">
        <f aca="false">COUNTIF(Taxi_Ranks!$B:$B,A345)</f>
        <v>0</v>
      </c>
      <c r="G345" s="7" t="n">
        <f aca="false">B345+D345+E345+F345</f>
        <v>1</v>
      </c>
      <c r="H345" s="7" t="n">
        <f aca="false">(B345&gt;0)+(D345&gt;0)+(E345&gt;0)+(F345&gt;0)</f>
        <v>1</v>
      </c>
    </row>
    <row r="346" customFormat="false" ht="15" hidden="false" customHeight="false" outlineLevel="0" collapsed="false">
      <c r="A346" s="7" t="n">
        <v>2564</v>
      </c>
      <c r="B346" s="7" t="n">
        <f aca="false">COUNTIF(EV_Chargers!$D:$D,A346)</f>
        <v>0</v>
      </c>
      <c r="C346" s="7" t="n">
        <f aca="false">SUMIF(EV_Chargers!$D:$D,A346,EV_Chargers!$I:$I)</f>
        <v>0</v>
      </c>
      <c r="D346" s="7" t="n">
        <f aca="false">COUNTIF(Transport_Stops!$E:$E,A346)</f>
        <v>1</v>
      </c>
      <c r="E346" s="7" t="n">
        <f aca="false">COUNTIF(Sports_Facilities!$C:$C,A346)</f>
        <v>0</v>
      </c>
      <c r="F346" s="7" t="n">
        <f aca="false">COUNTIF(Taxi_Ranks!$B:$B,A346)</f>
        <v>0</v>
      </c>
      <c r="G346" s="7" t="n">
        <f aca="false">B346+D346+E346+F346</f>
        <v>1</v>
      </c>
      <c r="H346" s="7" t="n">
        <f aca="false">(B346&gt;0)+(D346&gt;0)+(E346&gt;0)+(F346&gt;0)</f>
        <v>1</v>
      </c>
    </row>
    <row r="347" customFormat="false" ht="15" hidden="false" customHeight="false" outlineLevel="0" collapsed="false">
      <c r="A347" s="7" t="n">
        <v>2565</v>
      </c>
      <c r="B347" s="7" t="n">
        <f aca="false">COUNTIF(EV_Chargers!$D:$D,A347)</f>
        <v>2</v>
      </c>
      <c r="C347" s="7" t="n">
        <f aca="false">SUMIF(EV_Chargers!$D:$D,A347,EV_Chargers!$I:$I)</f>
        <v>8</v>
      </c>
      <c r="D347" s="7" t="n">
        <f aca="false">COUNTIF(Transport_Stops!$E:$E,A347)</f>
        <v>1</v>
      </c>
      <c r="E347" s="7" t="n">
        <f aca="false">COUNTIF(Sports_Facilities!$C:$C,A347)</f>
        <v>0</v>
      </c>
      <c r="F347" s="7" t="n">
        <f aca="false">COUNTIF(Taxi_Ranks!$B:$B,A347)</f>
        <v>1</v>
      </c>
      <c r="G347" s="7" t="n">
        <f aca="false">B347+D347+E347+F347</f>
        <v>4</v>
      </c>
      <c r="H347" s="7" t="n">
        <f aca="false">(B347&gt;0)+(D347&gt;0)+(E347&gt;0)+(F347&gt;0)</f>
        <v>3</v>
      </c>
    </row>
    <row r="348" customFormat="false" ht="15" hidden="false" customHeight="false" outlineLevel="0" collapsed="false">
      <c r="A348" s="7" t="n">
        <v>2566</v>
      </c>
      <c r="B348" s="7" t="n">
        <f aca="false">COUNTIF(EV_Chargers!$D:$D,A348)</f>
        <v>1</v>
      </c>
      <c r="C348" s="7" t="n">
        <f aca="false">SUMIF(EV_Chargers!$D:$D,A348,EV_Chargers!$I:$I)</f>
        <v>4</v>
      </c>
      <c r="D348" s="7" t="n">
        <f aca="false">COUNTIF(Transport_Stops!$E:$E,A348)</f>
        <v>1</v>
      </c>
      <c r="E348" s="7" t="n">
        <f aca="false">COUNTIF(Sports_Facilities!$C:$C,A348)</f>
        <v>0</v>
      </c>
      <c r="F348" s="7" t="n">
        <f aca="false">COUNTIF(Taxi_Ranks!$B:$B,A348)</f>
        <v>1</v>
      </c>
      <c r="G348" s="7" t="n">
        <f aca="false">B348+D348+E348+F348</f>
        <v>3</v>
      </c>
      <c r="H348" s="7" t="n">
        <f aca="false">(B348&gt;0)+(D348&gt;0)+(E348&gt;0)+(F348&gt;0)</f>
        <v>3</v>
      </c>
    </row>
    <row r="349" customFormat="false" ht="15" hidden="false" customHeight="false" outlineLevel="0" collapsed="false">
      <c r="A349" s="7" t="n">
        <v>2567</v>
      </c>
      <c r="B349" s="7" t="n">
        <f aca="false">COUNTIF(EV_Chargers!$D:$D,A349)</f>
        <v>4</v>
      </c>
      <c r="C349" s="7" t="n">
        <f aca="false">SUMIF(EV_Chargers!$D:$D,A349,EV_Chargers!$I:$I)</f>
        <v>16</v>
      </c>
      <c r="D349" s="7" t="n">
        <f aca="false">COUNTIF(Transport_Stops!$E:$E,A349)</f>
        <v>0</v>
      </c>
      <c r="E349" s="7" t="n">
        <f aca="false">COUNTIF(Sports_Facilities!$C:$C,A349)</f>
        <v>0</v>
      </c>
      <c r="F349" s="7" t="n">
        <f aca="false">COUNTIF(Taxi_Ranks!$B:$B,A349)</f>
        <v>0</v>
      </c>
      <c r="G349" s="7" t="n">
        <f aca="false">B349+D349+E349+F349</f>
        <v>4</v>
      </c>
      <c r="H349" s="7" t="n">
        <f aca="false">(B349&gt;0)+(D349&gt;0)+(E349&gt;0)+(F349&gt;0)</f>
        <v>1</v>
      </c>
    </row>
    <row r="350" customFormat="false" ht="15" hidden="false" customHeight="false" outlineLevel="0" collapsed="false">
      <c r="A350" s="7" t="n">
        <v>2568</v>
      </c>
      <c r="B350" s="7" t="n">
        <f aca="false">COUNTIF(EV_Chargers!$D:$D,A350)</f>
        <v>0</v>
      </c>
      <c r="C350" s="7" t="n">
        <f aca="false">SUMIF(EV_Chargers!$D:$D,A350,EV_Chargers!$I:$I)</f>
        <v>0</v>
      </c>
      <c r="D350" s="7" t="n">
        <f aca="false">COUNTIF(Transport_Stops!$E:$E,A350)</f>
        <v>1</v>
      </c>
      <c r="E350" s="7" t="n">
        <f aca="false">COUNTIF(Sports_Facilities!$C:$C,A350)</f>
        <v>0</v>
      </c>
      <c r="F350" s="7" t="n">
        <f aca="false">COUNTIF(Taxi_Ranks!$B:$B,A350)</f>
        <v>0</v>
      </c>
      <c r="G350" s="7" t="n">
        <f aca="false">B350+D350+E350+F350</f>
        <v>1</v>
      </c>
      <c r="H350" s="7" t="n">
        <f aca="false">(B350&gt;0)+(D350&gt;0)+(E350&gt;0)+(F350&gt;0)</f>
        <v>1</v>
      </c>
    </row>
    <row r="351" customFormat="false" ht="15" hidden="false" customHeight="false" outlineLevel="0" collapsed="false">
      <c r="A351" s="7" t="n">
        <v>2569</v>
      </c>
      <c r="B351" s="7" t="n">
        <f aca="false">COUNTIF(EV_Chargers!$D:$D,A351)</f>
        <v>0</v>
      </c>
      <c r="C351" s="7" t="n">
        <f aca="false">SUMIF(EV_Chargers!$D:$D,A351,EV_Chargers!$I:$I)</f>
        <v>0</v>
      </c>
      <c r="D351" s="7" t="n">
        <f aca="false">COUNTIF(Transport_Stops!$E:$E,A351)</f>
        <v>1</v>
      </c>
      <c r="E351" s="7" t="n">
        <f aca="false">COUNTIF(Sports_Facilities!$C:$C,A351)</f>
        <v>0</v>
      </c>
      <c r="F351" s="7" t="n">
        <f aca="false">COUNTIF(Taxi_Ranks!$B:$B,A351)</f>
        <v>0</v>
      </c>
      <c r="G351" s="7" t="n">
        <f aca="false">B351+D351+E351+F351</f>
        <v>1</v>
      </c>
      <c r="H351" s="7" t="n">
        <f aca="false">(B351&gt;0)+(D351&gt;0)+(E351&gt;0)+(F351&gt;0)</f>
        <v>1</v>
      </c>
    </row>
    <row r="352" customFormat="false" ht="15" hidden="false" customHeight="false" outlineLevel="0" collapsed="false">
      <c r="A352" s="7" t="n">
        <v>2570</v>
      </c>
      <c r="B352" s="7" t="n">
        <f aca="false">COUNTIF(EV_Chargers!$D:$D,A352)</f>
        <v>4</v>
      </c>
      <c r="C352" s="7" t="n">
        <f aca="false">SUMIF(EV_Chargers!$D:$D,A352,EV_Chargers!$I:$I)</f>
        <v>28</v>
      </c>
      <c r="D352" s="7" t="n">
        <f aca="false">COUNTIF(Transport_Stops!$E:$E,A352)</f>
        <v>0</v>
      </c>
      <c r="E352" s="7" t="n">
        <f aca="false">COUNTIF(Sports_Facilities!$C:$C,A352)</f>
        <v>0</v>
      </c>
      <c r="F352" s="7" t="n">
        <f aca="false">COUNTIF(Taxi_Ranks!$B:$B,A352)</f>
        <v>1</v>
      </c>
      <c r="G352" s="7" t="n">
        <f aca="false">B352+D352+E352+F352</f>
        <v>5</v>
      </c>
      <c r="H352" s="7" t="n">
        <f aca="false">(B352&gt;0)+(D352&gt;0)+(E352&gt;0)+(F352&gt;0)</f>
        <v>2</v>
      </c>
    </row>
    <row r="353" customFormat="false" ht="15" hidden="false" customHeight="false" outlineLevel="0" collapsed="false">
      <c r="A353" s="7" t="n">
        <v>2571</v>
      </c>
      <c r="B353" s="7" t="n">
        <f aca="false">COUNTIF(EV_Chargers!$D:$D,A353)</f>
        <v>3</v>
      </c>
      <c r="C353" s="7" t="n">
        <f aca="false">SUMIF(EV_Chargers!$D:$D,A353,EV_Chargers!$I:$I)</f>
        <v>10</v>
      </c>
      <c r="D353" s="7" t="n">
        <f aca="false">COUNTIF(Transport_Stops!$E:$E,A353)</f>
        <v>1</v>
      </c>
      <c r="E353" s="7" t="n">
        <f aca="false">COUNTIF(Sports_Facilities!$C:$C,A353)</f>
        <v>0</v>
      </c>
      <c r="F353" s="7" t="n">
        <f aca="false">COUNTIF(Taxi_Ranks!$B:$B,A353)</f>
        <v>0</v>
      </c>
      <c r="G353" s="7" t="n">
        <f aca="false">B353+D353+E353+F353</f>
        <v>4</v>
      </c>
      <c r="H353" s="7" t="n">
        <f aca="false">(B353&gt;0)+(D353&gt;0)+(E353&gt;0)+(F353&gt;0)</f>
        <v>2</v>
      </c>
    </row>
    <row r="354" customFormat="false" ht="15" hidden="false" customHeight="false" outlineLevel="0" collapsed="false">
      <c r="A354" s="7" t="n">
        <v>2573</v>
      </c>
      <c r="B354" s="7" t="n">
        <f aca="false">COUNTIF(EV_Chargers!$D:$D,A354)</f>
        <v>1</v>
      </c>
      <c r="C354" s="7" t="n">
        <f aca="false">SUMIF(EV_Chargers!$D:$D,A354,EV_Chargers!$I:$I)</f>
        <v>3</v>
      </c>
      <c r="D354" s="7" t="n">
        <f aca="false">COUNTIF(Transport_Stops!$E:$E,A354)</f>
        <v>1</v>
      </c>
      <c r="E354" s="7" t="n">
        <f aca="false">COUNTIF(Sports_Facilities!$C:$C,A354)</f>
        <v>0</v>
      </c>
      <c r="F354" s="7" t="n">
        <f aca="false">COUNTIF(Taxi_Ranks!$B:$B,A354)</f>
        <v>0</v>
      </c>
      <c r="G354" s="7" t="n">
        <f aca="false">B354+D354+E354+F354</f>
        <v>2</v>
      </c>
      <c r="H354" s="7" t="n">
        <f aca="false">(B354&gt;0)+(D354&gt;0)+(E354&gt;0)+(F354&gt;0)</f>
        <v>2</v>
      </c>
    </row>
    <row r="355" customFormat="false" ht="15" hidden="false" customHeight="false" outlineLevel="0" collapsed="false">
      <c r="A355" s="7" t="n">
        <v>2574</v>
      </c>
      <c r="B355" s="7" t="n">
        <f aca="false">COUNTIF(EV_Chargers!$D:$D,A355)</f>
        <v>2</v>
      </c>
      <c r="C355" s="7" t="n">
        <f aca="false">SUMIF(EV_Chargers!$D:$D,A355,EV_Chargers!$I:$I)</f>
        <v>18</v>
      </c>
      <c r="D355" s="7" t="n">
        <f aca="false">COUNTIF(Transport_Stops!$E:$E,A355)</f>
        <v>1</v>
      </c>
      <c r="E355" s="7" t="n">
        <f aca="false">COUNTIF(Sports_Facilities!$C:$C,A355)</f>
        <v>0</v>
      </c>
      <c r="F355" s="7" t="n">
        <f aca="false">COUNTIF(Taxi_Ranks!$B:$B,A355)</f>
        <v>0</v>
      </c>
      <c r="G355" s="7" t="n">
        <f aca="false">B355+D355+E355+F355</f>
        <v>3</v>
      </c>
      <c r="H355" s="7" t="n">
        <f aca="false">(B355&gt;0)+(D355&gt;0)+(E355&gt;0)+(F355&gt;0)</f>
        <v>2</v>
      </c>
    </row>
    <row r="356" customFormat="false" ht="15" hidden="false" customHeight="false" outlineLevel="0" collapsed="false">
      <c r="A356" s="7" t="n">
        <v>2575</v>
      </c>
      <c r="B356" s="7" t="n">
        <f aca="false">COUNTIF(EV_Chargers!$D:$D,A356)</f>
        <v>8</v>
      </c>
      <c r="C356" s="7" t="n">
        <f aca="false">SUMIF(EV_Chargers!$D:$D,A356,EV_Chargers!$I:$I)</f>
        <v>16</v>
      </c>
      <c r="D356" s="7" t="n">
        <f aca="false">COUNTIF(Transport_Stops!$E:$E,A356)</f>
        <v>2</v>
      </c>
      <c r="E356" s="7" t="n">
        <f aca="false">COUNTIF(Sports_Facilities!$C:$C,A356)</f>
        <v>0</v>
      </c>
      <c r="F356" s="7" t="n">
        <f aca="false">COUNTIF(Taxi_Ranks!$B:$B,A356)</f>
        <v>0</v>
      </c>
      <c r="G356" s="7" t="n">
        <f aca="false">B356+D356+E356+F356</f>
        <v>10</v>
      </c>
      <c r="H356" s="7" t="n">
        <f aca="false">(B356&gt;0)+(D356&gt;0)+(E356&gt;0)+(F356&gt;0)</f>
        <v>2</v>
      </c>
    </row>
    <row r="357" customFormat="false" ht="15" hidden="false" customHeight="false" outlineLevel="0" collapsed="false">
      <c r="A357" s="7" t="n">
        <v>2576</v>
      </c>
      <c r="B357" s="7" t="n">
        <f aca="false">COUNTIF(EV_Chargers!$D:$D,A357)</f>
        <v>6</v>
      </c>
      <c r="C357" s="7" t="n">
        <f aca="false">SUMIF(EV_Chargers!$D:$D,A357,EV_Chargers!$I:$I)</f>
        <v>17</v>
      </c>
      <c r="D357" s="7" t="n">
        <f aca="false">COUNTIF(Transport_Stops!$E:$E,A357)</f>
        <v>2</v>
      </c>
      <c r="E357" s="7" t="n">
        <f aca="false">COUNTIF(Sports_Facilities!$C:$C,A357)</f>
        <v>0</v>
      </c>
      <c r="F357" s="7" t="n">
        <f aca="false">COUNTIF(Taxi_Ranks!$B:$B,A357)</f>
        <v>0</v>
      </c>
      <c r="G357" s="7" t="n">
        <f aca="false">B357+D357+E357+F357</f>
        <v>8</v>
      </c>
      <c r="H357" s="7" t="n">
        <f aca="false">(B357&gt;0)+(D357&gt;0)+(E357&gt;0)+(F357&gt;0)</f>
        <v>2</v>
      </c>
    </row>
    <row r="358" customFormat="false" ht="15" hidden="false" customHeight="false" outlineLevel="0" collapsed="false">
      <c r="A358" s="7" t="n">
        <v>2577</v>
      </c>
      <c r="B358" s="7" t="n">
        <f aca="false">COUNTIF(EV_Chargers!$D:$D,A358)</f>
        <v>6</v>
      </c>
      <c r="C358" s="7" t="n">
        <f aca="false">SUMIF(EV_Chargers!$D:$D,A358,EV_Chargers!$I:$I)</f>
        <v>24</v>
      </c>
      <c r="D358" s="7" t="n">
        <f aca="false">COUNTIF(Transport_Stops!$E:$E,A358)</f>
        <v>3</v>
      </c>
      <c r="E358" s="7" t="n">
        <f aca="false">COUNTIF(Sports_Facilities!$C:$C,A358)</f>
        <v>0</v>
      </c>
      <c r="F358" s="7" t="n">
        <f aca="false">COUNTIF(Taxi_Ranks!$B:$B,A358)</f>
        <v>0</v>
      </c>
      <c r="G358" s="7" t="n">
        <f aca="false">B358+D358+E358+F358</f>
        <v>9</v>
      </c>
      <c r="H358" s="7" t="n">
        <f aca="false">(B358&gt;0)+(D358&gt;0)+(E358&gt;0)+(F358&gt;0)</f>
        <v>2</v>
      </c>
    </row>
    <row r="359" customFormat="false" ht="15" hidden="false" customHeight="false" outlineLevel="0" collapsed="false">
      <c r="A359" s="7" t="n">
        <v>2578</v>
      </c>
      <c r="B359" s="7" t="n">
        <f aca="false">COUNTIF(EV_Chargers!$D:$D,A359)</f>
        <v>1</v>
      </c>
      <c r="C359" s="7" t="n">
        <f aca="false">SUMIF(EV_Chargers!$D:$D,A359,EV_Chargers!$I:$I)</f>
        <v>4</v>
      </c>
      <c r="D359" s="7" t="n">
        <f aca="false">COUNTIF(Transport_Stops!$E:$E,A359)</f>
        <v>1</v>
      </c>
      <c r="E359" s="7" t="n">
        <f aca="false">COUNTIF(Sports_Facilities!$C:$C,A359)</f>
        <v>0</v>
      </c>
      <c r="F359" s="7" t="n">
        <f aca="false">COUNTIF(Taxi_Ranks!$B:$B,A359)</f>
        <v>0</v>
      </c>
      <c r="G359" s="7" t="n">
        <f aca="false">B359+D359+E359+F359</f>
        <v>2</v>
      </c>
      <c r="H359" s="7" t="n">
        <f aca="false">(B359&gt;0)+(D359&gt;0)+(E359&gt;0)+(F359&gt;0)</f>
        <v>2</v>
      </c>
    </row>
    <row r="360" customFormat="false" ht="15" hidden="false" customHeight="false" outlineLevel="0" collapsed="false">
      <c r="A360" s="7" t="n">
        <v>2579</v>
      </c>
      <c r="B360" s="7" t="n">
        <f aca="false">COUNTIF(EV_Chargers!$D:$D,A360)</f>
        <v>7</v>
      </c>
      <c r="C360" s="7" t="n">
        <f aca="false">SUMIF(EV_Chargers!$D:$D,A360,EV_Chargers!$I:$I)</f>
        <v>16</v>
      </c>
      <c r="D360" s="7" t="n">
        <f aca="false">COUNTIF(Transport_Stops!$E:$E,A360)</f>
        <v>5</v>
      </c>
      <c r="E360" s="7" t="n">
        <f aca="false">COUNTIF(Sports_Facilities!$C:$C,A360)</f>
        <v>0</v>
      </c>
      <c r="F360" s="7" t="n">
        <f aca="false">COUNTIF(Taxi_Ranks!$B:$B,A360)</f>
        <v>0</v>
      </c>
      <c r="G360" s="7" t="n">
        <f aca="false">B360+D360+E360+F360</f>
        <v>12</v>
      </c>
      <c r="H360" s="7" t="n">
        <f aca="false">(B360&gt;0)+(D360&gt;0)+(E360&gt;0)+(F360&gt;0)</f>
        <v>2</v>
      </c>
    </row>
    <row r="361" customFormat="false" ht="15" hidden="false" customHeight="false" outlineLevel="0" collapsed="false">
      <c r="A361" s="7" t="n">
        <v>2580</v>
      </c>
      <c r="B361" s="7" t="n">
        <f aca="false">COUNTIF(EV_Chargers!$D:$D,A361)</f>
        <v>9</v>
      </c>
      <c r="C361" s="7" t="n">
        <f aca="false">SUMIF(EV_Chargers!$D:$D,A361,EV_Chargers!$I:$I)</f>
        <v>47</v>
      </c>
      <c r="D361" s="7" t="n">
        <f aca="false">COUNTIF(Transport_Stops!$E:$E,A361)</f>
        <v>3</v>
      </c>
      <c r="E361" s="7" t="n">
        <f aca="false">COUNTIF(Sports_Facilities!$C:$C,A361)</f>
        <v>0</v>
      </c>
      <c r="F361" s="7" t="n">
        <f aca="false">COUNTIF(Taxi_Ranks!$B:$B,A361)</f>
        <v>0</v>
      </c>
      <c r="G361" s="7" t="n">
        <f aca="false">B361+D361+E361+F361</f>
        <v>12</v>
      </c>
      <c r="H361" s="7" t="n">
        <f aca="false">(B361&gt;0)+(D361&gt;0)+(E361&gt;0)+(F361&gt;0)</f>
        <v>2</v>
      </c>
    </row>
    <row r="362" customFormat="false" ht="15" hidden="false" customHeight="false" outlineLevel="0" collapsed="false">
      <c r="A362" s="7" t="n">
        <v>2581</v>
      </c>
      <c r="B362" s="7" t="n">
        <f aca="false">COUNTIF(EV_Chargers!$D:$D,A362)</f>
        <v>1</v>
      </c>
      <c r="C362" s="7" t="n">
        <f aca="false">SUMIF(EV_Chargers!$D:$D,A362,EV_Chargers!$I:$I)</f>
        <v>2</v>
      </c>
      <c r="D362" s="7" t="n">
        <f aca="false">COUNTIF(Transport_Stops!$E:$E,A362)</f>
        <v>1</v>
      </c>
      <c r="E362" s="7" t="n">
        <f aca="false">COUNTIF(Sports_Facilities!$C:$C,A362)</f>
        <v>0</v>
      </c>
      <c r="F362" s="7" t="n">
        <f aca="false">COUNTIF(Taxi_Ranks!$B:$B,A362)</f>
        <v>0</v>
      </c>
      <c r="G362" s="7" t="n">
        <f aca="false">B362+D362+E362+F362</f>
        <v>2</v>
      </c>
      <c r="H362" s="7" t="n">
        <f aca="false">(B362&gt;0)+(D362&gt;0)+(E362&gt;0)+(F362&gt;0)</f>
        <v>2</v>
      </c>
    </row>
    <row r="363" customFormat="false" ht="15" hidden="false" customHeight="false" outlineLevel="0" collapsed="false">
      <c r="A363" s="7" t="n">
        <v>2582</v>
      </c>
      <c r="B363" s="7" t="n">
        <f aca="false">COUNTIF(EV_Chargers!$D:$D,A363)</f>
        <v>7</v>
      </c>
      <c r="C363" s="7" t="n">
        <f aca="false">SUMIF(EV_Chargers!$D:$D,A363,EV_Chargers!$I:$I)</f>
        <v>26</v>
      </c>
      <c r="D363" s="7" t="n">
        <f aca="false">COUNTIF(Transport_Stops!$E:$E,A363)</f>
        <v>4</v>
      </c>
      <c r="E363" s="7" t="n">
        <f aca="false">COUNTIF(Sports_Facilities!$C:$C,A363)</f>
        <v>0</v>
      </c>
      <c r="F363" s="7" t="n">
        <f aca="false">COUNTIF(Taxi_Ranks!$B:$B,A363)</f>
        <v>0</v>
      </c>
      <c r="G363" s="7" t="n">
        <f aca="false">B363+D363+E363+F363</f>
        <v>11</v>
      </c>
      <c r="H363" s="7" t="n">
        <f aca="false">(B363&gt;0)+(D363&gt;0)+(E363&gt;0)+(F363&gt;0)</f>
        <v>2</v>
      </c>
    </row>
    <row r="364" customFormat="false" ht="15" hidden="false" customHeight="false" outlineLevel="0" collapsed="false">
      <c r="A364" s="7" t="n">
        <v>2584</v>
      </c>
      <c r="B364" s="7" t="n">
        <f aca="false">COUNTIF(EV_Chargers!$D:$D,A364)</f>
        <v>0</v>
      </c>
      <c r="C364" s="7" t="n">
        <f aca="false">SUMIF(EV_Chargers!$D:$D,A364,EV_Chargers!$I:$I)</f>
        <v>0</v>
      </c>
      <c r="D364" s="7" t="n">
        <f aca="false">COUNTIF(Transport_Stops!$E:$E,A364)</f>
        <v>1</v>
      </c>
      <c r="E364" s="7" t="n">
        <f aca="false">COUNTIF(Sports_Facilities!$C:$C,A364)</f>
        <v>0</v>
      </c>
      <c r="F364" s="7" t="n">
        <f aca="false">COUNTIF(Taxi_Ranks!$B:$B,A364)</f>
        <v>0</v>
      </c>
      <c r="G364" s="7" t="n">
        <f aca="false">B364+D364+E364+F364</f>
        <v>1</v>
      </c>
      <c r="H364" s="7" t="n">
        <f aca="false">(B364&gt;0)+(D364&gt;0)+(E364&gt;0)+(F364&gt;0)</f>
        <v>1</v>
      </c>
    </row>
    <row r="365" customFormat="false" ht="15" hidden="false" customHeight="false" outlineLevel="0" collapsed="false">
      <c r="A365" s="7" t="n">
        <v>2585</v>
      </c>
      <c r="B365" s="7" t="n">
        <f aca="false">COUNTIF(EV_Chargers!$D:$D,A365)</f>
        <v>0</v>
      </c>
      <c r="C365" s="7" t="n">
        <f aca="false">SUMIF(EV_Chargers!$D:$D,A365,EV_Chargers!$I:$I)</f>
        <v>0</v>
      </c>
      <c r="D365" s="7" t="n">
        <f aca="false">COUNTIF(Transport_Stops!$E:$E,A365)</f>
        <v>1</v>
      </c>
      <c r="E365" s="7" t="n">
        <f aca="false">COUNTIF(Sports_Facilities!$C:$C,A365)</f>
        <v>0</v>
      </c>
      <c r="F365" s="7" t="n">
        <f aca="false">COUNTIF(Taxi_Ranks!$B:$B,A365)</f>
        <v>0</v>
      </c>
      <c r="G365" s="7" t="n">
        <f aca="false">B365+D365+E365+F365</f>
        <v>1</v>
      </c>
      <c r="H365" s="7" t="n">
        <f aca="false">(B365&gt;0)+(D365&gt;0)+(E365&gt;0)+(F365&gt;0)</f>
        <v>1</v>
      </c>
    </row>
    <row r="366" customFormat="false" ht="15" hidden="false" customHeight="false" outlineLevel="0" collapsed="false">
      <c r="A366" s="7" t="n">
        <v>2586</v>
      </c>
      <c r="B366" s="7" t="n">
        <f aca="false">COUNTIF(EV_Chargers!$D:$D,A366)</f>
        <v>1</v>
      </c>
      <c r="C366" s="7" t="n">
        <f aca="false">SUMIF(EV_Chargers!$D:$D,A366,EV_Chargers!$I:$I)</f>
        <v>2</v>
      </c>
      <c r="D366" s="7" t="n">
        <f aca="false">COUNTIF(Transport_Stops!$E:$E,A366)</f>
        <v>1</v>
      </c>
      <c r="E366" s="7" t="n">
        <f aca="false">COUNTIF(Sports_Facilities!$C:$C,A366)</f>
        <v>0</v>
      </c>
      <c r="F366" s="7" t="n">
        <f aca="false">COUNTIF(Taxi_Ranks!$B:$B,A366)</f>
        <v>0</v>
      </c>
      <c r="G366" s="7" t="n">
        <f aca="false">B366+D366+E366+F366</f>
        <v>2</v>
      </c>
      <c r="H366" s="7" t="n">
        <f aca="false">(B366&gt;0)+(D366&gt;0)+(E366&gt;0)+(F366&gt;0)</f>
        <v>2</v>
      </c>
    </row>
    <row r="367" customFormat="false" ht="15" hidden="false" customHeight="false" outlineLevel="0" collapsed="false">
      <c r="A367" s="7" t="n">
        <v>2587</v>
      </c>
      <c r="B367" s="7" t="n">
        <f aca="false">COUNTIF(EV_Chargers!$D:$D,A367)</f>
        <v>3</v>
      </c>
      <c r="C367" s="7" t="n">
        <f aca="false">SUMIF(EV_Chargers!$D:$D,A367,EV_Chargers!$I:$I)</f>
        <v>9</v>
      </c>
      <c r="D367" s="7" t="n">
        <f aca="false">COUNTIF(Transport_Stops!$E:$E,A367)</f>
        <v>2</v>
      </c>
      <c r="E367" s="7" t="n">
        <f aca="false">COUNTIF(Sports_Facilities!$C:$C,A367)</f>
        <v>0</v>
      </c>
      <c r="F367" s="7" t="n">
        <f aca="false">COUNTIF(Taxi_Ranks!$B:$B,A367)</f>
        <v>0</v>
      </c>
      <c r="G367" s="7" t="n">
        <f aca="false">B367+D367+E367+F367</f>
        <v>5</v>
      </c>
      <c r="H367" s="7" t="n">
        <f aca="false">(B367&gt;0)+(D367&gt;0)+(E367&gt;0)+(F367&gt;0)</f>
        <v>2</v>
      </c>
    </row>
    <row r="368" customFormat="false" ht="15" hidden="false" customHeight="false" outlineLevel="0" collapsed="false">
      <c r="A368" s="7" t="n">
        <v>2588</v>
      </c>
      <c r="B368" s="7" t="n">
        <f aca="false">COUNTIF(EV_Chargers!$D:$D,A368)</f>
        <v>2</v>
      </c>
      <c r="C368" s="7" t="n">
        <f aca="false">SUMIF(EV_Chargers!$D:$D,A368,EV_Chargers!$I:$I)</f>
        <v>2</v>
      </c>
      <c r="D368" s="7" t="n">
        <f aca="false">COUNTIF(Transport_Stops!$E:$E,A368)</f>
        <v>1</v>
      </c>
      <c r="E368" s="7" t="n">
        <f aca="false">COUNTIF(Sports_Facilities!$C:$C,A368)</f>
        <v>0</v>
      </c>
      <c r="F368" s="7" t="n">
        <f aca="false">COUNTIF(Taxi_Ranks!$B:$B,A368)</f>
        <v>0</v>
      </c>
      <c r="G368" s="7" t="n">
        <f aca="false">B368+D368+E368+F368</f>
        <v>3</v>
      </c>
      <c r="H368" s="7" t="n">
        <f aca="false">(B368&gt;0)+(D368&gt;0)+(E368&gt;0)+(F368&gt;0)</f>
        <v>2</v>
      </c>
    </row>
    <row r="369" customFormat="false" ht="15" hidden="false" customHeight="false" outlineLevel="0" collapsed="false">
      <c r="A369" s="7" t="n">
        <v>2590</v>
      </c>
      <c r="B369" s="7" t="n">
        <f aca="false">COUNTIF(EV_Chargers!$D:$D,A369)</f>
        <v>1</v>
      </c>
      <c r="C369" s="7" t="n">
        <f aca="false">SUMIF(EV_Chargers!$D:$D,A369,EV_Chargers!$I:$I)</f>
        <v>4</v>
      </c>
      <c r="D369" s="7" t="n">
        <f aca="false">COUNTIF(Transport_Stops!$E:$E,A369)</f>
        <v>1</v>
      </c>
      <c r="E369" s="7" t="n">
        <f aca="false">COUNTIF(Sports_Facilities!$C:$C,A369)</f>
        <v>0</v>
      </c>
      <c r="F369" s="7" t="n">
        <f aca="false">COUNTIF(Taxi_Ranks!$B:$B,A369)</f>
        <v>0</v>
      </c>
      <c r="G369" s="7" t="n">
        <f aca="false">B369+D369+E369+F369</f>
        <v>2</v>
      </c>
      <c r="H369" s="7" t="n">
        <f aca="false">(B369&gt;0)+(D369&gt;0)+(E369&gt;0)+(F369&gt;0)</f>
        <v>2</v>
      </c>
    </row>
    <row r="370" customFormat="false" ht="15" hidden="false" customHeight="false" outlineLevel="0" collapsed="false">
      <c r="A370" s="7" t="n">
        <v>2594</v>
      </c>
      <c r="B370" s="7" t="n">
        <f aca="false">COUNTIF(EV_Chargers!$D:$D,A370)</f>
        <v>5</v>
      </c>
      <c r="C370" s="7" t="n">
        <f aca="false">SUMIF(EV_Chargers!$D:$D,A370,EV_Chargers!$I:$I)</f>
        <v>18</v>
      </c>
      <c r="D370" s="7" t="n">
        <f aca="false">COUNTIF(Transport_Stops!$E:$E,A370)</f>
        <v>1</v>
      </c>
      <c r="E370" s="7" t="n">
        <f aca="false">COUNTIF(Sports_Facilities!$C:$C,A370)</f>
        <v>0</v>
      </c>
      <c r="F370" s="7" t="n">
        <f aca="false">COUNTIF(Taxi_Ranks!$B:$B,A370)</f>
        <v>0</v>
      </c>
      <c r="G370" s="7" t="n">
        <f aca="false">B370+D370+E370+F370</f>
        <v>6</v>
      </c>
      <c r="H370" s="7" t="n">
        <f aca="false">(B370&gt;0)+(D370&gt;0)+(E370&gt;0)+(F370&gt;0)</f>
        <v>2</v>
      </c>
    </row>
    <row r="371" customFormat="false" ht="15" hidden="false" customHeight="false" outlineLevel="0" collapsed="false">
      <c r="A371" s="7" t="n">
        <v>2600</v>
      </c>
      <c r="B371" s="7" t="n">
        <f aca="false">COUNTIF(EV_Chargers!$D:$D,A371)</f>
        <v>0</v>
      </c>
      <c r="C371" s="7" t="n">
        <f aca="false">SUMIF(EV_Chargers!$D:$D,A371,EV_Chargers!$I:$I)</f>
        <v>0</v>
      </c>
      <c r="D371" s="7" t="n">
        <f aca="false">COUNTIF(Transport_Stops!$E:$E,A371)</f>
        <v>1</v>
      </c>
      <c r="E371" s="7" t="n">
        <f aca="false">COUNTIF(Sports_Facilities!$C:$C,A371)</f>
        <v>0</v>
      </c>
      <c r="F371" s="7" t="n">
        <f aca="false">COUNTIF(Taxi_Ranks!$B:$B,A371)</f>
        <v>0</v>
      </c>
      <c r="G371" s="7" t="n">
        <f aca="false">B371+D371+E371+F371</f>
        <v>1</v>
      </c>
      <c r="H371" s="7" t="n">
        <f aca="false">(B371&gt;0)+(D371&gt;0)+(E371&gt;0)+(F371&gt;0)</f>
        <v>1</v>
      </c>
    </row>
    <row r="372" customFormat="false" ht="15" hidden="false" customHeight="false" outlineLevel="0" collapsed="false">
      <c r="A372" s="7" t="n">
        <v>2601</v>
      </c>
      <c r="B372" s="7" t="n">
        <f aca="false">COUNTIF(EV_Chargers!$D:$D,A372)</f>
        <v>0</v>
      </c>
      <c r="C372" s="7" t="n">
        <f aca="false">SUMIF(EV_Chargers!$D:$D,A372,EV_Chargers!$I:$I)</f>
        <v>0</v>
      </c>
      <c r="D372" s="7" t="n">
        <f aca="false">COUNTIF(Transport_Stops!$E:$E,A372)</f>
        <v>1</v>
      </c>
      <c r="E372" s="7" t="n">
        <f aca="false">COUNTIF(Sports_Facilities!$C:$C,A372)</f>
        <v>0</v>
      </c>
      <c r="F372" s="7" t="n">
        <f aca="false">COUNTIF(Taxi_Ranks!$B:$B,A372)</f>
        <v>0</v>
      </c>
      <c r="G372" s="7" t="n">
        <f aca="false">B372+D372+E372+F372</f>
        <v>1</v>
      </c>
      <c r="H372" s="7" t="n">
        <f aca="false">(B372&gt;0)+(D372&gt;0)+(E372&gt;0)+(F372&gt;0)</f>
        <v>1</v>
      </c>
    </row>
    <row r="373" customFormat="false" ht="15" hidden="false" customHeight="false" outlineLevel="0" collapsed="false">
      <c r="A373" s="7" t="n">
        <v>2604</v>
      </c>
      <c r="B373" s="7" t="n">
        <f aca="false">COUNTIF(EV_Chargers!$D:$D,A373)</f>
        <v>0</v>
      </c>
      <c r="C373" s="7" t="n">
        <f aca="false">SUMIF(EV_Chargers!$D:$D,A373,EV_Chargers!$I:$I)</f>
        <v>0</v>
      </c>
      <c r="D373" s="7" t="n">
        <f aca="false">COUNTIF(Transport_Stops!$E:$E,A373)</f>
        <v>1</v>
      </c>
      <c r="E373" s="7" t="n">
        <f aca="false">COUNTIF(Sports_Facilities!$C:$C,A373)</f>
        <v>0</v>
      </c>
      <c r="F373" s="7" t="n">
        <f aca="false">COUNTIF(Taxi_Ranks!$B:$B,A373)</f>
        <v>0</v>
      </c>
      <c r="G373" s="7" t="n">
        <f aca="false">B373+D373+E373+F373</f>
        <v>1</v>
      </c>
      <c r="H373" s="7" t="n">
        <f aca="false">(B373&gt;0)+(D373&gt;0)+(E373&gt;0)+(F373&gt;0)</f>
        <v>1</v>
      </c>
    </row>
    <row r="374" customFormat="false" ht="15" hidden="false" customHeight="false" outlineLevel="0" collapsed="false">
      <c r="A374" s="7" t="n">
        <v>2605</v>
      </c>
      <c r="B374" s="7" t="n">
        <f aca="false">COUNTIF(EV_Chargers!$D:$D,A374)</f>
        <v>0</v>
      </c>
      <c r="C374" s="7" t="n">
        <f aca="false">SUMIF(EV_Chargers!$D:$D,A374,EV_Chargers!$I:$I)</f>
        <v>0</v>
      </c>
      <c r="D374" s="7" t="n">
        <f aca="false">COUNTIF(Transport_Stops!$E:$E,A374)</f>
        <v>1</v>
      </c>
      <c r="E374" s="7" t="n">
        <f aca="false">COUNTIF(Sports_Facilities!$C:$C,A374)</f>
        <v>0</v>
      </c>
      <c r="F374" s="7" t="n">
        <f aca="false">COUNTIF(Taxi_Ranks!$B:$B,A374)</f>
        <v>0</v>
      </c>
      <c r="G374" s="7" t="n">
        <f aca="false">B374+D374+E374+F374</f>
        <v>1</v>
      </c>
      <c r="H374" s="7" t="n">
        <f aca="false">(B374&gt;0)+(D374&gt;0)+(E374&gt;0)+(F374&gt;0)</f>
        <v>1</v>
      </c>
    </row>
    <row r="375" customFormat="false" ht="15" hidden="false" customHeight="false" outlineLevel="0" collapsed="false">
      <c r="A375" s="7" t="n">
        <v>2609</v>
      </c>
      <c r="B375" s="7" t="n">
        <f aca="false">COUNTIF(EV_Chargers!$D:$D,A375)</f>
        <v>0</v>
      </c>
      <c r="C375" s="7" t="n">
        <f aca="false">SUMIF(EV_Chargers!$D:$D,A375,EV_Chargers!$I:$I)</f>
        <v>0</v>
      </c>
      <c r="D375" s="7" t="n">
        <f aca="false">COUNTIF(Transport_Stops!$E:$E,A375)</f>
        <v>1</v>
      </c>
      <c r="E375" s="7" t="n">
        <f aca="false">COUNTIF(Sports_Facilities!$C:$C,A375)</f>
        <v>0</v>
      </c>
      <c r="F375" s="7" t="n">
        <f aca="false">COUNTIF(Taxi_Ranks!$B:$B,A375)</f>
        <v>0</v>
      </c>
      <c r="G375" s="7" t="n">
        <f aca="false">B375+D375+E375+F375</f>
        <v>1</v>
      </c>
      <c r="H375" s="7" t="n">
        <f aca="false">(B375&gt;0)+(D375&gt;0)+(E375&gt;0)+(F375&gt;0)</f>
        <v>1</v>
      </c>
    </row>
    <row r="376" customFormat="false" ht="15" hidden="false" customHeight="false" outlineLevel="0" collapsed="false">
      <c r="A376" s="7" t="n">
        <v>2617</v>
      </c>
      <c r="B376" s="7" t="n">
        <f aca="false">COUNTIF(EV_Chargers!$D:$D,A376)</f>
        <v>0</v>
      </c>
      <c r="C376" s="7" t="n">
        <f aca="false">SUMIF(EV_Chargers!$D:$D,A376,EV_Chargers!$I:$I)</f>
        <v>0</v>
      </c>
      <c r="D376" s="7" t="n">
        <f aca="false">COUNTIF(Transport_Stops!$E:$E,A376)</f>
        <v>3</v>
      </c>
      <c r="E376" s="7" t="n">
        <f aca="false">COUNTIF(Sports_Facilities!$C:$C,A376)</f>
        <v>0</v>
      </c>
      <c r="F376" s="7" t="n">
        <f aca="false">COUNTIF(Taxi_Ranks!$B:$B,A376)</f>
        <v>0</v>
      </c>
      <c r="G376" s="7" t="n">
        <f aca="false">B376+D376+E376+F376</f>
        <v>3</v>
      </c>
      <c r="H376" s="7" t="n">
        <f aca="false">(B376&gt;0)+(D376&gt;0)+(E376&gt;0)+(F376&gt;0)</f>
        <v>1</v>
      </c>
    </row>
    <row r="377" customFormat="false" ht="15" hidden="false" customHeight="false" outlineLevel="0" collapsed="false">
      <c r="A377" s="7" t="n">
        <v>2619</v>
      </c>
      <c r="B377" s="7" t="n">
        <f aca="false">COUNTIF(EV_Chargers!$D:$D,A377)</f>
        <v>1</v>
      </c>
      <c r="C377" s="7" t="n">
        <f aca="false">SUMIF(EV_Chargers!$D:$D,A377,EV_Chargers!$I:$I)</f>
        <v>6</v>
      </c>
      <c r="D377" s="7" t="n">
        <f aca="false">COUNTIF(Transport_Stops!$E:$E,A377)</f>
        <v>0</v>
      </c>
      <c r="E377" s="7" t="n">
        <f aca="false">COUNTIF(Sports_Facilities!$C:$C,A377)</f>
        <v>0</v>
      </c>
      <c r="F377" s="7" t="n">
        <f aca="false">COUNTIF(Taxi_Ranks!$B:$B,A377)</f>
        <v>0</v>
      </c>
      <c r="G377" s="7" t="n">
        <f aca="false">B377+D377+E377+F377</f>
        <v>1</v>
      </c>
      <c r="H377" s="7" t="n">
        <f aca="false">(B377&gt;0)+(D377&gt;0)+(E377&gt;0)+(F377&gt;0)</f>
        <v>1</v>
      </c>
    </row>
    <row r="378" customFormat="false" ht="15" hidden="false" customHeight="false" outlineLevel="0" collapsed="false">
      <c r="A378" s="7" t="n">
        <v>2620</v>
      </c>
      <c r="B378" s="7" t="n">
        <f aca="false">COUNTIF(EV_Chargers!$D:$D,A378)</f>
        <v>9</v>
      </c>
      <c r="C378" s="7" t="n">
        <f aca="false">SUMIF(EV_Chargers!$D:$D,A378,EV_Chargers!$I:$I)</f>
        <v>46</v>
      </c>
      <c r="D378" s="7" t="n">
        <f aca="false">COUNTIF(Transport_Stops!$E:$E,A378)</f>
        <v>3</v>
      </c>
      <c r="E378" s="7" t="n">
        <f aca="false">COUNTIF(Sports_Facilities!$C:$C,A378)</f>
        <v>0</v>
      </c>
      <c r="F378" s="7" t="n">
        <f aca="false">COUNTIF(Taxi_Ranks!$B:$B,A378)</f>
        <v>0</v>
      </c>
      <c r="G378" s="7" t="n">
        <f aca="false">B378+D378+E378+F378</f>
        <v>12</v>
      </c>
      <c r="H378" s="7" t="n">
        <f aca="false">(B378&gt;0)+(D378&gt;0)+(E378&gt;0)+(F378&gt;0)</f>
        <v>2</v>
      </c>
    </row>
    <row r="379" customFormat="false" ht="15" hidden="false" customHeight="false" outlineLevel="0" collapsed="false">
      <c r="A379" s="7" t="n">
        <v>2621</v>
      </c>
      <c r="B379" s="7" t="n">
        <f aca="false">COUNTIF(EV_Chargers!$D:$D,A379)</f>
        <v>2</v>
      </c>
      <c r="C379" s="7" t="n">
        <f aca="false">SUMIF(EV_Chargers!$D:$D,A379,EV_Chargers!$I:$I)</f>
        <v>10</v>
      </c>
      <c r="D379" s="7" t="n">
        <f aca="false">COUNTIF(Transport_Stops!$E:$E,A379)</f>
        <v>1</v>
      </c>
      <c r="E379" s="7" t="n">
        <f aca="false">COUNTIF(Sports_Facilities!$C:$C,A379)</f>
        <v>0</v>
      </c>
      <c r="F379" s="7" t="n">
        <f aca="false">COUNTIF(Taxi_Ranks!$B:$B,A379)</f>
        <v>0</v>
      </c>
      <c r="G379" s="7" t="n">
        <f aca="false">B379+D379+E379+F379</f>
        <v>3</v>
      </c>
      <c r="H379" s="7" t="n">
        <f aca="false">(B379&gt;0)+(D379&gt;0)+(E379&gt;0)+(F379&gt;0)</f>
        <v>2</v>
      </c>
    </row>
    <row r="380" customFormat="false" ht="15" hidden="false" customHeight="false" outlineLevel="0" collapsed="false">
      <c r="A380" s="7" t="n">
        <v>2622</v>
      </c>
      <c r="B380" s="7" t="n">
        <f aca="false">COUNTIF(EV_Chargers!$D:$D,A380)</f>
        <v>2</v>
      </c>
      <c r="C380" s="7" t="n">
        <f aca="false">SUMIF(EV_Chargers!$D:$D,A380,EV_Chargers!$I:$I)</f>
        <v>5</v>
      </c>
      <c r="D380" s="7" t="n">
        <f aca="false">COUNTIF(Transport_Stops!$E:$E,A380)</f>
        <v>0</v>
      </c>
      <c r="E380" s="7" t="n">
        <f aca="false">COUNTIF(Sports_Facilities!$C:$C,A380)</f>
        <v>0</v>
      </c>
      <c r="F380" s="7" t="n">
        <f aca="false">COUNTIF(Taxi_Ranks!$B:$B,A380)</f>
        <v>0</v>
      </c>
      <c r="G380" s="7" t="n">
        <f aca="false">B380+D380+E380+F380</f>
        <v>2</v>
      </c>
      <c r="H380" s="7" t="n">
        <f aca="false">(B380&gt;0)+(D380&gt;0)+(E380&gt;0)+(F380&gt;0)</f>
        <v>1</v>
      </c>
    </row>
    <row r="381" customFormat="false" ht="15" hidden="false" customHeight="false" outlineLevel="0" collapsed="false">
      <c r="A381" s="7" t="n">
        <v>2624</v>
      </c>
      <c r="B381" s="7" t="n">
        <f aca="false">COUNTIF(EV_Chargers!$D:$D,A381)</f>
        <v>2</v>
      </c>
      <c r="C381" s="7" t="n">
        <f aca="false">SUMIF(EV_Chargers!$D:$D,A381,EV_Chargers!$I:$I)</f>
        <v>5</v>
      </c>
      <c r="D381" s="7" t="n">
        <f aca="false">COUNTIF(Transport_Stops!$E:$E,A381)</f>
        <v>0</v>
      </c>
      <c r="E381" s="7" t="n">
        <f aca="false">COUNTIF(Sports_Facilities!$C:$C,A381)</f>
        <v>0</v>
      </c>
      <c r="F381" s="7" t="n">
        <f aca="false">COUNTIF(Taxi_Ranks!$B:$B,A381)</f>
        <v>0</v>
      </c>
      <c r="G381" s="7" t="n">
        <f aca="false">B381+D381+E381+F381</f>
        <v>2</v>
      </c>
      <c r="H381" s="7" t="n">
        <f aca="false">(B381&gt;0)+(D381&gt;0)+(E381&gt;0)+(F381&gt;0)</f>
        <v>1</v>
      </c>
    </row>
    <row r="382" customFormat="false" ht="15" hidden="false" customHeight="false" outlineLevel="0" collapsed="false">
      <c r="A382" s="7" t="n">
        <v>2625</v>
      </c>
      <c r="B382" s="7" t="n">
        <f aca="false">COUNTIF(EV_Chargers!$D:$D,A382)</f>
        <v>4</v>
      </c>
      <c r="C382" s="7" t="n">
        <f aca="false">SUMIF(EV_Chargers!$D:$D,A382,EV_Chargers!$I:$I)</f>
        <v>15</v>
      </c>
      <c r="D382" s="7" t="n">
        <f aca="false">COUNTIF(Transport_Stops!$E:$E,A382)</f>
        <v>0</v>
      </c>
      <c r="E382" s="7" t="n">
        <f aca="false">COUNTIF(Sports_Facilities!$C:$C,A382)</f>
        <v>0</v>
      </c>
      <c r="F382" s="7" t="n">
        <f aca="false">COUNTIF(Taxi_Ranks!$B:$B,A382)</f>
        <v>0</v>
      </c>
      <c r="G382" s="7" t="n">
        <f aca="false">B382+D382+E382+F382</f>
        <v>4</v>
      </c>
      <c r="H382" s="7" t="n">
        <f aca="false">(B382&gt;0)+(D382&gt;0)+(E382&gt;0)+(F382&gt;0)</f>
        <v>1</v>
      </c>
    </row>
    <row r="383" customFormat="false" ht="15" hidden="false" customHeight="false" outlineLevel="0" collapsed="false">
      <c r="A383" s="7" t="n">
        <v>2626</v>
      </c>
      <c r="B383" s="7" t="n">
        <f aca="false">COUNTIF(EV_Chargers!$D:$D,A383)</f>
        <v>0</v>
      </c>
      <c r="C383" s="7" t="n">
        <f aca="false">SUMIF(EV_Chargers!$D:$D,A383,EV_Chargers!$I:$I)</f>
        <v>0</v>
      </c>
      <c r="D383" s="7" t="n">
        <f aca="false">COUNTIF(Transport_Stops!$E:$E,A383)</f>
        <v>1</v>
      </c>
      <c r="E383" s="7" t="n">
        <f aca="false">COUNTIF(Sports_Facilities!$C:$C,A383)</f>
        <v>0</v>
      </c>
      <c r="F383" s="7" t="n">
        <f aca="false">COUNTIF(Taxi_Ranks!$B:$B,A383)</f>
        <v>0</v>
      </c>
      <c r="G383" s="7" t="n">
        <f aca="false">B383+D383+E383+F383</f>
        <v>1</v>
      </c>
      <c r="H383" s="7" t="n">
        <f aca="false">(B383&gt;0)+(D383&gt;0)+(E383&gt;0)+(F383&gt;0)</f>
        <v>1</v>
      </c>
    </row>
    <row r="384" customFormat="false" ht="15" hidden="false" customHeight="false" outlineLevel="0" collapsed="false">
      <c r="A384" s="7" t="n">
        <v>2627</v>
      </c>
      <c r="B384" s="7" t="n">
        <f aca="false">COUNTIF(EV_Chargers!$D:$D,A384)</f>
        <v>10</v>
      </c>
      <c r="C384" s="7" t="n">
        <f aca="false">SUMIF(EV_Chargers!$D:$D,A384,EV_Chargers!$I:$I)</f>
        <v>40</v>
      </c>
      <c r="D384" s="7" t="n">
        <f aca="false">COUNTIF(Transport_Stops!$E:$E,A384)</f>
        <v>1</v>
      </c>
      <c r="E384" s="7" t="n">
        <f aca="false">COUNTIF(Sports_Facilities!$C:$C,A384)</f>
        <v>0</v>
      </c>
      <c r="F384" s="7" t="n">
        <f aca="false">COUNTIF(Taxi_Ranks!$B:$B,A384)</f>
        <v>0</v>
      </c>
      <c r="G384" s="7" t="n">
        <f aca="false">B384+D384+E384+F384</f>
        <v>11</v>
      </c>
      <c r="H384" s="7" t="n">
        <f aca="false">(B384&gt;0)+(D384&gt;0)+(E384&gt;0)+(F384&gt;0)</f>
        <v>2</v>
      </c>
    </row>
    <row r="385" customFormat="false" ht="15" hidden="false" customHeight="false" outlineLevel="0" collapsed="false">
      <c r="A385" s="7" t="n">
        <v>2628</v>
      </c>
      <c r="B385" s="7" t="n">
        <f aca="false">COUNTIF(EV_Chargers!$D:$D,A385)</f>
        <v>0</v>
      </c>
      <c r="C385" s="7" t="n">
        <f aca="false">SUMIF(EV_Chargers!$D:$D,A385,EV_Chargers!$I:$I)</f>
        <v>0</v>
      </c>
      <c r="D385" s="7" t="n">
        <f aca="false">COUNTIF(Transport_Stops!$E:$E,A385)</f>
        <v>2</v>
      </c>
      <c r="E385" s="7" t="n">
        <f aca="false">COUNTIF(Sports_Facilities!$C:$C,A385)</f>
        <v>0</v>
      </c>
      <c r="F385" s="7" t="n">
        <f aca="false">COUNTIF(Taxi_Ranks!$B:$B,A385)</f>
        <v>0</v>
      </c>
      <c r="G385" s="7" t="n">
        <f aca="false">B385+D385+E385+F385</f>
        <v>2</v>
      </c>
      <c r="H385" s="7" t="n">
        <f aca="false">(B385&gt;0)+(D385&gt;0)+(E385&gt;0)+(F385&gt;0)</f>
        <v>1</v>
      </c>
    </row>
    <row r="386" customFormat="false" ht="15" hidden="false" customHeight="false" outlineLevel="0" collapsed="false">
      <c r="A386" s="7" t="n">
        <v>2629</v>
      </c>
      <c r="B386" s="7" t="n">
        <f aca="false">COUNTIF(EV_Chargers!$D:$D,A386)</f>
        <v>1</v>
      </c>
      <c r="C386" s="7" t="n">
        <f aca="false">SUMIF(EV_Chargers!$D:$D,A386,EV_Chargers!$I:$I)</f>
        <v>5</v>
      </c>
      <c r="D386" s="7" t="n">
        <f aca="false">COUNTIF(Transport_Stops!$E:$E,A386)</f>
        <v>0</v>
      </c>
      <c r="E386" s="7" t="n">
        <f aca="false">COUNTIF(Sports_Facilities!$C:$C,A386)</f>
        <v>0</v>
      </c>
      <c r="F386" s="7" t="n">
        <f aca="false">COUNTIF(Taxi_Ranks!$B:$B,A386)</f>
        <v>0</v>
      </c>
      <c r="G386" s="7" t="n">
        <f aca="false">B386+D386+E386+F386</f>
        <v>1</v>
      </c>
      <c r="H386" s="7" t="n">
        <f aca="false">(B386&gt;0)+(D386&gt;0)+(E386&gt;0)+(F386&gt;0)</f>
        <v>1</v>
      </c>
    </row>
    <row r="387" customFormat="false" ht="15" hidden="false" customHeight="false" outlineLevel="0" collapsed="false">
      <c r="A387" s="7" t="n">
        <v>2630</v>
      </c>
      <c r="B387" s="7" t="n">
        <f aca="false">COUNTIF(EV_Chargers!$D:$D,A387)</f>
        <v>3</v>
      </c>
      <c r="C387" s="7" t="n">
        <f aca="false">SUMIF(EV_Chargers!$D:$D,A387,EV_Chargers!$I:$I)</f>
        <v>22</v>
      </c>
      <c r="D387" s="7" t="n">
        <f aca="false">COUNTIF(Transport_Stops!$E:$E,A387)</f>
        <v>1</v>
      </c>
      <c r="E387" s="7" t="n">
        <f aca="false">COUNTIF(Sports_Facilities!$C:$C,A387)</f>
        <v>0</v>
      </c>
      <c r="F387" s="7" t="n">
        <f aca="false">COUNTIF(Taxi_Ranks!$B:$B,A387)</f>
        <v>0</v>
      </c>
      <c r="G387" s="7" t="n">
        <f aca="false">B387+D387+E387+F387</f>
        <v>4</v>
      </c>
      <c r="H387" s="7" t="n">
        <f aca="false">(B387&gt;0)+(D387&gt;0)+(E387&gt;0)+(F387&gt;0)</f>
        <v>2</v>
      </c>
    </row>
    <row r="388" customFormat="false" ht="15" hidden="false" customHeight="false" outlineLevel="0" collapsed="false">
      <c r="A388" s="7" t="n">
        <v>2631</v>
      </c>
      <c r="B388" s="7" t="n">
        <f aca="false">COUNTIF(EV_Chargers!$D:$D,A388)</f>
        <v>1</v>
      </c>
      <c r="C388" s="7" t="n">
        <f aca="false">SUMIF(EV_Chargers!$D:$D,A388,EV_Chargers!$I:$I)</f>
        <v>2</v>
      </c>
      <c r="D388" s="7" t="n">
        <f aca="false">COUNTIF(Transport_Stops!$E:$E,A388)</f>
        <v>1</v>
      </c>
      <c r="E388" s="7" t="n">
        <f aca="false">COUNTIF(Sports_Facilities!$C:$C,A388)</f>
        <v>0</v>
      </c>
      <c r="F388" s="7" t="n">
        <f aca="false">COUNTIF(Taxi_Ranks!$B:$B,A388)</f>
        <v>0</v>
      </c>
      <c r="G388" s="7" t="n">
        <f aca="false">B388+D388+E388+F388</f>
        <v>2</v>
      </c>
      <c r="H388" s="7" t="n">
        <f aca="false">(B388&gt;0)+(D388&gt;0)+(E388&gt;0)+(F388&gt;0)</f>
        <v>2</v>
      </c>
    </row>
    <row r="389" customFormat="false" ht="15" hidden="false" customHeight="false" outlineLevel="0" collapsed="false">
      <c r="A389" s="7" t="n">
        <v>2632</v>
      </c>
      <c r="B389" s="7" t="n">
        <f aca="false">COUNTIF(EV_Chargers!$D:$D,A389)</f>
        <v>0</v>
      </c>
      <c r="C389" s="7" t="n">
        <f aca="false">SUMIF(EV_Chargers!$D:$D,A389,EV_Chargers!$I:$I)</f>
        <v>0</v>
      </c>
      <c r="D389" s="7" t="n">
        <f aca="false">COUNTIF(Transport_Stops!$E:$E,A389)</f>
        <v>2</v>
      </c>
      <c r="E389" s="7" t="n">
        <f aca="false">COUNTIF(Sports_Facilities!$C:$C,A389)</f>
        <v>0</v>
      </c>
      <c r="F389" s="7" t="n">
        <f aca="false">COUNTIF(Taxi_Ranks!$B:$B,A389)</f>
        <v>0</v>
      </c>
      <c r="G389" s="7" t="n">
        <f aca="false">B389+D389+E389+F389</f>
        <v>2</v>
      </c>
      <c r="H389" s="7" t="n">
        <f aca="false">(B389&gt;0)+(D389&gt;0)+(E389&gt;0)+(F389&gt;0)</f>
        <v>1</v>
      </c>
    </row>
    <row r="390" customFormat="false" ht="15" hidden="false" customHeight="false" outlineLevel="0" collapsed="false">
      <c r="A390" s="7" t="n">
        <v>2640</v>
      </c>
      <c r="B390" s="7" t="n">
        <f aca="false">COUNTIF(EV_Chargers!$D:$D,A390)</f>
        <v>18</v>
      </c>
      <c r="C390" s="7" t="n">
        <f aca="false">SUMIF(EV_Chargers!$D:$D,A390,EV_Chargers!$I:$I)</f>
        <v>58</v>
      </c>
      <c r="D390" s="7" t="n">
        <f aca="false">COUNTIF(Transport_Stops!$E:$E,A390)</f>
        <v>1</v>
      </c>
      <c r="E390" s="7" t="n">
        <f aca="false">COUNTIF(Sports_Facilities!$C:$C,A390)</f>
        <v>0</v>
      </c>
      <c r="F390" s="7" t="n">
        <f aca="false">COUNTIF(Taxi_Ranks!$B:$B,A390)</f>
        <v>0</v>
      </c>
      <c r="G390" s="7" t="n">
        <f aca="false">B390+D390+E390+F390</f>
        <v>19</v>
      </c>
      <c r="H390" s="7" t="n">
        <f aca="false">(B390&gt;0)+(D390&gt;0)+(E390&gt;0)+(F390&gt;0)</f>
        <v>2</v>
      </c>
    </row>
    <row r="391" customFormat="false" ht="15" hidden="false" customHeight="false" outlineLevel="0" collapsed="false">
      <c r="A391" s="7" t="n">
        <v>2641</v>
      </c>
      <c r="B391" s="7" t="n">
        <f aca="false">COUNTIF(EV_Chargers!$D:$D,A391)</f>
        <v>1</v>
      </c>
      <c r="C391" s="7" t="n">
        <f aca="false">SUMIF(EV_Chargers!$D:$D,A391,EV_Chargers!$I:$I)</f>
        <v>4</v>
      </c>
      <c r="D391" s="7" t="n">
        <f aca="false">COUNTIF(Transport_Stops!$E:$E,A391)</f>
        <v>0</v>
      </c>
      <c r="E391" s="7" t="n">
        <f aca="false">COUNTIF(Sports_Facilities!$C:$C,A391)</f>
        <v>0</v>
      </c>
      <c r="F391" s="7" t="n">
        <f aca="false">COUNTIF(Taxi_Ranks!$B:$B,A391)</f>
        <v>0</v>
      </c>
      <c r="G391" s="7" t="n">
        <f aca="false">B391+D391+E391+F391</f>
        <v>1</v>
      </c>
      <c r="H391" s="7" t="n">
        <f aca="false">(B391&gt;0)+(D391&gt;0)+(E391&gt;0)+(F391&gt;0)</f>
        <v>1</v>
      </c>
    </row>
    <row r="392" customFormat="false" ht="15" hidden="false" customHeight="false" outlineLevel="0" collapsed="false">
      <c r="A392" s="7" t="n">
        <v>2642</v>
      </c>
      <c r="B392" s="7" t="n">
        <f aca="false">COUNTIF(EV_Chargers!$D:$D,A392)</f>
        <v>1</v>
      </c>
      <c r="C392" s="7" t="n">
        <f aca="false">SUMIF(EV_Chargers!$D:$D,A392,EV_Chargers!$I:$I)</f>
        <v>4</v>
      </c>
      <c r="D392" s="7" t="n">
        <f aca="false">COUNTIF(Transport_Stops!$E:$E,A392)</f>
        <v>0</v>
      </c>
      <c r="E392" s="7" t="n">
        <f aca="false">COUNTIF(Sports_Facilities!$C:$C,A392)</f>
        <v>0</v>
      </c>
      <c r="F392" s="7" t="n">
        <f aca="false">COUNTIF(Taxi_Ranks!$B:$B,A392)</f>
        <v>0</v>
      </c>
      <c r="G392" s="7" t="n">
        <f aca="false">B392+D392+E392+F392</f>
        <v>1</v>
      </c>
      <c r="H392" s="7" t="n">
        <f aca="false">(B392&gt;0)+(D392&gt;0)+(E392&gt;0)+(F392&gt;0)</f>
        <v>1</v>
      </c>
    </row>
    <row r="393" customFormat="false" ht="15" hidden="false" customHeight="false" outlineLevel="0" collapsed="false">
      <c r="A393" s="7" t="n">
        <v>2643</v>
      </c>
      <c r="B393" s="7" t="n">
        <f aca="false">COUNTIF(EV_Chargers!$D:$D,A393)</f>
        <v>1</v>
      </c>
      <c r="C393" s="7" t="n">
        <f aca="false">SUMIF(EV_Chargers!$D:$D,A393,EV_Chargers!$I:$I)</f>
        <v>2</v>
      </c>
      <c r="D393" s="7" t="n">
        <f aca="false">COUNTIF(Transport_Stops!$E:$E,A393)</f>
        <v>1</v>
      </c>
      <c r="E393" s="7" t="n">
        <f aca="false">COUNTIF(Sports_Facilities!$C:$C,A393)</f>
        <v>0</v>
      </c>
      <c r="F393" s="7" t="n">
        <f aca="false">COUNTIF(Taxi_Ranks!$B:$B,A393)</f>
        <v>0</v>
      </c>
      <c r="G393" s="7" t="n">
        <f aca="false">B393+D393+E393+F393</f>
        <v>2</v>
      </c>
      <c r="H393" s="7" t="n">
        <f aca="false">(B393&gt;0)+(D393&gt;0)+(E393&gt;0)+(F393&gt;0)</f>
        <v>2</v>
      </c>
    </row>
    <row r="394" customFormat="false" ht="15" hidden="false" customHeight="false" outlineLevel="0" collapsed="false">
      <c r="A394" s="7" t="n">
        <v>2644</v>
      </c>
      <c r="B394" s="7" t="n">
        <f aca="false">COUNTIF(EV_Chargers!$D:$D,A394)</f>
        <v>4</v>
      </c>
      <c r="C394" s="7" t="n">
        <f aca="false">SUMIF(EV_Chargers!$D:$D,A394,EV_Chargers!$I:$I)</f>
        <v>19</v>
      </c>
      <c r="D394" s="7" t="n">
        <f aca="false">COUNTIF(Transport_Stops!$E:$E,A394)</f>
        <v>0</v>
      </c>
      <c r="E394" s="7" t="n">
        <f aca="false">COUNTIF(Sports_Facilities!$C:$C,A394)</f>
        <v>0</v>
      </c>
      <c r="F394" s="7" t="n">
        <f aca="false">COUNTIF(Taxi_Ranks!$B:$B,A394)</f>
        <v>0</v>
      </c>
      <c r="G394" s="7" t="n">
        <f aca="false">B394+D394+E394+F394</f>
        <v>4</v>
      </c>
      <c r="H394" s="7" t="n">
        <f aca="false">(B394&gt;0)+(D394&gt;0)+(E394&gt;0)+(F394&gt;0)</f>
        <v>1</v>
      </c>
    </row>
    <row r="395" customFormat="false" ht="15" hidden="false" customHeight="false" outlineLevel="0" collapsed="false">
      <c r="A395" s="7" t="n">
        <v>2645</v>
      </c>
      <c r="B395" s="7" t="n">
        <f aca="false">COUNTIF(EV_Chargers!$D:$D,A395)</f>
        <v>0</v>
      </c>
      <c r="C395" s="7" t="n">
        <f aca="false">SUMIF(EV_Chargers!$D:$D,A395,EV_Chargers!$I:$I)</f>
        <v>0</v>
      </c>
      <c r="D395" s="7" t="n">
        <f aca="false">COUNTIF(Transport_Stops!$E:$E,A395)</f>
        <v>1</v>
      </c>
      <c r="E395" s="7" t="n">
        <f aca="false">COUNTIF(Sports_Facilities!$C:$C,A395)</f>
        <v>0</v>
      </c>
      <c r="F395" s="7" t="n">
        <f aca="false">COUNTIF(Taxi_Ranks!$B:$B,A395)</f>
        <v>0</v>
      </c>
      <c r="G395" s="7" t="n">
        <f aca="false">B395+D395+E395+F395</f>
        <v>1</v>
      </c>
      <c r="H395" s="7" t="n">
        <f aca="false">(B395&gt;0)+(D395&gt;0)+(E395&gt;0)+(F395&gt;0)</f>
        <v>1</v>
      </c>
    </row>
    <row r="396" customFormat="false" ht="15" hidden="false" customHeight="false" outlineLevel="0" collapsed="false">
      <c r="A396" s="7" t="n">
        <v>2646</v>
      </c>
      <c r="B396" s="7" t="n">
        <f aca="false">COUNTIF(EV_Chargers!$D:$D,A396)</f>
        <v>4</v>
      </c>
      <c r="C396" s="7" t="n">
        <f aca="false">SUMIF(EV_Chargers!$D:$D,A396,EV_Chargers!$I:$I)</f>
        <v>12</v>
      </c>
      <c r="D396" s="7" t="n">
        <f aca="false">COUNTIF(Transport_Stops!$E:$E,A396)</f>
        <v>1</v>
      </c>
      <c r="E396" s="7" t="n">
        <f aca="false">COUNTIF(Sports_Facilities!$C:$C,A396)</f>
        <v>0</v>
      </c>
      <c r="F396" s="7" t="n">
        <f aca="false">COUNTIF(Taxi_Ranks!$B:$B,A396)</f>
        <v>0</v>
      </c>
      <c r="G396" s="7" t="n">
        <f aca="false">B396+D396+E396+F396</f>
        <v>5</v>
      </c>
      <c r="H396" s="7" t="n">
        <f aca="false">(B396&gt;0)+(D396&gt;0)+(E396&gt;0)+(F396&gt;0)</f>
        <v>2</v>
      </c>
    </row>
    <row r="397" customFormat="false" ht="15" hidden="false" customHeight="false" outlineLevel="0" collapsed="false">
      <c r="A397" s="7" t="n">
        <v>2647</v>
      </c>
      <c r="B397" s="7" t="n">
        <f aca="false">COUNTIF(EV_Chargers!$D:$D,A397)</f>
        <v>4</v>
      </c>
      <c r="C397" s="7" t="n">
        <f aca="false">SUMIF(EV_Chargers!$D:$D,A397,EV_Chargers!$I:$I)</f>
        <v>16</v>
      </c>
      <c r="D397" s="7" t="n">
        <f aca="false">COUNTIF(Transport_Stops!$E:$E,A397)</f>
        <v>1</v>
      </c>
      <c r="E397" s="7" t="n">
        <f aca="false">COUNTIF(Sports_Facilities!$C:$C,A397)</f>
        <v>0</v>
      </c>
      <c r="F397" s="7" t="n">
        <f aca="false">COUNTIF(Taxi_Ranks!$B:$B,A397)</f>
        <v>0</v>
      </c>
      <c r="G397" s="7" t="n">
        <f aca="false">B397+D397+E397+F397</f>
        <v>5</v>
      </c>
      <c r="H397" s="7" t="n">
        <f aca="false">(B397&gt;0)+(D397&gt;0)+(E397&gt;0)+(F397&gt;0)</f>
        <v>2</v>
      </c>
    </row>
    <row r="398" customFormat="false" ht="15" hidden="false" customHeight="false" outlineLevel="0" collapsed="false">
      <c r="A398" s="7" t="n">
        <v>2648</v>
      </c>
      <c r="B398" s="7" t="n">
        <f aca="false">COUNTIF(EV_Chargers!$D:$D,A398)</f>
        <v>3</v>
      </c>
      <c r="C398" s="7" t="n">
        <f aca="false">SUMIF(EV_Chargers!$D:$D,A398,EV_Chargers!$I:$I)</f>
        <v>6</v>
      </c>
      <c r="D398" s="7" t="n">
        <f aca="false">COUNTIF(Transport_Stops!$E:$E,A398)</f>
        <v>2</v>
      </c>
      <c r="E398" s="7" t="n">
        <f aca="false">COUNTIF(Sports_Facilities!$C:$C,A398)</f>
        <v>0</v>
      </c>
      <c r="F398" s="7" t="n">
        <f aca="false">COUNTIF(Taxi_Ranks!$B:$B,A398)</f>
        <v>0</v>
      </c>
      <c r="G398" s="7" t="n">
        <f aca="false">B398+D398+E398+F398</f>
        <v>5</v>
      </c>
      <c r="H398" s="7" t="n">
        <f aca="false">(B398&gt;0)+(D398&gt;0)+(E398&gt;0)+(F398&gt;0)</f>
        <v>2</v>
      </c>
    </row>
    <row r="399" customFormat="false" ht="15" hidden="false" customHeight="false" outlineLevel="0" collapsed="false">
      <c r="A399" s="7" t="n">
        <v>2649</v>
      </c>
      <c r="B399" s="7" t="n">
        <f aca="false">COUNTIF(EV_Chargers!$D:$D,A399)</f>
        <v>0</v>
      </c>
      <c r="C399" s="7" t="n">
        <f aca="false">SUMIF(EV_Chargers!$D:$D,A399,EV_Chargers!$I:$I)</f>
        <v>0</v>
      </c>
      <c r="D399" s="7" t="n">
        <f aca="false">COUNTIF(Transport_Stops!$E:$E,A399)</f>
        <v>1</v>
      </c>
      <c r="E399" s="7" t="n">
        <f aca="false">COUNTIF(Sports_Facilities!$C:$C,A399)</f>
        <v>0</v>
      </c>
      <c r="F399" s="7" t="n">
        <f aca="false">COUNTIF(Taxi_Ranks!$B:$B,A399)</f>
        <v>0</v>
      </c>
      <c r="G399" s="7" t="n">
        <f aca="false">B399+D399+E399+F399</f>
        <v>1</v>
      </c>
      <c r="H399" s="7" t="n">
        <f aca="false">(B399&gt;0)+(D399&gt;0)+(E399&gt;0)+(F399&gt;0)</f>
        <v>1</v>
      </c>
    </row>
    <row r="400" customFormat="false" ht="15" hidden="false" customHeight="false" outlineLevel="0" collapsed="false">
      <c r="A400" s="7" t="n">
        <v>2650</v>
      </c>
      <c r="B400" s="7" t="n">
        <f aca="false">COUNTIF(EV_Chargers!$D:$D,A400)</f>
        <v>15</v>
      </c>
      <c r="C400" s="7" t="n">
        <f aca="false">SUMIF(EV_Chargers!$D:$D,A400,EV_Chargers!$I:$I)</f>
        <v>35</v>
      </c>
      <c r="D400" s="7" t="n">
        <f aca="false">COUNTIF(Transport_Stops!$E:$E,A400)</f>
        <v>1</v>
      </c>
      <c r="E400" s="7" t="n">
        <f aca="false">COUNTIF(Sports_Facilities!$C:$C,A400)</f>
        <v>0</v>
      </c>
      <c r="F400" s="7" t="n">
        <f aca="false">COUNTIF(Taxi_Ranks!$B:$B,A400)</f>
        <v>0</v>
      </c>
      <c r="G400" s="7" t="n">
        <f aca="false">B400+D400+E400+F400</f>
        <v>16</v>
      </c>
      <c r="H400" s="7" t="n">
        <f aca="false">(B400&gt;0)+(D400&gt;0)+(E400&gt;0)+(F400&gt;0)</f>
        <v>2</v>
      </c>
    </row>
    <row r="401" customFormat="false" ht="15" hidden="false" customHeight="false" outlineLevel="0" collapsed="false">
      <c r="A401" s="7" t="n">
        <v>2651</v>
      </c>
      <c r="B401" s="7" t="n">
        <f aca="false">COUNTIF(EV_Chargers!$D:$D,A401)</f>
        <v>1</v>
      </c>
      <c r="C401" s="7" t="n">
        <f aca="false">SUMIF(EV_Chargers!$D:$D,A401,EV_Chargers!$I:$I)</f>
        <v>1</v>
      </c>
      <c r="D401" s="7" t="n">
        <f aca="false">COUNTIF(Transport_Stops!$E:$E,A401)</f>
        <v>0</v>
      </c>
      <c r="E401" s="7" t="n">
        <f aca="false">COUNTIF(Sports_Facilities!$C:$C,A401)</f>
        <v>0</v>
      </c>
      <c r="F401" s="7" t="n">
        <f aca="false">COUNTIF(Taxi_Ranks!$B:$B,A401)</f>
        <v>0</v>
      </c>
      <c r="G401" s="7" t="n">
        <f aca="false">B401+D401+E401+F401</f>
        <v>1</v>
      </c>
      <c r="H401" s="7" t="n">
        <f aca="false">(B401&gt;0)+(D401&gt;0)+(E401&gt;0)+(F401&gt;0)</f>
        <v>1</v>
      </c>
    </row>
    <row r="402" customFormat="false" ht="15" hidden="false" customHeight="false" outlineLevel="0" collapsed="false">
      <c r="A402" s="7" t="n">
        <v>2652</v>
      </c>
      <c r="B402" s="7" t="n">
        <f aca="false">COUNTIF(EV_Chargers!$D:$D,A402)</f>
        <v>4</v>
      </c>
      <c r="C402" s="7" t="n">
        <f aca="false">SUMIF(EV_Chargers!$D:$D,A402,EV_Chargers!$I:$I)</f>
        <v>16</v>
      </c>
      <c r="D402" s="7" t="n">
        <f aca="false">COUNTIF(Transport_Stops!$E:$E,A402)</f>
        <v>2</v>
      </c>
      <c r="E402" s="7" t="n">
        <f aca="false">COUNTIF(Sports_Facilities!$C:$C,A402)</f>
        <v>0</v>
      </c>
      <c r="F402" s="7" t="n">
        <f aca="false">COUNTIF(Taxi_Ranks!$B:$B,A402)</f>
        <v>0</v>
      </c>
      <c r="G402" s="7" t="n">
        <f aca="false">B402+D402+E402+F402</f>
        <v>6</v>
      </c>
      <c r="H402" s="7" t="n">
        <f aca="false">(B402&gt;0)+(D402&gt;0)+(E402&gt;0)+(F402&gt;0)</f>
        <v>2</v>
      </c>
    </row>
    <row r="403" customFormat="false" ht="15" hidden="false" customHeight="false" outlineLevel="0" collapsed="false">
      <c r="A403" s="7" t="n">
        <v>2653</v>
      </c>
      <c r="B403" s="7" t="n">
        <f aca="false">COUNTIF(EV_Chargers!$D:$D,A403)</f>
        <v>3</v>
      </c>
      <c r="C403" s="7" t="n">
        <f aca="false">SUMIF(EV_Chargers!$D:$D,A403,EV_Chargers!$I:$I)</f>
        <v>8</v>
      </c>
      <c r="D403" s="7" t="n">
        <f aca="false">COUNTIF(Transport_Stops!$E:$E,A403)</f>
        <v>1</v>
      </c>
      <c r="E403" s="7" t="n">
        <f aca="false">COUNTIF(Sports_Facilities!$C:$C,A403)</f>
        <v>0</v>
      </c>
      <c r="F403" s="7" t="n">
        <f aca="false">COUNTIF(Taxi_Ranks!$B:$B,A403)</f>
        <v>0</v>
      </c>
      <c r="G403" s="7" t="n">
        <f aca="false">B403+D403+E403+F403</f>
        <v>4</v>
      </c>
      <c r="H403" s="7" t="n">
        <f aca="false">(B403&gt;0)+(D403&gt;0)+(E403&gt;0)+(F403&gt;0)</f>
        <v>2</v>
      </c>
    </row>
    <row r="404" customFormat="false" ht="15" hidden="false" customHeight="false" outlineLevel="0" collapsed="false">
      <c r="A404" s="7" t="n">
        <v>2655</v>
      </c>
      <c r="B404" s="7" t="n">
        <f aca="false">COUNTIF(EV_Chargers!$D:$D,A404)</f>
        <v>2</v>
      </c>
      <c r="C404" s="7" t="n">
        <f aca="false">SUMIF(EV_Chargers!$D:$D,A404,EV_Chargers!$I:$I)</f>
        <v>3</v>
      </c>
      <c r="D404" s="7" t="n">
        <f aca="false">COUNTIF(Transport_Stops!$E:$E,A404)</f>
        <v>1</v>
      </c>
      <c r="E404" s="7" t="n">
        <f aca="false">COUNTIF(Sports_Facilities!$C:$C,A404)</f>
        <v>0</v>
      </c>
      <c r="F404" s="7" t="n">
        <f aca="false">COUNTIF(Taxi_Ranks!$B:$B,A404)</f>
        <v>0</v>
      </c>
      <c r="G404" s="7" t="n">
        <f aca="false">B404+D404+E404+F404</f>
        <v>3</v>
      </c>
      <c r="H404" s="7" t="n">
        <f aca="false">(B404&gt;0)+(D404&gt;0)+(E404&gt;0)+(F404&gt;0)</f>
        <v>2</v>
      </c>
    </row>
    <row r="405" customFormat="false" ht="15" hidden="false" customHeight="false" outlineLevel="0" collapsed="false">
      <c r="A405" s="7" t="n">
        <v>2656</v>
      </c>
      <c r="B405" s="7" t="n">
        <f aca="false">COUNTIF(EV_Chargers!$D:$D,A405)</f>
        <v>3</v>
      </c>
      <c r="C405" s="7" t="n">
        <f aca="false">SUMIF(EV_Chargers!$D:$D,A405,EV_Chargers!$I:$I)</f>
        <v>6</v>
      </c>
      <c r="D405" s="7" t="n">
        <f aca="false">COUNTIF(Transport_Stops!$E:$E,A405)</f>
        <v>1</v>
      </c>
      <c r="E405" s="7" t="n">
        <f aca="false">COUNTIF(Sports_Facilities!$C:$C,A405)</f>
        <v>0</v>
      </c>
      <c r="F405" s="7" t="n">
        <f aca="false">COUNTIF(Taxi_Ranks!$B:$B,A405)</f>
        <v>0</v>
      </c>
      <c r="G405" s="7" t="n">
        <f aca="false">B405+D405+E405+F405</f>
        <v>4</v>
      </c>
      <c r="H405" s="7" t="n">
        <f aca="false">(B405&gt;0)+(D405&gt;0)+(E405&gt;0)+(F405&gt;0)</f>
        <v>2</v>
      </c>
    </row>
    <row r="406" customFormat="false" ht="15" hidden="false" customHeight="false" outlineLevel="0" collapsed="false">
      <c r="A406" s="7" t="n">
        <v>2658</v>
      </c>
      <c r="B406" s="7" t="n">
        <f aca="false">COUNTIF(EV_Chargers!$D:$D,A406)</f>
        <v>0</v>
      </c>
      <c r="C406" s="7" t="n">
        <f aca="false">SUMIF(EV_Chargers!$D:$D,A406,EV_Chargers!$I:$I)</f>
        <v>0</v>
      </c>
      <c r="D406" s="7" t="n">
        <f aca="false">COUNTIF(Transport_Stops!$E:$E,A406)</f>
        <v>1</v>
      </c>
      <c r="E406" s="7" t="n">
        <f aca="false">COUNTIF(Sports_Facilities!$C:$C,A406)</f>
        <v>0</v>
      </c>
      <c r="F406" s="7" t="n">
        <f aca="false">COUNTIF(Taxi_Ranks!$B:$B,A406)</f>
        <v>0</v>
      </c>
      <c r="G406" s="7" t="n">
        <f aca="false">B406+D406+E406+F406</f>
        <v>1</v>
      </c>
      <c r="H406" s="7" t="n">
        <f aca="false">(B406&gt;0)+(D406&gt;0)+(E406&gt;0)+(F406&gt;0)</f>
        <v>1</v>
      </c>
    </row>
    <row r="407" customFormat="false" ht="15" hidden="false" customHeight="false" outlineLevel="0" collapsed="false">
      <c r="A407" s="7" t="n">
        <v>2659</v>
      </c>
      <c r="B407" s="7" t="n">
        <f aca="false">COUNTIF(EV_Chargers!$D:$D,A407)</f>
        <v>1</v>
      </c>
      <c r="C407" s="7" t="n">
        <f aca="false">SUMIF(EV_Chargers!$D:$D,A407,EV_Chargers!$I:$I)</f>
        <v>1</v>
      </c>
      <c r="D407" s="7" t="n">
        <f aca="false">COUNTIF(Transport_Stops!$E:$E,A407)</f>
        <v>0</v>
      </c>
      <c r="E407" s="7" t="n">
        <f aca="false">COUNTIF(Sports_Facilities!$C:$C,A407)</f>
        <v>0</v>
      </c>
      <c r="F407" s="7" t="n">
        <f aca="false">COUNTIF(Taxi_Ranks!$B:$B,A407)</f>
        <v>0</v>
      </c>
      <c r="G407" s="7" t="n">
        <f aca="false">B407+D407+E407+F407</f>
        <v>1</v>
      </c>
      <c r="H407" s="7" t="n">
        <f aca="false">(B407&gt;0)+(D407&gt;0)+(E407&gt;0)+(F407&gt;0)</f>
        <v>1</v>
      </c>
    </row>
    <row r="408" customFormat="false" ht="15" hidden="false" customHeight="false" outlineLevel="0" collapsed="false">
      <c r="A408" s="7" t="n">
        <v>2660</v>
      </c>
      <c r="B408" s="7" t="n">
        <f aca="false">COUNTIF(EV_Chargers!$D:$D,A408)</f>
        <v>0</v>
      </c>
      <c r="C408" s="7" t="n">
        <f aca="false">SUMIF(EV_Chargers!$D:$D,A408,EV_Chargers!$I:$I)</f>
        <v>0</v>
      </c>
      <c r="D408" s="7" t="n">
        <f aca="false">COUNTIF(Transport_Stops!$E:$E,A408)</f>
        <v>1</v>
      </c>
      <c r="E408" s="7" t="n">
        <f aca="false">COUNTIF(Sports_Facilities!$C:$C,A408)</f>
        <v>0</v>
      </c>
      <c r="F408" s="7" t="n">
        <f aca="false">COUNTIF(Taxi_Ranks!$B:$B,A408)</f>
        <v>0</v>
      </c>
      <c r="G408" s="7" t="n">
        <f aca="false">B408+D408+E408+F408</f>
        <v>1</v>
      </c>
      <c r="H408" s="7" t="n">
        <f aca="false">(B408&gt;0)+(D408&gt;0)+(E408&gt;0)+(F408&gt;0)</f>
        <v>1</v>
      </c>
    </row>
    <row r="409" customFormat="false" ht="15" hidden="false" customHeight="false" outlineLevel="0" collapsed="false">
      <c r="A409" s="7" t="n">
        <v>2663</v>
      </c>
      <c r="B409" s="7" t="n">
        <f aca="false">COUNTIF(EV_Chargers!$D:$D,A409)</f>
        <v>1</v>
      </c>
      <c r="C409" s="7" t="n">
        <f aca="false">SUMIF(EV_Chargers!$D:$D,A409,EV_Chargers!$I:$I)</f>
        <v>2</v>
      </c>
      <c r="D409" s="7" t="n">
        <f aca="false">COUNTIF(Transport_Stops!$E:$E,A409)</f>
        <v>1</v>
      </c>
      <c r="E409" s="7" t="n">
        <f aca="false">COUNTIF(Sports_Facilities!$C:$C,A409)</f>
        <v>0</v>
      </c>
      <c r="F409" s="7" t="n">
        <f aca="false">COUNTIF(Taxi_Ranks!$B:$B,A409)</f>
        <v>0</v>
      </c>
      <c r="G409" s="7" t="n">
        <f aca="false">B409+D409+E409+F409</f>
        <v>2</v>
      </c>
      <c r="H409" s="7" t="n">
        <f aca="false">(B409&gt;0)+(D409&gt;0)+(E409&gt;0)+(F409&gt;0)</f>
        <v>2</v>
      </c>
    </row>
    <row r="410" customFormat="false" ht="15" hidden="false" customHeight="false" outlineLevel="0" collapsed="false">
      <c r="A410" s="7" t="n">
        <v>2665</v>
      </c>
      <c r="B410" s="7" t="n">
        <f aca="false">COUNTIF(EV_Chargers!$D:$D,A410)</f>
        <v>0</v>
      </c>
      <c r="C410" s="7" t="n">
        <f aca="false">SUMIF(EV_Chargers!$D:$D,A410,EV_Chargers!$I:$I)</f>
        <v>0</v>
      </c>
      <c r="D410" s="7" t="n">
        <f aca="false">COUNTIF(Transport_Stops!$E:$E,A410)</f>
        <v>5</v>
      </c>
      <c r="E410" s="7" t="n">
        <f aca="false">COUNTIF(Sports_Facilities!$C:$C,A410)</f>
        <v>0</v>
      </c>
      <c r="F410" s="7" t="n">
        <f aca="false">COUNTIF(Taxi_Ranks!$B:$B,A410)</f>
        <v>0</v>
      </c>
      <c r="G410" s="7" t="n">
        <f aca="false">B410+D410+E410+F410</f>
        <v>5</v>
      </c>
      <c r="H410" s="7" t="n">
        <f aca="false">(B410&gt;0)+(D410&gt;0)+(E410&gt;0)+(F410&gt;0)</f>
        <v>1</v>
      </c>
    </row>
    <row r="411" customFormat="false" ht="15" hidden="false" customHeight="false" outlineLevel="0" collapsed="false">
      <c r="A411" s="7" t="n">
        <v>2666</v>
      </c>
      <c r="B411" s="7" t="n">
        <f aca="false">COUNTIF(EV_Chargers!$D:$D,A411)</f>
        <v>2</v>
      </c>
      <c r="C411" s="7" t="n">
        <f aca="false">SUMIF(EV_Chargers!$D:$D,A411,EV_Chargers!$I:$I)</f>
        <v>6</v>
      </c>
      <c r="D411" s="7" t="n">
        <f aca="false">COUNTIF(Transport_Stops!$E:$E,A411)</f>
        <v>1</v>
      </c>
      <c r="E411" s="7" t="n">
        <f aca="false">COUNTIF(Sports_Facilities!$C:$C,A411)</f>
        <v>0</v>
      </c>
      <c r="F411" s="7" t="n">
        <f aca="false">COUNTIF(Taxi_Ranks!$B:$B,A411)</f>
        <v>0</v>
      </c>
      <c r="G411" s="7" t="n">
        <f aca="false">B411+D411+E411+F411</f>
        <v>3</v>
      </c>
      <c r="H411" s="7" t="n">
        <f aca="false">(B411&gt;0)+(D411&gt;0)+(E411&gt;0)+(F411&gt;0)</f>
        <v>2</v>
      </c>
    </row>
    <row r="412" customFormat="false" ht="15" hidden="false" customHeight="false" outlineLevel="0" collapsed="false">
      <c r="A412" s="7" t="n">
        <v>2668</v>
      </c>
      <c r="B412" s="7" t="n">
        <f aca="false">COUNTIF(EV_Chargers!$D:$D,A412)</f>
        <v>0</v>
      </c>
      <c r="C412" s="7" t="n">
        <f aca="false">SUMIF(EV_Chargers!$D:$D,A412,EV_Chargers!$I:$I)</f>
        <v>0</v>
      </c>
      <c r="D412" s="7" t="n">
        <f aca="false">COUNTIF(Transport_Stops!$E:$E,A412)</f>
        <v>1</v>
      </c>
      <c r="E412" s="7" t="n">
        <f aca="false">COUNTIF(Sports_Facilities!$C:$C,A412)</f>
        <v>0</v>
      </c>
      <c r="F412" s="7" t="n">
        <f aca="false">COUNTIF(Taxi_Ranks!$B:$B,A412)</f>
        <v>0</v>
      </c>
      <c r="G412" s="7" t="n">
        <f aca="false">B412+D412+E412+F412</f>
        <v>1</v>
      </c>
      <c r="H412" s="7" t="n">
        <f aca="false">(B412&gt;0)+(D412&gt;0)+(E412&gt;0)+(F412&gt;0)</f>
        <v>1</v>
      </c>
    </row>
    <row r="413" customFormat="false" ht="15" hidden="false" customHeight="false" outlineLevel="0" collapsed="false">
      <c r="A413" s="7" t="n">
        <v>2669</v>
      </c>
      <c r="B413" s="7" t="n">
        <f aca="false">COUNTIF(EV_Chargers!$D:$D,A413)</f>
        <v>0</v>
      </c>
      <c r="C413" s="7" t="n">
        <f aca="false">SUMIF(EV_Chargers!$D:$D,A413,EV_Chargers!$I:$I)</f>
        <v>0</v>
      </c>
      <c r="D413" s="7" t="n">
        <f aca="false">COUNTIF(Transport_Stops!$E:$E,A413)</f>
        <v>2</v>
      </c>
      <c r="E413" s="7" t="n">
        <f aca="false">COUNTIF(Sports_Facilities!$C:$C,A413)</f>
        <v>0</v>
      </c>
      <c r="F413" s="7" t="n">
        <f aca="false">COUNTIF(Taxi_Ranks!$B:$B,A413)</f>
        <v>0</v>
      </c>
      <c r="G413" s="7" t="n">
        <f aca="false">B413+D413+E413+F413</f>
        <v>2</v>
      </c>
      <c r="H413" s="7" t="n">
        <f aca="false">(B413&gt;0)+(D413&gt;0)+(E413&gt;0)+(F413&gt;0)</f>
        <v>1</v>
      </c>
    </row>
    <row r="414" customFormat="false" ht="15" hidden="false" customHeight="false" outlineLevel="0" collapsed="false">
      <c r="A414" s="7" t="n">
        <v>2671</v>
      </c>
      <c r="B414" s="7" t="n">
        <f aca="false">COUNTIF(EV_Chargers!$D:$D,A414)</f>
        <v>1</v>
      </c>
      <c r="C414" s="7" t="n">
        <f aca="false">SUMIF(EV_Chargers!$D:$D,A414,EV_Chargers!$I:$I)</f>
        <v>2</v>
      </c>
      <c r="D414" s="7" t="n">
        <f aca="false">COUNTIF(Transport_Stops!$E:$E,A414)</f>
        <v>2</v>
      </c>
      <c r="E414" s="7" t="n">
        <f aca="false">COUNTIF(Sports_Facilities!$C:$C,A414)</f>
        <v>0</v>
      </c>
      <c r="F414" s="7" t="n">
        <f aca="false">COUNTIF(Taxi_Ranks!$B:$B,A414)</f>
        <v>0</v>
      </c>
      <c r="G414" s="7" t="n">
        <f aca="false">B414+D414+E414+F414</f>
        <v>3</v>
      </c>
      <c r="H414" s="7" t="n">
        <f aca="false">(B414&gt;0)+(D414&gt;0)+(E414&gt;0)+(F414&gt;0)</f>
        <v>2</v>
      </c>
    </row>
    <row r="415" customFormat="false" ht="15" hidden="false" customHeight="false" outlineLevel="0" collapsed="false">
      <c r="A415" s="7" t="n">
        <v>2672</v>
      </c>
      <c r="B415" s="7" t="n">
        <f aca="false">COUNTIF(EV_Chargers!$D:$D,A415)</f>
        <v>1</v>
      </c>
      <c r="C415" s="7" t="n">
        <f aca="false">SUMIF(EV_Chargers!$D:$D,A415,EV_Chargers!$I:$I)</f>
        <v>2</v>
      </c>
      <c r="D415" s="7" t="n">
        <f aca="false">COUNTIF(Transport_Stops!$E:$E,A415)</f>
        <v>1</v>
      </c>
      <c r="E415" s="7" t="n">
        <f aca="false">COUNTIF(Sports_Facilities!$C:$C,A415)</f>
        <v>0</v>
      </c>
      <c r="F415" s="7" t="n">
        <f aca="false">COUNTIF(Taxi_Ranks!$B:$B,A415)</f>
        <v>0</v>
      </c>
      <c r="G415" s="7" t="n">
        <f aca="false">B415+D415+E415+F415</f>
        <v>2</v>
      </c>
      <c r="H415" s="7" t="n">
        <f aca="false">(B415&gt;0)+(D415&gt;0)+(E415&gt;0)+(F415&gt;0)</f>
        <v>2</v>
      </c>
    </row>
    <row r="416" customFormat="false" ht="15" hidden="false" customHeight="false" outlineLevel="0" collapsed="false">
      <c r="A416" s="7" t="n">
        <v>2675</v>
      </c>
      <c r="B416" s="7" t="n">
        <f aca="false">COUNTIF(EV_Chargers!$D:$D,A416)</f>
        <v>1</v>
      </c>
      <c r="C416" s="7" t="n">
        <f aca="false">SUMIF(EV_Chargers!$D:$D,A416,EV_Chargers!$I:$I)</f>
        <v>2</v>
      </c>
      <c r="D416" s="7" t="n">
        <f aca="false">COUNTIF(Transport_Stops!$E:$E,A416)</f>
        <v>0</v>
      </c>
      <c r="E416" s="7" t="n">
        <f aca="false">COUNTIF(Sports_Facilities!$C:$C,A416)</f>
        <v>0</v>
      </c>
      <c r="F416" s="7" t="n">
        <f aca="false">COUNTIF(Taxi_Ranks!$B:$B,A416)</f>
        <v>0</v>
      </c>
      <c r="G416" s="7" t="n">
        <f aca="false">B416+D416+E416+F416</f>
        <v>1</v>
      </c>
      <c r="H416" s="7" t="n">
        <f aca="false">(B416&gt;0)+(D416&gt;0)+(E416&gt;0)+(F416&gt;0)</f>
        <v>1</v>
      </c>
    </row>
    <row r="417" customFormat="false" ht="15" hidden="false" customHeight="false" outlineLevel="0" collapsed="false">
      <c r="A417" s="7" t="n">
        <v>2678</v>
      </c>
      <c r="B417" s="7" t="n">
        <f aca="false">COUNTIF(EV_Chargers!$D:$D,A417)</f>
        <v>1</v>
      </c>
      <c r="C417" s="7" t="n">
        <f aca="false">SUMIF(EV_Chargers!$D:$D,A417,EV_Chargers!$I:$I)</f>
        <v>2</v>
      </c>
      <c r="D417" s="7" t="n">
        <f aca="false">COUNTIF(Transport_Stops!$E:$E,A417)</f>
        <v>0</v>
      </c>
      <c r="E417" s="7" t="n">
        <f aca="false">COUNTIF(Sports_Facilities!$C:$C,A417)</f>
        <v>0</v>
      </c>
      <c r="F417" s="7" t="n">
        <f aca="false">COUNTIF(Taxi_Ranks!$B:$B,A417)</f>
        <v>0</v>
      </c>
      <c r="G417" s="7" t="n">
        <f aca="false">B417+D417+E417+F417</f>
        <v>1</v>
      </c>
      <c r="H417" s="7" t="n">
        <f aca="false">(B417&gt;0)+(D417&gt;0)+(E417&gt;0)+(F417&gt;0)</f>
        <v>1</v>
      </c>
    </row>
    <row r="418" customFormat="false" ht="15" hidden="false" customHeight="false" outlineLevel="0" collapsed="false">
      <c r="A418" s="7" t="n">
        <v>2680</v>
      </c>
      <c r="B418" s="7" t="n">
        <f aca="false">COUNTIF(EV_Chargers!$D:$D,A418)</f>
        <v>8</v>
      </c>
      <c r="C418" s="7" t="n">
        <f aca="false">SUMIF(EV_Chargers!$D:$D,A418,EV_Chargers!$I:$I)</f>
        <v>19</v>
      </c>
      <c r="D418" s="7" t="n">
        <f aca="false">COUNTIF(Transport_Stops!$E:$E,A418)</f>
        <v>1</v>
      </c>
      <c r="E418" s="7" t="n">
        <f aca="false">COUNTIF(Sports_Facilities!$C:$C,A418)</f>
        <v>0</v>
      </c>
      <c r="F418" s="7" t="n">
        <f aca="false">COUNTIF(Taxi_Ranks!$B:$B,A418)</f>
        <v>0</v>
      </c>
      <c r="G418" s="7" t="n">
        <f aca="false">B418+D418+E418+F418</f>
        <v>9</v>
      </c>
      <c r="H418" s="7" t="n">
        <f aca="false">(B418&gt;0)+(D418&gt;0)+(E418&gt;0)+(F418&gt;0)</f>
        <v>2</v>
      </c>
    </row>
    <row r="419" customFormat="false" ht="15" hidden="false" customHeight="false" outlineLevel="0" collapsed="false">
      <c r="A419" s="7" t="n">
        <v>2681</v>
      </c>
      <c r="B419" s="7" t="n">
        <f aca="false">COUNTIF(EV_Chargers!$D:$D,A419)</f>
        <v>0</v>
      </c>
      <c r="C419" s="7" t="n">
        <f aca="false">SUMIF(EV_Chargers!$D:$D,A419,EV_Chargers!$I:$I)</f>
        <v>0</v>
      </c>
      <c r="D419" s="7" t="n">
        <f aca="false">COUNTIF(Transport_Stops!$E:$E,A419)</f>
        <v>1</v>
      </c>
      <c r="E419" s="7" t="n">
        <f aca="false">COUNTIF(Sports_Facilities!$C:$C,A419)</f>
        <v>0</v>
      </c>
      <c r="F419" s="7" t="n">
        <f aca="false">COUNTIF(Taxi_Ranks!$B:$B,A419)</f>
        <v>0</v>
      </c>
      <c r="G419" s="7" t="n">
        <f aca="false">B419+D419+E419+F419</f>
        <v>1</v>
      </c>
      <c r="H419" s="7" t="n">
        <f aca="false">(B419&gt;0)+(D419&gt;0)+(E419&gt;0)+(F419&gt;0)</f>
        <v>1</v>
      </c>
    </row>
    <row r="420" customFormat="false" ht="15" hidden="false" customHeight="false" outlineLevel="0" collapsed="false">
      <c r="A420" s="7" t="n">
        <v>2700</v>
      </c>
      <c r="B420" s="7" t="n">
        <f aca="false">COUNTIF(EV_Chargers!$D:$D,A420)</f>
        <v>4</v>
      </c>
      <c r="C420" s="7" t="n">
        <f aca="false">SUMIF(EV_Chargers!$D:$D,A420,EV_Chargers!$I:$I)</f>
        <v>12</v>
      </c>
      <c r="D420" s="7" t="n">
        <f aca="false">COUNTIF(Transport_Stops!$E:$E,A420)</f>
        <v>1</v>
      </c>
      <c r="E420" s="7" t="n">
        <f aca="false">COUNTIF(Sports_Facilities!$C:$C,A420)</f>
        <v>0</v>
      </c>
      <c r="F420" s="7" t="n">
        <f aca="false">COUNTIF(Taxi_Ranks!$B:$B,A420)</f>
        <v>0</v>
      </c>
      <c r="G420" s="7" t="n">
        <f aca="false">B420+D420+E420+F420</f>
        <v>5</v>
      </c>
      <c r="H420" s="7" t="n">
        <f aca="false">(B420&gt;0)+(D420&gt;0)+(E420&gt;0)+(F420&gt;0)</f>
        <v>2</v>
      </c>
    </row>
    <row r="421" customFormat="false" ht="15" hidden="false" customHeight="false" outlineLevel="0" collapsed="false">
      <c r="A421" s="7" t="n">
        <v>2701</v>
      </c>
      <c r="B421" s="7" t="n">
        <f aca="false">COUNTIF(EV_Chargers!$D:$D,A421)</f>
        <v>2</v>
      </c>
      <c r="C421" s="7" t="n">
        <f aca="false">SUMIF(EV_Chargers!$D:$D,A421,EV_Chargers!$I:$I)</f>
        <v>4</v>
      </c>
      <c r="D421" s="7" t="n">
        <f aca="false">COUNTIF(Transport_Stops!$E:$E,A421)</f>
        <v>1</v>
      </c>
      <c r="E421" s="7" t="n">
        <f aca="false">COUNTIF(Sports_Facilities!$C:$C,A421)</f>
        <v>0</v>
      </c>
      <c r="F421" s="7" t="n">
        <f aca="false">COUNTIF(Taxi_Ranks!$B:$B,A421)</f>
        <v>0</v>
      </c>
      <c r="G421" s="7" t="n">
        <f aca="false">B421+D421+E421+F421</f>
        <v>3</v>
      </c>
      <c r="H421" s="7" t="n">
        <f aca="false">(B421&gt;0)+(D421&gt;0)+(E421&gt;0)+(F421&gt;0)</f>
        <v>2</v>
      </c>
    </row>
    <row r="422" customFormat="false" ht="15" hidden="false" customHeight="false" outlineLevel="0" collapsed="false">
      <c r="A422" s="7" t="n">
        <v>2702</v>
      </c>
      <c r="B422" s="7" t="n">
        <f aca="false">COUNTIF(EV_Chargers!$D:$D,A422)</f>
        <v>1</v>
      </c>
      <c r="C422" s="7" t="n">
        <f aca="false">SUMIF(EV_Chargers!$D:$D,A422,EV_Chargers!$I:$I)</f>
        <v>2</v>
      </c>
      <c r="D422" s="7" t="n">
        <f aca="false">COUNTIF(Transport_Stops!$E:$E,A422)</f>
        <v>1</v>
      </c>
      <c r="E422" s="7" t="n">
        <f aca="false">COUNTIF(Sports_Facilities!$C:$C,A422)</f>
        <v>0</v>
      </c>
      <c r="F422" s="7" t="n">
        <f aca="false">COUNTIF(Taxi_Ranks!$B:$B,A422)</f>
        <v>0</v>
      </c>
      <c r="G422" s="7" t="n">
        <f aca="false">B422+D422+E422+F422</f>
        <v>2</v>
      </c>
      <c r="H422" s="7" t="n">
        <f aca="false">(B422&gt;0)+(D422&gt;0)+(E422&gt;0)+(F422&gt;0)</f>
        <v>2</v>
      </c>
    </row>
    <row r="423" customFormat="false" ht="15" hidden="false" customHeight="false" outlineLevel="0" collapsed="false">
      <c r="A423" s="7" t="n">
        <v>2703</v>
      </c>
      <c r="B423" s="7" t="n">
        <f aca="false">COUNTIF(EV_Chargers!$D:$D,A423)</f>
        <v>0</v>
      </c>
      <c r="C423" s="7" t="n">
        <f aca="false">SUMIF(EV_Chargers!$D:$D,A423,EV_Chargers!$I:$I)</f>
        <v>0</v>
      </c>
      <c r="D423" s="7" t="n">
        <f aca="false">COUNTIF(Transport_Stops!$E:$E,A423)</f>
        <v>1</v>
      </c>
      <c r="E423" s="7" t="n">
        <f aca="false">COUNTIF(Sports_Facilities!$C:$C,A423)</f>
        <v>0</v>
      </c>
      <c r="F423" s="7" t="n">
        <f aca="false">COUNTIF(Taxi_Ranks!$B:$B,A423)</f>
        <v>0</v>
      </c>
      <c r="G423" s="7" t="n">
        <f aca="false">B423+D423+E423+F423</f>
        <v>1</v>
      </c>
      <c r="H423" s="7" t="n">
        <f aca="false">(B423&gt;0)+(D423&gt;0)+(E423&gt;0)+(F423&gt;0)</f>
        <v>1</v>
      </c>
    </row>
    <row r="424" customFormat="false" ht="15" hidden="false" customHeight="false" outlineLevel="0" collapsed="false">
      <c r="A424" s="7" t="n">
        <v>2705</v>
      </c>
      <c r="B424" s="7" t="n">
        <f aca="false">COUNTIF(EV_Chargers!$D:$D,A424)</f>
        <v>0</v>
      </c>
      <c r="C424" s="7" t="n">
        <f aca="false">SUMIF(EV_Chargers!$D:$D,A424,EV_Chargers!$I:$I)</f>
        <v>0</v>
      </c>
      <c r="D424" s="7" t="n">
        <f aca="false">COUNTIF(Transport_Stops!$E:$E,A424)</f>
        <v>3</v>
      </c>
      <c r="E424" s="7" t="n">
        <f aca="false">COUNTIF(Sports_Facilities!$C:$C,A424)</f>
        <v>0</v>
      </c>
      <c r="F424" s="7" t="n">
        <f aca="false">COUNTIF(Taxi_Ranks!$B:$B,A424)</f>
        <v>0</v>
      </c>
      <c r="G424" s="7" t="n">
        <f aca="false">B424+D424+E424+F424</f>
        <v>3</v>
      </c>
      <c r="H424" s="7" t="n">
        <f aca="false">(B424&gt;0)+(D424&gt;0)+(E424&gt;0)+(F424&gt;0)</f>
        <v>1</v>
      </c>
    </row>
    <row r="425" customFormat="false" ht="15" hidden="false" customHeight="false" outlineLevel="0" collapsed="false">
      <c r="A425" s="7" t="n">
        <v>2706</v>
      </c>
      <c r="B425" s="7" t="n">
        <f aca="false">COUNTIF(EV_Chargers!$D:$D,A425)</f>
        <v>1</v>
      </c>
      <c r="C425" s="7" t="n">
        <f aca="false">SUMIF(EV_Chargers!$D:$D,A425,EV_Chargers!$I:$I)</f>
        <v>2</v>
      </c>
      <c r="D425" s="7" t="n">
        <f aca="false">COUNTIF(Transport_Stops!$E:$E,A425)</f>
        <v>1</v>
      </c>
      <c r="E425" s="7" t="n">
        <f aca="false">COUNTIF(Sports_Facilities!$C:$C,A425)</f>
        <v>0</v>
      </c>
      <c r="F425" s="7" t="n">
        <f aca="false">COUNTIF(Taxi_Ranks!$B:$B,A425)</f>
        <v>0</v>
      </c>
      <c r="G425" s="7" t="n">
        <f aca="false">B425+D425+E425+F425</f>
        <v>2</v>
      </c>
      <c r="H425" s="7" t="n">
        <f aca="false">(B425&gt;0)+(D425&gt;0)+(E425&gt;0)+(F425&gt;0)</f>
        <v>2</v>
      </c>
    </row>
    <row r="426" customFormat="false" ht="15" hidden="false" customHeight="false" outlineLevel="0" collapsed="false">
      <c r="A426" s="7" t="n">
        <v>2707</v>
      </c>
      <c r="B426" s="7" t="n">
        <f aca="false">COUNTIF(EV_Chargers!$D:$D,A426)</f>
        <v>1</v>
      </c>
      <c r="C426" s="7" t="n">
        <f aca="false">SUMIF(EV_Chargers!$D:$D,A426,EV_Chargers!$I:$I)</f>
        <v>2</v>
      </c>
      <c r="D426" s="7" t="n">
        <f aca="false">COUNTIF(Transport_Stops!$E:$E,A426)</f>
        <v>0</v>
      </c>
      <c r="E426" s="7" t="n">
        <f aca="false">COUNTIF(Sports_Facilities!$C:$C,A426)</f>
        <v>0</v>
      </c>
      <c r="F426" s="7" t="n">
        <f aca="false">COUNTIF(Taxi_Ranks!$B:$B,A426)</f>
        <v>0</v>
      </c>
      <c r="G426" s="7" t="n">
        <f aca="false">B426+D426+E426+F426</f>
        <v>1</v>
      </c>
      <c r="H426" s="7" t="n">
        <f aca="false">(B426&gt;0)+(D426&gt;0)+(E426&gt;0)+(F426&gt;0)</f>
        <v>1</v>
      </c>
    </row>
    <row r="427" customFormat="false" ht="15" hidden="false" customHeight="false" outlineLevel="0" collapsed="false">
      <c r="A427" s="7" t="n">
        <v>2710</v>
      </c>
      <c r="B427" s="7" t="n">
        <f aca="false">COUNTIF(EV_Chargers!$D:$D,A427)</f>
        <v>7</v>
      </c>
      <c r="C427" s="7" t="n">
        <f aca="false">SUMIF(EV_Chargers!$D:$D,A427,EV_Chargers!$I:$I)</f>
        <v>30</v>
      </c>
      <c r="D427" s="7" t="n">
        <f aca="false">COUNTIF(Transport_Stops!$E:$E,A427)</f>
        <v>2</v>
      </c>
      <c r="E427" s="7" t="n">
        <f aca="false">COUNTIF(Sports_Facilities!$C:$C,A427)</f>
        <v>0</v>
      </c>
      <c r="F427" s="7" t="n">
        <f aca="false">COUNTIF(Taxi_Ranks!$B:$B,A427)</f>
        <v>0</v>
      </c>
      <c r="G427" s="7" t="n">
        <f aca="false">B427+D427+E427+F427</f>
        <v>9</v>
      </c>
      <c r="H427" s="7" t="n">
        <f aca="false">(B427&gt;0)+(D427&gt;0)+(E427&gt;0)+(F427&gt;0)</f>
        <v>2</v>
      </c>
    </row>
    <row r="428" customFormat="false" ht="15" hidden="false" customHeight="false" outlineLevel="0" collapsed="false">
      <c r="A428" s="7" t="n">
        <v>2711</v>
      </c>
      <c r="B428" s="7" t="n">
        <f aca="false">COUNTIF(EV_Chargers!$D:$D,A428)</f>
        <v>7</v>
      </c>
      <c r="C428" s="7" t="n">
        <f aca="false">SUMIF(EV_Chargers!$D:$D,A428,EV_Chargers!$I:$I)</f>
        <v>24</v>
      </c>
      <c r="D428" s="7" t="n">
        <f aca="false">COUNTIF(Transport_Stops!$E:$E,A428)</f>
        <v>2</v>
      </c>
      <c r="E428" s="7" t="n">
        <f aca="false">COUNTIF(Sports_Facilities!$C:$C,A428)</f>
        <v>0</v>
      </c>
      <c r="F428" s="7" t="n">
        <f aca="false">COUNTIF(Taxi_Ranks!$B:$B,A428)</f>
        <v>0</v>
      </c>
      <c r="G428" s="7" t="n">
        <f aca="false">B428+D428+E428+F428</f>
        <v>9</v>
      </c>
      <c r="H428" s="7" t="n">
        <f aca="false">(B428&gt;0)+(D428&gt;0)+(E428&gt;0)+(F428&gt;0)</f>
        <v>2</v>
      </c>
    </row>
    <row r="429" customFormat="false" ht="15" hidden="false" customHeight="false" outlineLevel="0" collapsed="false">
      <c r="A429" s="7" t="n">
        <v>2712</v>
      </c>
      <c r="B429" s="7" t="n">
        <f aca="false">COUNTIF(EV_Chargers!$D:$D,A429)</f>
        <v>0</v>
      </c>
      <c r="C429" s="7" t="n">
        <f aca="false">SUMIF(EV_Chargers!$D:$D,A429,EV_Chargers!$I:$I)</f>
        <v>0</v>
      </c>
      <c r="D429" s="7" t="n">
        <f aca="false">COUNTIF(Transport_Stops!$E:$E,A429)</f>
        <v>1</v>
      </c>
      <c r="E429" s="7" t="n">
        <f aca="false">COUNTIF(Sports_Facilities!$C:$C,A429)</f>
        <v>0</v>
      </c>
      <c r="F429" s="7" t="n">
        <f aca="false">COUNTIF(Taxi_Ranks!$B:$B,A429)</f>
        <v>0</v>
      </c>
      <c r="G429" s="7" t="n">
        <f aca="false">B429+D429+E429+F429</f>
        <v>1</v>
      </c>
      <c r="H429" s="7" t="n">
        <f aca="false">(B429&gt;0)+(D429&gt;0)+(E429&gt;0)+(F429&gt;0)</f>
        <v>1</v>
      </c>
    </row>
    <row r="430" customFormat="false" ht="15" hidden="false" customHeight="false" outlineLevel="0" collapsed="false">
      <c r="A430" s="7" t="n">
        <v>2713</v>
      </c>
      <c r="B430" s="7" t="n">
        <f aca="false">COUNTIF(EV_Chargers!$D:$D,A430)</f>
        <v>0</v>
      </c>
      <c r="C430" s="7" t="n">
        <f aca="false">SUMIF(EV_Chargers!$D:$D,A430,EV_Chargers!$I:$I)</f>
        <v>0</v>
      </c>
      <c r="D430" s="7" t="n">
        <f aca="false">COUNTIF(Transport_Stops!$E:$E,A430)</f>
        <v>2</v>
      </c>
      <c r="E430" s="7" t="n">
        <f aca="false">COUNTIF(Sports_Facilities!$C:$C,A430)</f>
        <v>0</v>
      </c>
      <c r="F430" s="7" t="n">
        <f aca="false">COUNTIF(Taxi_Ranks!$B:$B,A430)</f>
        <v>0</v>
      </c>
      <c r="G430" s="7" t="n">
        <f aca="false">B430+D430+E430+F430</f>
        <v>2</v>
      </c>
      <c r="H430" s="7" t="n">
        <f aca="false">(B430&gt;0)+(D430&gt;0)+(E430&gt;0)+(F430&gt;0)</f>
        <v>1</v>
      </c>
    </row>
    <row r="431" customFormat="false" ht="15" hidden="false" customHeight="false" outlineLevel="0" collapsed="false">
      <c r="A431" s="7" t="n">
        <v>2714</v>
      </c>
      <c r="B431" s="7" t="n">
        <f aca="false">COUNTIF(EV_Chargers!$D:$D,A431)</f>
        <v>1</v>
      </c>
      <c r="C431" s="7" t="n">
        <f aca="false">SUMIF(EV_Chargers!$D:$D,A431,EV_Chargers!$I:$I)</f>
        <v>2</v>
      </c>
      <c r="D431" s="7" t="n">
        <f aca="false">COUNTIF(Transport_Stops!$E:$E,A431)</f>
        <v>1</v>
      </c>
      <c r="E431" s="7" t="n">
        <f aca="false">COUNTIF(Sports_Facilities!$C:$C,A431)</f>
        <v>0</v>
      </c>
      <c r="F431" s="7" t="n">
        <f aca="false">COUNTIF(Taxi_Ranks!$B:$B,A431)</f>
        <v>0</v>
      </c>
      <c r="G431" s="7" t="n">
        <f aca="false">B431+D431+E431+F431</f>
        <v>2</v>
      </c>
      <c r="H431" s="7" t="n">
        <f aca="false">(B431&gt;0)+(D431&gt;0)+(E431&gt;0)+(F431&gt;0)</f>
        <v>2</v>
      </c>
    </row>
    <row r="432" customFormat="false" ht="15" hidden="false" customHeight="false" outlineLevel="0" collapsed="false">
      <c r="A432" s="7" t="n">
        <v>2715</v>
      </c>
      <c r="B432" s="7" t="n">
        <f aca="false">COUNTIF(EV_Chargers!$D:$D,A432)</f>
        <v>1</v>
      </c>
      <c r="C432" s="7" t="n">
        <f aca="false">SUMIF(EV_Chargers!$D:$D,A432,EV_Chargers!$I:$I)</f>
        <v>2</v>
      </c>
      <c r="D432" s="7" t="n">
        <f aca="false">COUNTIF(Transport_Stops!$E:$E,A432)</f>
        <v>1</v>
      </c>
      <c r="E432" s="7" t="n">
        <f aca="false">COUNTIF(Sports_Facilities!$C:$C,A432)</f>
        <v>0</v>
      </c>
      <c r="F432" s="7" t="n">
        <f aca="false">COUNTIF(Taxi_Ranks!$B:$B,A432)</f>
        <v>0</v>
      </c>
      <c r="G432" s="7" t="n">
        <f aca="false">B432+D432+E432+F432</f>
        <v>2</v>
      </c>
      <c r="H432" s="7" t="n">
        <f aca="false">(B432&gt;0)+(D432&gt;0)+(E432&gt;0)+(F432&gt;0)</f>
        <v>2</v>
      </c>
    </row>
    <row r="433" customFormat="false" ht="15" hidden="false" customHeight="false" outlineLevel="0" collapsed="false">
      <c r="A433" s="7" t="n">
        <v>2716</v>
      </c>
      <c r="B433" s="7" t="n">
        <f aca="false">COUNTIF(EV_Chargers!$D:$D,A433)</f>
        <v>1</v>
      </c>
      <c r="C433" s="7" t="n">
        <f aca="false">SUMIF(EV_Chargers!$D:$D,A433,EV_Chargers!$I:$I)</f>
        <v>6</v>
      </c>
      <c r="D433" s="7" t="n">
        <f aca="false">COUNTIF(Transport_Stops!$E:$E,A433)</f>
        <v>1</v>
      </c>
      <c r="E433" s="7" t="n">
        <f aca="false">COUNTIF(Sports_Facilities!$C:$C,A433)</f>
        <v>0</v>
      </c>
      <c r="F433" s="7" t="n">
        <f aca="false">COUNTIF(Taxi_Ranks!$B:$B,A433)</f>
        <v>0</v>
      </c>
      <c r="G433" s="7" t="n">
        <f aca="false">B433+D433+E433+F433</f>
        <v>2</v>
      </c>
      <c r="H433" s="7" t="n">
        <f aca="false">(B433&gt;0)+(D433&gt;0)+(E433&gt;0)+(F433&gt;0)</f>
        <v>2</v>
      </c>
    </row>
    <row r="434" customFormat="false" ht="15" hidden="false" customHeight="false" outlineLevel="0" collapsed="false">
      <c r="A434" s="7" t="n">
        <v>2717</v>
      </c>
      <c r="B434" s="7" t="n">
        <f aca="false">COUNTIF(EV_Chargers!$D:$D,A434)</f>
        <v>1</v>
      </c>
      <c r="C434" s="7" t="n">
        <f aca="false">SUMIF(EV_Chargers!$D:$D,A434,EV_Chargers!$I:$I)</f>
        <v>1</v>
      </c>
      <c r="D434" s="7" t="n">
        <f aca="false">COUNTIF(Transport_Stops!$E:$E,A434)</f>
        <v>0</v>
      </c>
      <c r="E434" s="7" t="n">
        <f aca="false">COUNTIF(Sports_Facilities!$C:$C,A434)</f>
        <v>0</v>
      </c>
      <c r="F434" s="7" t="n">
        <f aca="false">COUNTIF(Taxi_Ranks!$B:$B,A434)</f>
        <v>0</v>
      </c>
      <c r="G434" s="7" t="n">
        <f aca="false">B434+D434+E434+F434</f>
        <v>1</v>
      </c>
      <c r="H434" s="7" t="n">
        <f aca="false">(B434&gt;0)+(D434&gt;0)+(E434&gt;0)+(F434&gt;0)</f>
        <v>1</v>
      </c>
    </row>
    <row r="435" customFormat="false" ht="15" hidden="false" customHeight="false" outlineLevel="0" collapsed="false">
      <c r="A435" s="7" t="n">
        <v>2720</v>
      </c>
      <c r="B435" s="7" t="n">
        <f aca="false">COUNTIF(EV_Chargers!$D:$D,A435)</f>
        <v>10</v>
      </c>
      <c r="C435" s="7" t="n">
        <f aca="false">SUMIF(EV_Chargers!$D:$D,A435,EV_Chargers!$I:$I)</f>
        <v>26</v>
      </c>
      <c r="D435" s="7" t="n">
        <f aca="false">COUNTIF(Transport_Stops!$E:$E,A435)</f>
        <v>1</v>
      </c>
      <c r="E435" s="7" t="n">
        <f aca="false">COUNTIF(Sports_Facilities!$C:$C,A435)</f>
        <v>0</v>
      </c>
      <c r="F435" s="7" t="n">
        <f aca="false">COUNTIF(Taxi_Ranks!$B:$B,A435)</f>
        <v>0</v>
      </c>
      <c r="G435" s="7" t="n">
        <f aca="false">B435+D435+E435+F435</f>
        <v>11</v>
      </c>
      <c r="H435" s="7" t="n">
        <f aca="false">(B435&gt;0)+(D435&gt;0)+(E435&gt;0)+(F435&gt;0)</f>
        <v>2</v>
      </c>
    </row>
    <row r="436" customFormat="false" ht="15" hidden="false" customHeight="false" outlineLevel="0" collapsed="false">
      <c r="A436" s="7" t="n">
        <v>2722</v>
      </c>
      <c r="B436" s="7" t="n">
        <f aca="false">COUNTIF(EV_Chargers!$D:$D,A436)</f>
        <v>5</v>
      </c>
      <c r="C436" s="7" t="n">
        <f aca="false">SUMIF(EV_Chargers!$D:$D,A436,EV_Chargers!$I:$I)</f>
        <v>24</v>
      </c>
      <c r="D436" s="7" t="n">
        <f aca="false">COUNTIF(Transport_Stops!$E:$E,A436)</f>
        <v>2</v>
      </c>
      <c r="E436" s="7" t="n">
        <f aca="false">COUNTIF(Sports_Facilities!$C:$C,A436)</f>
        <v>0</v>
      </c>
      <c r="F436" s="7" t="n">
        <f aca="false">COUNTIF(Taxi_Ranks!$B:$B,A436)</f>
        <v>0</v>
      </c>
      <c r="G436" s="7" t="n">
        <f aca="false">B436+D436+E436+F436</f>
        <v>7</v>
      </c>
      <c r="H436" s="7" t="n">
        <f aca="false">(B436&gt;0)+(D436&gt;0)+(E436&gt;0)+(F436&gt;0)</f>
        <v>2</v>
      </c>
    </row>
    <row r="437" customFormat="false" ht="15" hidden="false" customHeight="false" outlineLevel="0" collapsed="false">
      <c r="A437" s="7" t="n">
        <v>2725</v>
      </c>
      <c r="B437" s="7" t="n">
        <f aca="false">COUNTIF(EV_Chargers!$D:$D,A437)</f>
        <v>0</v>
      </c>
      <c r="C437" s="7" t="n">
        <f aca="false">SUMIF(EV_Chargers!$D:$D,A437,EV_Chargers!$I:$I)</f>
        <v>0</v>
      </c>
      <c r="D437" s="7" t="n">
        <f aca="false">COUNTIF(Transport_Stops!$E:$E,A437)</f>
        <v>1</v>
      </c>
      <c r="E437" s="7" t="n">
        <f aca="false">COUNTIF(Sports_Facilities!$C:$C,A437)</f>
        <v>0</v>
      </c>
      <c r="F437" s="7" t="n">
        <f aca="false">COUNTIF(Taxi_Ranks!$B:$B,A437)</f>
        <v>0</v>
      </c>
      <c r="G437" s="7" t="n">
        <f aca="false">B437+D437+E437+F437</f>
        <v>1</v>
      </c>
      <c r="H437" s="7" t="n">
        <f aca="false">(B437&gt;0)+(D437&gt;0)+(E437&gt;0)+(F437&gt;0)</f>
        <v>1</v>
      </c>
    </row>
    <row r="438" customFormat="false" ht="15" hidden="false" customHeight="false" outlineLevel="0" collapsed="false">
      <c r="A438" s="7" t="n">
        <v>2726</v>
      </c>
      <c r="B438" s="7" t="n">
        <f aca="false">COUNTIF(EV_Chargers!$D:$D,A438)</f>
        <v>1</v>
      </c>
      <c r="C438" s="7" t="n">
        <f aca="false">SUMIF(EV_Chargers!$D:$D,A438,EV_Chargers!$I:$I)</f>
        <v>2</v>
      </c>
      <c r="D438" s="7" t="n">
        <f aca="false">COUNTIF(Transport_Stops!$E:$E,A438)</f>
        <v>0</v>
      </c>
      <c r="E438" s="7" t="n">
        <f aca="false">COUNTIF(Sports_Facilities!$C:$C,A438)</f>
        <v>0</v>
      </c>
      <c r="F438" s="7" t="n">
        <f aca="false">COUNTIF(Taxi_Ranks!$B:$B,A438)</f>
        <v>0</v>
      </c>
      <c r="G438" s="7" t="n">
        <f aca="false">B438+D438+E438+F438</f>
        <v>1</v>
      </c>
      <c r="H438" s="7" t="n">
        <f aca="false">(B438&gt;0)+(D438&gt;0)+(E438&gt;0)+(F438&gt;0)</f>
        <v>1</v>
      </c>
    </row>
    <row r="439" customFormat="false" ht="15" hidden="false" customHeight="false" outlineLevel="0" collapsed="false">
      <c r="A439" s="7" t="n">
        <v>2727</v>
      </c>
      <c r="B439" s="7" t="n">
        <f aca="false">COUNTIF(EV_Chargers!$D:$D,A439)</f>
        <v>1</v>
      </c>
      <c r="C439" s="7" t="n">
        <f aca="false">SUMIF(EV_Chargers!$D:$D,A439,EV_Chargers!$I:$I)</f>
        <v>12</v>
      </c>
      <c r="D439" s="7" t="n">
        <f aca="false">COUNTIF(Transport_Stops!$E:$E,A439)</f>
        <v>1</v>
      </c>
      <c r="E439" s="7" t="n">
        <f aca="false">COUNTIF(Sports_Facilities!$C:$C,A439)</f>
        <v>0</v>
      </c>
      <c r="F439" s="7" t="n">
        <f aca="false">COUNTIF(Taxi_Ranks!$B:$B,A439)</f>
        <v>0</v>
      </c>
      <c r="G439" s="7" t="n">
        <f aca="false">B439+D439+E439+F439</f>
        <v>2</v>
      </c>
      <c r="H439" s="7" t="n">
        <f aca="false">(B439&gt;0)+(D439&gt;0)+(E439&gt;0)+(F439&gt;0)</f>
        <v>2</v>
      </c>
    </row>
    <row r="440" customFormat="false" ht="15" hidden="false" customHeight="false" outlineLevel="0" collapsed="false">
      <c r="A440" s="7" t="n">
        <v>2729</v>
      </c>
      <c r="B440" s="7" t="n">
        <f aca="false">COUNTIF(EV_Chargers!$D:$D,A440)</f>
        <v>3</v>
      </c>
      <c r="C440" s="7" t="n">
        <f aca="false">SUMIF(EV_Chargers!$D:$D,A440,EV_Chargers!$I:$I)</f>
        <v>8</v>
      </c>
      <c r="D440" s="7" t="n">
        <f aca="false">COUNTIF(Transport_Stops!$E:$E,A440)</f>
        <v>3</v>
      </c>
      <c r="E440" s="7" t="n">
        <f aca="false">COUNTIF(Sports_Facilities!$C:$C,A440)</f>
        <v>0</v>
      </c>
      <c r="F440" s="7" t="n">
        <f aca="false">COUNTIF(Taxi_Ranks!$B:$B,A440)</f>
        <v>0</v>
      </c>
      <c r="G440" s="7" t="n">
        <f aca="false">B440+D440+E440+F440</f>
        <v>6</v>
      </c>
      <c r="H440" s="7" t="n">
        <f aca="false">(B440&gt;0)+(D440&gt;0)+(E440&gt;0)+(F440&gt;0)</f>
        <v>2</v>
      </c>
    </row>
    <row r="441" customFormat="false" ht="15" hidden="false" customHeight="false" outlineLevel="0" collapsed="false">
      <c r="A441" s="7" t="n">
        <v>2730</v>
      </c>
      <c r="B441" s="7" t="n">
        <f aca="false">COUNTIF(EV_Chargers!$D:$D,A441)</f>
        <v>0</v>
      </c>
      <c r="C441" s="7" t="n">
        <f aca="false">SUMIF(EV_Chargers!$D:$D,A441,EV_Chargers!$I:$I)</f>
        <v>0</v>
      </c>
      <c r="D441" s="7" t="n">
        <f aca="false">COUNTIF(Transport_Stops!$E:$E,A441)</f>
        <v>1</v>
      </c>
      <c r="E441" s="7" t="n">
        <f aca="false">COUNTIF(Sports_Facilities!$C:$C,A441)</f>
        <v>0</v>
      </c>
      <c r="F441" s="7" t="n">
        <f aca="false">COUNTIF(Taxi_Ranks!$B:$B,A441)</f>
        <v>0</v>
      </c>
      <c r="G441" s="7" t="n">
        <f aca="false">B441+D441+E441+F441</f>
        <v>1</v>
      </c>
      <c r="H441" s="7" t="n">
        <f aca="false">(B441&gt;0)+(D441&gt;0)+(E441&gt;0)+(F441&gt;0)</f>
        <v>1</v>
      </c>
    </row>
    <row r="442" customFormat="false" ht="15" hidden="false" customHeight="false" outlineLevel="0" collapsed="false">
      <c r="A442" s="7" t="n">
        <v>2731</v>
      </c>
      <c r="B442" s="7" t="n">
        <f aca="false">COUNTIF(EV_Chargers!$D:$D,A442)</f>
        <v>4</v>
      </c>
      <c r="C442" s="7" t="n">
        <f aca="false">SUMIF(EV_Chargers!$D:$D,A442,EV_Chargers!$I:$I)</f>
        <v>10</v>
      </c>
      <c r="D442" s="7" t="n">
        <f aca="false">COUNTIF(Transport_Stops!$E:$E,A442)</f>
        <v>1</v>
      </c>
      <c r="E442" s="7" t="n">
        <f aca="false">COUNTIF(Sports_Facilities!$C:$C,A442)</f>
        <v>0</v>
      </c>
      <c r="F442" s="7" t="n">
        <f aca="false">COUNTIF(Taxi_Ranks!$B:$B,A442)</f>
        <v>0</v>
      </c>
      <c r="G442" s="7" t="n">
        <f aca="false">B442+D442+E442+F442</f>
        <v>5</v>
      </c>
      <c r="H442" s="7" t="n">
        <f aca="false">(B442&gt;0)+(D442&gt;0)+(E442&gt;0)+(F442&gt;0)</f>
        <v>2</v>
      </c>
    </row>
    <row r="443" customFormat="false" ht="15" hidden="false" customHeight="false" outlineLevel="0" collapsed="false">
      <c r="A443" s="7" t="n">
        <v>2732</v>
      </c>
      <c r="B443" s="7" t="n">
        <f aca="false">COUNTIF(EV_Chargers!$D:$D,A443)</f>
        <v>2</v>
      </c>
      <c r="C443" s="7" t="n">
        <f aca="false">SUMIF(EV_Chargers!$D:$D,A443,EV_Chargers!$I:$I)</f>
        <v>4</v>
      </c>
      <c r="D443" s="7" t="n">
        <f aca="false">COUNTIF(Transport_Stops!$E:$E,A443)</f>
        <v>0</v>
      </c>
      <c r="E443" s="7" t="n">
        <f aca="false">COUNTIF(Sports_Facilities!$C:$C,A443)</f>
        <v>0</v>
      </c>
      <c r="F443" s="7" t="n">
        <f aca="false">COUNTIF(Taxi_Ranks!$B:$B,A443)</f>
        <v>0</v>
      </c>
      <c r="G443" s="7" t="n">
        <f aca="false">B443+D443+E443+F443</f>
        <v>2</v>
      </c>
      <c r="H443" s="7" t="n">
        <f aca="false">(B443&gt;0)+(D443&gt;0)+(E443&gt;0)+(F443&gt;0)</f>
        <v>1</v>
      </c>
    </row>
    <row r="444" customFormat="false" ht="15" hidden="false" customHeight="false" outlineLevel="0" collapsed="false">
      <c r="A444" s="7" t="n">
        <v>2736</v>
      </c>
      <c r="B444" s="7" t="n">
        <f aca="false">COUNTIF(EV_Chargers!$D:$D,A444)</f>
        <v>3</v>
      </c>
      <c r="C444" s="7" t="n">
        <f aca="false">SUMIF(EV_Chargers!$D:$D,A444,EV_Chargers!$I:$I)</f>
        <v>12</v>
      </c>
      <c r="D444" s="7" t="n">
        <f aca="false">COUNTIF(Transport_Stops!$E:$E,A444)</f>
        <v>0</v>
      </c>
      <c r="E444" s="7" t="n">
        <f aca="false">COUNTIF(Sports_Facilities!$C:$C,A444)</f>
        <v>0</v>
      </c>
      <c r="F444" s="7" t="n">
        <f aca="false">COUNTIF(Taxi_Ranks!$B:$B,A444)</f>
        <v>0</v>
      </c>
      <c r="G444" s="7" t="n">
        <f aca="false">B444+D444+E444+F444</f>
        <v>3</v>
      </c>
      <c r="H444" s="7" t="n">
        <f aca="false">(B444&gt;0)+(D444&gt;0)+(E444&gt;0)+(F444&gt;0)</f>
        <v>1</v>
      </c>
    </row>
    <row r="445" customFormat="false" ht="15" hidden="false" customHeight="false" outlineLevel="0" collapsed="false">
      <c r="A445" s="7" t="n">
        <v>2737</v>
      </c>
      <c r="B445" s="7" t="n">
        <f aca="false">COUNTIF(EV_Chargers!$D:$D,A445)</f>
        <v>2</v>
      </c>
      <c r="C445" s="7" t="n">
        <f aca="false">SUMIF(EV_Chargers!$D:$D,A445,EV_Chargers!$I:$I)</f>
        <v>5</v>
      </c>
      <c r="D445" s="7" t="n">
        <f aca="false">COUNTIF(Transport_Stops!$E:$E,A445)</f>
        <v>1</v>
      </c>
      <c r="E445" s="7" t="n">
        <f aca="false">COUNTIF(Sports_Facilities!$C:$C,A445)</f>
        <v>0</v>
      </c>
      <c r="F445" s="7" t="n">
        <f aca="false">COUNTIF(Taxi_Ranks!$B:$B,A445)</f>
        <v>0</v>
      </c>
      <c r="G445" s="7" t="n">
        <f aca="false">B445+D445+E445+F445</f>
        <v>3</v>
      </c>
      <c r="H445" s="7" t="n">
        <f aca="false">(B445&gt;0)+(D445&gt;0)+(E445&gt;0)+(F445&gt;0)</f>
        <v>2</v>
      </c>
    </row>
    <row r="446" customFormat="false" ht="15" hidden="false" customHeight="false" outlineLevel="0" collapsed="false">
      <c r="A446" s="7" t="n">
        <v>2739</v>
      </c>
      <c r="B446" s="7" t="n">
        <f aca="false">COUNTIF(EV_Chargers!$D:$D,A446)</f>
        <v>2</v>
      </c>
      <c r="C446" s="7" t="n">
        <f aca="false">SUMIF(EV_Chargers!$D:$D,A446,EV_Chargers!$I:$I)</f>
        <v>4</v>
      </c>
      <c r="D446" s="7" t="n">
        <f aca="false">COUNTIF(Transport_Stops!$E:$E,A446)</f>
        <v>1</v>
      </c>
      <c r="E446" s="7" t="n">
        <f aca="false">COUNTIF(Sports_Facilities!$C:$C,A446)</f>
        <v>0</v>
      </c>
      <c r="F446" s="7" t="n">
        <f aca="false">COUNTIF(Taxi_Ranks!$B:$B,A446)</f>
        <v>0</v>
      </c>
      <c r="G446" s="7" t="n">
        <f aca="false">B446+D446+E446+F446</f>
        <v>3</v>
      </c>
      <c r="H446" s="7" t="n">
        <f aca="false">(B446&gt;0)+(D446&gt;0)+(E446&gt;0)+(F446&gt;0)</f>
        <v>2</v>
      </c>
    </row>
    <row r="447" customFormat="false" ht="15" hidden="false" customHeight="false" outlineLevel="0" collapsed="false">
      <c r="A447" s="7" t="n">
        <v>2747</v>
      </c>
      <c r="B447" s="7" t="n">
        <f aca="false">COUNTIF(EV_Chargers!$D:$D,A447)</f>
        <v>3</v>
      </c>
      <c r="C447" s="7" t="n">
        <f aca="false">SUMIF(EV_Chargers!$D:$D,A447,EV_Chargers!$I:$I)</f>
        <v>6</v>
      </c>
      <c r="D447" s="7" t="n">
        <f aca="false">COUNTIF(Transport_Stops!$E:$E,A447)</f>
        <v>2</v>
      </c>
      <c r="E447" s="7" t="n">
        <f aca="false">COUNTIF(Sports_Facilities!$C:$C,A447)</f>
        <v>0</v>
      </c>
      <c r="F447" s="7" t="n">
        <f aca="false">COUNTIF(Taxi_Ranks!$B:$B,A447)</f>
        <v>0</v>
      </c>
      <c r="G447" s="7" t="n">
        <f aca="false">B447+D447+E447+F447</f>
        <v>5</v>
      </c>
      <c r="H447" s="7" t="n">
        <f aca="false">(B447&gt;0)+(D447&gt;0)+(E447&gt;0)+(F447&gt;0)</f>
        <v>2</v>
      </c>
    </row>
    <row r="448" customFormat="false" ht="15" hidden="false" customHeight="false" outlineLevel="0" collapsed="false">
      <c r="A448" s="7" t="n">
        <v>2750</v>
      </c>
      <c r="B448" s="7" t="n">
        <f aca="false">COUNTIF(EV_Chargers!$D:$D,A448)</f>
        <v>8</v>
      </c>
      <c r="C448" s="7" t="n">
        <f aca="false">SUMIF(EV_Chargers!$D:$D,A448,EV_Chargers!$I:$I)</f>
        <v>21</v>
      </c>
      <c r="D448" s="7" t="n">
        <f aca="false">COUNTIF(Transport_Stops!$E:$E,A448)</f>
        <v>2</v>
      </c>
      <c r="E448" s="7" t="n">
        <f aca="false">COUNTIF(Sports_Facilities!$C:$C,A448)</f>
        <v>0</v>
      </c>
      <c r="F448" s="7" t="n">
        <f aca="false">COUNTIF(Taxi_Ranks!$B:$B,A448)</f>
        <v>3</v>
      </c>
      <c r="G448" s="7" t="n">
        <f aca="false">B448+D448+E448+F448</f>
        <v>13</v>
      </c>
      <c r="H448" s="7" t="n">
        <f aca="false">(B448&gt;0)+(D448&gt;0)+(E448&gt;0)+(F448&gt;0)</f>
        <v>3</v>
      </c>
    </row>
    <row r="449" customFormat="false" ht="15" hidden="false" customHeight="false" outlineLevel="0" collapsed="false">
      <c r="A449" s="7" t="n">
        <v>2753</v>
      </c>
      <c r="B449" s="7" t="n">
        <f aca="false">COUNTIF(EV_Chargers!$D:$D,A449)</f>
        <v>2</v>
      </c>
      <c r="C449" s="7" t="n">
        <f aca="false">SUMIF(EV_Chargers!$D:$D,A449,EV_Chargers!$I:$I)</f>
        <v>3</v>
      </c>
      <c r="D449" s="7" t="n">
        <f aca="false">COUNTIF(Transport_Stops!$E:$E,A449)</f>
        <v>2</v>
      </c>
      <c r="E449" s="7" t="n">
        <f aca="false">COUNTIF(Sports_Facilities!$C:$C,A449)</f>
        <v>0</v>
      </c>
      <c r="F449" s="7" t="n">
        <f aca="false">COUNTIF(Taxi_Ranks!$B:$B,A449)</f>
        <v>1</v>
      </c>
      <c r="G449" s="7" t="n">
        <f aca="false">B449+D449+E449+F449</f>
        <v>5</v>
      </c>
      <c r="H449" s="7" t="n">
        <f aca="false">(B449&gt;0)+(D449&gt;0)+(E449&gt;0)+(F449&gt;0)</f>
        <v>3</v>
      </c>
    </row>
    <row r="450" customFormat="false" ht="15" hidden="false" customHeight="false" outlineLevel="0" collapsed="false">
      <c r="A450" s="7" t="n">
        <v>2754</v>
      </c>
      <c r="B450" s="7" t="n">
        <f aca="false">COUNTIF(EV_Chargers!$D:$D,A450)</f>
        <v>1</v>
      </c>
      <c r="C450" s="7" t="n">
        <f aca="false">SUMIF(EV_Chargers!$D:$D,A450,EV_Chargers!$I:$I)</f>
        <v>2</v>
      </c>
      <c r="D450" s="7" t="n">
        <f aca="false">COUNTIF(Transport_Stops!$E:$E,A450)</f>
        <v>0</v>
      </c>
      <c r="E450" s="7" t="n">
        <f aca="false">COUNTIF(Sports_Facilities!$C:$C,A450)</f>
        <v>0</v>
      </c>
      <c r="F450" s="7" t="n">
        <f aca="false">COUNTIF(Taxi_Ranks!$B:$B,A450)</f>
        <v>0</v>
      </c>
      <c r="G450" s="7" t="n">
        <f aca="false">B450+D450+E450+F450</f>
        <v>1</v>
      </c>
      <c r="H450" s="7" t="n">
        <f aca="false">(B450&gt;0)+(D450&gt;0)+(E450&gt;0)+(F450&gt;0)</f>
        <v>1</v>
      </c>
    </row>
    <row r="451" customFormat="false" ht="15" hidden="false" customHeight="false" outlineLevel="0" collapsed="false">
      <c r="A451" s="7" t="n">
        <v>2756</v>
      </c>
      <c r="B451" s="7" t="n">
        <f aca="false">COUNTIF(EV_Chargers!$D:$D,A451)</f>
        <v>4</v>
      </c>
      <c r="C451" s="7" t="n">
        <f aca="false">SUMIF(EV_Chargers!$D:$D,A451,EV_Chargers!$I:$I)</f>
        <v>12</v>
      </c>
      <c r="D451" s="7" t="n">
        <f aca="false">COUNTIF(Transport_Stops!$E:$E,A451)</f>
        <v>3</v>
      </c>
      <c r="E451" s="7" t="n">
        <f aca="false">COUNTIF(Sports_Facilities!$C:$C,A451)</f>
        <v>0</v>
      </c>
      <c r="F451" s="7" t="n">
        <f aca="false">COUNTIF(Taxi_Ranks!$B:$B,A451)</f>
        <v>1</v>
      </c>
      <c r="G451" s="7" t="n">
        <f aca="false">B451+D451+E451+F451</f>
        <v>8</v>
      </c>
      <c r="H451" s="7" t="n">
        <f aca="false">(B451&gt;0)+(D451&gt;0)+(E451&gt;0)+(F451&gt;0)</f>
        <v>3</v>
      </c>
    </row>
    <row r="452" customFormat="false" ht="15" hidden="false" customHeight="false" outlineLevel="0" collapsed="false">
      <c r="A452" s="7" t="n">
        <v>2759</v>
      </c>
      <c r="B452" s="7" t="n">
        <f aca="false">COUNTIF(EV_Chargers!$D:$D,A452)</f>
        <v>1</v>
      </c>
      <c r="C452" s="7" t="n">
        <f aca="false">SUMIF(EV_Chargers!$D:$D,A452,EV_Chargers!$I:$I)</f>
        <v>4</v>
      </c>
      <c r="D452" s="7" t="n">
        <f aca="false">COUNTIF(Transport_Stops!$E:$E,A452)</f>
        <v>0</v>
      </c>
      <c r="E452" s="7" t="n">
        <f aca="false">COUNTIF(Sports_Facilities!$C:$C,A452)</f>
        <v>0</v>
      </c>
      <c r="F452" s="7" t="n">
        <f aca="false">COUNTIF(Taxi_Ranks!$B:$B,A452)</f>
        <v>0</v>
      </c>
      <c r="G452" s="7" t="n">
        <f aca="false">B452+D452+E452+F452</f>
        <v>1</v>
      </c>
      <c r="H452" s="7" t="n">
        <f aca="false">(B452&gt;0)+(D452&gt;0)+(E452&gt;0)+(F452&gt;0)</f>
        <v>1</v>
      </c>
    </row>
    <row r="453" customFormat="false" ht="15" hidden="false" customHeight="false" outlineLevel="0" collapsed="false">
      <c r="A453" s="7" t="n">
        <v>2760</v>
      </c>
      <c r="B453" s="7" t="n">
        <f aca="false">COUNTIF(EV_Chargers!$D:$D,A453)</f>
        <v>2</v>
      </c>
      <c r="C453" s="7" t="n">
        <f aca="false">SUMIF(EV_Chargers!$D:$D,A453,EV_Chargers!$I:$I)</f>
        <v>5</v>
      </c>
      <c r="D453" s="7" t="n">
        <f aca="false">COUNTIF(Transport_Stops!$E:$E,A453)</f>
        <v>1</v>
      </c>
      <c r="E453" s="7" t="n">
        <f aca="false">COUNTIF(Sports_Facilities!$C:$C,A453)</f>
        <v>0</v>
      </c>
      <c r="F453" s="7" t="n">
        <f aca="false">COUNTIF(Taxi_Ranks!$B:$B,A453)</f>
        <v>1</v>
      </c>
      <c r="G453" s="7" t="n">
        <f aca="false">B453+D453+E453+F453</f>
        <v>4</v>
      </c>
      <c r="H453" s="7" t="n">
        <f aca="false">(B453&gt;0)+(D453&gt;0)+(E453&gt;0)+(F453&gt;0)</f>
        <v>3</v>
      </c>
    </row>
    <row r="454" customFormat="false" ht="15" hidden="false" customHeight="false" outlineLevel="0" collapsed="false">
      <c r="A454" s="7" t="n">
        <v>2761</v>
      </c>
      <c r="B454" s="7" t="n">
        <f aca="false">COUNTIF(EV_Chargers!$D:$D,A454)</f>
        <v>4</v>
      </c>
      <c r="C454" s="7" t="n">
        <f aca="false">SUMIF(EV_Chargers!$D:$D,A454,EV_Chargers!$I:$I)</f>
        <v>12</v>
      </c>
      <c r="D454" s="7" t="n">
        <f aca="false">COUNTIF(Transport_Stops!$E:$E,A454)</f>
        <v>0</v>
      </c>
      <c r="E454" s="7" t="n">
        <f aca="false">COUNTIF(Sports_Facilities!$C:$C,A454)</f>
        <v>0</v>
      </c>
      <c r="F454" s="7" t="n">
        <f aca="false">COUNTIF(Taxi_Ranks!$B:$B,A454)</f>
        <v>0</v>
      </c>
      <c r="G454" s="7" t="n">
        <f aca="false">B454+D454+E454+F454</f>
        <v>4</v>
      </c>
      <c r="H454" s="7" t="n">
        <f aca="false">(B454&gt;0)+(D454&gt;0)+(E454&gt;0)+(F454&gt;0)</f>
        <v>1</v>
      </c>
    </row>
    <row r="455" customFormat="false" ht="15" hidden="false" customHeight="false" outlineLevel="0" collapsed="false">
      <c r="A455" s="7" t="n">
        <v>2762</v>
      </c>
      <c r="B455" s="7" t="n">
        <f aca="false">COUNTIF(EV_Chargers!$D:$D,A455)</f>
        <v>2</v>
      </c>
      <c r="C455" s="7" t="n">
        <f aca="false">SUMIF(EV_Chargers!$D:$D,A455,EV_Chargers!$I:$I)</f>
        <v>39</v>
      </c>
      <c r="D455" s="7" t="n">
        <f aca="false">COUNTIF(Transport_Stops!$E:$E,A455)</f>
        <v>1</v>
      </c>
      <c r="E455" s="7" t="n">
        <f aca="false">COUNTIF(Sports_Facilities!$C:$C,A455)</f>
        <v>0</v>
      </c>
      <c r="F455" s="7" t="n">
        <f aca="false">COUNTIF(Taxi_Ranks!$B:$B,A455)</f>
        <v>0</v>
      </c>
      <c r="G455" s="7" t="n">
        <f aca="false">B455+D455+E455+F455</f>
        <v>3</v>
      </c>
      <c r="H455" s="7" t="n">
        <f aca="false">(B455&gt;0)+(D455&gt;0)+(E455&gt;0)+(F455&gt;0)</f>
        <v>2</v>
      </c>
    </row>
    <row r="456" customFormat="false" ht="15" hidden="false" customHeight="false" outlineLevel="0" collapsed="false">
      <c r="A456" s="7" t="n">
        <v>2763</v>
      </c>
      <c r="B456" s="7" t="n">
        <f aca="false">COUNTIF(EV_Chargers!$D:$D,A456)</f>
        <v>1</v>
      </c>
      <c r="C456" s="7" t="n">
        <f aca="false">SUMIF(EV_Chargers!$D:$D,A456,EV_Chargers!$I:$I)</f>
        <v>4</v>
      </c>
      <c r="D456" s="7" t="n">
        <f aca="false">COUNTIF(Transport_Stops!$E:$E,A456)</f>
        <v>1</v>
      </c>
      <c r="E456" s="7" t="n">
        <f aca="false">COUNTIF(Sports_Facilities!$C:$C,A456)</f>
        <v>0</v>
      </c>
      <c r="F456" s="7" t="n">
        <f aca="false">COUNTIF(Taxi_Ranks!$B:$B,A456)</f>
        <v>0</v>
      </c>
      <c r="G456" s="7" t="n">
        <f aca="false">B456+D456+E456+F456</f>
        <v>2</v>
      </c>
      <c r="H456" s="7" t="n">
        <f aca="false">(B456&gt;0)+(D456&gt;0)+(E456&gt;0)+(F456&gt;0)</f>
        <v>2</v>
      </c>
    </row>
    <row r="457" customFormat="false" ht="15" hidden="false" customHeight="false" outlineLevel="0" collapsed="false">
      <c r="A457" s="7" t="n">
        <v>2765</v>
      </c>
      <c r="B457" s="7" t="n">
        <f aca="false">COUNTIF(EV_Chargers!$D:$D,A457)</f>
        <v>5</v>
      </c>
      <c r="C457" s="7" t="n">
        <f aca="false">SUMIF(EV_Chargers!$D:$D,A457,EV_Chargers!$I:$I)</f>
        <v>16</v>
      </c>
      <c r="D457" s="7" t="n">
        <f aca="false">COUNTIF(Transport_Stops!$E:$E,A457)</f>
        <v>2</v>
      </c>
      <c r="E457" s="7" t="n">
        <f aca="false">COUNTIF(Sports_Facilities!$C:$C,A457)</f>
        <v>0</v>
      </c>
      <c r="F457" s="7" t="n">
        <f aca="false">COUNTIF(Taxi_Ranks!$B:$B,A457)</f>
        <v>1</v>
      </c>
      <c r="G457" s="7" t="n">
        <f aca="false">B457+D457+E457+F457</f>
        <v>8</v>
      </c>
      <c r="H457" s="7" t="n">
        <f aca="false">(B457&gt;0)+(D457&gt;0)+(E457&gt;0)+(F457&gt;0)</f>
        <v>3</v>
      </c>
    </row>
    <row r="458" customFormat="false" ht="15" hidden="false" customHeight="false" outlineLevel="0" collapsed="false">
      <c r="A458" s="7" t="n">
        <v>2766</v>
      </c>
      <c r="B458" s="7" t="n">
        <f aca="false">COUNTIF(EV_Chargers!$D:$D,A458)</f>
        <v>10</v>
      </c>
      <c r="C458" s="7" t="n">
        <f aca="false">SUMIF(EV_Chargers!$D:$D,A458,EV_Chargers!$I:$I)</f>
        <v>58</v>
      </c>
      <c r="D458" s="7" t="n">
        <f aca="false">COUNTIF(Transport_Stops!$E:$E,A458)</f>
        <v>1</v>
      </c>
      <c r="E458" s="7" t="n">
        <f aca="false">COUNTIF(Sports_Facilities!$C:$C,A458)</f>
        <v>0</v>
      </c>
      <c r="F458" s="7" t="n">
        <f aca="false">COUNTIF(Taxi_Ranks!$B:$B,A458)</f>
        <v>0</v>
      </c>
      <c r="G458" s="7" t="n">
        <f aca="false">B458+D458+E458+F458</f>
        <v>11</v>
      </c>
      <c r="H458" s="7" t="n">
        <f aca="false">(B458&gt;0)+(D458&gt;0)+(E458&gt;0)+(F458&gt;0)</f>
        <v>2</v>
      </c>
    </row>
    <row r="459" customFormat="false" ht="15" hidden="false" customHeight="false" outlineLevel="0" collapsed="false">
      <c r="A459" s="7" t="n">
        <v>2767</v>
      </c>
      <c r="B459" s="7" t="n">
        <f aca="false">COUNTIF(EV_Chargers!$D:$D,A459)</f>
        <v>0</v>
      </c>
      <c r="C459" s="7" t="n">
        <f aca="false">SUMIF(EV_Chargers!$D:$D,A459,EV_Chargers!$I:$I)</f>
        <v>0</v>
      </c>
      <c r="D459" s="7" t="n">
        <f aca="false">COUNTIF(Transport_Stops!$E:$E,A459)</f>
        <v>1</v>
      </c>
      <c r="E459" s="7" t="n">
        <f aca="false">COUNTIF(Sports_Facilities!$C:$C,A459)</f>
        <v>0</v>
      </c>
      <c r="F459" s="7" t="n">
        <f aca="false">COUNTIF(Taxi_Ranks!$B:$B,A459)</f>
        <v>0</v>
      </c>
      <c r="G459" s="7" t="n">
        <f aca="false">B459+D459+E459+F459</f>
        <v>1</v>
      </c>
      <c r="H459" s="7" t="n">
        <f aca="false">(B459&gt;0)+(D459&gt;0)+(E459&gt;0)+(F459&gt;0)</f>
        <v>1</v>
      </c>
    </row>
    <row r="460" customFormat="false" ht="15" hidden="false" customHeight="false" outlineLevel="0" collapsed="false">
      <c r="A460" s="7" t="n">
        <v>2768</v>
      </c>
      <c r="B460" s="7" t="n">
        <f aca="false">COUNTIF(EV_Chargers!$D:$D,A460)</f>
        <v>3</v>
      </c>
      <c r="C460" s="7" t="n">
        <f aca="false">SUMIF(EV_Chargers!$D:$D,A460,EV_Chargers!$I:$I)</f>
        <v>11</v>
      </c>
      <c r="D460" s="7" t="n">
        <f aca="false">COUNTIF(Transport_Stops!$E:$E,A460)</f>
        <v>0</v>
      </c>
      <c r="E460" s="7" t="n">
        <f aca="false">COUNTIF(Sports_Facilities!$C:$C,A460)</f>
        <v>0</v>
      </c>
      <c r="F460" s="7" t="n">
        <f aca="false">COUNTIF(Taxi_Ranks!$B:$B,A460)</f>
        <v>0</v>
      </c>
      <c r="G460" s="7" t="n">
        <f aca="false">B460+D460+E460+F460</f>
        <v>3</v>
      </c>
      <c r="H460" s="7" t="n">
        <f aca="false">(B460&gt;0)+(D460&gt;0)+(E460&gt;0)+(F460&gt;0)</f>
        <v>1</v>
      </c>
    </row>
    <row r="461" customFormat="false" ht="15" hidden="false" customHeight="false" outlineLevel="0" collapsed="false">
      <c r="A461" s="7" t="n">
        <v>2769</v>
      </c>
      <c r="B461" s="7" t="n">
        <f aca="false">COUNTIF(EV_Chargers!$D:$D,A461)</f>
        <v>1</v>
      </c>
      <c r="C461" s="7" t="n">
        <f aca="false">SUMIF(EV_Chargers!$D:$D,A461,EV_Chargers!$I:$I)</f>
        <v>1</v>
      </c>
      <c r="D461" s="7" t="n">
        <f aca="false">COUNTIF(Transport_Stops!$E:$E,A461)</f>
        <v>0</v>
      </c>
      <c r="E461" s="7" t="n">
        <f aca="false">COUNTIF(Sports_Facilities!$C:$C,A461)</f>
        <v>0</v>
      </c>
      <c r="F461" s="7" t="n">
        <f aca="false">COUNTIF(Taxi_Ranks!$B:$B,A461)</f>
        <v>0</v>
      </c>
      <c r="G461" s="7" t="n">
        <f aca="false">B461+D461+E461+F461</f>
        <v>1</v>
      </c>
      <c r="H461" s="7" t="n">
        <f aca="false">(B461&gt;0)+(D461&gt;0)+(E461&gt;0)+(F461&gt;0)</f>
        <v>1</v>
      </c>
    </row>
    <row r="462" customFormat="false" ht="15" hidden="false" customHeight="false" outlineLevel="0" collapsed="false">
      <c r="A462" s="7" t="n">
        <v>2770</v>
      </c>
      <c r="B462" s="7" t="n">
        <f aca="false">COUNTIF(EV_Chargers!$D:$D,A462)</f>
        <v>1</v>
      </c>
      <c r="C462" s="7" t="n">
        <f aca="false">SUMIF(EV_Chargers!$D:$D,A462,EV_Chargers!$I:$I)</f>
        <v>2</v>
      </c>
      <c r="D462" s="7" t="n">
        <f aca="false">COUNTIF(Transport_Stops!$E:$E,A462)</f>
        <v>1</v>
      </c>
      <c r="E462" s="7" t="n">
        <f aca="false">COUNTIF(Sports_Facilities!$C:$C,A462)</f>
        <v>0</v>
      </c>
      <c r="F462" s="7" t="n">
        <f aca="false">COUNTIF(Taxi_Ranks!$B:$B,A462)</f>
        <v>1</v>
      </c>
      <c r="G462" s="7" t="n">
        <f aca="false">B462+D462+E462+F462</f>
        <v>3</v>
      </c>
      <c r="H462" s="7" t="n">
        <f aca="false">(B462&gt;0)+(D462&gt;0)+(E462&gt;0)+(F462&gt;0)</f>
        <v>3</v>
      </c>
    </row>
    <row r="463" customFormat="false" ht="15" hidden="false" customHeight="false" outlineLevel="0" collapsed="false">
      <c r="A463" s="7" t="n">
        <v>2773</v>
      </c>
      <c r="B463" s="7" t="n">
        <f aca="false">COUNTIF(EV_Chargers!$D:$D,A463)</f>
        <v>1</v>
      </c>
      <c r="C463" s="7" t="n">
        <f aca="false">SUMIF(EV_Chargers!$D:$D,A463,EV_Chargers!$I:$I)</f>
        <v>2</v>
      </c>
      <c r="D463" s="7" t="n">
        <f aca="false">COUNTIF(Transport_Stops!$E:$E,A463)</f>
        <v>2</v>
      </c>
      <c r="E463" s="7" t="n">
        <f aca="false">COUNTIF(Sports_Facilities!$C:$C,A463)</f>
        <v>0</v>
      </c>
      <c r="F463" s="7" t="n">
        <f aca="false">COUNTIF(Taxi_Ranks!$B:$B,A463)</f>
        <v>0</v>
      </c>
      <c r="G463" s="7" t="n">
        <f aca="false">B463+D463+E463+F463</f>
        <v>3</v>
      </c>
      <c r="H463" s="7" t="n">
        <f aca="false">(B463&gt;0)+(D463&gt;0)+(E463&gt;0)+(F463&gt;0)</f>
        <v>2</v>
      </c>
    </row>
    <row r="464" customFormat="false" ht="15" hidden="false" customHeight="false" outlineLevel="0" collapsed="false">
      <c r="A464" s="7" t="n">
        <v>2774</v>
      </c>
      <c r="B464" s="7" t="n">
        <f aca="false">COUNTIF(EV_Chargers!$D:$D,A464)</f>
        <v>1</v>
      </c>
      <c r="C464" s="7" t="n">
        <f aca="false">SUMIF(EV_Chargers!$D:$D,A464,EV_Chargers!$I:$I)</f>
        <v>6</v>
      </c>
      <c r="D464" s="7" t="n">
        <f aca="false">COUNTIF(Transport_Stops!$E:$E,A464)</f>
        <v>2</v>
      </c>
      <c r="E464" s="7" t="n">
        <f aca="false">COUNTIF(Sports_Facilities!$C:$C,A464)</f>
        <v>0</v>
      </c>
      <c r="F464" s="7" t="n">
        <f aca="false">COUNTIF(Taxi_Ranks!$B:$B,A464)</f>
        <v>0</v>
      </c>
      <c r="G464" s="7" t="n">
        <f aca="false">B464+D464+E464+F464</f>
        <v>3</v>
      </c>
      <c r="H464" s="7" t="n">
        <f aca="false">(B464&gt;0)+(D464&gt;0)+(E464&gt;0)+(F464&gt;0)</f>
        <v>2</v>
      </c>
    </row>
    <row r="465" customFormat="false" ht="15" hidden="false" customHeight="false" outlineLevel="0" collapsed="false">
      <c r="A465" s="7" t="n">
        <v>2776</v>
      </c>
      <c r="B465" s="7" t="n">
        <f aca="false">COUNTIF(EV_Chargers!$D:$D,A465)</f>
        <v>0</v>
      </c>
      <c r="C465" s="7" t="n">
        <f aca="false">SUMIF(EV_Chargers!$D:$D,A465,EV_Chargers!$I:$I)</f>
        <v>0</v>
      </c>
      <c r="D465" s="7" t="n">
        <f aca="false">COUNTIF(Transport_Stops!$E:$E,A465)</f>
        <v>1</v>
      </c>
      <c r="E465" s="7" t="n">
        <f aca="false">COUNTIF(Sports_Facilities!$C:$C,A465)</f>
        <v>0</v>
      </c>
      <c r="F465" s="7" t="n">
        <f aca="false">COUNTIF(Taxi_Ranks!$B:$B,A465)</f>
        <v>0</v>
      </c>
      <c r="G465" s="7" t="n">
        <f aca="false">B465+D465+E465+F465</f>
        <v>1</v>
      </c>
      <c r="H465" s="7" t="n">
        <f aca="false">(B465&gt;0)+(D465&gt;0)+(E465&gt;0)+(F465&gt;0)</f>
        <v>1</v>
      </c>
    </row>
    <row r="466" customFormat="false" ht="15" hidden="false" customHeight="false" outlineLevel="0" collapsed="false">
      <c r="A466" s="7" t="n">
        <v>2777</v>
      </c>
      <c r="B466" s="7" t="n">
        <f aca="false">COUNTIF(EV_Chargers!$D:$D,A466)</f>
        <v>1</v>
      </c>
      <c r="C466" s="7" t="n">
        <f aca="false">SUMIF(EV_Chargers!$D:$D,A466,EV_Chargers!$I:$I)</f>
        <v>2</v>
      </c>
      <c r="D466" s="7" t="n">
        <f aca="false">COUNTIF(Transport_Stops!$E:$E,A466)</f>
        <v>2</v>
      </c>
      <c r="E466" s="7" t="n">
        <f aca="false">COUNTIF(Sports_Facilities!$C:$C,A466)</f>
        <v>0</v>
      </c>
      <c r="F466" s="7" t="n">
        <f aca="false">COUNTIF(Taxi_Ranks!$B:$B,A466)</f>
        <v>0</v>
      </c>
      <c r="G466" s="7" t="n">
        <f aca="false">B466+D466+E466+F466</f>
        <v>3</v>
      </c>
      <c r="H466" s="7" t="n">
        <f aca="false">(B466&gt;0)+(D466&gt;0)+(E466&gt;0)+(F466&gt;0)</f>
        <v>2</v>
      </c>
    </row>
    <row r="467" customFormat="false" ht="15" hidden="false" customHeight="false" outlineLevel="0" collapsed="false">
      <c r="A467" s="7" t="n">
        <v>2778</v>
      </c>
      <c r="B467" s="7" t="n">
        <f aca="false">COUNTIF(EV_Chargers!$D:$D,A467)</f>
        <v>0</v>
      </c>
      <c r="C467" s="7" t="n">
        <f aca="false">SUMIF(EV_Chargers!$D:$D,A467,EV_Chargers!$I:$I)</f>
        <v>0</v>
      </c>
      <c r="D467" s="7" t="n">
        <f aca="false">COUNTIF(Transport_Stops!$E:$E,A467)</f>
        <v>2</v>
      </c>
      <c r="E467" s="7" t="n">
        <f aca="false">COUNTIF(Sports_Facilities!$C:$C,A467)</f>
        <v>0</v>
      </c>
      <c r="F467" s="7" t="n">
        <f aca="false">COUNTIF(Taxi_Ranks!$B:$B,A467)</f>
        <v>0</v>
      </c>
      <c r="G467" s="7" t="n">
        <f aca="false">B467+D467+E467+F467</f>
        <v>2</v>
      </c>
      <c r="H467" s="7" t="n">
        <f aca="false">(B467&gt;0)+(D467&gt;0)+(E467&gt;0)+(F467&gt;0)</f>
        <v>1</v>
      </c>
    </row>
    <row r="468" customFormat="false" ht="15" hidden="false" customHeight="false" outlineLevel="0" collapsed="false">
      <c r="A468" s="7" t="n">
        <v>2779</v>
      </c>
      <c r="B468" s="7" t="n">
        <f aca="false">COUNTIF(EV_Chargers!$D:$D,A468)</f>
        <v>1</v>
      </c>
      <c r="C468" s="7" t="n">
        <f aca="false">SUMIF(EV_Chargers!$D:$D,A468,EV_Chargers!$I:$I)</f>
        <v>2</v>
      </c>
      <c r="D468" s="7" t="n">
        <f aca="false">COUNTIF(Transport_Stops!$E:$E,A468)</f>
        <v>1</v>
      </c>
      <c r="E468" s="7" t="n">
        <f aca="false">COUNTIF(Sports_Facilities!$C:$C,A468)</f>
        <v>0</v>
      </c>
      <c r="F468" s="7" t="n">
        <f aca="false">COUNTIF(Taxi_Ranks!$B:$B,A468)</f>
        <v>0</v>
      </c>
      <c r="G468" s="7" t="n">
        <f aca="false">B468+D468+E468+F468</f>
        <v>2</v>
      </c>
      <c r="H468" s="7" t="n">
        <f aca="false">(B468&gt;0)+(D468&gt;0)+(E468&gt;0)+(F468&gt;0)</f>
        <v>2</v>
      </c>
    </row>
    <row r="469" customFormat="false" ht="15" hidden="false" customHeight="false" outlineLevel="0" collapsed="false">
      <c r="A469" s="7" t="n">
        <v>2780</v>
      </c>
      <c r="B469" s="7" t="n">
        <f aca="false">COUNTIF(EV_Chargers!$D:$D,A469)</f>
        <v>11</v>
      </c>
      <c r="C469" s="7" t="n">
        <f aca="false">SUMIF(EV_Chargers!$D:$D,A469,EV_Chargers!$I:$I)</f>
        <v>32</v>
      </c>
      <c r="D469" s="7" t="n">
        <f aca="false">COUNTIF(Transport_Stops!$E:$E,A469)</f>
        <v>3</v>
      </c>
      <c r="E469" s="7" t="n">
        <f aca="false">COUNTIF(Sports_Facilities!$C:$C,A469)</f>
        <v>0</v>
      </c>
      <c r="F469" s="7" t="n">
        <f aca="false">COUNTIF(Taxi_Ranks!$B:$B,A469)</f>
        <v>0</v>
      </c>
      <c r="G469" s="7" t="n">
        <f aca="false">B469+D469+E469+F469</f>
        <v>14</v>
      </c>
      <c r="H469" s="7" t="n">
        <f aca="false">(B469&gt;0)+(D469&gt;0)+(E469&gt;0)+(F469&gt;0)</f>
        <v>2</v>
      </c>
    </row>
    <row r="470" customFormat="false" ht="15" hidden="false" customHeight="false" outlineLevel="0" collapsed="false">
      <c r="A470" s="7" t="n">
        <v>2782</v>
      </c>
      <c r="B470" s="7" t="n">
        <f aca="false">COUNTIF(EV_Chargers!$D:$D,A470)</f>
        <v>4</v>
      </c>
      <c r="C470" s="7" t="n">
        <f aca="false">SUMIF(EV_Chargers!$D:$D,A470,EV_Chargers!$I:$I)</f>
        <v>7</v>
      </c>
      <c r="D470" s="7" t="n">
        <f aca="false">COUNTIF(Transport_Stops!$E:$E,A470)</f>
        <v>1</v>
      </c>
      <c r="E470" s="7" t="n">
        <f aca="false">COUNTIF(Sports_Facilities!$C:$C,A470)</f>
        <v>0</v>
      </c>
      <c r="F470" s="7" t="n">
        <f aca="false">COUNTIF(Taxi_Ranks!$B:$B,A470)</f>
        <v>0</v>
      </c>
      <c r="G470" s="7" t="n">
        <f aca="false">B470+D470+E470+F470</f>
        <v>5</v>
      </c>
      <c r="H470" s="7" t="n">
        <f aca="false">(B470&gt;0)+(D470&gt;0)+(E470&gt;0)+(F470&gt;0)</f>
        <v>2</v>
      </c>
    </row>
    <row r="471" customFormat="false" ht="15" hidden="false" customHeight="false" outlineLevel="0" collapsed="false">
      <c r="A471" s="7" t="n">
        <v>2783</v>
      </c>
      <c r="B471" s="7" t="n">
        <f aca="false">COUNTIF(EV_Chargers!$D:$D,A471)</f>
        <v>1</v>
      </c>
      <c r="C471" s="7" t="n">
        <f aca="false">SUMIF(EV_Chargers!$D:$D,A471,EV_Chargers!$I:$I)</f>
        <v>4</v>
      </c>
      <c r="D471" s="7" t="n">
        <f aca="false">COUNTIF(Transport_Stops!$E:$E,A471)</f>
        <v>1</v>
      </c>
      <c r="E471" s="7" t="n">
        <f aca="false">COUNTIF(Sports_Facilities!$C:$C,A471)</f>
        <v>0</v>
      </c>
      <c r="F471" s="7" t="n">
        <f aca="false">COUNTIF(Taxi_Ranks!$B:$B,A471)</f>
        <v>0</v>
      </c>
      <c r="G471" s="7" t="n">
        <f aca="false">B471+D471+E471+F471</f>
        <v>2</v>
      </c>
      <c r="H471" s="7" t="n">
        <f aca="false">(B471&gt;0)+(D471&gt;0)+(E471&gt;0)+(F471&gt;0)</f>
        <v>2</v>
      </c>
    </row>
    <row r="472" customFormat="false" ht="15" hidden="false" customHeight="false" outlineLevel="0" collapsed="false">
      <c r="A472" s="7" t="n">
        <v>2784</v>
      </c>
      <c r="B472" s="7" t="n">
        <f aca="false">COUNTIF(EV_Chargers!$D:$D,A472)</f>
        <v>0</v>
      </c>
      <c r="C472" s="7" t="n">
        <f aca="false">SUMIF(EV_Chargers!$D:$D,A472,EV_Chargers!$I:$I)</f>
        <v>0</v>
      </c>
      <c r="D472" s="7" t="n">
        <f aca="false">COUNTIF(Transport_Stops!$E:$E,A472)</f>
        <v>1</v>
      </c>
      <c r="E472" s="7" t="n">
        <f aca="false">COUNTIF(Sports_Facilities!$C:$C,A472)</f>
        <v>0</v>
      </c>
      <c r="F472" s="7" t="n">
        <f aca="false">COUNTIF(Taxi_Ranks!$B:$B,A472)</f>
        <v>0</v>
      </c>
      <c r="G472" s="7" t="n">
        <f aca="false">B472+D472+E472+F472</f>
        <v>1</v>
      </c>
      <c r="H472" s="7" t="n">
        <f aca="false">(B472&gt;0)+(D472&gt;0)+(E472&gt;0)+(F472&gt;0)</f>
        <v>1</v>
      </c>
    </row>
    <row r="473" customFormat="false" ht="15" hidden="false" customHeight="false" outlineLevel="0" collapsed="false">
      <c r="A473" s="7" t="n">
        <v>2785</v>
      </c>
      <c r="B473" s="7" t="n">
        <f aca="false">COUNTIF(EV_Chargers!$D:$D,A473)</f>
        <v>6</v>
      </c>
      <c r="C473" s="7" t="n">
        <f aca="false">SUMIF(EV_Chargers!$D:$D,A473,EV_Chargers!$I:$I)</f>
        <v>13</v>
      </c>
      <c r="D473" s="7" t="n">
        <f aca="false">COUNTIF(Transport_Stops!$E:$E,A473)</f>
        <v>1</v>
      </c>
      <c r="E473" s="7" t="n">
        <f aca="false">COUNTIF(Sports_Facilities!$C:$C,A473)</f>
        <v>0</v>
      </c>
      <c r="F473" s="7" t="n">
        <f aca="false">COUNTIF(Taxi_Ranks!$B:$B,A473)</f>
        <v>0</v>
      </c>
      <c r="G473" s="7" t="n">
        <f aca="false">B473+D473+E473+F473</f>
        <v>7</v>
      </c>
      <c r="H473" s="7" t="n">
        <f aca="false">(B473&gt;0)+(D473&gt;0)+(E473&gt;0)+(F473&gt;0)</f>
        <v>2</v>
      </c>
    </row>
    <row r="474" customFormat="false" ht="15" hidden="false" customHeight="false" outlineLevel="0" collapsed="false">
      <c r="A474" s="7" t="n">
        <v>2786</v>
      </c>
      <c r="B474" s="7" t="n">
        <f aca="false">COUNTIF(EV_Chargers!$D:$D,A474)</f>
        <v>3</v>
      </c>
      <c r="C474" s="7" t="n">
        <f aca="false">SUMIF(EV_Chargers!$D:$D,A474,EV_Chargers!$I:$I)</f>
        <v>6</v>
      </c>
      <c r="D474" s="7" t="n">
        <f aca="false">COUNTIF(Transport_Stops!$E:$E,A474)</f>
        <v>2</v>
      </c>
      <c r="E474" s="7" t="n">
        <f aca="false">COUNTIF(Sports_Facilities!$C:$C,A474)</f>
        <v>0</v>
      </c>
      <c r="F474" s="7" t="n">
        <f aca="false">COUNTIF(Taxi_Ranks!$B:$B,A474)</f>
        <v>0</v>
      </c>
      <c r="G474" s="7" t="n">
        <f aca="false">B474+D474+E474+F474</f>
        <v>5</v>
      </c>
      <c r="H474" s="7" t="n">
        <f aca="false">(B474&gt;0)+(D474&gt;0)+(E474&gt;0)+(F474&gt;0)</f>
        <v>2</v>
      </c>
    </row>
    <row r="475" customFormat="false" ht="15" hidden="false" customHeight="false" outlineLevel="0" collapsed="false">
      <c r="A475" s="7" t="n">
        <v>2787</v>
      </c>
      <c r="B475" s="7" t="n">
        <f aca="false">COUNTIF(EV_Chargers!$D:$D,A475)</f>
        <v>6</v>
      </c>
      <c r="C475" s="7" t="n">
        <f aca="false">SUMIF(EV_Chargers!$D:$D,A475,EV_Chargers!$I:$I)</f>
        <v>17</v>
      </c>
      <c r="D475" s="7" t="n">
        <f aca="false">COUNTIF(Transport_Stops!$E:$E,A475)</f>
        <v>1</v>
      </c>
      <c r="E475" s="7" t="n">
        <f aca="false">COUNTIF(Sports_Facilities!$C:$C,A475)</f>
        <v>0</v>
      </c>
      <c r="F475" s="7" t="n">
        <f aca="false">COUNTIF(Taxi_Ranks!$B:$B,A475)</f>
        <v>0</v>
      </c>
      <c r="G475" s="7" t="n">
        <f aca="false">B475+D475+E475+F475</f>
        <v>7</v>
      </c>
      <c r="H475" s="7" t="n">
        <f aca="false">(B475&gt;0)+(D475&gt;0)+(E475&gt;0)+(F475&gt;0)</f>
        <v>2</v>
      </c>
    </row>
    <row r="476" customFormat="false" ht="15" hidden="false" customHeight="false" outlineLevel="0" collapsed="false">
      <c r="A476" s="7" t="n">
        <v>2790</v>
      </c>
      <c r="B476" s="7" t="n">
        <f aca="false">COUNTIF(EV_Chargers!$D:$D,A476)</f>
        <v>9</v>
      </c>
      <c r="C476" s="7" t="n">
        <f aca="false">SUMIF(EV_Chargers!$D:$D,A476,EV_Chargers!$I:$I)</f>
        <v>26</v>
      </c>
      <c r="D476" s="7" t="n">
        <f aca="false">COUNTIF(Transport_Stops!$E:$E,A476)</f>
        <v>6</v>
      </c>
      <c r="E476" s="7" t="n">
        <f aca="false">COUNTIF(Sports_Facilities!$C:$C,A476)</f>
        <v>0</v>
      </c>
      <c r="F476" s="7" t="n">
        <f aca="false">COUNTIF(Taxi_Ranks!$B:$B,A476)</f>
        <v>0</v>
      </c>
      <c r="G476" s="7" t="n">
        <f aca="false">B476+D476+E476+F476</f>
        <v>15</v>
      </c>
      <c r="H476" s="7" t="n">
        <f aca="false">(B476&gt;0)+(D476&gt;0)+(E476&gt;0)+(F476&gt;0)</f>
        <v>2</v>
      </c>
    </row>
    <row r="477" customFormat="false" ht="15" hidden="false" customHeight="false" outlineLevel="0" collapsed="false">
      <c r="A477" s="7" t="n">
        <v>2791</v>
      </c>
      <c r="B477" s="7" t="n">
        <f aca="false">COUNTIF(EV_Chargers!$D:$D,A477)</f>
        <v>0</v>
      </c>
      <c r="C477" s="7" t="n">
        <f aca="false">SUMIF(EV_Chargers!$D:$D,A477,EV_Chargers!$I:$I)</f>
        <v>0</v>
      </c>
      <c r="D477" s="7" t="n">
        <f aca="false">COUNTIF(Transport_Stops!$E:$E,A477)</f>
        <v>1</v>
      </c>
      <c r="E477" s="7" t="n">
        <f aca="false">COUNTIF(Sports_Facilities!$C:$C,A477)</f>
        <v>0</v>
      </c>
      <c r="F477" s="7" t="n">
        <f aca="false">COUNTIF(Taxi_Ranks!$B:$B,A477)</f>
        <v>0</v>
      </c>
      <c r="G477" s="7" t="n">
        <f aca="false">B477+D477+E477+F477</f>
        <v>1</v>
      </c>
      <c r="H477" s="7" t="n">
        <f aca="false">(B477&gt;0)+(D477&gt;0)+(E477&gt;0)+(F477&gt;0)</f>
        <v>1</v>
      </c>
    </row>
    <row r="478" customFormat="false" ht="15" hidden="false" customHeight="false" outlineLevel="0" collapsed="false">
      <c r="A478" s="7" t="n">
        <v>2792</v>
      </c>
      <c r="B478" s="7" t="n">
        <f aca="false">COUNTIF(EV_Chargers!$D:$D,A478)</f>
        <v>1</v>
      </c>
      <c r="C478" s="7" t="n">
        <f aca="false">SUMIF(EV_Chargers!$D:$D,A478,EV_Chargers!$I:$I)</f>
        <v>1</v>
      </c>
      <c r="D478" s="7" t="n">
        <f aca="false">COUNTIF(Transport_Stops!$E:$E,A478)</f>
        <v>1</v>
      </c>
      <c r="E478" s="7" t="n">
        <f aca="false">COUNTIF(Sports_Facilities!$C:$C,A478)</f>
        <v>0</v>
      </c>
      <c r="F478" s="7" t="n">
        <f aca="false">COUNTIF(Taxi_Ranks!$B:$B,A478)</f>
        <v>0</v>
      </c>
      <c r="G478" s="7" t="n">
        <f aca="false">B478+D478+E478+F478</f>
        <v>2</v>
      </c>
      <c r="H478" s="7" t="n">
        <f aca="false">(B478&gt;0)+(D478&gt;0)+(E478&gt;0)+(F478&gt;0)</f>
        <v>2</v>
      </c>
    </row>
    <row r="479" customFormat="false" ht="15" hidden="false" customHeight="false" outlineLevel="0" collapsed="false">
      <c r="A479" s="7" t="n">
        <v>2793</v>
      </c>
      <c r="B479" s="7" t="n">
        <f aca="false">COUNTIF(EV_Chargers!$D:$D,A479)</f>
        <v>0</v>
      </c>
      <c r="C479" s="7" t="n">
        <f aca="false">SUMIF(EV_Chargers!$D:$D,A479,EV_Chargers!$I:$I)</f>
        <v>0</v>
      </c>
      <c r="D479" s="7" t="n">
        <f aca="false">COUNTIF(Transport_Stops!$E:$E,A479)</f>
        <v>1</v>
      </c>
      <c r="E479" s="7" t="n">
        <f aca="false">COUNTIF(Sports_Facilities!$C:$C,A479)</f>
        <v>0</v>
      </c>
      <c r="F479" s="7" t="n">
        <f aca="false">COUNTIF(Taxi_Ranks!$B:$B,A479)</f>
        <v>0</v>
      </c>
      <c r="G479" s="7" t="n">
        <f aca="false">B479+D479+E479+F479</f>
        <v>1</v>
      </c>
      <c r="H479" s="7" t="n">
        <f aca="false">(B479&gt;0)+(D479&gt;0)+(E479&gt;0)+(F479&gt;0)</f>
        <v>1</v>
      </c>
    </row>
    <row r="480" customFormat="false" ht="15" hidden="false" customHeight="false" outlineLevel="0" collapsed="false">
      <c r="A480" s="7" t="n">
        <v>2794</v>
      </c>
      <c r="B480" s="7" t="n">
        <f aca="false">COUNTIF(EV_Chargers!$D:$D,A480)</f>
        <v>3</v>
      </c>
      <c r="C480" s="7" t="n">
        <f aca="false">SUMIF(EV_Chargers!$D:$D,A480,EV_Chargers!$I:$I)</f>
        <v>6</v>
      </c>
      <c r="D480" s="7" t="n">
        <f aca="false">COUNTIF(Transport_Stops!$E:$E,A480)</f>
        <v>2</v>
      </c>
      <c r="E480" s="7" t="n">
        <f aca="false">COUNTIF(Sports_Facilities!$C:$C,A480)</f>
        <v>0</v>
      </c>
      <c r="F480" s="7" t="n">
        <f aca="false">COUNTIF(Taxi_Ranks!$B:$B,A480)</f>
        <v>0</v>
      </c>
      <c r="G480" s="7" t="n">
        <f aca="false">B480+D480+E480+F480</f>
        <v>5</v>
      </c>
      <c r="H480" s="7" t="n">
        <f aca="false">(B480&gt;0)+(D480&gt;0)+(E480&gt;0)+(F480&gt;0)</f>
        <v>2</v>
      </c>
    </row>
    <row r="481" customFormat="false" ht="15" hidden="false" customHeight="false" outlineLevel="0" collapsed="false">
      <c r="A481" s="7" t="n">
        <v>2795</v>
      </c>
      <c r="B481" s="7" t="n">
        <f aca="false">COUNTIF(EV_Chargers!$D:$D,A481)</f>
        <v>18</v>
      </c>
      <c r="C481" s="7" t="n">
        <f aca="false">SUMIF(EV_Chargers!$D:$D,A481,EV_Chargers!$I:$I)</f>
        <v>51</v>
      </c>
      <c r="D481" s="7" t="n">
        <f aca="false">COUNTIF(Transport_Stops!$E:$E,A481)</f>
        <v>5</v>
      </c>
      <c r="E481" s="7" t="n">
        <f aca="false">COUNTIF(Sports_Facilities!$C:$C,A481)</f>
        <v>0</v>
      </c>
      <c r="F481" s="7" t="n">
        <f aca="false">COUNTIF(Taxi_Ranks!$B:$B,A481)</f>
        <v>0</v>
      </c>
      <c r="G481" s="7" t="n">
        <f aca="false">B481+D481+E481+F481</f>
        <v>23</v>
      </c>
      <c r="H481" s="7" t="n">
        <f aca="false">(B481&gt;0)+(D481&gt;0)+(E481&gt;0)+(F481&gt;0)</f>
        <v>2</v>
      </c>
    </row>
    <row r="482" customFormat="false" ht="15" hidden="false" customHeight="false" outlineLevel="0" collapsed="false">
      <c r="A482" s="7" t="n">
        <v>2797</v>
      </c>
      <c r="B482" s="7" t="n">
        <f aca="false">COUNTIF(EV_Chargers!$D:$D,A482)</f>
        <v>0</v>
      </c>
      <c r="C482" s="7" t="n">
        <f aca="false">SUMIF(EV_Chargers!$D:$D,A482,EV_Chargers!$I:$I)</f>
        <v>0</v>
      </c>
      <c r="D482" s="7" t="n">
        <f aca="false">COUNTIF(Transport_Stops!$E:$E,A482)</f>
        <v>1</v>
      </c>
      <c r="E482" s="7" t="n">
        <f aca="false">COUNTIF(Sports_Facilities!$C:$C,A482)</f>
        <v>0</v>
      </c>
      <c r="F482" s="7" t="n">
        <f aca="false">COUNTIF(Taxi_Ranks!$B:$B,A482)</f>
        <v>0</v>
      </c>
      <c r="G482" s="7" t="n">
        <f aca="false">B482+D482+E482+F482</f>
        <v>1</v>
      </c>
      <c r="H482" s="7" t="n">
        <f aca="false">(B482&gt;0)+(D482&gt;0)+(E482&gt;0)+(F482&gt;0)</f>
        <v>1</v>
      </c>
    </row>
    <row r="483" customFormat="false" ht="15" hidden="false" customHeight="false" outlineLevel="0" collapsed="false">
      <c r="A483" s="7" t="n">
        <v>2798</v>
      </c>
      <c r="B483" s="7" t="n">
        <f aca="false">COUNTIF(EV_Chargers!$D:$D,A483)</f>
        <v>1</v>
      </c>
      <c r="C483" s="7" t="n">
        <f aca="false">SUMIF(EV_Chargers!$D:$D,A483,EV_Chargers!$I:$I)</f>
        <v>1</v>
      </c>
      <c r="D483" s="7" t="n">
        <f aca="false">COUNTIF(Transport_Stops!$E:$E,A483)</f>
        <v>2</v>
      </c>
      <c r="E483" s="7" t="n">
        <f aca="false">COUNTIF(Sports_Facilities!$C:$C,A483)</f>
        <v>0</v>
      </c>
      <c r="F483" s="7" t="n">
        <f aca="false">COUNTIF(Taxi_Ranks!$B:$B,A483)</f>
        <v>0</v>
      </c>
      <c r="G483" s="7" t="n">
        <f aca="false">B483+D483+E483+F483</f>
        <v>3</v>
      </c>
      <c r="H483" s="7" t="n">
        <f aca="false">(B483&gt;0)+(D483&gt;0)+(E483&gt;0)+(F483&gt;0)</f>
        <v>2</v>
      </c>
    </row>
    <row r="484" customFormat="false" ht="15" hidden="false" customHeight="false" outlineLevel="0" collapsed="false">
      <c r="A484" s="7" t="n">
        <v>2799</v>
      </c>
      <c r="B484" s="7" t="n">
        <f aca="false">COUNTIF(EV_Chargers!$D:$D,A484)</f>
        <v>0</v>
      </c>
      <c r="C484" s="7" t="n">
        <f aca="false">SUMIF(EV_Chargers!$D:$D,A484,EV_Chargers!$I:$I)</f>
        <v>0</v>
      </c>
      <c r="D484" s="7" t="n">
        <f aca="false">COUNTIF(Transport_Stops!$E:$E,A484)</f>
        <v>1</v>
      </c>
      <c r="E484" s="7" t="n">
        <f aca="false">COUNTIF(Sports_Facilities!$C:$C,A484)</f>
        <v>0</v>
      </c>
      <c r="F484" s="7" t="n">
        <f aca="false">COUNTIF(Taxi_Ranks!$B:$B,A484)</f>
        <v>0</v>
      </c>
      <c r="G484" s="7" t="n">
        <f aca="false">B484+D484+E484+F484</f>
        <v>1</v>
      </c>
      <c r="H484" s="7" t="n">
        <f aca="false">(B484&gt;0)+(D484&gt;0)+(E484&gt;0)+(F484&gt;0)</f>
        <v>1</v>
      </c>
    </row>
    <row r="485" customFormat="false" ht="15" hidden="false" customHeight="false" outlineLevel="0" collapsed="false">
      <c r="A485" s="7" t="n">
        <v>2800</v>
      </c>
      <c r="B485" s="7" t="n">
        <f aca="false">COUNTIF(EV_Chargers!$D:$D,A485)</f>
        <v>30</v>
      </c>
      <c r="C485" s="7" t="n">
        <f aca="false">SUMIF(EV_Chargers!$D:$D,A485,EV_Chargers!$I:$I)</f>
        <v>70</v>
      </c>
      <c r="D485" s="7" t="n">
        <f aca="false">COUNTIF(Transport_Stops!$E:$E,A485)</f>
        <v>3</v>
      </c>
      <c r="E485" s="7" t="n">
        <f aca="false">COUNTIF(Sports_Facilities!$C:$C,A485)</f>
        <v>0</v>
      </c>
      <c r="F485" s="7" t="n">
        <f aca="false">COUNTIF(Taxi_Ranks!$B:$B,A485)</f>
        <v>0</v>
      </c>
      <c r="G485" s="7" t="n">
        <f aca="false">B485+D485+E485+F485</f>
        <v>33</v>
      </c>
      <c r="H485" s="7" t="n">
        <f aca="false">(B485&gt;0)+(D485&gt;0)+(E485&gt;0)+(F485&gt;0)</f>
        <v>2</v>
      </c>
    </row>
    <row r="486" customFormat="false" ht="15" hidden="false" customHeight="false" outlineLevel="0" collapsed="false">
      <c r="A486" s="7" t="n">
        <v>2803</v>
      </c>
      <c r="B486" s="7" t="n">
        <f aca="false">COUNTIF(EV_Chargers!$D:$D,A486)</f>
        <v>0</v>
      </c>
      <c r="C486" s="7" t="n">
        <f aca="false">SUMIF(EV_Chargers!$D:$D,A486,EV_Chargers!$I:$I)</f>
        <v>0</v>
      </c>
      <c r="D486" s="7" t="n">
        <f aca="false">COUNTIF(Transport_Stops!$E:$E,A486)</f>
        <v>1</v>
      </c>
      <c r="E486" s="7" t="n">
        <f aca="false">COUNTIF(Sports_Facilities!$C:$C,A486)</f>
        <v>0</v>
      </c>
      <c r="F486" s="7" t="n">
        <f aca="false">COUNTIF(Taxi_Ranks!$B:$B,A486)</f>
        <v>0</v>
      </c>
      <c r="G486" s="7" t="n">
        <f aca="false">B486+D486+E486+F486</f>
        <v>1</v>
      </c>
      <c r="H486" s="7" t="n">
        <f aca="false">(B486&gt;0)+(D486&gt;0)+(E486&gt;0)+(F486&gt;0)</f>
        <v>1</v>
      </c>
    </row>
    <row r="487" customFormat="false" ht="15" hidden="false" customHeight="false" outlineLevel="0" collapsed="false">
      <c r="A487" s="7" t="n">
        <v>2804</v>
      </c>
      <c r="B487" s="7" t="n">
        <f aca="false">COUNTIF(EV_Chargers!$D:$D,A487)</f>
        <v>1</v>
      </c>
      <c r="C487" s="7" t="n">
        <f aca="false">SUMIF(EV_Chargers!$D:$D,A487,EV_Chargers!$I:$I)</f>
        <v>1</v>
      </c>
      <c r="D487" s="7" t="n">
        <f aca="false">COUNTIF(Transport_Stops!$E:$E,A487)</f>
        <v>1</v>
      </c>
      <c r="E487" s="7" t="n">
        <f aca="false">COUNTIF(Sports_Facilities!$C:$C,A487)</f>
        <v>0</v>
      </c>
      <c r="F487" s="7" t="n">
        <f aca="false">COUNTIF(Taxi_Ranks!$B:$B,A487)</f>
        <v>0</v>
      </c>
      <c r="G487" s="7" t="n">
        <f aca="false">B487+D487+E487+F487</f>
        <v>2</v>
      </c>
      <c r="H487" s="7" t="n">
        <f aca="false">(B487&gt;0)+(D487&gt;0)+(E487&gt;0)+(F487&gt;0)</f>
        <v>2</v>
      </c>
    </row>
    <row r="488" customFormat="false" ht="15" hidden="false" customHeight="false" outlineLevel="0" collapsed="false">
      <c r="A488" s="7" t="n">
        <v>2806</v>
      </c>
      <c r="B488" s="7" t="n">
        <f aca="false">COUNTIF(EV_Chargers!$D:$D,A488)</f>
        <v>0</v>
      </c>
      <c r="C488" s="7" t="n">
        <f aca="false">SUMIF(EV_Chargers!$D:$D,A488,EV_Chargers!$I:$I)</f>
        <v>0</v>
      </c>
      <c r="D488" s="7" t="n">
        <f aca="false">COUNTIF(Transport_Stops!$E:$E,A488)</f>
        <v>1</v>
      </c>
      <c r="E488" s="7" t="n">
        <f aca="false">COUNTIF(Sports_Facilities!$C:$C,A488)</f>
        <v>0</v>
      </c>
      <c r="F488" s="7" t="n">
        <f aca="false">COUNTIF(Taxi_Ranks!$B:$B,A488)</f>
        <v>0</v>
      </c>
      <c r="G488" s="7" t="n">
        <f aca="false">B488+D488+E488+F488</f>
        <v>1</v>
      </c>
      <c r="H488" s="7" t="n">
        <f aca="false">(B488&gt;0)+(D488&gt;0)+(E488&gt;0)+(F488&gt;0)</f>
        <v>1</v>
      </c>
    </row>
    <row r="489" customFormat="false" ht="15" hidden="false" customHeight="false" outlineLevel="0" collapsed="false">
      <c r="A489" s="7" t="n">
        <v>2807</v>
      </c>
      <c r="B489" s="7" t="n">
        <f aca="false">COUNTIF(EV_Chargers!$D:$D,A489)</f>
        <v>0</v>
      </c>
      <c r="C489" s="7" t="n">
        <f aca="false">SUMIF(EV_Chargers!$D:$D,A489,EV_Chargers!$I:$I)</f>
        <v>0</v>
      </c>
      <c r="D489" s="7" t="n">
        <f aca="false">COUNTIF(Transport_Stops!$E:$E,A489)</f>
        <v>1</v>
      </c>
      <c r="E489" s="7" t="n">
        <f aca="false">COUNTIF(Sports_Facilities!$C:$C,A489)</f>
        <v>0</v>
      </c>
      <c r="F489" s="7" t="n">
        <f aca="false">COUNTIF(Taxi_Ranks!$B:$B,A489)</f>
        <v>0</v>
      </c>
      <c r="G489" s="7" t="n">
        <f aca="false">B489+D489+E489+F489</f>
        <v>1</v>
      </c>
      <c r="H489" s="7" t="n">
        <f aca="false">(B489&gt;0)+(D489&gt;0)+(E489&gt;0)+(F489&gt;0)</f>
        <v>1</v>
      </c>
    </row>
    <row r="490" customFormat="false" ht="15" hidden="false" customHeight="false" outlineLevel="0" collapsed="false">
      <c r="A490" s="7" t="n">
        <v>2810</v>
      </c>
      <c r="B490" s="7" t="n">
        <f aca="false">COUNTIF(EV_Chargers!$D:$D,A490)</f>
        <v>2</v>
      </c>
      <c r="C490" s="7" t="n">
        <f aca="false">SUMIF(EV_Chargers!$D:$D,A490,EV_Chargers!$I:$I)</f>
        <v>4</v>
      </c>
      <c r="D490" s="7" t="n">
        <f aca="false">COUNTIF(Transport_Stops!$E:$E,A490)</f>
        <v>1</v>
      </c>
      <c r="E490" s="7" t="n">
        <f aca="false">COUNTIF(Sports_Facilities!$C:$C,A490)</f>
        <v>0</v>
      </c>
      <c r="F490" s="7" t="n">
        <f aca="false">COUNTIF(Taxi_Ranks!$B:$B,A490)</f>
        <v>0</v>
      </c>
      <c r="G490" s="7" t="n">
        <f aca="false">B490+D490+E490+F490</f>
        <v>3</v>
      </c>
      <c r="H490" s="7" t="n">
        <f aca="false">(B490&gt;0)+(D490&gt;0)+(E490&gt;0)+(F490&gt;0)</f>
        <v>2</v>
      </c>
    </row>
    <row r="491" customFormat="false" ht="15" hidden="false" customHeight="false" outlineLevel="0" collapsed="false">
      <c r="A491" s="7" t="n">
        <v>2818</v>
      </c>
      <c r="B491" s="7" t="n">
        <f aca="false">COUNTIF(EV_Chargers!$D:$D,A491)</f>
        <v>0</v>
      </c>
      <c r="C491" s="7" t="n">
        <f aca="false">SUMIF(EV_Chargers!$D:$D,A491,EV_Chargers!$I:$I)</f>
        <v>0</v>
      </c>
      <c r="D491" s="7" t="n">
        <f aca="false">COUNTIF(Transport_Stops!$E:$E,A491)</f>
        <v>1</v>
      </c>
      <c r="E491" s="7" t="n">
        <f aca="false">COUNTIF(Sports_Facilities!$C:$C,A491)</f>
        <v>0</v>
      </c>
      <c r="F491" s="7" t="n">
        <f aca="false">COUNTIF(Taxi_Ranks!$B:$B,A491)</f>
        <v>0</v>
      </c>
      <c r="G491" s="7" t="n">
        <f aca="false">B491+D491+E491+F491</f>
        <v>1</v>
      </c>
      <c r="H491" s="7" t="n">
        <f aca="false">(B491&gt;0)+(D491&gt;0)+(E491&gt;0)+(F491&gt;0)</f>
        <v>1</v>
      </c>
    </row>
    <row r="492" customFormat="false" ht="15" hidden="false" customHeight="false" outlineLevel="0" collapsed="false">
      <c r="A492" s="7" t="n">
        <v>2820</v>
      </c>
      <c r="B492" s="7" t="n">
        <f aca="false">COUNTIF(EV_Chargers!$D:$D,A492)</f>
        <v>3</v>
      </c>
      <c r="C492" s="7" t="n">
        <f aca="false">SUMIF(EV_Chargers!$D:$D,A492,EV_Chargers!$I:$I)</f>
        <v>8</v>
      </c>
      <c r="D492" s="7" t="n">
        <f aca="false">COUNTIF(Transport_Stops!$E:$E,A492)</f>
        <v>2</v>
      </c>
      <c r="E492" s="7" t="n">
        <f aca="false">COUNTIF(Sports_Facilities!$C:$C,A492)</f>
        <v>0</v>
      </c>
      <c r="F492" s="7" t="n">
        <f aca="false">COUNTIF(Taxi_Ranks!$B:$B,A492)</f>
        <v>0</v>
      </c>
      <c r="G492" s="7" t="n">
        <f aca="false">B492+D492+E492+F492</f>
        <v>5</v>
      </c>
      <c r="H492" s="7" t="n">
        <f aca="false">(B492&gt;0)+(D492&gt;0)+(E492&gt;0)+(F492&gt;0)</f>
        <v>2</v>
      </c>
    </row>
    <row r="493" customFormat="false" ht="15" hidden="false" customHeight="false" outlineLevel="0" collapsed="false">
      <c r="A493" s="7" t="n">
        <v>2821</v>
      </c>
      <c r="B493" s="7" t="n">
        <f aca="false">COUNTIF(EV_Chargers!$D:$D,A493)</f>
        <v>0</v>
      </c>
      <c r="C493" s="7" t="n">
        <f aca="false">SUMIF(EV_Chargers!$D:$D,A493,EV_Chargers!$I:$I)</f>
        <v>0</v>
      </c>
      <c r="D493" s="7" t="n">
        <f aca="false">COUNTIF(Transport_Stops!$E:$E,A493)</f>
        <v>1</v>
      </c>
      <c r="E493" s="7" t="n">
        <f aca="false">COUNTIF(Sports_Facilities!$C:$C,A493)</f>
        <v>0</v>
      </c>
      <c r="F493" s="7" t="n">
        <f aca="false">COUNTIF(Taxi_Ranks!$B:$B,A493)</f>
        <v>0</v>
      </c>
      <c r="G493" s="7" t="n">
        <f aca="false">B493+D493+E493+F493</f>
        <v>1</v>
      </c>
      <c r="H493" s="7" t="n">
        <f aca="false">(B493&gt;0)+(D493&gt;0)+(E493&gt;0)+(F493&gt;0)</f>
        <v>1</v>
      </c>
    </row>
    <row r="494" customFormat="false" ht="15" hidden="false" customHeight="false" outlineLevel="0" collapsed="false">
      <c r="A494" s="7" t="n">
        <v>2823</v>
      </c>
      <c r="B494" s="7" t="n">
        <f aca="false">COUNTIF(EV_Chargers!$D:$D,A494)</f>
        <v>0</v>
      </c>
      <c r="C494" s="7" t="n">
        <f aca="false">SUMIF(EV_Chargers!$D:$D,A494,EV_Chargers!$I:$I)</f>
        <v>0</v>
      </c>
      <c r="D494" s="7" t="n">
        <f aca="false">COUNTIF(Transport_Stops!$E:$E,A494)</f>
        <v>1</v>
      </c>
      <c r="E494" s="7" t="n">
        <f aca="false">COUNTIF(Sports_Facilities!$C:$C,A494)</f>
        <v>0</v>
      </c>
      <c r="F494" s="7" t="n">
        <f aca="false">COUNTIF(Taxi_Ranks!$B:$B,A494)</f>
        <v>0</v>
      </c>
      <c r="G494" s="7" t="n">
        <f aca="false">B494+D494+E494+F494</f>
        <v>1</v>
      </c>
      <c r="H494" s="7" t="n">
        <f aca="false">(B494&gt;0)+(D494&gt;0)+(E494&gt;0)+(F494&gt;0)</f>
        <v>1</v>
      </c>
    </row>
    <row r="495" customFormat="false" ht="15" hidden="false" customHeight="false" outlineLevel="0" collapsed="false">
      <c r="A495" s="7" t="n">
        <v>2824</v>
      </c>
      <c r="B495" s="7" t="n">
        <f aca="false">COUNTIF(EV_Chargers!$D:$D,A495)</f>
        <v>0</v>
      </c>
      <c r="C495" s="7" t="n">
        <f aca="false">SUMIF(EV_Chargers!$D:$D,A495,EV_Chargers!$I:$I)</f>
        <v>0</v>
      </c>
      <c r="D495" s="7" t="n">
        <f aca="false">COUNTIF(Transport_Stops!$E:$E,A495)</f>
        <v>1</v>
      </c>
      <c r="E495" s="7" t="n">
        <f aca="false">COUNTIF(Sports_Facilities!$C:$C,A495)</f>
        <v>0</v>
      </c>
      <c r="F495" s="7" t="n">
        <f aca="false">COUNTIF(Taxi_Ranks!$B:$B,A495)</f>
        <v>0</v>
      </c>
      <c r="G495" s="7" t="n">
        <f aca="false">B495+D495+E495+F495</f>
        <v>1</v>
      </c>
      <c r="H495" s="7" t="n">
        <f aca="false">(B495&gt;0)+(D495&gt;0)+(E495&gt;0)+(F495&gt;0)</f>
        <v>1</v>
      </c>
    </row>
    <row r="496" customFormat="false" ht="15" hidden="false" customHeight="false" outlineLevel="0" collapsed="false">
      <c r="A496" s="7" t="n">
        <v>2825</v>
      </c>
      <c r="B496" s="7" t="n">
        <f aca="false">COUNTIF(EV_Chargers!$D:$D,A496)</f>
        <v>1</v>
      </c>
      <c r="C496" s="7" t="n">
        <f aca="false">SUMIF(EV_Chargers!$D:$D,A496,EV_Chargers!$I:$I)</f>
        <v>4</v>
      </c>
      <c r="D496" s="7" t="n">
        <f aca="false">COUNTIF(Transport_Stops!$E:$E,A496)</f>
        <v>1</v>
      </c>
      <c r="E496" s="7" t="n">
        <f aca="false">COUNTIF(Sports_Facilities!$C:$C,A496)</f>
        <v>0</v>
      </c>
      <c r="F496" s="7" t="n">
        <f aca="false">COUNTIF(Taxi_Ranks!$B:$B,A496)</f>
        <v>0</v>
      </c>
      <c r="G496" s="7" t="n">
        <f aca="false">B496+D496+E496+F496</f>
        <v>2</v>
      </c>
      <c r="H496" s="7" t="n">
        <f aca="false">(B496&gt;0)+(D496&gt;0)+(E496&gt;0)+(F496&gt;0)</f>
        <v>2</v>
      </c>
    </row>
    <row r="497" customFormat="false" ht="15" hidden="false" customHeight="false" outlineLevel="0" collapsed="false">
      <c r="A497" s="7" t="n">
        <v>2826</v>
      </c>
      <c r="B497" s="7" t="n">
        <f aca="false">COUNTIF(EV_Chargers!$D:$D,A497)</f>
        <v>0</v>
      </c>
      <c r="C497" s="7" t="n">
        <f aca="false">SUMIF(EV_Chargers!$D:$D,A497,EV_Chargers!$I:$I)</f>
        <v>0</v>
      </c>
      <c r="D497" s="7" t="n">
        <f aca="false">COUNTIF(Transport_Stops!$E:$E,A497)</f>
        <v>1</v>
      </c>
      <c r="E497" s="7" t="n">
        <f aca="false">COUNTIF(Sports_Facilities!$C:$C,A497)</f>
        <v>0</v>
      </c>
      <c r="F497" s="7" t="n">
        <f aca="false">COUNTIF(Taxi_Ranks!$B:$B,A497)</f>
        <v>0</v>
      </c>
      <c r="G497" s="7" t="n">
        <f aca="false">B497+D497+E497+F497</f>
        <v>1</v>
      </c>
      <c r="H497" s="7" t="n">
        <f aca="false">(B497&gt;0)+(D497&gt;0)+(E497&gt;0)+(F497&gt;0)</f>
        <v>1</v>
      </c>
    </row>
    <row r="498" customFormat="false" ht="15" hidden="false" customHeight="false" outlineLevel="0" collapsed="false">
      <c r="A498" s="7" t="n">
        <v>2827</v>
      </c>
      <c r="B498" s="7" t="n">
        <f aca="false">COUNTIF(EV_Chargers!$D:$D,A498)</f>
        <v>1</v>
      </c>
      <c r="C498" s="7" t="n">
        <f aca="false">SUMIF(EV_Chargers!$D:$D,A498,EV_Chargers!$I:$I)</f>
        <v>4</v>
      </c>
      <c r="D498" s="7" t="n">
        <f aca="false">COUNTIF(Transport_Stops!$E:$E,A498)</f>
        <v>1</v>
      </c>
      <c r="E498" s="7" t="n">
        <f aca="false">COUNTIF(Sports_Facilities!$C:$C,A498)</f>
        <v>0</v>
      </c>
      <c r="F498" s="7" t="n">
        <f aca="false">COUNTIF(Taxi_Ranks!$B:$B,A498)</f>
        <v>0</v>
      </c>
      <c r="G498" s="7" t="n">
        <f aca="false">B498+D498+E498+F498</f>
        <v>2</v>
      </c>
      <c r="H498" s="7" t="n">
        <f aca="false">(B498&gt;0)+(D498&gt;0)+(E498&gt;0)+(F498&gt;0)</f>
        <v>2</v>
      </c>
    </row>
    <row r="499" customFormat="false" ht="15" hidden="false" customHeight="false" outlineLevel="0" collapsed="false">
      <c r="A499" s="7" t="n">
        <v>2828</v>
      </c>
      <c r="B499" s="7" t="n">
        <f aca="false">COUNTIF(EV_Chargers!$D:$D,A499)</f>
        <v>0</v>
      </c>
      <c r="C499" s="7" t="n">
        <f aca="false">SUMIF(EV_Chargers!$D:$D,A499,EV_Chargers!$I:$I)</f>
        <v>0</v>
      </c>
      <c r="D499" s="7" t="n">
        <f aca="false">COUNTIF(Transport_Stops!$E:$E,A499)</f>
        <v>1</v>
      </c>
      <c r="E499" s="7" t="n">
        <f aca="false">COUNTIF(Sports_Facilities!$C:$C,A499)</f>
        <v>0</v>
      </c>
      <c r="F499" s="7" t="n">
        <f aca="false">COUNTIF(Taxi_Ranks!$B:$B,A499)</f>
        <v>0</v>
      </c>
      <c r="G499" s="7" t="n">
        <f aca="false">B499+D499+E499+F499</f>
        <v>1</v>
      </c>
      <c r="H499" s="7" t="n">
        <f aca="false">(B499&gt;0)+(D499&gt;0)+(E499&gt;0)+(F499&gt;0)</f>
        <v>1</v>
      </c>
    </row>
    <row r="500" customFormat="false" ht="15" hidden="false" customHeight="false" outlineLevel="0" collapsed="false">
      <c r="A500" s="7" t="n">
        <v>2829</v>
      </c>
      <c r="B500" s="7" t="n">
        <f aca="false">COUNTIF(EV_Chargers!$D:$D,A500)</f>
        <v>1</v>
      </c>
      <c r="C500" s="7" t="n">
        <f aca="false">SUMIF(EV_Chargers!$D:$D,A500,EV_Chargers!$I:$I)</f>
        <v>4</v>
      </c>
      <c r="D500" s="7" t="n">
        <f aca="false">COUNTIF(Transport_Stops!$E:$E,A500)</f>
        <v>1</v>
      </c>
      <c r="E500" s="7" t="n">
        <f aca="false">COUNTIF(Sports_Facilities!$C:$C,A500)</f>
        <v>0</v>
      </c>
      <c r="F500" s="7" t="n">
        <f aca="false">COUNTIF(Taxi_Ranks!$B:$B,A500)</f>
        <v>0</v>
      </c>
      <c r="G500" s="7" t="n">
        <f aca="false">B500+D500+E500+F500</f>
        <v>2</v>
      </c>
      <c r="H500" s="7" t="n">
        <f aca="false">(B500&gt;0)+(D500&gt;0)+(E500&gt;0)+(F500&gt;0)</f>
        <v>2</v>
      </c>
    </row>
    <row r="501" customFormat="false" ht="15" hidden="false" customHeight="false" outlineLevel="0" collapsed="false">
      <c r="A501" s="7" t="n">
        <v>2830</v>
      </c>
      <c r="B501" s="7" t="n">
        <f aca="false">COUNTIF(EV_Chargers!$D:$D,A501)</f>
        <v>12</v>
      </c>
      <c r="C501" s="7" t="n">
        <f aca="false">SUMIF(EV_Chargers!$D:$D,A501,EV_Chargers!$I:$I)</f>
        <v>49</v>
      </c>
      <c r="D501" s="7" t="n">
        <f aca="false">COUNTIF(Transport_Stops!$E:$E,A501)</f>
        <v>2</v>
      </c>
      <c r="E501" s="7" t="n">
        <f aca="false">COUNTIF(Sports_Facilities!$C:$C,A501)</f>
        <v>0</v>
      </c>
      <c r="F501" s="7" t="n">
        <f aca="false">COUNTIF(Taxi_Ranks!$B:$B,A501)</f>
        <v>0</v>
      </c>
      <c r="G501" s="7" t="n">
        <f aca="false">B501+D501+E501+F501</f>
        <v>14</v>
      </c>
      <c r="H501" s="7" t="n">
        <f aca="false">(B501&gt;0)+(D501&gt;0)+(E501&gt;0)+(F501&gt;0)</f>
        <v>2</v>
      </c>
    </row>
    <row r="502" customFormat="false" ht="15" hidden="false" customHeight="false" outlineLevel="0" collapsed="false">
      <c r="A502" s="7" t="n">
        <v>2831</v>
      </c>
      <c r="B502" s="7" t="n">
        <f aca="false">COUNTIF(EV_Chargers!$D:$D,A502)</f>
        <v>0</v>
      </c>
      <c r="C502" s="7" t="n">
        <f aca="false">SUMIF(EV_Chargers!$D:$D,A502,EV_Chargers!$I:$I)</f>
        <v>0</v>
      </c>
      <c r="D502" s="7" t="n">
        <f aca="false">COUNTIF(Transport_Stops!$E:$E,A502)</f>
        <v>5</v>
      </c>
      <c r="E502" s="7" t="n">
        <f aca="false">COUNTIF(Sports_Facilities!$C:$C,A502)</f>
        <v>0</v>
      </c>
      <c r="F502" s="7" t="n">
        <f aca="false">COUNTIF(Taxi_Ranks!$B:$B,A502)</f>
        <v>0</v>
      </c>
      <c r="G502" s="7" t="n">
        <f aca="false">B502+D502+E502+F502</f>
        <v>5</v>
      </c>
      <c r="H502" s="7" t="n">
        <f aca="false">(B502&gt;0)+(D502&gt;0)+(E502&gt;0)+(F502&gt;0)</f>
        <v>1</v>
      </c>
    </row>
    <row r="503" customFormat="false" ht="15" hidden="false" customHeight="false" outlineLevel="0" collapsed="false">
      <c r="A503" s="7" t="n">
        <v>2832</v>
      </c>
      <c r="B503" s="7" t="n">
        <f aca="false">COUNTIF(EV_Chargers!$D:$D,A503)</f>
        <v>1</v>
      </c>
      <c r="C503" s="7" t="n">
        <f aca="false">SUMIF(EV_Chargers!$D:$D,A503,EV_Chargers!$I:$I)</f>
        <v>2</v>
      </c>
      <c r="D503" s="7" t="n">
        <f aca="false">COUNTIF(Transport_Stops!$E:$E,A503)</f>
        <v>1</v>
      </c>
      <c r="E503" s="7" t="n">
        <f aca="false">COUNTIF(Sports_Facilities!$C:$C,A503)</f>
        <v>0</v>
      </c>
      <c r="F503" s="7" t="n">
        <f aca="false">COUNTIF(Taxi_Ranks!$B:$B,A503)</f>
        <v>0</v>
      </c>
      <c r="G503" s="7" t="n">
        <f aca="false">B503+D503+E503+F503</f>
        <v>2</v>
      </c>
      <c r="H503" s="7" t="n">
        <f aca="false">(B503&gt;0)+(D503&gt;0)+(E503&gt;0)+(F503&gt;0)</f>
        <v>2</v>
      </c>
    </row>
    <row r="504" customFormat="false" ht="15" hidden="false" customHeight="false" outlineLevel="0" collapsed="false">
      <c r="A504" s="7" t="n">
        <v>2834</v>
      </c>
      <c r="B504" s="7" t="n">
        <f aca="false">COUNTIF(EV_Chargers!$D:$D,A504)</f>
        <v>1</v>
      </c>
      <c r="C504" s="7" t="n">
        <f aca="false">SUMIF(EV_Chargers!$D:$D,A504,EV_Chargers!$I:$I)</f>
        <v>4</v>
      </c>
      <c r="D504" s="7" t="n">
        <f aca="false">COUNTIF(Transport_Stops!$E:$E,A504)</f>
        <v>1</v>
      </c>
      <c r="E504" s="7" t="n">
        <f aca="false">COUNTIF(Sports_Facilities!$C:$C,A504)</f>
        <v>0</v>
      </c>
      <c r="F504" s="7" t="n">
        <f aca="false">COUNTIF(Taxi_Ranks!$B:$B,A504)</f>
        <v>0</v>
      </c>
      <c r="G504" s="7" t="n">
        <f aca="false">B504+D504+E504+F504</f>
        <v>2</v>
      </c>
      <c r="H504" s="7" t="n">
        <f aca="false">(B504&gt;0)+(D504&gt;0)+(E504&gt;0)+(F504&gt;0)</f>
        <v>2</v>
      </c>
    </row>
    <row r="505" customFormat="false" ht="15" hidden="false" customHeight="false" outlineLevel="0" collapsed="false">
      <c r="A505" s="7" t="n">
        <v>2835</v>
      </c>
      <c r="B505" s="7" t="n">
        <f aca="false">COUNTIF(EV_Chargers!$D:$D,A505)</f>
        <v>1</v>
      </c>
      <c r="C505" s="7" t="n">
        <f aca="false">SUMIF(EV_Chargers!$D:$D,A505,EV_Chargers!$I:$I)</f>
        <v>2</v>
      </c>
      <c r="D505" s="7" t="n">
        <f aca="false">COUNTIF(Transport_Stops!$E:$E,A505)</f>
        <v>2</v>
      </c>
      <c r="E505" s="7" t="n">
        <f aca="false">COUNTIF(Sports_Facilities!$C:$C,A505)</f>
        <v>0</v>
      </c>
      <c r="F505" s="7" t="n">
        <f aca="false">COUNTIF(Taxi_Ranks!$B:$B,A505)</f>
        <v>0</v>
      </c>
      <c r="G505" s="7" t="n">
        <f aca="false">B505+D505+E505+F505</f>
        <v>3</v>
      </c>
      <c r="H505" s="7" t="n">
        <f aca="false">(B505&gt;0)+(D505&gt;0)+(E505&gt;0)+(F505&gt;0)</f>
        <v>2</v>
      </c>
    </row>
    <row r="506" customFormat="false" ht="15" hidden="false" customHeight="false" outlineLevel="0" collapsed="false">
      <c r="A506" s="7" t="n">
        <v>2836</v>
      </c>
      <c r="B506" s="7" t="n">
        <f aca="false">COUNTIF(EV_Chargers!$D:$D,A506)</f>
        <v>1</v>
      </c>
      <c r="C506" s="7" t="n">
        <f aca="false">SUMIF(EV_Chargers!$D:$D,A506,EV_Chargers!$I:$I)</f>
        <v>4</v>
      </c>
      <c r="D506" s="7" t="n">
        <f aca="false">COUNTIF(Transport_Stops!$E:$E,A506)</f>
        <v>2</v>
      </c>
      <c r="E506" s="7" t="n">
        <f aca="false">COUNTIF(Sports_Facilities!$C:$C,A506)</f>
        <v>0</v>
      </c>
      <c r="F506" s="7" t="n">
        <f aca="false">COUNTIF(Taxi_Ranks!$B:$B,A506)</f>
        <v>0</v>
      </c>
      <c r="G506" s="7" t="n">
        <f aca="false">B506+D506+E506+F506</f>
        <v>3</v>
      </c>
      <c r="H506" s="7" t="n">
        <f aca="false">(B506&gt;0)+(D506&gt;0)+(E506&gt;0)+(F506&gt;0)</f>
        <v>2</v>
      </c>
    </row>
    <row r="507" customFormat="false" ht="15" hidden="false" customHeight="false" outlineLevel="0" collapsed="false">
      <c r="A507" s="7" t="n">
        <v>2839</v>
      </c>
      <c r="B507" s="7" t="n">
        <f aca="false">COUNTIF(EV_Chargers!$D:$D,A507)</f>
        <v>2</v>
      </c>
      <c r="C507" s="7" t="n">
        <f aca="false">SUMIF(EV_Chargers!$D:$D,A507,EV_Chargers!$I:$I)</f>
        <v>5</v>
      </c>
      <c r="D507" s="7" t="n">
        <f aca="false">COUNTIF(Transport_Stops!$E:$E,A507)</f>
        <v>6</v>
      </c>
      <c r="E507" s="7" t="n">
        <f aca="false">COUNTIF(Sports_Facilities!$C:$C,A507)</f>
        <v>0</v>
      </c>
      <c r="F507" s="7" t="n">
        <f aca="false">COUNTIF(Taxi_Ranks!$B:$B,A507)</f>
        <v>0</v>
      </c>
      <c r="G507" s="7" t="n">
        <f aca="false">B507+D507+E507+F507</f>
        <v>8</v>
      </c>
      <c r="H507" s="7" t="n">
        <f aca="false">(B507&gt;0)+(D507&gt;0)+(E507&gt;0)+(F507&gt;0)</f>
        <v>2</v>
      </c>
    </row>
    <row r="508" customFormat="false" ht="15" hidden="false" customHeight="false" outlineLevel="0" collapsed="false">
      <c r="A508" s="7" t="n">
        <v>2840</v>
      </c>
      <c r="B508" s="7" t="n">
        <f aca="false">COUNTIF(EV_Chargers!$D:$D,A508)</f>
        <v>2</v>
      </c>
      <c r="C508" s="7" t="n">
        <f aca="false">SUMIF(EV_Chargers!$D:$D,A508,EV_Chargers!$I:$I)</f>
        <v>6</v>
      </c>
      <c r="D508" s="7" t="n">
        <f aca="false">COUNTIF(Transport_Stops!$E:$E,A508)</f>
        <v>1</v>
      </c>
      <c r="E508" s="7" t="n">
        <f aca="false">COUNTIF(Sports_Facilities!$C:$C,A508)</f>
        <v>0</v>
      </c>
      <c r="F508" s="7" t="n">
        <f aca="false">COUNTIF(Taxi_Ranks!$B:$B,A508)</f>
        <v>0</v>
      </c>
      <c r="G508" s="7" t="n">
        <f aca="false">B508+D508+E508+F508</f>
        <v>3</v>
      </c>
      <c r="H508" s="7" t="n">
        <f aca="false">(B508&gt;0)+(D508&gt;0)+(E508&gt;0)+(F508&gt;0)</f>
        <v>2</v>
      </c>
    </row>
    <row r="509" customFormat="false" ht="15" hidden="false" customHeight="false" outlineLevel="0" collapsed="false">
      <c r="A509" s="7" t="n">
        <v>2842</v>
      </c>
      <c r="B509" s="7" t="n">
        <f aca="false">COUNTIF(EV_Chargers!$D:$D,A509)</f>
        <v>0</v>
      </c>
      <c r="C509" s="7" t="n">
        <f aca="false">SUMIF(EV_Chargers!$D:$D,A509,EV_Chargers!$I:$I)</f>
        <v>0</v>
      </c>
      <c r="D509" s="7" t="n">
        <f aca="false">COUNTIF(Transport_Stops!$E:$E,A509)</f>
        <v>1</v>
      </c>
      <c r="E509" s="7" t="n">
        <f aca="false">COUNTIF(Sports_Facilities!$C:$C,A509)</f>
        <v>0</v>
      </c>
      <c r="F509" s="7" t="n">
        <f aca="false">COUNTIF(Taxi_Ranks!$B:$B,A509)</f>
        <v>0</v>
      </c>
      <c r="G509" s="7" t="n">
        <f aca="false">B509+D509+E509+F509</f>
        <v>1</v>
      </c>
      <c r="H509" s="7" t="n">
        <f aca="false">(B509&gt;0)+(D509&gt;0)+(E509&gt;0)+(F509&gt;0)</f>
        <v>1</v>
      </c>
    </row>
    <row r="510" customFormat="false" ht="15" hidden="false" customHeight="false" outlineLevel="0" collapsed="false">
      <c r="A510" s="7" t="n">
        <v>2843</v>
      </c>
      <c r="B510" s="7" t="n">
        <f aca="false">COUNTIF(EV_Chargers!$D:$D,A510)</f>
        <v>0</v>
      </c>
      <c r="C510" s="7" t="n">
        <f aca="false">SUMIF(EV_Chargers!$D:$D,A510,EV_Chargers!$I:$I)</f>
        <v>0</v>
      </c>
      <c r="D510" s="7" t="n">
        <f aca="false">COUNTIF(Transport_Stops!$E:$E,A510)</f>
        <v>1</v>
      </c>
      <c r="E510" s="7" t="n">
        <f aca="false">COUNTIF(Sports_Facilities!$C:$C,A510)</f>
        <v>0</v>
      </c>
      <c r="F510" s="7" t="n">
        <f aca="false">COUNTIF(Taxi_Ranks!$B:$B,A510)</f>
        <v>0</v>
      </c>
      <c r="G510" s="7" t="n">
        <f aca="false">B510+D510+E510+F510</f>
        <v>1</v>
      </c>
      <c r="H510" s="7" t="n">
        <f aca="false">(B510&gt;0)+(D510&gt;0)+(E510&gt;0)+(F510&gt;0)</f>
        <v>1</v>
      </c>
    </row>
    <row r="511" customFormat="false" ht="15" hidden="false" customHeight="false" outlineLevel="0" collapsed="false">
      <c r="A511" s="7" t="n">
        <v>2844</v>
      </c>
      <c r="B511" s="7" t="n">
        <f aca="false">COUNTIF(EV_Chargers!$D:$D,A511)</f>
        <v>1</v>
      </c>
      <c r="C511" s="7" t="n">
        <f aca="false">SUMIF(EV_Chargers!$D:$D,A511,EV_Chargers!$I:$I)</f>
        <v>2</v>
      </c>
      <c r="D511" s="7" t="n">
        <f aca="false">COUNTIF(Transport_Stops!$E:$E,A511)</f>
        <v>2</v>
      </c>
      <c r="E511" s="7" t="n">
        <f aca="false">COUNTIF(Sports_Facilities!$C:$C,A511)</f>
        <v>0</v>
      </c>
      <c r="F511" s="7" t="n">
        <f aca="false">COUNTIF(Taxi_Ranks!$B:$B,A511)</f>
        <v>0</v>
      </c>
      <c r="G511" s="7" t="n">
        <f aca="false">B511+D511+E511+F511</f>
        <v>3</v>
      </c>
      <c r="H511" s="7" t="n">
        <f aca="false">(B511&gt;0)+(D511&gt;0)+(E511&gt;0)+(F511&gt;0)</f>
        <v>2</v>
      </c>
    </row>
    <row r="512" customFormat="false" ht="15" hidden="false" customHeight="false" outlineLevel="0" collapsed="false">
      <c r="A512" s="7" t="n">
        <v>2845</v>
      </c>
      <c r="B512" s="7" t="n">
        <f aca="false">COUNTIF(EV_Chargers!$D:$D,A512)</f>
        <v>1</v>
      </c>
      <c r="C512" s="7" t="n">
        <f aca="false">SUMIF(EV_Chargers!$D:$D,A512,EV_Chargers!$I:$I)</f>
        <v>4</v>
      </c>
      <c r="D512" s="7" t="n">
        <f aca="false">COUNTIF(Transport_Stops!$E:$E,A512)</f>
        <v>2</v>
      </c>
      <c r="E512" s="7" t="n">
        <f aca="false">COUNTIF(Sports_Facilities!$C:$C,A512)</f>
        <v>0</v>
      </c>
      <c r="F512" s="7" t="n">
        <f aca="false">COUNTIF(Taxi_Ranks!$B:$B,A512)</f>
        <v>0</v>
      </c>
      <c r="G512" s="7" t="n">
        <f aca="false">B512+D512+E512+F512</f>
        <v>3</v>
      </c>
      <c r="H512" s="7" t="n">
        <f aca="false">(B512&gt;0)+(D512&gt;0)+(E512&gt;0)+(F512&gt;0)</f>
        <v>2</v>
      </c>
    </row>
    <row r="513" customFormat="false" ht="15" hidden="false" customHeight="false" outlineLevel="0" collapsed="false">
      <c r="A513" s="7" t="n">
        <v>2846</v>
      </c>
      <c r="B513" s="7" t="n">
        <f aca="false">COUNTIF(EV_Chargers!$D:$D,A513)</f>
        <v>0</v>
      </c>
      <c r="C513" s="7" t="n">
        <f aca="false">SUMIF(EV_Chargers!$D:$D,A513,EV_Chargers!$I:$I)</f>
        <v>0</v>
      </c>
      <c r="D513" s="7" t="n">
        <f aca="false">COUNTIF(Transport_Stops!$E:$E,A513)</f>
        <v>1</v>
      </c>
      <c r="E513" s="7" t="n">
        <f aca="false">COUNTIF(Sports_Facilities!$C:$C,A513)</f>
        <v>0</v>
      </c>
      <c r="F513" s="7" t="n">
        <f aca="false">COUNTIF(Taxi_Ranks!$B:$B,A513)</f>
        <v>0</v>
      </c>
      <c r="G513" s="7" t="n">
        <f aca="false">B513+D513+E513+F513</f>
        <v>1</v>
      </c>
      <c r="H513" s="7" t="n">
        <f aca="false">(B513&gt;0)+(D513&gt;0)+(E513&gt;0)+(F513&gt;0)</f>
        <v>1</v>
      </c>
    </row>
    <row r="514" customFormat="false" ht="15" hidden="false" customHeight="false" outlineLevel="0" collapsed="false">
      <c r="A514" s="7" t="n">
        <v>2847</v>
      </c>
      <c r="B514" s="7" t="n">
        <f aca="false">COUNTIF(EV_Chargers!$D:$D,A514)</f>
        <v>0</v>
      </c>
      <c r="C514" s="7" t="n">
        <f aca="false">SUMIF(EV_Chargers!$D:$D,A514,EV_Chargers!$I:$I)</f>
        <v>0</v>
      </c>
      <c r="D514" s="7" t="n">
        <f aca="false">COUNTIF(Transport_Stops!$E:$E,A514)</f>
        <v>2</v>
      </c>
      <c r="E514" s="7" t="n">
        <f aca="false">COUNTIF(Sports_Facilities!$C:$C,A514)</f>
        <v>0</v>
      </c>
      <c r="F514" s="7" t="n">
        <f aca="false">COUNTIF(Taxi_Ranks!$B:$B,A514)</f>
        <v>0</v>
      </c>
      <c r="G514" s="7" t="n">
        <f aca="false">B514+D514+E514+F514</f>
        <v>2</v>
      </c>
      <c r="H514" s="7" t="n">
        <f aca="false">(B514&gt;0)+(D514&gt;0)+(E514&gt;0)+(F514&gt;0)</f>
        <v>1</v>
      </c>
    </row>
    <row r="515" customFormat="false" ht="15" hidden="false" customHeight="false" outlineLevel="0" collapsed="false">
      <c r="A515" s="7" t="n">
        <v>2848</v>
      </c>
      <c r="B515" s="7" t="n">
        <f aca="false">COUNTIF(EV_Chargers!$D:$D,A515)</f>
        <v>1</v>
      </c>
      <c r="C515" s="7" t="n">
        <f aca="false">SUMIF(EV_Chargers!$D:$D,A515,EV_Chargers!$I:$I)</f>
        <v>1</v>
      </c>
      <c r="D515" s="7" t="n">
        <f aca="false">COUNTIF(Transport_Stops!$E:$E,A515)</f>
        <v>3</v>
      </c>
      <c r="E515" s="7" t="n">
        <f aca="false">COUNTIF(Sports_Facilities!$C:$C,A515)</f>
        <v>0</v>
      </c>
      <c r="F515" s="7" t="n">
        <f aca="false">COUNTIF(Taxi_Ranks!$B:$B,A515)</f>
        <v>0</v>
      </c>
      <c r="G515" s="7" t="n">
        <f aca="false">B515+D515+E515+F515</f>
        <v>4</v>
      </c>
      <c r="H515" s="7" t="n">
        <f aca="false">(B515&gt;0)+(D515&gt;0)+(E515&gt;0)+(F515&gt;0)</f>
        <v>2</v>
      </c>
    </row>
    <row r="516" customFormat="false" ht="15" hidden="false" customHeight="false" outlineLevel="0" collapsed="false">
      <c r="A516" s="7" t="n">
        <v>2849</v>
      </c>
      <c r="B516" s="7" t="n">
        <f aca="false">COUNTIF(EV_Chargers!$D:$D,A516)</f>
        <v>1</v>
      </c>
      <c r="C516" s="7" t="n">
        <f aca="false">SUMIF(EV_Chargers!$D:$D,A516,EV_Chargers!$I:$I)</f>
        <v>2</v>
      </c>
      <c r="D516" s="7" t="n">
        <f aca="false">COUNTIF(Transport_Stops!$E:$E,A516)</f>
        <v>2</v>
      </c>
      <c r="E516" s="7" t="n">
        <f aca="false">COUNTIF(Sports_Facilities!$C:$C,A516)</f>
        <v>0</v>
      </c>
      <c r="F516" s="7" t="n">
        <f aca="false">COUNTIF(Taxi_Ranks!$B:$B,A516)</f>
        <v>0</v>
      </c>
      <c r="G516" s="7" t="n">
        <f aca="false">B516+D516+E516+F516</f>
        <v>3</v>
      </c>
      <c r="H516" s="7" t="n">
        <f aca="false">(B516&gt;0)+(D516&gt;0)+(E516&gt;0)+(F516&gt;0)</f>
        <v>2</v>
      </c>
    </row>
    <row r="517" customFormat="false" ht="15" hidden="false" customHeight="false" outlineLevel="0" collapsed="false">
      <c r="A517" s="7" t="n">
        <v>2850</v>
      </c>
      <c r="B517" s="7" t="n">
        <f aca="false">COUNTIF(EV_Chargers!$D:$D,A517)</f>
        <v>21</v>
      </c>
      <c r="C517" s="7" t="n">
        <f aca="false">SUMIF(EV_Chargers!$D:$D,A517,EV_Chargers!$I:$I)</f>
        <v>46</v>
      </c>
      <c r="D517" s="7" t="n">
        <f aca="false">COUNTIF(Transport_Stops!$E:$E,A517)</f>
        <v>5</v>
      </c>
      <c r="E517" s="7" t="n">
        <f aca="false">COUNTIF(Sports_Facilities!$C:$C,A517)</f>
        <v>0</v>
      </c>
      <c r="F517" s="7" t="n">
        <f aca="false">COUNTIF(Taxi_Ranks!$B:$B,A517)</f>
        <v>0</v>
      </c>
      <c r="G517" s="7" t="n">
        <f aca="false">B517+D517+E517+F517</f>
        <v>26</v>
      </c>
      <c r="H517" s="7" t="n">
        <f aca="false">(B517&gt;0)+(D517&gt;0)+(E517&gt;0)+(F517&gt;0)</f>
        <v>2</v>
      </c>
    </row>
    <row r="518" customFormat="false" ht="15" hidden="false" customHeight="false" outlineLevel="0" collapsed="false">
      <c r="A518" s="7" t="n">
        <v>2852</v>
      </c>
      <c r="B518" s="7" t="n">
        <f aca="false">COUNTIF(EV_Chargers!$D:$D,A518)</f>
        <v>1</v>
      </c>
      <c r="C518" s="7" t="n">
        <f aca="false">SUMIF(EV_Chargers!$D:$D,A518,EV_Chargers!$I:$I)</f>
        <v>2</v>
      </c>
      <c r="D518" s="7" t="n">
        <f aca="false">COUNTIF(Transport_Stops!$E:$E,A518)</f>
        <v>1</v>
      </c>
      <c r="E518" s="7" t="n">
        <f aca="false">COUNTIF(Sports_Facilities!$C:$C,A518)</f>
        <v>0</v>
      </c>
      <c r="F518" s="7" t="n">
        <f aca="false">COUNTIF(Taxi_Ranks!$B:$B,A518)</f>
        <v>0</v>
      </c>
      <c r="G518" s="7" t="n">
        <f aca="false">B518+D518+E518+F518</f>
        <v>2</v>
      </c>
      <c r="H518" s="7" t="n">
        <f aca="false">(B518&gt;0)+(D518&gt;0)+(E518&gt;0)+(F518&gt;0)</f>
        <v>2</v>
      </c>
    </row>
    <row r="519" customFormat="false" ht="15" hidden="false" customHeight="false" outlineLevel="0" collapsed="false">
      <c r="A519" s="7" t="n">
        <v>2864</v>
      </c>
      <c r="B519" s="7" t="n">
        <f aca="false">COUNTIF(EV_Chargers!$D:$D,A519)</f>
        <v>0</v>
      </c>
      <c r="C519" s="7" t="n">
        <f aca="false">SUMIF(EV_Chargers!$D:$D,A519,EV_Chargers!$I:$I)</f>
        <v>0</v>
      </c>
      <c r="D519" s="7" t="n">
        <f aca="false">COUNTIF(Transport_Stops!$E:$E,A519)</f>
        <v>1</v>
      </c>
      <c r="E519" s="7" t="n">
        <f aca="false">COUNTIF(Sports_Facilities!$C:$C,A519)</f>
        <v>0</v>
      </c>
      <c r="F519" s="7" t="n">
        <f aca="false">COUNTIF(Taxi_Ranks!$B:$B,A519)</f>
        <v>0</v>
      </c>
      <c r="G519" s="7" t="n">
        <f aca="false">B519+D519+E519+F519</f>
        <v>1</v>
      </c>
      <c r="H519" s="7" t="n">
        <f aca="false">(B519&gt;0)+(D519&gt;0)+(E519&gt;0)+(F519&gt;0)</f>
        <v>1</v>
      </c>
    </row>
    <row r="520" customFormat="false" ht="15" hidden="false" customHeight="false" outlineLevel="0" collapsed="false">
      <c r="A520" s="7" t="n">
        <v>2865</v>
      </c>
      <c r="B520" s="7" t="n">
        <f aca="false">COUNTIF(EV_Chargers!$D:$D,A520)</f>
        <v>1</v>
      </c>
      <c r="C520" s="7" t="n">
        <f aca="false">SUMIF(EV_Chargers!$D:$D,A520,EV_Chargers!$I:$I)</f>
        <v>1</v>
      </c>
      <c r="D520" s="7" t="n">
        <f aca="false">COUNTIF(Transport_Stops!$E:$E,A520)</f>
        <v>1</v>
      </c>
      <c r="E520" s="7" t="n">
        <f aca="false">COUNTIF(Sports_Facilities!$C:$C,A520)</f>
        <v>0</v>
      </c>
      <c r="F520" s="7" t="n">
        <f aca="false">COUNTIF(Taxi_Ranks!$B:$B,A520)</f>
        <v>0</v>
      </c>
      <c r="G520" s="7" t="n">
        <f aca="false">B520+D520+E520+F520</f>
        <v>2</v>
      </c>
      <c r="H520" s="7" t="n">
        <f aca="false">(B520&gt;0)+(D520&gt;0)+(E520&gt;0)+(F520&gt;0)</f>
        <v>2</v>
      </c>
    </row>
    <row r="521" customFormat="false" ht="15" hidden="false" customHeight="false" outlineLevel="0" collapsed="false">
      <c r="A521" s="7" t="n">
        <v>2866</v>
      </c>
      <c r="B521" s="7" t="n">
        <f aca="false">COUNTIF(EV_Chargers!$D:$D,A521)</f>
        <v>2</v>
      </c>
      <c r="C521" s="7" t="n">
        <f aca="false">SUMIF(EV_Chargers!$D:$D,A521,EV_Chargers!$I:$I)</f>
        <v>5</v>
      </c>
      <c r="D521" s="7" t="n">
        <f aca="false">COUNTIF(Transport_Stops!$E:$E,A521)</f>
        <v>1</v>
      </c>
      <c r="E521" s="7" t="n">
        <f aca="false">COUNTIF(Sports_Facilities!$C:$C,A521)</f>
        <v>0</v>
      </c>
      <c r="F521" s="7" t="n">
        <f aca="false">COUNTIF(Taxi_Ranks!$B:$B,A521)</f>
        <v>0</v>
      </c>
      <c r="G521" s="7" t="n">
        <f aca="false">B521+D521+E521+F521</f>
        <v>3</v>
      </c>
      <c r="H521" s="7" t="n">
        <f aca="false">(B521&gt;0)+(D521&gt;0)+(E521&gt;0)+(F521&gt;0)</f>
        <v>2</v>
      </c>
    </row>
    <row r="522" customFormat="false" ht="15" hidden="false" customHeight="false" outlineLevel="0" collapsed="false">
      <c r="A522" s="7" t="n">
        <v>2869</v>
      </c>
      <c r="B522" s="7" t="n">
        <f aca="false">COUNTIF(EV_Chargers!$D:$D,A522)</f>
        <v>1</v>
      </c>
      <c r="C522" s="7" t="n">
        <f aca="false">SUMIF(EV_Chargers!$D:$D,A522,EV_Chargers!$I:$I)</f>
        <v>1</v>
      </c>
      <c r="D522" s="7" t="n">
        <f aca="false">COUNTIF(Transport_Stops!$E:$E,A522)</f>
        <v>2</v>
      </c>
      <c r="E522" s="7" t="n">
        <f aca="false">COUNTIF(Sports_Facilities!$C:$C,A522)</f>
        <v>0</v>
      </c>
      <c r="F522" s="7" t="n">
        <f aca="false">COUNTIF(Taxi_Ranks!$B:$B,A522)</f>
        <v>0</v>
      </c>
      <c r="G522" s="7" t="n">
        <f aca="false">B522+D522+E522+F522</f>
        <v>3</v>
      </c>
      <c r="H522" s="7" t="n">
        <f aca="false">(B522&gt;0)+(D522&gt;0)+(E522&gt;0)+(F522&gt;0)</f>
        <v>2</v>
      </c>
    </row>
    <row r="523" customFormat="false" ht="15" hidden="false" customHeight="false" outlineLevel="0" collapsed="false">
      <c r="A523" s="7" t="n">
        <v>2870</v>
      </c>
      <c r="B523" s="7" t="n">
        <f aca="false">COUNTIF(EV_Chargers!$D:$D,A523)</f>
        <v>4</v>
      </c>
      <c r="C523" s="7" t="n">
        <f aca="false">SUMIF(EV_Chargers!$D:$D,A523,EV_Chargers!$I:$I)</f>
        <v>12</v>
      </c>
      <c r="D523" s="7" t="n">
        <f aca="false">COUNTIF(Transport_Stops!$E:$E,A523)</f>
        <v>2</v>
      </c>
      <c r="E523" s="7" t="n">
        <f aca="false">COUNTIF(Sports_Facilities!$C:$C,A523)</f>
        <v>0</v>
      </c>
      <c r="F523" s="7" t="n">
        <f aca="false">COUNTIF(Taxi_Ranks!$B:$B,A523)</f>
        <v>0</v>
      </c>
      <c r="G523" s="7" t="n">
        <f aca="false">B523+D523+E523+F523</f>
        <v>6</v>
      </c>
      <c r="H523" s="7" t="n">
        <f aca="false">(B523&gt;0)+(D523&gt;0)+(E523&gt;0)+(F523&gt;0)</f>
        <v>2</v>
      </c>
    </row>
    <row r="524" customFormat="false" ht="15" hidden="false" customHeight="false" outlineLevel="0" collapsed="false">
      <c r="A524" s="7" t="n">
        <v>2871</v>
      </c>
      <c r="B524" s="7" t="n">
        <f aca="false">COUNTIF(EV_Chargers!$D:$D,A524)</f>
        <v>2</v>
      </c>
      <c r="C524" s="7" t="n">
        <f aca="false">SUMIF(EV_Chargers!$D:$D,A524,EV_Chargers!$I:$I)</f>
        <v>4</v>
      </c>
      <c r="D524" s="7" t="n">
        <f aca="false">COUNTIF(Transport_Stops!$E:$E,A524)</f>
        <v>1</v>
      </c>
      <c r="E524" s="7" t="n">
        <f aca="false">COUNTIF(Sports_Facilities!$C:$C,A524)</f>
        <v>0</v>
      </c>
      <c r="F524" s="7" t="n">
        <f aca="false">COUNTIF(Taxi_Ranks!$B:$B,A524)</f>
        <v>0</v>
      </c>
      <c r="G524" s="7" t="n">
        <f aca="false">B524+D524+E524+F524</f>
        <v>3</v>
      </c>
      <c r="H524" s="7" t="n">
        <f aca="false">(B524&gt;0)+(D524&gt;0)+(E524&gt;0)+(F524&gt;0)</f>
        <v>2</v>
      </c>
    </row>
    <row r="525" customFormat="false" ht="15" hidden="false" customHeight="false" outlineLevel="0" collapsed="false">
      <c r="A525" s="7" t="n">
        <v>2873</v>
      </c>
      <c r="B525" s="7" t="n">
        <f aca="false">COUNTIF(EV_Chargers!$D:$D,A525)</f>
        <v>2</v>
      </c>
      <c r="C525" s="7" t="n">
        <f aca="false">SUMIF(EV_Chargers!$D:$D,A525,EV_Chargers!$I:$I)</f>
        <v>4</v>
      </c>
      <c r="D525" s="7" t="n">
        <f aca="false">COUNTIF(Transport_Stops!$E:$E,A525)</f>
        <v>0</v>
      </c>
      <c r="E525" s="7" t="n">
        <f aca="false">COUNTIF(Sports_Facilities!$C:$C,A525)</f>
        <v>0</v>
      </c>
      <c r="F525" s="7" t="n">
        <f aca="false">COUNTIF(Taxi_Ranks!$B:$B,A525)</f>
        <v>0</v>
      </c>
      <c r="G525" s="7" t="n">
        <f aca="false">B525+D525+E525+F525</f>
        <v>2</v>
      </c>
      <c r="H525" s="7" t="n">
        <f aca="false">(B525&gt;0)+(D525&gt;0)+(E525&gt;0)+(F525&gt;0)</f>
        <v>1</v>
      </c>
    </row>
    <row r="526" customFormat="false" ht="15" hidden="false" customHeight="false" outlineLevel="0" collapsed="false">
      <c r="A526" s="7" t="n">
        <v>2875</v>
      </c>
      <c r="B526" s="7" t="n">
        <f aca="false">COUNTIF(EV_Chargers!$D:$D,A526)</f>
        <v>0</v>
      </c>
      <c r="C526" s="7" t="n">
        <f aca="false">SUMIF(EV_Chargers!$D:$D,A526,EV_Chargers!$I:$I)</f>
        <v>0</v>
      </c>
      <c r="D526" s="7" t="n">
        <f aca="false">COUNTIF(Transport_Stops!$E:$E,A526)</f>
        <v>2</v>
      </c>
      <c r="E526" s="7" t="n">
        <f aca="false">COUNTIF(Sports_Facilities!$C:$C,A526)</f>
        <v>0</v>
      </c>
      <c r="F526" s="7" t="n">
        <f aca="false">COUNTIF(Taxi_Ranks!$B:$B,A526)</f>
        <v>0</v>
      </c>
      <c r="G526" s="7" t="n">
        <f aca="false">B526+D526+E526+F526</f>
        <v>2</v>
      </c>
      <c r="H526" s="7" t="n">
        <f aca="false">(B526&gt;0)+(D526&gt;0)+(E526&gt;0)+(F526&gt;0)</f>
        <v>1</v>
      </c>
    </row>
    <row r="527" customFormat="false" ht="15" hidden="false" customHeight="false" outlineLevel="0" collapsed="false">
      <c r="A527" s="7" t="n">
        <v>2876</v>
      </c>
      <c r="B527" s="7" t="n">
        <f aca="false">COUNTIF(EV_Chargers!$D:$D,A527)</f>
        <v>0</v>
      </c>
      <c r="C527" s="7" t="n">
        <f aca="false">SUMIF(EV_Chargers!$D:$D,A527,EV_Chargers!$I:$I)</f>
        <v>0</v>
      </c>
      <c r="D527" s="7" t="n">
        <f aca="false">COUNTIF(Transport_Stops!$E:$E,A527)</f>
        <v>1</v>
      </c>
      <c r="E527" s="7" t="n">
        <f aca="false">COUNTIF(Sports_Facilities!$C:$C,A527)</f>
        <v>0</v>
      </c>
      <c r="F527" s="7" t="n">
        <f aca="false">COUNTIF(Taxi_Ranks!$B:$B,A527)</f>
        <v>0</v>
      </c>
      <c r="G527" s="7" t="n">
        <f aca="false">B527+D527+E527+F527</f>
        <v>1</v>
      </c>
      <c r="H527" s="7" t="n">
        <f aca="false">(B527&gt;0)+(D527&gt;0)+(E527&gt;0)+(F527&gt;0)</f>
        <v>1</v>
      </c>
    </row>
    <row r="528" customFormat="false" ht="15" hidden="false" customHeight="false" outlineLevel="0" collapsed="false">
      <c r="A528" s="7" t="n">
        <v>2877</v>
      </c>
      <c r="B528" s="7" t="n">
        <f aca="false">COUNTIF(EV_Chargers!$D:$D,A528)</f>
        <v>2</v>
      </c>
      <c r="C528" s="7" t="n">
        <f aca="false">SUMIF(EV_Chargers!$D:$D,A528,EV_Chargers!$I:$I)</f>
        <v>4</v>
      </c>
      <c r="D528" s="7" t="n">
        <f aca="false">COUNTIF(Transport_Stops!$E:$E,A528)</f>
        <v>6</v>
      </c>
      <c r="E528" s="7" t="n">
        <f aca="false">COUNTIF(Sports_Facilities!$C:$C,A528)</f>
        <v>0</v>
      </c>
      <c r="F528" s="7" t="n">
        <f aca="false">COUNTIF(Taxi_Ranks!$B:$B,A528)</f>
        <v>0</v>
      </c>
      <c r="G528" s="7" t="n">
        <f aca="false">B528+D528+E528+F528</f>
        <v>8</v>
      </c>
      <c r="H528" s="7" t="n">
        <f aca="false">(B528&gt;0)+(D528&gt;0)+(E528&gt;0)+(F528&gt;0)</f>
        <v>2</v>
      </c>
    </row>
    <row r="529" customFormat="false" ht="15" hidden="false" customHeight="false" outlineLevel="0" collapsed="false">
      <c r="A529" s="7" t="n">
        <v>2878</v>
      </c>
      <c r="B529" s="7" t="n">
        <f aca="false">COUNTIF(EV_Chargers!$D:$D,A529)</f>
        <v>0</v>
      </c>
      <c r="C529" s="7" t="n">
        <f aca="false">SUMIF(EV_Chargers!$D:$D,A529,EV_Chargers!$I:$I)</f>
        <v>0</v>
      </c>
      <c r="D529" s="7" t="n">
        <f aca="false">COUNTIF(Transport_Stops!$E:$E,A529)</f>
        <v>2</v>
      </c>
      <c r="E529" s="7" t="n">
        <f aca="false">COUNTIF(Sports_Facilities!$C:$C,A529)</f>
        <v>0</v>
      </c>
      <c r="F529" s="7" t="n">
        <f aca="false">COUNTIF(Taxi_Ranks!$B:$B,A529)</f>
        <v>0</v>
      </c>
      <c r="G529" s="7" t="n">
        <f aca="false">B529+D529+E529+F529</f>
        <v>2</v>
      </c>
      <c r="H529" s="7" t="n">
        <f aca="false">(B529&gt;0)+(D529&gt;0)+(E529&gt;0)+(F529&gt;0)</f>
        <v>1</v>
      </c>
    </row>
    <row r="530" customFormat="false" ht="15" hidden="false" customHeight="false" outlineLevel="0" collapsed="false">
      <c r="A530" s="7" t="n">
        <v>2879</v>
      </c>
      <c r="B530" s="7" t="n">
        <f aca="false">COUNTIF(EV_Chargers!$D:$D,A530)</f>
        <v>0</v>
      </c>
      <c r="C530" s="7" t="n">
        <f aca="false">SUMIF(EV_Chargers!$D:$D,A530,EV_Chargers!$I:$I)</f>
        <v>0</v>
      </c>
      <c r="D530" s="7" t="n">
        <f aca="false">COUNTIF(Transport_Stops!$E:$E,A530)</f>
        <v>3</v>
      </c>
      <c r="E530" s="7" t="n">
        <f aca="false">COUNTIF(Sports_Facilities!$C:$C,A530)</f>
        <v>0</v>
      </c>
      <c r="F530" s="7" t="n">
        <f aca="false">COUNTIF(Taxi_Ranks!$B:$B,A530)</f>
        <v>0</v>
      </c>
      <c r="G530" s="7" t="n">
        <f aca="false">B530+D530+E530+F530</f>
        <v>3</v>
      </c>
      <c r="H530" s="7" t="n">
        <f aca="false">(B530&gt;0)+(D530&gt;0)+(E530&gt;0)+(F530&gt;0)</f>
        <v>1</v>
      </c>
    </row>
    <row r="531" customFormat="false" ht="15" hidden="false" customHeight="false" outlineLevel="0" collapsed="false">
      <c r="A531" s="7" t="n">
        <v>2880</v>
      </c>
      <c r="B531" s="7" t="n">
        <f aca="false">COUNTIF(EV_Chargers!$D:$D,A531)</f>
        <v>2</v>
      </c>
      <c r="C531" s="7" t="n">
        <f aca="false">SUMIF(EV_Chargers!$D:$D,A531,EV_Chargers!$I:$I)</f>
        <v>6</v>
      </c>
      <c r="D531" s="7" t="n">
        <f aca="false">COUNTIF(Transport_Stops!$E:$E,A531)</f>
        <v>2</v>
      </c>
      <c r="E531" s="7" t="n">
        <f aca="false">COUNTIF(Sports_Facilities!$C:$C,A531)</f>
        <v>0</v>
      </c>
      <c r="F531" s="7" t="n">
        <f aca="false">COUNTIF(Taxi_Ranks!$B:$B,A531)</f>
        <v>0</v>
      </c>
      <c r="G531" s="7" t="n">
        <f aca="false">B531+D531+E531+F531</f>
        <v>4</v>
      </c>
      <c r="H531" s="7" t="n">
        <f aca="false">(B531&gt;0)+(D531&gt;0)+(E531&gt;0)+(F531&gt;0)</f>
        <v>2</v>
      </c>
    </row>
    <row r="532" customFormat="false" ht="15" hidden="false" customHeight="false" outlineLevel="0" collapsed="false">
      <c r="A532" s="7" t="n">
        <v>3008</v>
      </c>
      <c r="B532" s="7" t="n">
        <f aca="false">COUNTIF(EV_Chargers!$D:$D,A532)</f>
        <v>0</v>
      </c>
      <c r="C532" s="7" t="n">
        <f aca="false">SUMIF(EV_Chargers!$D:$D,A532,EV_Chargers!$I:$I)</f>
        <v>0</v>
      </c>
      <c r="D532" s="7" t="n">
        <f aca="false">COUNTIF(Transport_Stops!$E:$E,A532)</f>
        <v>1</v>
      </c>
      <c r="E532" s="7" t="n">
        <f aca="false">COUNTIF(Sports_Facilities!$C:$C,A532)</f>
        <v>0</v>
      </c>
      <c r="F532" s="7" t="n">
        <f aca="false">COUNTIF(Taxi_Ranks!$B:$B,A532)</f>
        <v>0</v>
      </c>
      <c r="G532" s="7" t="n">
        <f aca="false">B532+D532+E532+F532</f>
        <v>1</v>
      </c>
      <c r="H532" s="7" t="n">
        <f aca="false">(B532&gt;0)+(D532&gt;0)+(E532&gt;0)+(F532&gt;0)</f>
        <v>1</v>
      </c>
    </row>
    <row r="533" customFormat="false" ht="15" hidden="false" customHeight="false" outlineLevel="0" collapsed="false">
      <c r="A533" s="7" t="n">
        <v>3500</v>
      </c>
      <c r="B533" s="7" t="n">
        <f aca="false">COUNTIF(EV_Chargers!$D:$D,A533)</f>
        <v>0</v>
      </c>
      <c r="C533" s="7" t="n">
        <f aca="false">SUMIF(EV_Chargers!$D:$D,A533,EV_Chargers!$I:$I)</f>
        <v>0</v>
      </c>
      <c r="D533" s="7" t="n">
        <f aca="false">COUNTIF(Transport_Stops!$E:$E,A533)</f>
        <v>4</v>
      </c>
      <c r="E533" s="7" t="n">
        <f aca="false">COUNTIF(Sports_Facilities!$C:$C,A533)</f>
        <v>0</v>
      </c>
      <c r="F533" s="7" t="n">
        <f aca="false">COUNTIF(Taxi_Ranks!$B:$B,A533)</f>
        <v>0</v>
      </c>
      <c r="G533" s="7" t="n">
        <f aca="false">B533+D533+E533+F533</f>
        <v>4</v>
      </c>
      <c r="H533" s="7" t="n">
        <f aca="false">(B533&gt;0)+(D533&gt;0)+(E533&gt;0)+(F533&gt;0)</f>
        <v>1</v>
      </c>
    </row>
    <row r="534" customFormat="false" ht="15" hidden="false" customHeight="false" outlineLevel="0" collapsed="false">
      <c r="A534" s="7" t="n">
        <v>3549</v>
      </c>
      <c r="B534" s="7" t="n">
        <f aca="false">COUNTIF(EV_Chargers!$D:$D,A534)</f>
        <v>0</v>
      </c>
      <c r="C534" s="7" t="n">
        <f aca="false">SUMIF(EV_Chargers!$D:$D,A534,EV_Chargers!$I:$I)</f>
        <v>0</v>
      </c>
      <c r="D534" s="7" t="n">
        <f aca="false">COUNTIF(Transport_Stops!$E:$E,A534)</f>
        <v>1</v>
      </c>
      <c r="E534" s="7" t="n">
        <f aca="false">COUNTIF(Sports_Facilities!$C:$C,A534)</f>
        <v>0</v>
      </c>
      <c r="F534" s="7" t="n">
        <f aca="false">COUNTIF(Taxi_Ranks!$B:$B,A534)</f>
        <v>0</v>
      </c>
      <c r="G534" s="7" t="n">
        <f aca="false">B534+D534+E534+F534</f>
        <v>1</v>
      </c>
      <c r="H534" s="7" t="n">
        <f aca="false">(B534&gt;0)+(D534&gt;0)+(E534&gt;0)+(F534&gt;0)</f>
        <v>1</v>
      </c>
    </row>
    <row r="535" customFormat="false" ht="15" hidden="false" customHeight="false" outlineLevel="0" collapsed="false">
      <c r="A535" s="7" t="n">
        <v>3564</v>
      </c>
      <c r="B535" s="7" t="n">
        <f aca="false">COUNTIF(EV_Chargers!$D:$D,A535)</f>
        <v>0</v>
      </c>
      <c r="C535" s="7" t="n">
        <f aca="false">SUMIF(EV_Chargers!$D:$D,A535,EV_Chargers!$I:$I)</f>
        <v>0</v>
      </c>
      <c r="D535" s="7" t="n">
        <f aca="false">COUNTIF(Transport_Stops!$E:$E,A535)</f>
        <v>1</v>
      </c>
      <c r="E535" s="7" t="n">
        <f aca="false">COUNTIF(Sports_Facilities!$C:$C,A535)</f>
        <v>0</v>
      </c>
      <c r="F535" s="7" t="n">
        <f aca="false">COUNTIF(Taxi_Ranks!$B:$B,A535)</f>
        <v>0</v>
      </c>
      <c r="G535" s="7" t="n">
        <f aca="false">B535+D535+E535+F535</f>
        <v>1</v>
      </c>
      <c r="H535" s="7" t="n">
        <f aca="false">(B535&gt;0)+(D535&gt;0)+(E535&gt;0)+(F535&gt;0)</f>
        <v>1</v>
      </c>
    </row>
    <row r="536" customFormat="false" ht="15" hidden="false" customHeight="false" outlineLevel="0" collapsed="false">
      <c r="A536" s="7" t="n">
        <v>3644</v>
      </c>
      <c r="B536" s="7" t="n">
        <f aca="false">COUNTIF(EV_Chargers!$D:$D,A536)</f>
        <v>2</v>
      </c>
      <c r="C536" s="7" t="n">
        <f aca="false">SUMIF(EV_Chargers!$D:$D,A536,EV_Chargers!$I:$I)</f>
        <v>4</v>
      </c>
      <c r="D536" s="7" t="n">
        <f aca="false">COUNTIF(Transport_Stops!$E:$E,A536)</f>
        <v>2</v>
      </c>
      <c r="E536" s="7" t="n">
        <f aca="false">COUNTIF(Sports_Facilities!$C:$C,A536)</f>
        <v>0</v>
      </c>
      <c r="F536" s="7" t="n">
        <f aca="false">COUNTIF(Taxi_Ranks!$B:$B,A536)</f>
        <v>0</v>
      </c>
      <c r="G536" s="7" t="n">
        <f aca="false">B536+D536+E536+F536</f>
        <v>4</v>
      </c>
      <c r="H536" s="7" t="n">
        <f aca="false">(B536&gt;0)+(D536&gt;0)+(E536&gt;0)+(F536&gt;0)</f>
        <v>2</v>
      </c>
    </row>
    <row r="537" customFormat="false" ht="15" hidden="false" customHeight="false" outlineLevel="0" collapsed="false">
      <c r="A537" s="7" t="n">
        <v>3730</v>
      </c>
      <c r="B537" s="7" t="n">
        <f aca="false">COUNTIF(EV_Chargers!$D:$D,A537)</f>
        <v>0</v>
      </c>
      <c r="C537" s="7" t="n">
        <f aca="false">SUMIF(EV_Chargers!$D:$D,A537,EV_Chargers!$I:$I)</f>
        <v>0</v>
      </c>
      <c r="D537" s="7" t="n">
        <f aca="false">COUNTIF(Transport_Stops!$E:$E,A537)</f>
        <v>1</v>
      </c>
      <c r="E537" s="7" t="n">
        <f aca="false">COUNTIF(Sports_Facilities!$C:$C,A537)</f>
        <v>0</v>
      </c>
      <c r="F537" s="7" t="n">
        <f aca="false">COUNTIF(Taxi_Ranks!$B:$B,A537)</f>
        <v>0</v>
      </c>
      <c r="G537" s="7" t="n">
        <f aca="false">B537+D537+E537+F537</f>
        <v>1</v>
      </c>
      <c r="H537" s="7" t="n">
        <f aca="false">(B537&gt;0)+(D537&gt;0)+(E537&gt;0)+(F537&gt;0)</f>
        <v>1</v>
      </c>
    </row>
    <row r="538" customFormat="false" ht="15" hidden="false" customHeight="false" outlineLevel="0" collapsed="false">
      <c r="A538" s="7" t="n">
        <v>4000</v>
      </c>
      <c r="B538" s="7" t="n">
        <f aca="false">COUNTIF(EV_Chargers!$D:$D,A538)</f>
        <v>0</v>
      </c>
      <c r="C538" s="7" t="n">
        <f aca="false">SUMIF(EV_Chargers!$D:$D,A538,EV_Chargers!$I:$I)</f>
        <v>0</v>
      </c>
      <c r="D538" s="7" t="n">
        <f aca="false">COUNTIF(Transport_Stops!$E:$E,A538)</f>
        <v>1</v>
      </c>
      <c r="E538" s="7" t="n">
        <f aca="false">COUNTIF(Sports_Facilities!$C:$C,A538)</f>
        <v>0</v>
      </c>
      <c r="F538" s="7" t="n">
        <f aca="false">COUNTIF(Taxi_Ranks!$B:$B,A538)</f>
        <v>0</v>
      </c>
      <c r="G538" s="7" t="n">
        <f aca="false">B538+D538+E538+F538</f>
        <v>1</v>
      </c>
      <c r="H538" s="7" t="n">
        <f aca="false">(B538&gt;0)+(D538&gt;0)+(E538&gt;0)+(F538&gt;0)</f>
        <v>1</v>
      </c>
    </row>
    <row r="539" customFormat="false" ht="15" hidden="false" customHeight="false" outlineLevel="0" collapsed="false">
      <c r="A539" s="7" t="n">
        <v>4207</v>
      </c>
      <c r="B539" s="7" t="n">
        <f aca="false">COUNTIF(EV_Chargers!$D:$D,A539)</f>
        <v>0</v>
      </c>
      <c r="C539" s="7" t="n">
        <f aca="false">SUMIF(EV_Chargers!$D:$D,A539,EV_Chargers!$I:$I)</f>
        <v>0</v>
      </c>
      <c r="D539" s="7" t="n">
        <f aca="false">COUNTIF(Transport_Stops!$E:$E,A539)</f>
        <v>1</v>
      </c>
      <c r="E539" s="7" t="n">
        <f aca="false">COUNTIF(Sports_Facilities!$C:$C,A539)</f>
        <v>0</v>
      </c>
      <c r="F539" s="7" t="n">
        <f aca="false">COUNTIF(Taxi_Ranks!$B:$B,A539)</f>
        <v>0</v>
      </c>
      <c r="G539" s="7" t="n">
        <f aca="false">B539+D539+E539+F539</f>
        <v>1</v>
      </c>
      <c r="H539" s="7" t="n">
        <f aca="false">(B539&gt;0)+(D539&gt;0)+(E539&gt;0)+(F539&gt;0)</f>
        <v>1</v>
      </c>
    </row>
    <row r="540" customFormat="false" ht="15" hidden="false" customHeight="false" outlineLevel="0" collapsed="false">
      <c r="A540" s="7" t="n">
        <v>4217</v>
      </c>
      <c r="B540" s="7" t="n">
        <f aca="false">COUNTIF(EV_Chargers!$D:$D,A540)</f>
        <v>0</v>
      </c>
      <c r="C540" s="7" t="n">
        <f aca="false">SUMIF(EV_Chargers!$D:$D,A540,EV_Chargers!$I:$I)</f>
        <v>0</v>
      </c>
      <c r="D540" s="7" t="n">
        <f aca="false">COUNTIF(Transport_Stops!$E:$E,A540)</f>
        <v>1</v>
      </c>
      <c r="E540" s="7" t="n">
        <f aca="false">COUNTIF(Sports_Facilities!$C:$C,A540)</f>
        <v>0</v>
      </c>
      <c r="F540" s="7" t="n">
        <f aca="false">COUNTIF(Taxi_Ranks!$B:$B,A540)</f>
        <v>0</v>
      </c>
      <c r="G540" s="7" t="n">
        <f aca="false">B540+D540+E540+F540</f>
        <v>1</v>
      </c>
      <c r="H540" s="7" t="n">
        <f aca="false">(B540&gt;0)+(D540&gt;0)+(E540&gt;0)+(F540&gt;0)</f>
        <v>1</v>
      </c>
    </row>
    <row r="541" customFormat="false" ht="15" hidden="false" customHeight="false" outlineLevel="0" collapsed="false">
      <c r="A541" s="7" t="n">
        <v>4220</v>
      </c>
      <c r="B541" s="7" t="n">
        <f aca="false">COUNTIF(EV_Chargers!$D:$D,A541)</f>
        <v>0</v>
      </c>
      <c r="C541" s="7" t="n">
        <f aca="false">SUMIF(EV_Chargers!$D:$D,A541,EV_Chargers!$I:$I)</f>
        <v>0</v>
      </c>
      <c r="D541" s="7" t="n">
        <f aca="false">COUNTIF(Transport_Stops!$E:$E,A541)</f>
        <v>1</v>
      </c>
      <c r="E541" s="7" t="n">
        <f aca="false">COUNTIF(Sports_Facilities!$C:$C,A541)</f>
        <v>0</v>
      </c>
      <c r="F541" s="7" t="n">
        <f aca="false">COUNTIF(Taxi_Ranks!$B:$B,A541)</f>
        <v>0</v>
      </c>
      <c r="G541" s="7" t="n">
        <f aca="false">B541+D541+E541+F541</f>
        <v>1</v>
      </c>
      <c r="H541" s="7" t="n">
        <f aca="false">(B541&gt;0)+(D541&gt;0)+(E541&gt;0)+(F541&gt;0)</f>
        <v>1</v>
      </c>
    </row>
    <row r="542" customFormat="false" ht="15" hidden="false" customHeight="false" outlineLevel="0" collapsed="false">
      <c r="A542" s="7" t="n">
        <v>4221</v>
      </c>
      <c r="B542" s="7" t="n">
        <f aca="false">COUNTIF(EV_Chargers!$D:$D,A542)</f>
        <v>0</v>
      </c>
      <c r="C542" s="7" t="n">
        <f aca="false">SUMIF(EV_Chargers!$D:$D,A542,EV_Chargers!$I:$I)</f>
        <v>0</v>
      </c>
      <c r="D542" s="7" t="n">
        <f aca="false">COUNTIF(Transport_Stops!$E:$E,A542)</f>
        <v>1</v>
      </c>
      <c r="E542" s="7" t="n">
        <f aca="false">COUNTIF(Sports_Facilities!$C:$C,A542)</f>
        <v>0</v>
      </c>
      <c r="F542" s="7" t="n">
        <f aca="false">COUNTIF(Taxi_Ranks!$B:$B,A542)</f>
        <v>0</v>
      </c>
      <c r="G542" s="7" t="n">
        <f aca="false">B542+D542+E542+F542</f>
        <v>1</v>
      </c>
      <c r="H542" s="7" t="n">
        <f aca="false">(B542&gt;0)+(D542&gt;0)+(E542&gt;0)+(F542&gt;0)</f>
        <v>1</v>
      </c>
    </row>
    <row r="543" customFormat="false" ht="15" hidden="false" customHeight="false" outlineLevel="0" collapsed="false">
      <c r="A543" s="7" t="n">
        <v>4226</v>
      </c>
      <c r="B543" s="7" t="n">
        <f aca="false">COUNTIF(EV_Chargers!$D:$D,A543)</f>
        <v>0</v>
      </c>
      <c r="C543" s="7" t="n">
        <f aca="false">SUMIF(EV_Chargers!$D:$D,A543,EV_Chargers!$I:$I)</f>
        <v>0</v>
      </c>
      <c r="D543" s="7" t="n">
        <f aca="false">COUNTIF(Transport_Stops!$E:$E,A543)</f>
        <v>1</v>
      </c>
      <c r="E543" s="7" t="n">
        <f aca="false">COUNTIF(Sports_Facilities!$C:$C,A543)</f>
        <v>0</v>
      </c>
      <c r="F543" s="7" t="n">
        <f aca="false">COUNTIF(Taxi_Ranks!$B:$B,A543)</f>
        <v>0</v>
      </c>
      <c r="G543" s="7" t="n">
        <f aca="false">B543+D543+E543+F543</f>
        <v>1</v>
      </c>
      <c r="H543" s="7" t="n">
        <f aca="false">(B543&gt;0)+(D543&gt;0)+(E543&gt;0)+(F543&gt;0)</f>
        <v>1</v>
      </c>
    </row>
    <row r="544" customFormat="false" ht="15" hidden="false" customHeight="false" outlineLevel="0" collapsed="false">
      <c r="A544" s="7" t="n">
        <v>5000</v>
      </c>
      <c r="B544" s="7" t="n">
        <f aca="false">COUNTIF(EV_Chargers!$D:$D,A544)</f>
        <v>0</v>
      </c>
      <c r="C544" s="7" t="n">
        <f aca="false">SUMIF(EV_Chargers!$D:$D,A544,EV_Chargers!$I:$I)</f>
        <v>0</v>
      </c>
      <c r="D544" s="7" t="n">
        <f aca="false">COUNTIF(Transport_Stops!$E:$E,A544)</f>
        <v>2</v>
      </c>
      <c r="E544" s="7" t="n">
        <f aca="false">COUNTIF(Sports_Facilities!$C:$C,A544)</f>
        <v>0</v>
      </c>
      <c r="F544" s="7" t="n">
        <f aca="false">COUNTIF(Taxi_Ranks!$B:$B,A544)</f>
        <v>0</v>
      </c>
      <c r="G544" s="7" t="n">
        <f aca="false">B544+D544+E544+F544</f>
        <v>2</v>
      </c>
      <c r="H544" s="7" t="n">
        <f aca="false">(B544&gt;0)+(D544&gt;0)+(E544&gt;0)+(F544&gt;0)</f>
        <v>1</v>
      </c>
    </row>
    <row r="545" customFormat="false" ht="15" hidden="false" customHeight="false" outlineLevel="0" collapsed="false">
      <c r="A545" s="8" t="s">
        <v>33</v>
      </c>
      <c r="B545" s="8" t="n">
        <f aca="false">SUM(B2:B544)</f>
        <v>1958</v>
      </c>
      <c r="C545" s="8" t="n">
        <f aca="false">SUM(C2:C544)</f>
        <v>5626</v>
      </c>
      <c r="D545" s="8" t="n">
        <f aca="false">SUM(D2:D544)</f>
        <v>797</v>
      </c>
      <c r="E545" s="8" t="n">
        <f aca="false">SUM(E2:E544)</f>
        <v>70</v>
      </c>
      <c r="F545" s="8" t="n">
        <f aca="false">SUM(F2:F544)</f>
        <v>198</v>
      </c>
      <c r="G545" s="8" t="n">
        <f aca="false">SUM(G2:G544)</f>
        <v>3023</v>
      </c>
      <c r="H545" s="8"/>
    </row>
  </sheetData>
  <autoFilter ref="A1:H5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.8"/>
    <col collapsed="false" customWidth="true" hidden="false" outlineLevel="0" max="3" min="3" style="0" width="41"/>
    <col collapsed="false" customWidth="true" hidden="false" outlineLevel="0" max="4" min="4" style="0" width="10"/>
    <col collapsed="false" customWidth="true" hidden="false" outlineLevel="0" max="5" min="5" style="0" width="21"/>
    <col collapsed="false" customWidth="true" hidden="false" outlineLevel="0" max="6" min="6" style="0" width="16"/>
    <col collapsed="false" customWidth="true" hidden="false" outlineLevel="0" max="7" min="7" style="0" width="3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31"/>
    <col collapsed="false" customWidth="true" hidden="false" outlineLevel="0" max="16" min="15" style="0" width="12"/>
  </cols>
  <sheetData>
    <row r="1" customFormat="false" ht="23.85" hidden="false" customHeight="false" outlineLevel="0" collapsed="false">
      <c r="A1" s="9" t="s">
        <v>34</v>
      </c>
      <c r="B1" s="9" t="s">
        <v>35</v>
      </c>
      <c r="C1" s="9" t="s">
        <v>36</v>
      </c>
      <c r="D1" s="9" t="s">
        <v>25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</row>
    <row r="2" customFormat="false" ht="15" hidden="false" customHeight="false" outlineLevel="0" collapsed="false">
      <c r="A2" s="7" t="n">
        <v>1</v>
      </c>
      <c r="B2" s="7"/>
      <c r="C2" s="7" t="s">
        <v>49</v>
      </c>
      <c r="D2" s="7" t="n">
        <v>2258</v>
      </c>
      <c r="E2" s="7" t="s">
        <v>50</v>
      </c>
      <c r="F2" s="10" t="b">
        <f aca="false">FALSE()</f>
        <v>0</v>
      </c>
      <c r="G2" s="7"/>
      <c r="H2" s="7" t="s">
        <v>51</v>
      </c>
      <c r="I2" s="7" t="n">
        <v>4</v>
      </c>
      <c r="J2" s="7" t="s">
        <v>52</v>
      </c>
      <c r="K2" s="7" t="s">
        <v>53</v>
      </c>
      <c r="L2" s="7" t="n">
        <v>350</v>
      </c>
      <c r="M2" s="10" t="b">
        <f aca="false">TRUE()</f>
        <v>1</v>
      </c>
      <c r="N2" s="7"/>
      <c r="O2" s="7" t="n">
        <v>-33.353198</v>
      </c>
      <c r="P2" s="7" t="n">
        <v>151.369027</v>
      </c>
    </row>
    <row r="3" customFormat="false" ht="15" hidden="false" customHeight="false" outlineLevel="0" collapsed="false">
      <c r="A3" s="7" t="n">
        <v>2</v>
      </c>
      <c r="B3" s="7"/>
      <c r="C3" s="7" t="s">
        <v>54</v>
      </c>
      <c r="D3" s="7" t="n">
        <v>2127</v>
      </c>
      <c r="E3" s="7" t="s">
        <v>50</v>
      </c>
      <c r="F3" s="10" t="b">
        <f aca="false">FALSE()</f>
        <v>0</v>
      </c>
      <c r="G3" s="7"/>
      <c r="H3" s="7" t="s">
        <v>51</v>
      </c>
      <c r="I3" s="7" t="n">
        <v>8</v>
      </c>
      <c r="J3" s="7" t="s">
        <v>52</v>
      </c>
      <c r="K3" s="7" t="s">
        <v>55</v>
      </c>
      <c r="L3" s="7" t="n">
        <v>350</v>
      </c>
      <c r="M3" s="10" t="b">
        <f aca="false">TRUE()</f>
        <v>1</v>
      </c>
      <c r="N3" s="7"/>
      <c r="O3" s="7" t="n">
        <v>-33.846599</v>
      </c>
      <c r="P3" s="7" t="n">
        <v>151.056731</v>
      </c>
    </row>
    <row r="4" customFormat="false" ht="15" hidden="false" customHeight="false" outlineLevel="0" collapsed="false">
      <c r="A4" s="7" t="n">
        <v>3</v>
      </c>
      <c r="B4" s="7"/>
      <c r="C4" s="7" t="s">
        <v>56</v>
      </c>
      <c r="D4" s="7" t="n">
        <v>2447</v>
      </c>
      <c r="E4" s="7" t="s">
        <v>50</v>
      </c>
      <c r="F4" s="10" t="b">
        <f aca="false">FALSE()</f>
        <v>0</v>
      </c>
      <c r="G4" s="7"/>
      <c r="H4" s="7" t="s">
        <v>51</v>
      </c>
      <c r="I4" s="7" t="n">
        <v>4</v>
      </c>
      <c r="J4" s="7" t="s">
        <v>52</v>
      </c>
      <c r="K4" s="7" t="s">
        <v>53</v>
      </c>
      <c r="L4" s="7" t="n">
        <v>350</v>
      </c>
      <c r="M4" s="10" t="b">
        <f aca="false">TRUE()</f>
        <v>1</v>
      </c>
      <c r="N4" s="7"/>
      <c r="O4" s="7" t="n">
        <v>-30.708461</v>
      </c>
      <c r="P4" s="7" t="n">
        <v>152.920067</v>
      </c>
    </row>
    <row r="5" customFormat="false" ht="15" hidden="false" customHeight="false" outlineLevel="0" collapsed="false">
      <c r="A5" s="7" t="n">
        <v>4</v>
      </c>
      <c r="B5" s="7"/>
      <c r="C5" s="7" t="s">
        <v>57</v>
      </c>
      <c r="D5" s="7" t="n">
        <v>2150</v>
      </c>
      <c r="E5" s="7" t="s">
        <v>50</v>
      </c>
      <c r="F5" s="10" t="b">
        <f aca="false">FALSE()</f>
        <v>0</v>
      </c>
      <c r="G5" s="7"/>
      <c r="H5" s="7" t="s">
        <v>51</v>
      </c>
      <c r="I5" s="7" t="n">
        <v>4</v>
      </c>
      <c r="J5" s="7" t="s">
        <v>52</v>
      </c>
      <c r="K5" s="7" t="s">
        <v>53</v>
      </c>
      <c r="L5" s="7" t="n">
        <v>350</v>
      </c>
      <c r="M5" s="10" t="b">
        <f aca="false">TRUE()</f>
        <v>1</v>
      </c>
      <c r="N5" s="7"/>
      <c r="O5" s="7" t="n">
        <v>-33.81384</v>
      </c>
      <c r="P5" s="7" t="n">
        <v>150.999507</v>
      </c>
    </row>
    <row r="6" customFormat="false" ht="15" hidden="false" customHeight="false" outlineLevel="0" collapsed="false">
      <c r="A6" s="7" t="n">
        <v>5</v>
      </c>
      <c r="B6" s="7"/>
      <c r="C6" s="7" t="s">
        <v>58</v>
      </c>
      <c r="D6" s="7" t="n">
        <v>2229</v>
      </c>
      <c r="E6" s="7" t="s">
        <v>50</v>
      </c>
      <c r="F6" s="10" t="b">
        <f aca="false">FALSE()</f>
        <v>0</v>
      </c>
      <c r="G6" s="7"/>
      <c r="H6" s="7" t="s">
        <v>51</v>
      </c>
      <c r="I6" s="7" t="n">
        <v>4</v>
      </c>
      <c r="J6" s="7" t="s">
        <v>52</v>
      </c>
      <c r="K6" s="7" t="s">
        <v>53</v>
      </c>
      <c r="L6" s="7" t="n">
        <v>350</v>
      </c>
      <c r="M6" s="10" t="b">
        <f aca="false">TRUE()</f>
        <v>1</v>
      </c>
      <c r="N6" s="7"/>
      <c r="O6" s="7" t="n">
        <v>-34.020269</v>
      </c>
      <c r="P6" s="7" t="n">
        <v>151.117096</v>
      </c>
    </row>
    <row r="7" customFormat="false" ht="15" hidden="false" customHeight="false" outlineLevel="0" collapsed="false">
      <c r="A7" s="7" t="n">
        <v>6</v>
      </c>
      <c r="B7" s="7"/>
      <c r="C7" s="7" t="s">
        <v>59</v>
      </c>
      <c r="D7" s="7" t="n">
        <v>2194</v>
      </c>
      <c r="E7" s="7" t="s">
        <v>50</v>
      </c>
      <c r="F7" s="10" t="b">
        <f aca="false">FALSE()</f>
        <v>0</v>
      </c>
      <c r="G7" s="7"/>
      <c r="H7" s="7" t="s">
        <v>51</v>
      </c>
      <c r="I7" s="7" t="n">
        <v>4</v>
      </c>
      <c r="J7" s="7" t="s">
        <v>52</v>
      </c>
      <c r="K7" s="7" t="s">
        <v>53</v>
      </c>
      <c r="L7" s="7" t="n">
        <v>350</v>
      </c>
      <c r="M7" s="10" t="b">
        <f aca="false">TRUE()</f>
        <v>1</v>
      </c>
      <c r="N7" s="7"/>
      <c r="O7" s="7" t="n">
        <v>-33.911201</v>
      </c>
      <c r="P7" s="7" t="n">
        <v>151.101456</v>
      </c>
    </row>
    <row r="8" customFormat="false" ht="15" hidden="false" customHeight="false" outlineLevel="0" collapsed="false">
      <c r="A8" s="7" t="n">
        <v>7</v>
      </c>
      <c r="B8" s="7"/>
      <c r="C8" s="7" t="s">
        <v>60</v>
      </c>
      <c r="D8" s="7" t="n">
        <v>2320</v>
      </c>
      <c r="E8" s="7" t="s">
        <v>50</v>
      </c>
      <c r="F8" s="10" t="b">
        <f aca="false">FALSE()</f>
        <v>0</v>
      </c>
      <c r="G8" s="7"/>
      <c r="H8" s="7" t="s">
        <v>51</v>
      </c>
      <c r="I8" s="7" t="n">
        <v>4</v>
      </c>
      <c r="J8" s="7" t="s">
        <v>52</v>
      </c>
      <c r="K8" s="7" t="s">
        <v>53</v>
      </c>
      <c r="L8" s="7" t="n">
        <v>350</v>
      </c>
      <c r="M8" s="10" t="b">
        <f aca="false">TRUE()</f>
        <v>1</v>
      </c>
      <c r="N8" s="7"/>
      <c r="O8" s="7" t="n">
        <v>-32.732981</v>
      </c>
      <c r="P8" s="7" t="n">
        <v>151.55356</v>
      </c>
    </row>
    <row r="9" customFormat="false" ht="15" hidden="false" customHeight="false" outlineLevel="0" collapsed="false">
      <c r="A9" s="7" t="n">
        <v>8</v>
      </c>
      <c r="B9" s="7"/>
      <c r="C9" s="7" t="s">
        <v>61</v>
      </c>
      <c r="D9" s="7" t="n">
        <v>2557</v>
      </c>
      <c r="E9" s="7" t="s">
        <v>50</v>
      </c>
      <c r="F9" s="10" t="b">
        <f aca="false">FALSE()</f>
        <v>0</v>
      </c>
      <c r="G9" s="7"/>
      <c r="H9" s="7" t="s">
        <v>51</v>
      </c>
      <c r="I9" s="7" t="n">
        <v>4</v>
      </c>
      <c r="J9" s="7" t="s">
        <v>52</v>
      </c>
      <c r="K9" s="7" t="s">
        <v>53</v>
      </c>
      <c r="L9" s="7" t="n">
        <v>350</v>
      </c>
      <c r="M9" s="10" t="b">
        <f aca="false">TRUE()</f>
        <v>1</v>
      </c>
      <c r="N9" s="7"/>
      <c r="O9" s="7" t="n">
        <v>-34.026258</v>
      </c>
      <c r="P9" s="7" t="n">
        <v>150.777729</v>
      </c>
    </row>
    <row r="10" customFormat="false" ht="15" hidden="false" customHeight="false" outlineLevel="0" collapsed="false">
      <c r="A10" s="7" t="n">
        <v>9</v>
      </c>
      <c r="B10" s="7"/>
      <c r="C10" s="7" t="s">
        <v>62</v>
      </c>
      <c r="D10" s="7" t="n">
        <v>2023</v>
      </c>
      <c r="E10" s="7" t="s">
        <v>50</v>
      </c>
      <c r="F10" s="10" t="b">
        <f aca="false">FALSE()</f>
        <v>0</v>
      </c>
      <c r="G10" s="7"/>
      <c r="H10" s="7" t="s">
        <v>51</v>
      </c>
      <c r="I10" s="7" t="n">
        <v>4</v>
      </c>
      <c r="J10" s="7" t="s">
        <v>52</v>
      </c>
      <c r="K10" s="7" t="s">
        <v>53</v>
      </c>
      <c r="L10" s="7" t="n">
        <v>350</v>
      </c>
      <c r="M10" s="10" t="b">
        <f aca="false">TRUE()</f>
        <v>1</v>
      </c>
      <c r="N10" s="7"/>
      <c r="O10" s="7" t="n">
        <v>-34.494036</v>
      </c>
      <c r="P10" s="7" t="n">
        <v>150.791541</v>
      </c>
    </row>
    <row r="11" customFormat="false" ht="15" hidden="false" customHeight="false" outlineLevel="0" collapsed="false">
      <c r="A11" s="7" t="n">
        <v>10</v>
      </c>
      <c r="B11" s="7"/>
      <c r="C11" s="7" t="s">
        <v>63</v>
      </c>
      <c r="D11" s="7" t="n">
        <v>2111</v>
      </c>
      <c r="E11" s="7" t="s">
        <v>50</v>
      </c>
      <c r="F11" s="10" t="b">
        <f aca="false">FALSE()</f>
        <v>0</v>
      </c>
      <c r="G11" s="7"/>
      <c r="H11" s="7" t="s">
        <v>51</v>
      </c>
      <c r="I11" s="7" t="n">
        <v>4</v>
      </c>
      <c r="J11" s="7" t="s">
        <v>52</v>
      </c>
      <c r="K11" s="7" t="s">
        <v>53</v>
      </c>
      <c r="L11" s="7" t="n">
        <v>350</v>
      </c>
      <c r="M11" s="10" t="b">
        <f aca="false">TRUE()</f>
        <v>1</v>
      </c>
      <c r="N11" s="7"/>
      <c r="O11" s="7" t="n">
        <v>-33.832583</v>
      </c>
      <c r="P11" s="7" t="n">
        <v>151.128016</v>
      </c>
    </row>
    <row r="12" customFormat="false" ht="15" hidden="false" customHeight="false" outlineLevel="0" collapsed="false">
      <c r="A12" s="7" t="n">
        <v>11</v>
      </c>
      <c r="B12" s="7"/>
      <c r="C12" s="7" t="s">
        <v>64</v>
      </c>
      <c r="D12" s="7" t="n">
        <v>2330</v>
      </c>
      <c r="E12" s="7" t="s">
        <v>50</v>
      </c>
      <c r="F12" s="10" t="b">
        <f aca="false">FALSE()</f>
        <v>0</v>
      </c>
      <c r="G12" s="7"/>
      <c r="H12" s="7" t="s">
        <v>51</v>
      </c>
      <c r="I12" s="7" t="n">
        <v>4</v>
      </c>
      <c r="J12" s="7" t="s">
        <v>52</v>
      </c>
      <c r="K12" s="7" t="s">
        <v>53</v>
      </c>
      <c r="L12" s="7" t="n">
        <v>350</v>
      </c>
      <c r="M12" s="10" t="b">
        <f aca="false">TRUE()</f>
        <v>1</v>
      </c>
      <c r="N12" s="7"/>
      <c r="O12" s="7" t="n">
        <v>-32.565117</v>
      </c>
      <c r="P12" s="7" t="n">
        <v>151.174459</v>
      </c>
    </row>
    <row r="13" customFormat="false" ht="15" hidden="false" customHeight="false" outlineLevel="0" collapsed="false">
      <c r="A13" s="7" t="n">
        <v>12</v>
      </c>
      <c r="B13" s="7"/>
      <c r="C13" s="7" t="s">
        <v>65</v>
      </c>
      <c r="D13" s="7" t="n">
        <v>2227</v>
      </c>
      <c r="E13" s="7" t="s">
        <v>50</v>
      </c>
      <c r="F13" s="10" t="b">
        <f aca="false">FALSE()</f>
        <v>0</v>
      </c>
      <c r="G13" s="7"/>
      <c r="H13" s="7" t="s">
        <v>51</v>
      </c>
      <c r="I13" s="7" t="n">
        <v>4</v>
      </c>
      <c r="J13" s="7" t="s">
        <v>52</v>
      </c>
      <c r="K13" s="7" t="s">
        <v>53</v>
      </c>
      <c r="L13" s="7" t="n">
        <v>350</v>
      </c>
      <c r="M13" s="10" t="b">
        <f aca="false">TRUE()</f>
        <v>1</v>
      </c>
      <c r="N13" s="7"/>
      <c r="O13" s="7" t="n">
        <v>-34.032498</v>
      </c>
      <c r="P13" s="7" t="n">
        <v>151.088112</v>
      </c>
    </row>
    <row r="14" customFormat="false" ht="15" hidden="false" customHeight="false" outlineLevel="0" collapsed="false">
      <c r="A14" s="7" t="n">
        <v>13</v>
      </c>
      <c r="B14" s="7"/>
      <c r="C14" s="7" t="s">
        <v>66</v>
      </c>
      <c r="D14" s="7" t="n">
        <v>2164</v>
      </c>
      <c r="E14" s="7" t="s">
        <v>50</v>
      </c>
      <c r="F14" s="10" t="b">
        <f aca="false">FALSE()</f>
        <v>0</v>
      </c>
      <c r="G14" s="7"/>
      <c r="H14" s="7" t="s">
        <v>51</v>
      </c>
      <c r="I14" s="7" t="n">
        <v>4</v>
      </c>
      <c r="J14" s="7" t="s">
        <v>52</v>
      </c>
      <c r="K14" s="7" t="s">
        <v>53</v>
      </c>
      <c r="L14" s="7" t="n">
        <v>350</v>
      </c>
      <c r="M14" s="10" t="b">
        <f aca="false">TRUE()</f>
        <v>1</v>
      </c>
      <c r="N14" s="7"/>
      <c r="O14" s="7" t="n">
        <v>-33.855681</v>
      </c>
      <c r="P14" s="7" t="n">
        <v>150.937188</v>
      </c>
    </row>
    <row r="15" customFormat="false" ht="15" hidden="false" customHeight="false" outlineLevel="0" collapsed="false">
      <c r="A15" s="7" t="n">
        <v>14</v>
      </c>
      <c r="B15" s="7"/>
      <c r="C15" s="7" t="s">
        <v>67</v>
      </c>
      <c r="D15" s="7" t="n">
        <v>2065</v>
      </c>
      <c r="E15" s="7" t="s">
        <v>50</v>
      </c>
      <c r="F15" s="10" t="b">
        <f aca="false">FALSE()</f>
        <v>0</v>
      </c>
      <c r="G15" s="7"/>
      <c r="H15" s="7" t="s">
        <v>51</v>
      </c>
      <c r="I15" s="7" t="n">
        <v>8</v>
      </c>
      <c r="J15" s="7" t="s">
        <v>52</v>
      </c>
      <c r="K15" s="7" t="s">
        <v>55</v>
      </c>
      <c r="L15" s="7" t="n">
        <v>350</v>
      </c>
      <c r="M15" s="10" t="b">
        <f aca="false">TRUE()</f>
        <v>1</v>
      </c>
      <c r="N15" s="7"/>
      <c r="O15" s="7" t="n">
        <v>-33.825471</v>
      </c>
      <c r="P15" s="7" t="n">
        <v>151.202433</v>
      </c>
    </row>
    <row r="16" customFormat="false" ht="15" hidden="false" customHeight="false" outlineLevel="0" collapsed="false">
      <c r="A16" s="7" t="n">
        <v>15</v>
      </c>
      <c r="B16" s="7"/>
      <c r="C16" s="7" t="s">
        <v>68</v>
      </c>
      <c r="D16" s="7" t="n">
        <v>2577</v>
      </c>
      <c r="E16" s="7" t="s">
        <v>50</v>
      </c>
      <c r="F16" s="10" t="b">
        <f aca="false">FALSE()</f>
        <v>0</v>
      </c>
      <c r="G16" s="7"/>
      <c r="H16" s="7" t="s">
        <v>51</v>
      </c>
      <c r="I16" s="7" t="n">
        <v>4</v>
      </c>
      <c r="J16" s="7" t="s">
        <v>52</v>
      </c>
      <c r="K16" s="7" t="s">
        <v>53</v>
      </c>
      <c r="L16" s="7" t="n">
        <v>350</v>
      </c>
      <c r="M16" s="10" t="b">
        <f aca="false">TRUE()</f>
        <v>1</v>
      </c>
      <c r="N16" s="7"/>
      <c r="O16" s="7" t="n">
        <v>-34.548422</v>
      </c>
      <c r="P16" s="7" t="n">
        <v>150.373567</v>
      </c>
    </row>
    <row r="17" customFormat="false" ht="15" hidden="false" customHeight="false" outlineLevel="0" collapsed="false">
      <c r="A17" s="7" t="n">
        <v>16</v>
      </c>
      <c r="B17" s="7"/>
      <c r="C17" s="7" t="s">
        <v>69</v>
      </c>
      <c r="D17" s="7" t="n">
        <v>2836</v>
      </c>
      <c r="E17" s="7" t="s">
        <v>50</v>
      </c>
      <c r="F17" s="10" t="b">
        <f aca="false">TRUE()</f>
        <v>1</v>
      </c>
      <c r="G17" s="7" t="s">
        <v>70</v>
      </c>
      <c r="H17" s="7" t="s">
        <v>51</v>
      </c>
      <c r="I17" s="7" t="n">
        <v>4</v>
      </c>
      <c r="J17" s="7" t="s">
        <v>71</v>
      </c>
      <c r="K17" s="7" t="s">
        <v>72</v>
      </c>
      <c r="L17" s="7" t="n">
        <v>50</v>
      </c>
      <c r="M17" s="10" t="b">
        <f aca="false">FALSE()</f>
        <v>0</v>
      </c>
      <c r="N17" s="7" t="s">
        <v>73</v>
      </c>
      <c r="O17" s="7" t="n">
        <v>-31.557629</v>
      </c>
      <c r="P17" s="7" t="n">
        <v>143.386007</v>
      </c>
    </row>
    <row r="18" customFormat="false" ht="15" hidden="false" customHeight="false" outlineLevel="0" collapsed="false">
      <c r="A18" s="7" t="n">
        <v>17</v>
      </c>
      <c r="B18" s="7"/>
      <c r="C18" s="7" t="s">
        <v>74</v>
      </c>
      <c r="D18" s="7" t="n">
        <v>2795</v>
      </c>
      <c r="E18" s="7" t="s">
        <v>50</v>
      </c>
      <c r="F18" s="10" t="b">
        <f aca="false">FALSE()</f>
        <v>0</v>
      </c>
      <c r="G18" s="7" t="s">
        <v>75</v>
      </c>
      <c r="H18" s="7" t="s">
        <v>51</v>
      </c>
      <c r="I18" s="7" t="n">
        <v>2</v>
      </c>
      <c r="J18" s="7" t="s">
        <v>71</v>
      </c>
      <c r="K18" s="7" t="s">
        <v>72</v>
      </c>
      <c r="L18" s="7" t="n">
        <v>50</v>
      </c>
      <c r="M18" s="10" t="b">
        <f aca="false">FALSE()</f>
        <v>0</v>
      </c>
      <c r="N18" s="7" t="s">
        <v>76</v>
      </c>
      <c r="O18" s="7" t="n">
        <v>-33.419102</v>
      </c>
      <c r="P18" s="7" t="n">
        <v>149.586752</v>
      </c>
    </row>
    <row r="19" customFormat="false" ht="15" hidden="false" customHeight="false" outlineLevel="0" collapsed="false">
      <c r="A19" s="7" t="n">
        <v>18</v>
      </c>
      <c r="B19" s="7"/>
      <c r="C19" s="7" t="s">
        <v>77</v>
      </c>
      <c r="D19" s="7" t="n">
        <v>2470</v>
      </c>
      <c r="E19" s="7" t="s">
        <v>50</v>
      </c>
      <c r="F19" s="10" t="b">
        <f aca="false">TRUE()</f>
        <v>1</v>
      </c>
      <c r="G19" s="7" t="s">
        <v>78</v>
      </c>
      <c r="H19" s="7" t="s">
        <v>51</v>
      </c>
      <c r="I19" s="7" t="n">
        <v>4</v>
      </c>
      <c r="J19" s="7" t="s">
        <v>71</v>
      </c>
      <c r="K19" s="7" t="s">
        <v>72</v>
      </c>
      <c r="L19" s="7" t="n">
        <v>50</v>
      </c>
      <c r="M19" s="10" t="b">
        <f aca="false">FALSE()</f>
        <v>0</v>
      </c>
      <c r="N19" s="7" t="s">
        <v>73</v>
      </c>
      <c r="O19" s="7" t="n">
        <v>-28.865732</v>
      </c>
      <c r="P19" s="7" t="n">
        <v>153.048478</v>
      </c>
    </row>
    <row r="20" customFormat="false" ht="15" hidden="false" customHeight="false" outlineLevel="0" collapsed="false">
      <c r="A20" s="7" t="n">
        <v>19</v>
      </c>
      <c r="B20" s="7"/>
      <c r="C20" s="7" t="s">
        <v>79</v>
      </c>
      <c r="D20" s="7" t="n">
        <v>2354</v>
      </c>
      <c r="E20" s="7" t="s">
        <v>50</v>
      </c>
      <c r="F20" s="10" t="b">
        <f aca="false">TRUE()</f>
        <v>1</v>
      </c>
      <c r="G20" s="7" t="s">
        <v>80</v>
      </c>
      <c r="H20" s="7" t="s">
        <v>51</v>
      </c>
      <c r="I20" s="7" t="n">
        <v>4</v>
      </c>
      <c r="J20" s="7" t="s">
        <v>71</v>
      </c>
      <c r="K20" s="7" t="s">
        <v>72</v>
      </c>
      <c r="L20" s="7" t="n">
        <v>50</v>
      </c>
      <c r="M20" s="10" t="b">
        <f aca="false">FALSE()</f>
        <v>0</v>
      </c>
      <c r="N20" s="7" t="s">
        <v>73</v>
      </c>
      <c r="O20" s="7" t="n">
        <v>-30.98297</v>
      </c>
      <c r="P20" s="7" t="n">
        <v>151.592824</v>
      </c>
    </row>
    <row r="21" customFormat="false" ht="15" hidden="false" customHeight="false" outlineLevel="0" collapsed="false">
      <c r="A21" s="7" t="n">
        <v>20</v>
      </c>
      <c r="B21" s="7"/>
      <c r="C21" s="7" t="s">
        <v>81</v>
      </c>
      <c r="D21" s="7" t="n">
        <v>2481</v>
      </c>
      <c r="E21" s="7" t="s">
        <v>50</v>
      </c>
      <c r="F21" s="10" t="b">
        <f aca="false">FALSE()</f>
        <v>0</v>
      </c>
      <c r="G21" s="7" t="s">
        <v>82</v>
      </c>
      <c r="H21" s="7" t="s">
        <v>51</v>
      </c>
      <c r="I21" s="7" t="n">
        <v>4</v>
      </c>
      <c r="J21" s="7" t="s">
        <v>71</v>
      </c>
      <c r="K21" s="7" t="s">
        <v>83</v>
      </c>
      <c r="L21" s="7" t="n">
        <v>75</v>
      </c>
      <c r="M21" s="10" t="b">
        <f aca="false">FALSE()</f>
        <v>0</v>
      </c>
      <c r="N21" s="7" t="s">
        <v>76</v>
      </c>
      <c r="O21" s="7" t="n">
        <v>-28.636128</v>
      </c>
      <c r="P21" s="7" t="n">
        <v>153.55346</v>
      </c>
    </row>
    <row r="22" customFormat="false" ht="15" hidden="false" customHeight="false" outlineLevel="0" collapsed="false">
      <c r="A22" s="7" t="n">
        <v>21</v>
      </c>
      <c r="B22" s="7"/>
      <c r="C22" s="7" t="s">
        <v>84</v>
      </c>
      <c r="D22" s="7" t="n">
        <v>2337</v>
      </c>
      <c r="E22" s="7" t="s">
        <v>50</v>
      </c>
      <c r="F22" s="10" t="b">
        <f aca="false">TRUE()</f>
        <v>1</v>
      </c>
      <c r="G22" s="7" t="s">
        <v>85</v>
      </c>
      <c r="H22" s="7" t="s">
        <v>51</v>
      </c>
      <c r="I22" s="7" t="n">
        <v>2</v>
      </c>
      <c r="J22" s="7" t="s">
        <v>71</v>
      </c>
      <c r="K22" s="7" t="s">
        <v>72</v>
      </c>
      <c r="L22" s="7" t="n">
        <v>50</v>
      </c>
      <c r="M22" s="10" t="b">
        <f aca="false">FALSE()</f>
        <v>0</v>
      </c>
      <c r="N22" s="7" t="s">
        <v>73</v>
      </c>
      <c r="O22" s="7" t="n">
        <v>-32.050429</v>
      </c>
      <c r="P22" s="7" t="n">
        <v>150.866672</v>
      </c>
    </row>
    <row r="23" customFormat="false" ht="15" hidden="false" customHeight="false" outlineLevel="0" collapsed="false">
      <c r="A23" s="7" t="n">
        <v>22</v>
      </c>
      <c r="B23" s="7"/>
      <c r="C23" s="7" t="s">
        <v>86</v>
      </c>
      <c r="D23" s="7" t="n">
        <v>2460</v>
      </c>
      <c r="E23" s="7" t="s">
        <v>50</v>
      </c>
      <c r="F23" s="10" t="b">
        <f aca="false">FALSE()</f>
        <v>0</v>
      </c>
      <c r="G23" s="7" t="s">
        <v>87</v>
      </c>
      <c r="H23" s="7" t="s">
        <v>51</v>
      </c>
      <c r="I23" s="7" t="n">
        <v>2</v>
      </c>
      <c r="J23" s="7" t="s">
        <v>71</v>
      </c>
      <c r="K23" s="7" t="s">
        <v>72</v>
      </c>
      <c r="L23" s="7" t="n">
        <v>50</v>
      </c>
      <c r="M23" s="10" t="b">
        <f aca="false">FALSE()</f>
        <v>0</v>
      </c>
      <c r="N23" s="7" t="s">
        <v>76</v>
      </c>
      <c r="O23" s="7" t="n">
        <v>-29.68811</v>
      </c>
      <c r="P23" s="7" t="n">
        <v>152.933421</v>
      </c>
    </row>
    <row r="24" customFormat="false" ht="15" hidden="false" customHeight="false" outlineLevel="0" collapsed="false">
      <c r="A24" s="7" t="n">
        <v>23</v>
      </c>
      <c r="B24" s="7"/>
      <c r="C24" s="7" t="s">
        <v>88</v>
      </c>
      <c r="D24" s="7" t="n">
        <v>2711</v>
      </c>
      <c r="E24" s="7" t="s">
        <v>50</v>
      </c>
      <c r="F24" s="10" t="b">
        <f aca="false">FALSE()</f>
        <v>0</v>
      </c>
      <c r="G24" s="7" t="s">
        <v>89</v>
      </c>
      <c r="H24" s="7" t="s">
        <v>51</v>
      </c>
      <c r="I24" s="7" t="n">
        <v>4</v>
      </c>
      <c r="J24" s="7" t="s">
        <v>71</v>
      </c>
      <c r="K24" s="7" t="s">
        <v>90</v>
      </c>
      <c r="L24" s="7" t="n">
        <v>180</v>
      </c>
      <c r="M24" s="10" t="b">
        <f aca="false">FALSE()</f>
        <v>0</v>
      </c>
      <c r="N24" s="7" t="s">
        <v>76</v>
      </c>
      <c r="O24" s="7" t="n">
        <v>-34.508904</v>
      </c>
      <c r="P24" s="7" t="n">
        <v>144.842786</v>
      </c>
    </row>
    <row r="25" customFormat="false" ht="15" hidden="false" customHeight="false" outlineLevel="0" collapsed="false">
      <c r="A25" s="7" t="n">
        <v>24</v>
      </c>
      <c r="B25" s="7"/>
      <c r="C25" s="7" t="s">
        <v>88</v>
      </c>
      <c r="D25" s="7" t="n">
        <v>2711</v>
      </c>
      <c r="E25" s="7" t="s">
        <v>50</v>
      </c>
      <c r="F25" s="10" t="b">
        <f aca="false">FALSE()</f>
        <v>0</v>
      </c>
      <c r="G25" s="7" t="s">
        <v>89</v>
      </c>
      <c r="H25" s="7" t="s">
        <v>51</v>
      </c>
      <c r="I25" s="7" t="n">
        <v>2</v>
      </c>
      <c r="J25" s="7" t="s">
        <v>71</v>
      </c>
      <c r="K25" s="7" t="s">
        <v>72</v>
      </c>
      <c r="L25" s="7" t="n">
        <v>50</v>
      </c>
      <c r="M25" s="10" t="b">
        <f aca="false">FALSE()</f>
        <v>0</v>
      </c>
      <c r="N25" s="7" t="s">
        <v>76</v>
      </c>
      <c r="O25" s="7" t="n">
        <v>-34.50908</v>
      </c>
      <c r="P25" s="7" t="n">
        <v>144.84107</v>
      </c>
    </row>
    <row r="26" customFormat="false" ht="15" hidden="false" customHeight="false" outlineLevel="0" collapsed="false">
      <c r="A26" s="7" t="n">
        <v>25</v>
      </c>
      <c r="B26" s="7"/>
      <c r="C26" s="7" t="s">
        <v>91</v>
      </c>
      <c r="D26" s="7" t="n">
        <v>2535</v>
      </c>
      <c r="E26" s="7" t="s">
        <v>50</v>
      </c>
      <c r="F26" s="10" t="b">
        <f aca="false">FALSE()</f>
        <v>0</v>
      </c>
      <c r="G26" s="7" t="s">
        <v>92</v>
      </c>
      <c r="H26" s="7" t="s">
        <v>51</v>
      </c>
      <c r="I26" s="7" t="n">
        <v>2</v>
      </c>
      <c r="J26" s="7" t="s">
        <v>71</v>
      </c>
      <c r="K26" s="7" t="s">
        <v>72</v>
      </c>
      <c r="L26" s="7" t="n">
        <v>50</v>
      </c>
      <c r="M26" s="10" t="b">
        <f aca="false">FALSE()</f>
        <v>0</v>
      </c>
      <c r="N26" s="7" t="s">
        <v>76</v>
      </c>
      <c r="O26" s="7" t="n">
        <v>-34.775594</v>
      </c>
      <c r="P26" s="7" t="n">
        <v>150.701087</v>
      </c>
    </row>
    <row r="27" customFormat="false" ht="15" hidden="false" customHeight="false" outlineLevel="0" collapsed="false">
      <c r="A27" s="7" t="n">
        <v>26</v>
      </c>
      <c r="B27" s="7"/>
      <c r="C27" s="7" t="s">
        <v>93</v>
      </c>
      <c r="D27" s="7" t="n">
        <v>2622</v>
      </c>
      <c r="E27" s="7" t="s">
        <v>50</v>
      </c>
      <c r="F27" s="10" t="b">
        <f aca="false">TRUE()</f>
        <v>1</v>
      </c>
      <c r="G27" s="7" t="s">
        <v>94</v>
      </c>
      <c r="H27" s="7" t="s">
        <v>51</v>
      </c>
      <c r="I27" s="7" t="n">
        <v>4</v>
      </c>
      <c r="J27" s="7" t="s">
        <v>71</v>
      </c>
      <c r="K27" s="7" t="s">
        <v>72</v>
      </c>
      <c r="L27" s="7" t="n">
        <v>50</v>
      </c>
      <c r="M27" s="10" t="b">
        <f aca="false">FALSE()</f>
        <v>0</v>
      </c>
      <c r="N27" s="7" t="s">
        <v>73</v>
      </c>
      <c r="O27" s="7" t="n">
        <v>-35.442778</v>
      </c>
      <c r="P27" s="7" t="n">
        <v>149.791373</v>
      </c>
    </row>
    <row r="28" customFormat="false" ht="15" hidden="false" customHeight="false" outlineLevel="0" collapsed="false">
      <c r="A28" s="7" t="n">
        <v>27</v>
      </c>
      <c r="B28" s="7"/>
      <c r="C28" s="7" t="s">
        <v>95</v>
      </c>
      <c r="D28" s="7" t="n">
        <v>2372</v>
      </c>
      <c r="E28" s="7" t="s">
        <v>50</v>
      </c>
      <c r="F28" s="10" t="b">
        <f aca="false">TRUE()</f>
        <v>1</v>
      </c>
      <c r="G28" s="7" t="s">
        <v>96</v>
      </c>
      <c r="H28" s="7" t="s">
        <v>51</v>
      </c>
      <c r="I28" s="7" t="n">
        <v>2</v>
      </c>
      <c r="J28" s="7" t="s">
        <v>71</v>
      </c>
      <c r="K28" s="7" t="s">
        <v>72</v>
      </c>
      <c r="L28" s="7" t="n">
        <v>50</v>
      </c>
      <c r="M28" s="10" t="b">
        <f aca="false">FALSE()</f>
        <v>0</v>
      </c>
      <c r="N28" s="7" t="s">
        <v>73</v>
      </c>
      <c r="O28" s="7" t="n">
        <v>-29.057341</v>
      </c>
      <c r="P28" s="7" t="n">
        <v>152.01889</v>
      </c>
    </row>
    <row r="29" customFormat="false" ht="15" hidden="false" customHeight="false" outlineLevel="0" collapsed="false">
      <c r="A29" s="7" t="n">
        <v>28</v>
      </c>
      <c r="B29" s="7"/>
      <c r="C29" s="7" t="s">
        <v>97</v>
      </c>
      <c r="D29" s="7" t="n">
        <v>2840</v>
      </c>
      <c r="E29" s="7" t="s">
        <v>50</v>
      </c>
      <c r="F29" s="10" t="b">
        <f aca="false">TRUE()</f>
        <v>1</v>
      </c>
      <c r="G29" s="7" t="s">
        <v>98</v>
      </c>
      <c r="H29" s="7" t="s">
        <v>51</v>
      </c>
      <c r="I29" s="7" t="n">
        <v>4</v>
      </c>
      <c r="J29" s="7" t="s">
        <v>71</v>
      </c>
      <c r="K29" s="7" t="s">
        <v>83</v>
      </c>
      <c r="L29" s="7" t="n">
        <v>75</v>
      </c>
      <c r="M29" s="10" t="b">
        <f aca="false">FALSE()</f>
        <v>0</v>
      </c>
      <c r="N29" s="7" t="s">
        <v>73</v>
      </c>
      <c r="O29" s="7" t="n">
        <v>-30.088397</v>
      </c>
      <c r="P29" s="7" t="n">
        <v>145.935014</v>
      </c>
    </row>
    <row r="30" customFormat="false" ht="15" hidden="false" customHeight="false" outlineLevel="0" collapsed="false">
      <c r="A30" s="7" t="n">
        <v>29</v>
      </c>
      <c r="B30" s="7"/>
      <c r="C30" s="7" t="s">
        <v>99</v>
      </c>
      <c r="D30" s="7" t="n">
        <v>2541</v>
      </c>
      <c r="E30" s="7" t="s">
        <v>50</v>
      </c>
      <c r="F30" s="10" t="b">
        <f aca="false">FALSE()</f>
        <v>0</v>
      </c>
      <c r="G30" s="7" t="s">
        <v>92</v>
      </c>
      <c r="H30" s="7" t="s">
        <v>51</v>
      </c>
      <c r="I30" s="7" t="n">
        <v>4</v>
      </c>
      <c r="J30" s="7" t="s">
        <v>71</v>
      </c>
      <c r="K30" s="7" t="s">
        <v>100</v>
      </c>
      <c r="L30" s="7" t="n">
        <v>160</v>
      </c>
      <c r="M30" s="10" t="b">
        <f aca="false">FALSE()</f>
        <v>0</v>
      </c>
      <c r="N30" s="7" t="s">
        <v>76</v>
      </c>
      <c r="O30" s="7" t="n">
        <v>-34.87369</v>
      </c>
      <c r="P30" s="7" t="n">
        <v>150.600385</v>
      </c>
    </row>
    <row r="31" customFormat="false" ht="15" hidden="false" customHeight="false" outlineLevel="0" collapsed="false">
      <c r="A31" s="7" t="n">
        <v>30</v>
      </c>
      <c r="B31" s="7"/>
      <c r="C31" s="7" t="s">
        <v>101</v>
      </c>
      <c r="D31" s="7" t="n">
        <v>2500</v>
      </c>
      <c r="E31" s="7" t="s">
        <v>50</v>
      </c>
      <c r="F31" s="10" t="b">
        <f aca="false">TRUE()</f>
        <v>1</v>
      </c>
      <c r="G31" s="7" t="s">
        <v>102</v>
      </c>
      <c r="H31" s="7" t="s">
        <v>51</v>
      </c>
      <c r="I31" s="7" t="n">
        <v>4</v>
      </c>
      <c r="J31" s="7" t="s">
        <v>71</v>
      </c>
      <c r="K31" s="7" t="s">
        <v>83</v>
      </c>
      <c r="L31" s="7" t="n">
        <v>75</v>
      </c>
      <c r="M31" s="10" t="b">
        <f aca="false">FALSE()</f>
        <v>0</v>
      </c>
      <c r="N31" s="7" t="s">
        <v>73</v>
      </c>
      <c r="O31" s="7" t="n">
        <v>-34.428268</v>
      </c>
      <c r="P31" s="7" t="n">
        <v>150.90015</v>
      </c>
    </row>
    <row r="32" customFormat="false" ht="15" hidden="false" customHeight="false" outlineLevel="0" collapsed="false">
      <c r="A32" s="7" t="n">
        <v>31</v>
      </c>
      <c r="B32" s="7"/>
      <c r="C32" s="7" t="s">
        <v>103</v>
      </c>
      <c r="D32" s="7" t="n">
        <v>2825</v>
      </c>
      <c r="E32" s="7" t="s">
        <v>50</v>
      </c>
      <c r="F32" s="10" t="b">
        <f aca="false">TRUE()</f>
        <v>1</v>
      </c>
      <c r="G32" s="7" t="s">
        <v>104</v>
      </c>
      <c r="H32" s="7" t="s">
        <v>51</v>
      </c>
      <c r="I32" s="7" t="n">
        <v>4</v>
      </c>
      <c r="J32" s="7" t="s">
        <v>71</v>
      </c>
      <c r="K32" s="7" t="s">
        <v>83</v>
      </c>
      <c r="L32" s="7" t="n">
        <v>75</v>
      </c>
      <c r="M32" s="10" t="b">
        <f aca="false">FALSE()</f>
        <v>0</v>
      </c>
      <c r="N32" s="7" t="s">
        <v>73</v>
      </c>
      <c r="O32" s="7" t="n">
        <v>-31.564331</v>
      </c>
      <c r="P32" s="7" t="n">
        <v>147.197013</v>
      </c>
    </row>
    <row r="33" customFormat="false" ht="15" hidden="false" customHeight="false" outlineLevel="0" collapsed="false">
      <c r="A33" s="7" t="n">
        <v>32</v>
      </c>
      <c r="B33" s="7"/>
      <c r="C33" s="7" t="s">
        <v>105</v>
      </c>
      <c r="D33" s="7" t="n">
        <v>2737</v>
      </c>
      <c r="E33" s="7" t="s">
        <v>50</v>
      </c>
      <c r="F33" s="10" t="b">
        <f aca="false">FALSE()</f>
        <v>0</v>
      </c>
      <c r="G33" s="7" t="s">
        <v>106</v>
      </c>
      <c r="H33" s="7" t="s">
        <v>51</v>
      </c>
      <c r="I33" s="7" t="n">
        <v>1</v>
      </c>
      <c r="J33" s="7" t="s">
        <v>107</v>
      </c>
      <c r="K33" s="7" t="s">
        <v>108</v>
      </c>
      <c r="L33" s="7" t="n">
        <v>22</v>
      </c>
      <c r="M33" s="10" t="b">
        <f aca="false">FALSE()</f>
        <v>0</v>
      </c>
      <c r="N33" s="7" t="s">
        <v>109</v>
      </c>
      <c r="O33" s="7" t="n">
        <v>-34.577619</v>
      </c>
      <c r="P33" s="7" t="n">
        <v>142.746189</v>
      </c>
    </row>
    <row r="34" customFormat="false" ht="15" hidden="false" customHeight="false" outlineLevel="0" collapsed="false">
      <c r="A34" s="7" t="n">
        <v>33</v>
      </c>
      <c r="B34" s="7"/>
      <c r="C34" s="7" t="s">
        <v>110</v>
      </c>
      <c r="D34" s="7" t="n">
        <v>2320</v>
      </c>
      <c r="E34" s="7" t="s">
        <v>50</v>
      </c>
      <c r="F34" s="10" t="b">
        <f aca="false">FALSE()</f>
        <v>0</v>
      </c>
      <c r="G34" s="7" t="s">
        <v>111</v>
      </c>
      <c r="H34" s="7" t="s">
        <v>51</v>
      </c>
      <c r="I34" s="7" t="n">
        <v>4</v>
      </c>
      <c r="J34" s="7" t="s">
        <v>71</v>
      </c>
      <c r="K34" s="7" t="s">
        <v>83</v>
      </c>
      <c r="L34" s="7" t="n">
        <v>75</v>
      </c>
      <c r="M34" s="10" t="b">
        <f aca="false">FALSE()</f>
        <v>0</v>
      </c>
      <c r="N34" s="7" t="s">
        <v>76</v>
      </c>
      <c r="O34" s="7" t="n">
        <v>-32.773429</v>
      </c>
      <c r="P34" s="7" t="n">
        <v>151.298271</v>
      </c>
    </row>
    <row r="35" customFormat="false" ht="15" hidden="false" customHeight="false" outlineLevel="0" collapsed="false">
      <c r="A35" s="7" t="n">
        <v>34</v>
      </c>
      <c r="B35" s="7"/>
      <c r="C35" s="7" t="s">
        <v>112</v>
      </c>
      <c r="D35" s="7" t="n">
        <v>2832</v>
      </c>
      <c r="E35" s="7" t="s">
        <v>50</v>
      </c>
      <c r="F35" s="10" t="b">
        <f aca="false">TRUE()</f>
        <v>1</v>
      </c>
      <c r="G35" s="7" t="s">
        <v>113</v>
      </c>
      <c r="H35" s="7" t="s">
        <v>51</v>
      </c>
      <c r="I35" s="7" t="n">
        <v>2</v>
      </c>
      <c r="J35" s="7" t="s">
        <v>71</v>
      </c>
      <c r="K35" s="7" t="s">
        <v>83</v>
      </c>
      <c r="L35" s="7" t="n">
        <v>75</v>
      </c>
      <c r="M35" s="10" t="b">
        <f aca="false">FALSE()</f>
        <v>0</v>
      </c>
      <c r="N35" s="7" t="s">
        <v>73</v>
      </c>
      <c r="O35" s="7" t="n">
        <v>-30.020699</v>
      </c>
      <c r="P35" s="7" t="n">
        <v>148.117705</v>
      </c>
    </row>
    <row r="36" customFormat="false" ht="15" hidden="false" customHeight="false" outlineLevel="0" collapsed="false">
      <c r="A36" s="7" t="n">
        <v>35</v>
      </c>
      <c r="B36" s="7"/>
      <c r="C36" s="7" t="s">
        <v>114</v>
      </c>
      <c r="D36" s="7" t="n">
        <v>2400</v>
      </c>
      <c r="E36" s="7" t="s">
        <v>50</v>
      </c>
      <c r="F36" s="10" t="b">
        <f aca="false">TRUE()</f>
        <v>1</v>
      </c>
      <c r="G36" s="7" t="s">
        <v>115</v>
      </c>
      <c r="H36" s="7" t="s">
        <v>51</v>
      </c>
      <c r="I36" s="7" t="n">
        <v>2</v>
      </c>
      <c r="J36" s="7" t="s">
        <v>71</v>
      </c>
      <c r="K36" s="7" t="s">
        <v>72</v>
      </c>
      <c r="L36" s="7" t="n">
        <v>50</v>
      </c>
      <c r="M36" s="10" t="b">
        <f aca="false">FALSE()</f>
        <v>0</v>
      </c>
      <c r="N36" s="7" t="s">
        <v>73</v>
      </c>
      <c r="O36" s="7" t="n">
        <v>-29.46194</v>
      </c>
      <c r="P36" s="7" t="n">
        <v>149.840664</v>
      </c>
    </row>
    <row r="37" customFormat="false" ht="15" hidden="false" customHeight="false" outlineLevel="0" collapsed="false">
      <c r="A37" s="7" t="n">
        <v>36</v>
      </c>
      <c r="B37" s="7"/>
      <c r="C37" s="7" t="s">
        <v>116</v>
      </c>
      <c r="D37" s="7" t="n">
        <v>2737</v>
      </c>
      <c r="E37" s="7" t="s">
        <v>50</v>
      </c>
      <c r="F37" s="10" t="b">
        <f aca="false">FALSE()</f>
        <v>0</v>
      </c>
      <c r="G37" s="7" t="s">
        <v>106</v>
      </c>
      <c r="H37" s="7" t="s">
        <v>51</v>
      </c>
      <c r="I37" s="7" t="n">
        <v>4</v>
      </c>
      <c r="J37" s="7" t="s">
        <v>71</v>
      </c>
      <c r="K37" s="7" t="s">
        <v>117</v>
      </c>
      <c r="L37" s="7" t="n">
        <v>175</v>
      </c>
      <c r="M37" s="10" t="b">
        <f aca="false">FALSE()</f>
        <v>0</v>
      </c>
      <c r="N37" s="7" t="s">
        <v>118</v>
      </c>
      <c r="O37" s="7" t="n">
        <v>-34.576596</v>
      </c>
      <c r="P37" s="7" t="n">
        <v>142.742819</v>
      </c>
    </row>
    <row r="38" customFormat="false" ht="15" hidden="false" customHeight="false" outlineLevel="0" collapsed="false">
      <c r="A38" s="7" t="n">
        <v>37</v>
      </c>
      <c r="B38" s="7" t="s">
        <v>119</v>
      </c>
      <c r="C38" s="7" t="s">
        <v>120</v>
      </c>
      <c r="D38" s="7" t="n">
        <v>2700</v>
      </c>
      <c r="E38" s="7" t="s">
        <v>50</v>
      </c>
      <c r="F38" s="10" t="b">
        <f aca="false">FALSE()</f>
        <v>0</v>
      </c>
      <c r="G38" s="7" t="s">
        <v>121</v>
      </c>
      <c r="H38" s="7" t="s">
        <v>51</v>
      </c>
      <c r="I38" s="7" t="n">
        <v>4</v>
      </c>
      <c r="J38" s="7" t="s">
        <v>71</v>
      </c>
      <c r="K38" s="7" t="s">
        <v>90</v>
      </c>
      <c r="L38" s="7" t="n">
        <v>180</v>
      </c>
      <c r="M38" s="10" t="b">
        <f aca="false">FALSE()</f>
        <v>0</v>
      </c>
      <c r="N38" s="7" t="s">
        <v>76</v>
      </c>
      <c r="O38" s="7" t="n">
        <v>-34.746498</v>
      </c>
      <c r="P38" s="7" t="n">
        <v>146.550076</v>
      </c>
    </row>
    <row r="39" customFormat="false" ht="15" hidden="false" customHeight="false" outlineLevel="0" collapsed="false">
      <c r="A39" s="7" t="n">
        <v>38</v>
      </c>
      <c r="B39" s="7" t="s">
        <v>119</v>
      </c>
      <c r="C39" s="7" t="s">
        <v>120</v>
      </c>
      <c r="D39" s="7" t="n">
        <v>2700</v>
      </c>
      <c r="E39" s="7" t="s">
        <v>50</v>
      </c>
      <c r="F39" s="10" t="b">
        <f aca="false">FALSE()</f>
        <v>0</v>
      </c>
      <c r="G39" s="7" t="s">
        <v>121</v>
      </c>
      <c r="H39" s="7" t="s">
        <v>51</v>
      </c>
      <c r="I39" s="7" t="n">
        <v>2</v>
      </c>
      <c r="J39" s="7" t="s">
        <v>71</v>
      </c>
      <c r="K39" s="7" t="s">
        <v>72</v>
      </c>
      <c r="L39" s="7" t="n">
        <v>50</v>
      </c>
      <c r="M39" s="10" t="b">
        <f aca="false">FALSE()</f>
        <v>0</v>
      </c>
      <c r="N39" s="7" t="s">
        <v>76</v>
      </c>
      <c r="O39" s="7" t="n">
        <v>-34.746497</v>
      </c>
      <c r="P39" s="7" t="n">
        <v>146.550076</v>
      </c>
    </row>
    <row r="40" customFormat="false" ht="15" hidden="false" customHeight="false" outlineLevel="0" collapsed="false">
      <c r="A40" s="7" t="n">
        <v>39</v>
      </c>
      <c r="B40" s="7"/>
      <c r="C40" s="7" t="s">
        <v>122</v>
      </c>
      <c r="D40" s="7" t="n">
        <v>2536</v>
      </c>
      <c r="E40" s="7" t="s">
        <v>50</v>
      </c>
      <c r="F40" s="10" t="b">
        <f aca="false">FALSE()</f>
        <v>0</v>
      </c>
      <c r="G40" s="7" t="s">
        <v>123</v>
      </c>
      <c r="H40" s="7" t="s">
        <v>51</v>
      </c>
      <c r="I40" s="7" t="n">
        <v>2</v>
      </c>
      <c r="J40" s="7" t="s">
        <v>71</v>
      </c>
      <c r="K40" s="7" t="s">
        <v>72</v>
      </c>
      <c r="L40" s="7" t="n">
        <v>50</v>
      </c>
      <c r="M40" s="10" t="b">
        <f aca="false">FALSE()</f>
        <v>0</v>
      </c>
      <c r="N40" s="7" t="s">
        <v>76</v>
      </c>
      <c r="O40" s="7" t="n">
        <v>-35.708512</v>
      </c>
      <c r="P40" s="7" t="n">
        <v>150.175387</v>
      </c>
    </row>
    <row r="41" customFormat="false" ht="15" hidden="false" customHeight="false" outlineLevel="0" collapsed="false">
      <c r="A41" s="7" t="n">
        <v>40</v>
      </c>
      <c r="B41" s="7"/>
      <c r="C41" s="7" t="s">
        <v>124</v>
      </c>
      <c r="D41" s="7" t="n">
        <v>2835</v>
      </c>
      <c r="E41" s="7" t="s">
        <v>50</v>
      </c>
      <c r="F41" s="10" t="b">
        <f aca="false">TRUE()</f>
        <v>1</v>
      </c>
      <c r="G41" s="7" t="s">
        <v>125</v>
      </c>
      <c r="H41" s="7" t="s">
        <v>51</v>
      </c>
      <c r="I41" s="7" t="n">
        <v>2</v>
      </c>
      <c r="J41" s="7" t="s">
        <v>71</v>
      </c>
      <c r="K41" s="7" t="s">
        <v>72</v>
      </c>
      <c r="L41" s="7" t="n">
        <v>50</v>
      </c>
      <c r="M41" s="10" t="b">
        <f aca="false">FALSE()</f>
        <v>0</v>
      </c>
      <c r="N41" s="7" t="s">
        <v>73</v>
      </c>
      <c r="O41" s="7" t="n">
        <v>-31.498839</v>
      </c>
      <c r="P41" s="7" t="n">
        <v>145.837612</v>
      </c>
    </row>
    <row r="42" customFormat="false" ht="15" hidden="false" customHeight="false" outlineLevel="0" collapsed="false">
      <c r="A42" s="7" t="n">
        <v>41</v>
      </c>
      <c r="B42" s="7" t="s">
        <v>126</v>
      </c>
      <c r="C42" s="7" t="s">
        <v>127</v>
      </c>
      <c r="D42" s="7" t="n">
        <v>2312</v>
      </c>
      <c r="E42" s="7" t="s">
        <v>50</v>
      </c>
      <c r="F42" s="10" t="b">
        <f aca="false">FALSE()</f>
        <v>0</v>
      </c>
      <c r="G42" s="7" t="s">
        <v>128</v>
      </c>
      <c r="H42" s="7" t="s">
        <v>51</v>
      </c>
      <c r="I42" s="7" t="n">
        <v>2</v>
      </c>
      <c r="J42" s="7" t="s">
        <v>71</v>
      </c>
      <c r="K42" s="7" t="s">
        <v>72</v>
      </c>
      <c r="L42" s="7" t="n">
        <v>50</v>
      </c>
      <c r="M42" s="10" t="b">
        <f aca="false">FALSE()</f>
        <v>0</v>
      </c>
      <c r="N42" s="7" t="s">
        <v>76</v>
      </c>
      <c r="O42" s="7" t="n">
        <v>-32.099071</v>
      </c>
      <c r="P42" s="7" t="n">
        <v>152.381575</v>
      </c>
    </row>
    <row r="43" customFormat="false" ht="15" hidden="false" customHeight="false" outlineLevel="0" collapsed="false">
      <c r="A43" s="7" t="n">
        <v>42</v>
      </c>
      <c r="B43" s="7"/>
      <c r="C43" s="7" t="s">
        <v>129</v>
      </c>
      <c r="D43" s="7" t="n">
        <v>2170</v>
      </c>
      <c r="E43" s="7" t="s">
        <v>50</v>
      </c>
      <c r="F43" s="10" t="b">
        <f aca="false">FALSE()</f>
        <v>0</v>
      </c>
      <c r="G43" s="7" t="s">
        <v>130</v>
      </c>
      <c r="H43" s="7" t="s">
        <v>51</v>
      </c>
      <c r="I43" s="7" t="n">
        <v>4</v>
      </c>
      <c r="J43" s="7" t="s">
        <v>71</v>
      </c>
      <c r="K43" s="7" t="s">
        <v>117</v>
      </c>
      <c r="L43" s="7" t="n">
        <v>175</v>
      </c>
      <c r="M43" s="10" t="b">
        <f aca="false">FALSE()</f>
        <v>0</v>
      </c>
      <c r="N43" s="7" t="s">
        <v>118</v>
      </c>
      <c r="O43" s="7" t="n">
        <v>-33.930467</v>
      </c>
      <c r="P43" s="7" t="n">
        <v>150.875019</v>
      </c>
    </row>
    <row r="44" customFormat="false" ht="15" hidden="false" customHeight="false" outlineLevel="0" collapsed="false">
      <c r="A44" s="7" t="n">
        <v>43</v>
      </c>
      <c r="B44" s="7"/>
      <c r="C44" s="7" t="s">
        <v>131</v>
      </c>
      <c r="D44" s="7" t="n">
        <v>2839</v>
      </c>
      <c r="E44" s="7" t="s">
        <v>50</v>
      </c>
      <c r="F44" s="10" t="b">
        <f aca="false">TRUE()</f>
        <v>1</v>
      </c>
      <c r="G44" s="7" t="s">
        <v>132</v>
      </c>
      <c r="H44" s="7" t="s">
        <v>51</v>
      </c>
      <c r="I44" s="7" t="n">
        <v>4</v>
      </c>
      <c r="J44" s="7" t="s">
        <v>71</v>
      </c>
      <c r="K44" s="7" t="s">
        <v>83</v>
      </c>
      <c r="L44" s="7" t="n">
        <v>75</v>
      </c>
      <c r="M44" s="10" t="b">
        <f aca="false">FALSE()</f>
        <v>0</v>
      </c>
      <c r="N44" s="7" t="s">
        <v>73</v>
      </c>
      <c r="O44" s="7" t="n">
        <v>-29.960719</v>
      </c>
      <c r="P44" s="7" t="n">
        <v>146.857749</v>
      </c>
    </row>
    <row r="45" customFormat="false" ht="15" hidden="false" customHeight="false" outlineLevel="0" collapsed="false">
      <c r="A45" s="7" t="n">
        <v>44</v>
      </c>
      <c r="B45" s="7"/>
      <c r="C45" s="7" t="s">
        <v>133</v>
      </c>
      <c r="D45" s="7" t="n">
        <v>2620</v>
      </c>
      <c r="E45" s="7" t="s">
        <v>50</v>
      </c>
      <c r="F45" s="10" t="b">
        <f aca="false">FALSE()</f>
        <v>0</v>
      </c>
      <c r="G45" s="7" t="s">
        <v>94</v>
      </c>
      <c r="H45" s="7" t="s">
        <v>51</v>
      </c>
      <c r="I45" s="7" t="n">
        <v>1</v>
      </c>
      <c r="J45" s="7" t="s">
        <v>107</v>
      </c>
      <c r="K45" s="7" t="s">
        <v>108</v>
      </c>
      <c r="L45" s="7" t="n">
        <v>22</v>
      </c>
      <c r="M45" s="10" t="b">
        <f aca="false">FALSE()</f>
        <v>0</v>
      </c>
      <c r="N45" s="7" t="s">
        <v>109</v>
      </c>
      <c r="O45" s="7" t="n">
        <v>-35.354983</v>
      </c>
      <c r="P45" s="7" t="n">
        <v>149.232914</v>
      </c>
    </row>
    <row r="46" customFormat="false" ht="15" hidden="false" customHeight="false" outlineLevel="0" collapsed="false">
      <c r="A46" s="7" t="n">
        <v>45</v>
      </c>
      <c r="B46" s="7"/>
      <c r="C46" s="7" t="s">
        <v>134</v>
      </c>
      <c r="D46" s="7" t="n">
        <v>2444</v>
      </c>
      <c r="E46" s="7" t="s">
        <v>50</v>
      </c>
      <c r="F46" s="10" t="b">
        <f aca="false">FALSE()</f>
        <v>0</v>
      </c>
      <c r="G46" s="7" t="s">
        <v>135</v>
      </c>
      <c r="H46" s="7" t="s">
        <v>51</v>
      </c>
      <c r="I46" s="7" t="n">
        <v>2</v>
      </c>
      <c r="J46" s="7" t="s">
        <v>71</v>
      </c>
      <c r="K46" s="7" t="s">
        <v>72</v>
      </c>
      <c r="L46" s="7" t="n">
        <v>50</v>
      </c>
      <c r="M46" s="10" t="b">
        <f aca="false">FALSE()</f>
        <v>0</v>
      </c>
      <c r="N46" s="7" t="s">
        <v>76</v>
      </c>
      <c r="O46" s="7" t="n">
        <v>-31.457966</v>
      </c>
      <c r="P46" s="7" t="n">
        <v>152.827345</v>
      </c>
    </row>
    <row r="47" customFormat="false" ht="15" hidden="false" customHeight="false" outlineLevel="0" collapsed="false">
      <c r="A47" s="7" t="n">
        <v>46</v>
      </c>
      <c r="B47" s="7"/>
      <c r="C47" s="7" t="s">
        <v>136</v>
      </c>
      <c r="D47" s="7" t="n">
        <v>2827</v>
      </c>
      <c r="E47" s="7" t="s">
        <v>50</v>
      </c>
      <c r="F47" s="10" t="b">
        <f aca="false">TRUE()</f>
        <v>1</v>
      </c>
      <c r="G47" s="7" t="s">
        <v>137</v>
      </c>
      <c r="H47" s="7" t="s">
        <v>51</v>
      </c>
      <c r="I47" s="7" t="n">
        <v>4</v>
      </c>
      <c r="J47" s="7" t="s">
        <v>71</v>
      </c>
      <c r="K47" s="7" t="s">
        <v>83</v>
      </c>
      <c r="L47" s="7" t="n">
        <v>75</v>
      </c>
      <c r="M47" s="10" t="b">
        <f aca="false">FALSE()</f>
        <v>0</v>
      </c>
      <c r="N47" s="7" t="s">
        <v>73</v>
      </c>
      <c r="O47" s="7" t="n">
        <v>-31.722391</v>
      </c>
      <c r="P47" s="7" t="n">
        <v>148.657138</v>
      </c>
    </row>
    <row r="48" customFormat="false" ht="15" hidden="false" customHeight="false" outlineLevel="0" collapsed="false">
      <c r="A48" s="7" t="n">
        <v>47</v>
      </c>
      <c r="B48" s="7"/>
      <c r="C48" s="7" t="s">
        <v>138</v>
      </c>
      <c r="D48" s="7" t="n">
        <v>2790</v>
      </c>
      <c r="E48" s="7" t="s">
        <v>50</v>
      </c>
      <c r="F48" s="10" t="b">
        <f aca="false">FALSE()</f>
        <v>0</v>
      </c>
      <c r="G48" s="7" t="s">
        <v>139</v>
      </c>
      <c r="H48" s="7" t="s">
        <v>51</v>
      </c>
      <c r="I48" s="7" t="n">
        <v>4</v>
      </c>
      <c r="J48" s="7" t="s">
        <v>71</v>
      </c>
      <c r="K48" s="7" t="s">
        <v>72</v>
      </c>
      <c r="L48" s="7" t="n">
        <v>50</v>
      </c>
      <c r="M48" s="10" t="b">
        <f aca="false">FALSE()</f>
        <v>0</v>
      </c>
      <c r="N48" s="7" t="s">
        <v>76</v>
      </c>
      <c r="O48" s="7" t="n">
        <v>-33.478006</v>
      </c>
      <c r="P48" s="7" t="n">
        <v>150.161124</v>
      </c>
    </row>
    <row r="49" customFormat="false" ht="15" hidden="false" customHeight="false" outlineLevel="0" collapsed="false">
      <c r="A49" s="7" t="n">
        <v>48</v>
      </c>
      <c r="B49" s="7"/>
      <c r="C49" s="7" t="s">
        <v>140</v>
      </c>
      <c r="D49" s="7" t="n">
        <v>2287</v>
      </c>
      <c r="E49" s="7" t="s">
        <v>50</v>
      </c>
      <c r="F49" s="10" t="b">
        <f aca="false">FALSE()</f>
        <v>0</v>
      </c>
      <c r="G49" s="7" t="s">
        <v>141</v>
      </c>
      <c r="H49" s="7" t="s">
        <v>51</v>
      </c>
      <c r="I49" s="7" t="n">
        <v>4</v>
      </c>
      <c r="J49" s="7" t="s">
        <v>71</v>
      </c>
      <c r="K49" s="7" t="s">
        <v>72</v>
      </c>
      <c r="L49" s="7" t="n">
        <v>50</v>
      </c>
      <c r="M49" s="10" t="b">
        <f aca="false">FALSE()</f>
        <v>0</v>
      </c>
      <c r="N49" s="7" t="s">
        <v>76</v>
      </c>
      <c r="O49" s="7" t="n">
        <v>-32.902721</v>
      </c>
      <c r="P49" s="7" t="n">
        <v>151.669767</v>
      </c>
    </row>
    <row r="50" customFormat="false" ht="15" hidden="false" customHeight="false" outlineLevel="0" collapsed="false">
      <c r="A50" s="7" t="n">
        <v>49</v>
      </c>
      <c r="B50" s="7"/>
      <c r="C50" s="7" t="s">
        <v>142</v>
      </c>
      <c r="D50" s="7" t="n">
        <v>2794</v>
      </c>
      <c r="E50" s="7" t="s">
        <v>50</v>
      </c>
      <c r="F50" s="10" t="b">
        <f aca="false">FALSE()</f>
        <v>0</v>
      </c>
      <c r="G50" s="7" t="s">
        <v>143</v>
      </c>
      <c r="H50" s="7" t="s">
        <v>51</v>
      </c>
      <c r="I50" s="7" t="n">
        <v>2</v>
      </c>
      <c r="J50" s="7" t="s">
        <v>71</v>
      </c>
      <c r="K50" s="7" t="s">
        <v>72</v>
      </c>
      <c r="L50" s="7" t="n">
        <v>50</v>
      </c>
      <c r="M50" s="10" t="b">
        <f aca="false">FALSE()</f>
        <v>0</v>
      </c>
      <c r="N50" s="7" t="s">
        <v>76</v>
      </c>
      <c r="O50" s="7" t="n">
        <v>-33.834112</v>
      </c>
      <c r="P50" s="7" t="n">
        <v>148.694404</v>
      </c>
    </row>
    <row r="51" customFormat="false" ht="15" hidden="false" customHeight="false" outlineLevel="0" collapsed="false">
      <c r="A51" s="7" t="n">
        <v>50</v>
      </c>
      <c r="B51" s="7"/>
      <c r="C51" s="7" t="s">
        <v>144</v>
      </c>
      <c r="D51" s="7" t="n">
        <v>2795</v>
      </c>
      <c r="E51" s="7" t="s">
        <v>50</v>
      </c>
      <c r="F51" s="10" t="b">
        <f aca="false">FALSE()</f>
        <v>0</v>
      </c>
      <c r="G51" s="7" t="s">
        <v>75</v>
      </c>
      <c r="H51" s="7" t="s">
        <v>51</v>
      </c>
      <c r="I51" s="7" t="n">
        <v>1</v>
      </c>
      <c r="J51" s="7" t="s">
        <v>107</v>
      </c>
      <c r="K51" s="7" t="s">
        <v>108</v>
      </c>
      <c r="L51" s="7" t="n">
        <v>22</v>
      </c>
      <c r="M51" s="10" t="b">
        <f aca="false">FALSE()</f>
        <v>0</v>
      </c>
      <c r="N51" s="7" t="s">
        <v>109</v>
      </c>
      <c r="O51" s="7" t="n">
        <v>-33.413357</v>
      </c>
      <c r="P51" s="7" t="n">
        <v>149.585326</v>
      </c>
    </row>
    <row r="52" customFormat="false" ht="15" hidden="false" customHeight="false" outlineLevel="0" collapsed="false">
      <c r="A52" s="7" t="n">
        <v>51</v>
      </c>
      <c r="B52" s="7"/>
      <c r="C52" s="7" t="s">
        <v>145</v>
      </c>
      <c r="D52" s="7" t="n">
        <v>2795</v>
      </c>
      <c r="E52" s="7" t="s">
        <v>50</v>
      </c>
      <c r="F52" s="10" t="b">
        <f aca="false">FALSE()</f>
        <v>0</v>
      </c>
      <c r="G52" s="7" t="s">
        <v>75</v>
      </c>
      <c r="H52" s="7" t="s">
        <v>51</v>
      </c>
      <c r="I52" s="7" t="n">
        <v>4</v>
      </c>
      <c r="J52" s="7" t="s">
        <v>71</v>
      </c>
      <c r="K52" s="7" t="s">
        <v>117</v>
      </c>
      <c r="L52" s="7" t="n">
        <v>175</v>
      </c>
      <c r="M52" s="10" t="b">
        <f aca="false">FALSE()</f>
        <v>0</v>
      </c>
      <c r="N52" s="7" t="s">
        <v>118</v>
      </c>
      <c r="O52" s="7" t="n">
        <v>-33.413357</v>
      </c>
      <c r="P52" s="7" t="n">
        <v>149.585326</v>
      </c>
    </row>
    <row r="53" customFormat="false" ht="15" hidden="false" customHeight="false" outlineLevel="0" collapsed="false">
      <c r="A53" s="7" t="n">
        <v>52</v>
      </c>
      <c r="B53" s="7"/>
      <c r="C53" s="7" t="s">
        <v>146</v>
      </c>
      <c r="D53" s="7" t="n">
        <v>2650</v>
      </c>
      <c r="E53" s="7" t="s">
        <v>50</v>
      </c>
      <c r="F53" s="10" t="b">
        <f aca="false">TRUE()</f>
        <v>1</v>
      </c>
      <c r="G53" s="7" t="s">
        <v>147</v>
      </c>
      <c r="H53" s="7" t="s">
        <v>51</v>
      </c>
      <c r="I53" s="7" t="n">
        <v>2</v>
      </c>
      <c r="J53" s="7" t="s">
        <v>71</v>
      </c>
      <c r="K53" s="7" t="s">
        <v>72</v>
      </c>
      <c r="L53" s="7" t="n">
        <v>50</v>
      </c>
      <c r="M53" s="10" t="b">
        <f aca="false">FALSE()</f>
        <v>0</v>
      </c>
      <c r="N53" s="7" t="s">
        <v>73</v>
      </c>
      <c r="O53" s="7" t="n">
        <v>-35.108358</v>
      </c>
      <c r="P53" s="7" t="n">
        <v>147.37355</v>
      </c>
    </row>
    <row r="54" customFormat="false" ht="15" hidden="false" customHeight="false" outlineLevel="0" collapsed="false">
      <c r="A54" s="7" t="n">
        <v>53</v>
      </c>
      <c r="B54" s="7"/>
      <c r="C54" s="7" t="s">
        <v>148</v>
      </c>
      <c r="D54" s="7" t="n">
        <v>2380</v>
      </c>
      <c r="E54" s="7" t="s">
        <v>50</v>
      </c>
      <c r="F54" s="10" t="b">
        <f aca="false">FALSE()</f>
        <v>0</v>
      </c>
      <c r="G54" s="7" t="s">
        <v>149</v>
      </c>
      <c r="H54" s="7" t="s">
        <v>51</v>
      </c>
      <c r="I54" s="7" t="n">
        <v>2</v>
      </c>
      <c r="J54" s="7" t="s">
        <v>71</v>
      </c>
      <c r="K54" s="7" t="s">
        <v>72</v>
      </c>
      <c r="L54" s="7" t="n">
        <v>50</v>
      </c>
      <c r="M54" s="10" t="b">
        <f aca="false">FALSE()</f>
        <v>0</v>
      </c>
      <c r="N54" s="7" t="s">
        <v>76</v>
      </c>
      <c r="O54" s="7" t="n">
        <v>-30.978145</v>
      </c>
      <c r="P54" s="7" t="n">
        <v>150.250987</v>
      </c>
    </row>
    <row r="55" customFormat="false" ht="15" hidden="false" customHeight="false" outlineLevel="0" collapsed="false">
      <c r="A55" s="7" t="n">
        <v>54</v>
      </c>
      <c r="B55" s="7"/>
      <c r="C55" s="7" t="s">
        <v>150</v>
      </c>
      <c r="D55" s="7" t="n">
        <v>2453</v>
      </c>
      <c r="E55" s="7" t="s">
        <v>50</v>
      </c>
      <c r="F55" s="10" t="b">
        <f aca="false">TRUE()</f>
        <v>1</v>
      </c>
      <c r="G55" s="7" t="s">
        <v>151</v>
      </c>
      <c r="H55" s="7" t="s">
        <v>51</v>
      </c>
      <c r="I55" s="7" t="n">
        <v>4</v>
      </c>
      <c r="J55" s="7" t="s">
        <v>71</v>
      </c>
      <c r="K55" s="7" t="s">
        <v>83</v>
      </c>
      <c r="L55" s="7" t="n">
        <v>75</v>
      </c>
      <c r="M55" s="10" t="b">
        <f aca="false">FALSE()</f>
        <v>0</v>
      </c>
      <c r="N55" s="7" t="s">
        <v>73</v>
      </c>
      <c r="O55" s="7" t="n">
        <v>-30.338496</v>
      </c>
      <c r="P55" s="7" t="n">
        <v>152.712778</v>
      </c>
    </row>
    <row r="56" customFormat="false" ht="15" hidden="false" customHeight="false" outlineLevel="0" collapsed="false">
      <c r="A56" s="7" t="n">
        <v>55</v>
      </c>
      <c r="B56" s="7"/>
      <c r="C56" s="7" t="s">
        <v>152</v>
      </c>
      <c r="D56" s="7" t="n">
        <v>2582</v>
      </c>
      <c r="E56" s="7" t="s">
        <v>50</v>
      </c>
      <c r="F56" s="10" t="b">
        <f aca="false">TRUE()</f>
        <v>1</v>
      </c>
      <c r="G56" s="7" t="s">
        <v>153</v>
      </c>
      <c r="H56" s="7" t="s">
        <v>51</v>
      </c>
      <c r="I56" s="7" t="n">
        <v>2</v>
      </c>
      <c r="J56" s="7" t="s">
        <v>71</v>
      </c>
      <c r="K56" s="7" t="s">
        <v>72</v>
      </c>
      <c r="L56" s="7" t="n">
        <v>50</v>
      </c>
      <c r="M56" s="10" t="b">
        <f aca="false">FALSE()</f>
        <v>0</v>
      </c>
      <c r="N56" s="7" t="s">
        <v>73</v>
      </c>
      <c r="O56" s="7" t="n">
        <v>-34.841228</v>
      </c>
      <c r="P56" s="7" t="n">
        <v>148.912485</v>
      </c>
    </row>
    <row r="57" customFormat="false" ht="15" hidden="false" customHeight="false" outlineLevel="0" collapsed="false">
      <c r="A57" s="7" t="n">
        <v>56</v>
      </c>
      <c r="B57" s="7"/>
      <c r="C57" s="7" t="s">
        <v>154</v>
      </c>
      <c r="D57" s="7" t="n">
        <v>2350</v>
      </c>
      <c r="E57" s="7" t="s">
        <v>50</v>
      </c>
      <c r="F57" s="10" t="b">
        <f aca="false">TRUE()</f>
        <v>1</v>
      </c>
      <c r="G57" s="7" t="s">
        <v>155</v>
      </c>
      <c r="H57" s="7" t="s">
        <v>51</v>
      </c>
      <c r="I57" s="7" t="n">
        <v>2</v>
      </c>
      <c r="J57" s="7" t="s">
        <v>71</v>
      </c>
      <c r="K57" s="7" t="s">
        <v>72</v>
      </c>
      <c r="L57" s="7" t="n">
        <v>50</v>
      </c>
      <c r="M57" s="10" t="b">
        <f aca="false">FALSE()</f>
        <v>0</v>
      </c>
      <c r="N57" s="7" t="s">
        <v>73</v>
      </c>
      <c r="O57" s="7" t="n">
        <v>-30.511924</v>
      </c>
      <c r="P57" s="7" t="n">
        <v>151.669672</v>
      </c>
    </row>
    <row r="58" customFormat="false" ht="15" hidden="false" customHeight="false" outlineLevel="0" collapsed="false">
      <c r="A58" s="7" t="n">
        <v>57</v>
      </c>
      <c r="B58" s="7"/>
      <c r="C58" s="7" t="s">
        <v>156</v>
      </c>
      <c r="D58" s="7" t="n">
        <v>2750</v>
      </c>
      <c r="E58" s="7" t="s">
        <v>50</v>
      </c>
      <c r="F58" s="10" t="b">
        <f aca="false">FALSE()</f>
        <v>0</v>
      </c>
      <c r="G58" s="7"/>
      <c r="H58" s="7" t="s">
        <v>51</v>
      </c>
      <c r="I58" s="7" t="n">
        <v>4</v>
      </c>
      <c r="J58" s="7" t="s">
        <v>52</v>
      </c>
      <c r="K58" s="7" t="s">
        <v>53</v>
      </c>
      <c r="L58" s="7" t="n">
        <v>350</v>
      </c>
      <c r="M58" s="10" t="b">
        <f aca="false">TRUE()</f>
        <v>1</v>
      </c>
      <c r="N58" s="7"/>
      <c r="O58" s="7" t="n">
        <v>-33.764666</v>
      </c>
      <c r="P58" s="7" t="n">
        <v>150.682426</v>
      </c>
    </row>
    <row r="59" customFormat="false" ht="15" hidden="false" customHeight="false" outlineLevel="0" collapsed="false">
      <c r="A59" s="7" t="n">
        <v>58</v>
      </c>
      <c r="B59" s="7"/>
      <c r="C59" s="7" t="s">
        <v>157</v>
      </c>
      <c r="D59" s="7" t="n">
        <v>2390</v>
      </c>
      <c r="E59" s="7" t="s">
        <v>50</v>
      </c>
      <c r="F59" s="10" t="b">
        <f aca="false">TRUE()</f>
        <v>1</v>
      </c>
      <c r="G59" s="7" t="s">
        <v>158</v>
      </c>
      <c r="H59" s="7" t="s">
        <v>51</v>
      </c>
      <c r="I59" s="7" t="n">
        <v>4</v>
      </c>
      <c r="J59" s="7" t="s">
        <v>71</v>
      </c>
      <c r="K59" s="7" t="s">
        <v>72</v>
      </c>
      <c r="L59" s="7" t="n">
        <v>50</v>
      </c>
      <c r="M59" s="10" t="b">
        <f aca="false">FALSE()</f>
        <v>0</v>
      </c>
      <c r="N59" s="7" t="s">
        <v>73</v>
      </c>
      <c r="O59" s="7" t="n">
        <v>-30.325089</v>
      </c>
      <c r="P59" s="7" t="n">
        <v>149.783901</v>
      </c>
    </row>
    <row r="60" customFormat="false" ht="15" hidden="false" customHeight="false" outlineLevel="0" collapsed="false">
      <c r="A60" s="7" t="n">
        <v>59</v>
      </c>
      <c r="B60" s="7"/>
      <c r="C60" s="7" t="s">
        <v>159</v>
      </c>
      <c r="D60" s="7" t="n">
        <v>2715</v>
      </c>
      <c r="E60" s="7" t="s">
        <v>50</v>
      </c>
      <c r="F60" s="10" t="b">
        <f aca="false">FALSE()</f>
        <v>0</v>
      </c>
      <c r="G60" s="7" t="s">
        <v>106</v>
      </c>
      <c r="H60" s="7" t="s">
        <v>51</v>
      </c>
      <c r="I60" s="7" t="n">
        <v>2</v>
      </c>
      <c r="J60" s="7" t="s">
        <v>71</v>
      </c>
      <c r="K60" s="7" t="s">
        <v>72</v>
      </c>
      <c r="L60" s="7" t="n">
        <v>50</v>
      </c>
      <c r="M60" s="10" t="b">
        <f aca="false">FALSE()</f>
        <v>0</v>
      </c>
      <c r="N60" s="7" t="s">
        <v>76</v>
      </c>
      <c r="O60" s="7" t="n">
        <v>-34.639541</v>
      </c>
      <c r="P60" s="7" t="n">
        <v>143.564708</v>
      </c>
    </row>
    <row r="61" customFormat="false" ht="15" hidden="false" customHeight="false" outlineLevel="0" collapsed="false">
      <c r="A61" s="7" t="n">
        <v>60</v>
      </c>
      <c r="B61" s="7"/>
      <c r="C61" s="7" t="s">
        <v>160</v>
      </c>
      <c r="D61" s="7" t="n">
        <v>2575</v>
      </c>
      <c r="E61" s="7" t="s">
        <v>50</v>
      </c>
      <c r="F61" s="10" t="b">
        <f aca="false">FALSE()</f>
        <v>0</v>
      </c>
      <c r="G61" s="7" t="s">
        <v>161</v>
      </c>
      <c r="H61" s="7" t="s">
        <v>51</v>
      </c>
      <c r="I61" s="7" t="n">
        <v>2</v>
      </c>
      <c r="J61" s="7" t="s">
        <v>107</v>
      </c>
      <c r="K61" s="7" t="s">
        <v>162</v>
      </c>
      <c r="L61" s="7" t="n">
        <v>20</v>
      </c>
      <c r="M61" s="10" t="b">
        <f aca="false">FALSE()</f>
        <v>0</v>
      </c>
      <c r="N61" s="7" t="s">
        <v>109</v>
      </c>
      <c r="O61" s="7" t="n">
        <v>-34.450088</v>
      </c>
      <c r="P61" s="7" t="n">
        <v>150.442458</v>
      </c>
    </row>
    <row r="62" customFormat="false" ht="15" hidden="false" customHeight="false" outlineLevel="0" collapsed="false">
      <c r="A62" s="7" t="n">
        <v>61</v>
      </c>
      <c r="B62" s="7"/>
      <c r="C62" s="7" t="s">
        <v>163</v>
      </c>
      <c r="D62" s="7" t="n">
        <v>2488</v>
      </c>
      <c r="E62" s="7" t="s">
        <v>50</v>
      </c>
      <c r="F62" s="10" t="b">
        <f aca="false">FALSE()</f>
        <v>0</v>
      </c>
      <c r="G62" s="7" t="s">
        <v>164</v>
      </c>
      <c r="H62" s="7" t="s">
        <v>51</v>
      </c>
      <c r="I62" s="7" t="n">
        <v>4</v>
      </c>
      <c r="J62" s="7" t="s">
        <v>71</v>
      </c>
      <c r="K62" s="7" t="s">
        <v>117</v>
      </c>
      <c r="L62" s="7" t="n">
        <v>175</v>
      </c>
      <c r="M62" s="10" t="b">
        <f aca="false">FALSE()</f>
        <v>0</v>
      </c>
      <c r="N62" s="7" t="s">
        <v>118</v>
      </c>
      <c r="O62" s="7" t="n">
        <v>-28.33165</v>
      </c>
      <c r="P62" s="7" t="n">
        <v>153.56428</v>
      </c>
    </row>
    <row r="63" customFormat="false" ht="15" hidden="false" customHeight="false" outlineLevel="0" collapsed="false">
      <c r="A63" s="7" t="n">
        <v>62</v>
      </c>
      <c r="B63" s="7"/>
      <c r="C63" s="7" t="s">
        <v>165</v>
      </c>
      <c r="D63" s="7" t="n">
        <v>2488</v>
      </c>
      <c r="E63" s="7" t="s">
        <v>50</v>
      </c>
      <c r="F63" s="10" t="b">
        <f aca="false">FALSE()</f>
        <v>0</v>
      </c>
      <c r="G63" s="7" t="s">
        <v>164</v>
      </c>
      <c r="H63" s="7" t="s">
        <v>51</v>
      </c>
      <c r="I63" s="7" t="n">
        <v>1</v>
      </c>
      <c r="J63" s="7" t="s">
        <v>107</v>
      </c>
      <c r="K63" s="7" t="s">
        <v>108</v>
      </c>
      <c r="L63" s="7" t="n">
        <v>22</v>
      </c>
      <c r="M63" s="10" t="b">
        <f aca="false">FALSE()</f>
        <v>0</v>
      </c>
      <c r="N63" s="7" t="s">
        <v>109</v>
      </c>
      <c r="O63" s="7" t="n">
        <v>-28.331692</v>
      </c>
      <c r="P63" s="7" t="n">
        <v>153.564141</v>
      </c>
    </row>
    <row r="64" customFormat="false" ht="15" hidden="false" customHeight="false" outlineLevel="0" collapsed="false">
      <c r="A64" s="7" t="n">
        <v>63</v>
      </c>
      <c r="B64" s="7"/>
      <c r="C64" s="7" t="s">
        <v>166</v>
      </c>
      <c r="D64" s="7" t="n">
        <v>2800</v>
      </c>
      <c r="E64" s="7" t="s">
        <v>50</v>
      </c>
      <c r="F64" s="10" t="b">
        <f aca="false">FALSE()</f>
        <v>0</v>
      </c>
      <c r="G64" s="7" t="s">
        <v>167</v>
      </c>
      <c r="H64" s="7" t="s">
        <v>51</v>
      </c>
      <c r="I64" s="7" t="n">
        <v>2</v>
      </c>
      <c r="J64" s="7" t="s">
        <v>71</v>
      </c>
      <c r="K64" s="7" t="s">
        <v>72</v>
      </c>
      <c r="L64" s="7" t="n">
        <v>50</v>
      </c>
      <c r="M64" s="10" t="b">
        <f aca="false">FALSE()</f>
        <v>0</v>
      </c>
      <c r="N64" s="7" t="s">
        <v>76</v>
      </c>
      <c r="O64" s="7" t="n">
        <v>-33.281426</v>
      </c>
      <c r="P64" s="7" t="n">
        <v>149.10279</v>
      </c>
    </row>
    <row r="65" customFormat="false" ht="15" hidden="false" customHeight="false" outlineLevel="0" collapsed="false">
      <c r="A65" s="7" t="n">
        <v>64</v>
      </c>
      <c r="B65" s="7"/>
      <c r="C65" s="7" t="s">
        <v>168</v>
      </c>
      <c r="D65" s="7" t="n">
        <v>2360</v>
      </c>
      <c r="E65" s="7" t="s">
        <v>50</v>
      </c>
      <c r="F65" s="10" t="b">
        <f aca="false">TRUE()</f>
        <v>1</v>
      </c>
      <c r="G65" s="7" t="s">
        <v>169</v>
      </c>
      <c r="H65" s="7" t="s">
        <v>51</v>
      </c>
      <c r="I65" s="7" t="n">
        <v>2</v>
      </c>
      <c r="J65" s="7" t="s">
        <v>71</v>
      </c>
      <c r="K65" s="7" t="s">
        <v>83</v>
      </c>
      <c r="L65" s="7" t="n">
        <v>75</v>
      </c>
      <c r="M65" s="10" t="b">
        <f aca="false">FALSE()</f>
        <v>0</v>
      </c>
      <c r="N65" s="7" t="s">
        <v>73</v>
      </c>
      <c r="O65" s="7" t="n">
        <v>-29.774603</v>
      </c>
      <c r="P65" s="7" t="n">
        <v>151.11472</v>
      </c>
    </row>
    <row r="66" customFormat="false" ht="15" hidden="false" customHeight="false" outlineLevel="0" collapsed="false">
      <c r="A66" s="7" t="n">
        <v>65</v>
      </c>
      <c r="B66" s="7"/>
      <c r="C66" s="7" t="s">
        <v>170</v>
      </c>
      <c r="D66" s="7" t="n">
        <v>2666</v>
      </c>
      <c r="E66" s="7" t="s">
        <v>50</v>
      </c>
      <c r="F66" s="10" t="b">
        <f aca="false">TRUE()</f>
        <v>1</v>
      </c>
      <c r="G66" s="7" t="s">
        <v>171</v>
      </c>
      <c r="H66" s="7" t="s">
        <v>51</v>
      </c>
      <c r="I66" s="7" t="n">
        <v>2</v>
      </c>
      <c r="J66" s="7" t="s">
        <v>71</v>
      </c>
      <c r="K66" s="7" t="s">
        <v>72</v>
      </c>
      <c r="L66" s="7" t="n">
        <v>50</v>
      </c>
      <c r="M66" s="10" t="b">
        <f aca="false">FALSE()</f>
        <v>0</v>
      </c>
      <c r="N66" s="7" t="s">
        <v>73</v>
      </c>
      <c r="O66" s="7" t="n">
        <v>-34.446034</v>
      </c>
      <c r="P66" s="7" t="n">
        <v>147.534258</v>
      </c>
    </row>
    <row r="67" customFormat="false" ht="15" hidden="false" customHeight="false" outlineLevel="0" collapsed="false">
      <c r="A67" s="7" t="n">
        <v>66</v>
      </c>
      <c r="B67" s="7"/>
      <c r="C67" s="7" t="s">
        <v>172</v>
      </c>
      <c r="D67" s="7" t="n">
        <v>2659</v>
      </c>
      <c r="E67" s="7" t="s">
        <v>50</v>
      </c>
      <c r="F67" s="10" t="b">
        <f aca="false">FALSE()</f>
        <v>0</v>
      </c>
      <c r="G67" s="7" t="s">
        <v>173</v>
      </c>
      <c r="H67" s="7" t="s">
        <v>51</v>
      </c>
      <c r="I67" s="7" t="n">
        <v>1</v>
      </c>
      <c r="J67" s="7" t="s">
        <v>107</v>
      </c>
      <c r="K67" s="7" t="s">
        <v>108</v>
      </c>
      <c r="L67" s="7" t="n">
        <v>22</v>
      </c>
      <c r="M67" s="10" t="b">
        <f aca="false">FALSE()</f>
        <v>0</v>
      </c>
      <c r="N67" s="7" t="s">
        <v>109</v>
      </c>
      <c r="O67" s="7" t="n">
        <v>-35.764937</v>
      </c>
      <c r="P67" s="7" t="n">
        <v>146.901041</v>
      </c>
    </row>
    <row r="68" customFormat="false" ht="15" hidden="false" customHeight="false" outlineLevel="0" collapsed="false">
      <c r="A68" s="7" t="n">
        <v>67</v>
      </c>
      <c r="B68" s="7"/>
      <c r="C68" s="7" t="s">
        <v>174</v>
      </c>
      <c r="D68" s="7" t="n">
        <v>2357</v>
      </c>
      <c r="E68" s="7" t="s">
        <v>50</v>
      </c>
      <c r="F68" s="10" t="b">
        <f aca="false">FALSE()</f>
        <v>0</v>
      </c>
      <c r="G68" s="7" t="s">
        <v>175</v>
      </c>
      <c r="H68" s="7" t="s">
        <v>51</v>
      </c>
      <c r="I68" s="7" t="n">
        <v>2</v>
      </c>
      <c r="J68" s="7" t="s">
        <v>71</v>
      </c>
      <c r="K68" s="7" t="s">
        <v>72</v>
      </c>
      <c r="L68" s="7" t="n">
        <v>50</v>
      </c>
      <c r="M68" s="10" t="b">
        <f aca="false">FALSE()</f>
        <v>0</v>
      </c>
      <c r="N68" s="7" t="s">
        <v>76</v>
      </c>
      <c r="O68" s="7" t="n">
        <v>-31.2788</v>
      </c>
      <c r="P68" s="7" t="n">
        <v>149.279243</v>
      </c>
    </row>
    <row r="69" customFormat="false" ht="15" hidden="false" customHeight="false" outlineLevel="0" collapsed="false">
      <c r="A69" s="7" t="n">
        <v>68</v>
      </c>
      <c r="B69" s="7"/>
      <c r="C69" s="7" t="s">
        <v>176</v>
      </c>
      <c r="D69" s="7" t="n">
        <v>2627</v>
      </c>
      <c r="E69" s="7" t="s">
        <v>50</v>
      </c>
      <c r="F69" s="10" t="b">
        <f aca="false">FALSE()</f>
        <v>0</v>
      </c>
      <c r="G69" s="7" t="s">
        <v>177</v>
      </c>
      <c r="H69" s="7" t="s">
        <v>51</v>
      </c>
      <c r="I69" s="7" t="n">
        <v>4</v>
      </c>
      <c r="J69" s="7" t="s">
        <v>71</v>
      </c>
      <c r="K69" s="7" t="s">
        <v>72</v>
      </c>
      <c r="L69" s="7" t="n">
        <v>50</v>
      </c>
      <c r="M69" s="10" t="b">
        <f aca="false">FALSE()</f>
        <v>0</v>
      </c>
      <c r="N69" s="7" t="s">
        <v>76</v>
      </c>
      <c r="O69" s="7" t="n">
        <v>-36.415952</v>
      </c>
      <c r="P69" s="7" t="n">
        <v>148.619804</v>
      </c>
    </row>
    <row r="70" customFormat="false" ht="15" hidden="false" customHeight="false" outlineLevel="0" collapsed="false">
      <c r="A70" s="7" t="n">
        <v>69</v>
      </c>
      <c r="B70" s="7"/>
      <c r="C70" s="7" t="s">
        <v>178</v>
      </c>
      <c r="D70" s="7" t="n">
        <v>2620</v>
      </c>
      <c r="E70" s="7" t="s">
        <v>50</v>
      </c>
      <c r="F70" s="10" t="b">
        <f aca="false">FALSE()</f>
        <v>0</v>
      </c>
      <c r="G70" s="7" t="s">
        <v>94</v>
      </c>
      <c r="H70" s="7" t="s">
        <v>51</v>
      </c>
      <c r="I70" s="7" t="n">
        <v>4</v>
      </c>
      <c r="J70" s="7" t="s">
        <v>71</v>
      </c>
      <c r="K70" s="7" t="s">
        <v>117</v>
      </c>
      <c r="L70" s="7" t="n">
        <v>175</v>
      </c>
      <c r="M70" s="10" t="b">
        <f aca="false">FALSE()</f>
        <v>0</v>
      </c>
      <c r="N70" s="7" t="s">
        <v>118</v>
      </c>
      <c r="O70" s="7" t="n">
        <v>-35.354983</v>
      </c>
      <c r="P70" s="7" t="n">
        <v>149.232915</v>
      </c>
    </row>
    <row r="71" customFormat="false" ht="15" hidden="false" customHeight="false" outlineLevel="0" collapsed="false">
      <c r="A71" s="7" t="n">
        <v>70</v>
      </c>
      <c r="B71" s="7"/>
      <c r="C71" s="7" t="s">
        <v>179</v>
      </c>
      <c r="D71" s="7" t="n">
        <v>2870</v>
      </c>
      <c r="E71" s="7" t="s">
        <v>50</v>
      </c>
      <c r="F71" s="10" t="b">
        <f aca="false">FALSE()</f>
        <v>0</v>
      </c>
      <c r="G71" s="7" t="s">
        <v>180</v>
      </c>
      <c r="H71" s="7" t="s">
        <v>51</v>
      </c>
      <c r="I71" s="7" t="n">
        <v>2</v>
      </c>
      <c r="J71" s="7" t="s">
        <v>71</v>
      </c>
      <c r="K71" s="7" t="s">
        <v>83</v>
      </c>
      <c r="L71" s="7" t="n">
        <v>75</v>
      </c>
      <c r="M71" s="10" t="b">
        <f aca="false">FALSE()</f>
        <v>0</v>
      </c>
      <c r="N71" s="7" t="s">
        <v>76</v>
      </c>
      <c r="O71" s="7" t="n">
        <v>-33.137207</v>
      </c>
      <c r="P71" s="7" t="n">
        <v>148.172618</v>
      </c>
    </row>
    <row r="72" customFormat="false" ht="15" hidden="false" customHeight="false" outlineLevel="0" collapsed="false">
      <c r="A72" s="7" t="n">
        <v>71</v>
      </c>
      <c r="B72" s="7"/>
      <c r="C72" s="7" t="s">
        <v>181</v>
      </c>
      <c r="D72" s="7" t="n">
        <v>2000</v>
      </c>
      <c r="E72" s="7" t="s">
        <v>50</v>
      </c>
      <c r="F72" s="10" t="b">
        <f aca="false">FALSE()</f>
        <v>0</v>
      </c>
      <c r="G72" s="7" t="s">
        <v>182</v>
      </c>
      <c r="H72" s="7" t="s">
        <v>51</v>
      </c>
      <c r="I72" s="7" t="n">
        <v>20</v>
      </c>
      <c r="J72" s="7" t="s">
        <v>107</v>
      </c>
      <c r="K72" s="7" t="s">
        <v>108</v>
      </c>
      <c r="L72" s="7" t="n">
        <v>22</v>
      </c>
      <c r="M72" s="10" t="b">
        <f aca="false">FALSE()</f>
        <v>0</v>
      </c>
      <c r="N72" s="7" t="s">
        <v>109</v>
      </c>
      <c r="O72" s="7" t="n">
        <v>-33.87515</v>
      </c>
      <c r="P72" s="7" t="n">
        <v>151.199564</v>
      </c>
    </row>
    <row r="73" customFormat="false" ht="15" hidden="false" customHeight="false" outlineLevel="0" collapsed="false">
      <c r="A73" s="7" t="n">
        <v>72</v>
      </c>
      <c r="B73" s="7"/>
      <c r="C73" s="7" t="s">
        <v>181</v>
      </c>
      <c r="D73" s="7" t="n">
        <v>2000</v>
      </c>
      <c r="E73" s="7" t="s">
        <v>50</v>
      </c>
      <c r="F73" s="10" t="b">
        <f aca="false">FALSE()</f>
        <v>0</v>
      </c>
      <c r="G73" s="7" t="s">
        <v>182</v>
      </c>
      <c r="H73" s="7" t="s">
        <v>51</v>
      </c>
      <c r="I73" s="7" t="n">
        <v>5</v>
      </c>
      <c r="J73" s="7" t="s">
        <v>107</v>
      </c>
      <c r="K73" s="7" t="s">
        <v>108</v>
      </c>
      <c r="L73" s="7" t="n">
        <v>22</v>
      </c>
      <c r="M73" s="10" t="b">
        <f aca="false">FALSE()</f>
        <v>0</v>
      </c>
      <c r="N73" s="7" t="s">
        <v>109</v>
      </c>
      <c r="O73" s="7" t="n">
        <v>-33.876752</v>
      </c>
      <c r="P73" s="7" t="n">
        <v>151.20002</v>
      </c>
    </row>
    <row r="74" customFormat="false" ht="15" hidden="false" customHeight="false" outlineLevel="0" collapsed="false">
      <c r="A74" s="7" t="n">
        <v>73</v>
      </c>
      <c r="B74" s="7"/>
      <c r="C74" s="7" t="s">
        <v>183</v>
      </c>
      <c r="D74" s="7" t="n">
        <v>2790</v>
      </c>
      <c r="E74" s="7" t="s">
        <v>50</v>
      </c>
      <c r="F74" s="10" t="b">
        <f aca="false">FALSE()</f>
        <v>0</v>
      </c>
      <c r="G74" s="7" t="s">
        <v>139</v>
      </c>
      <c r="H74" s="7" t="s">
        <v>51</v>
      </c>
      <c r="I74" s="7" t="n">
        <v>4</v>
      </c>
      <c r="J74" s="7" t="s">
        <v>71</v>
      </c>
      <c r="K74" s="7" t="s">
        <v>90</v>
      </c>
      <c r="L74" s="7" t="n">
        <v>180</v>
      </c>
      <c r="M74" s="10" t="b">
        <f aca="false">FALSE()</f>
        <v>0</v>
      </c>
      <c r="N74" s="7" t="s">
        <v>76</v>
      </c>
      <c r="O74" s="7" t="n">
        <v>-33.481238</v>
      </c>
      <c r="P74" s="7" t="n">
        <v>150.158802</v>
      </c>
    </row>
    <row r="75" customFormat="false" ht="15" hidden="false" customHeight="false" outlineLevel="0" collapsed="false">
      <c r="A75" s="7" t="n">
        <v>74</v>
      </c>
      <c r="B75" s="7"/>
      <c r="C75" s="7" t="s">
        <v>184</v>
      </c>
      <c r="D75" s="7" t="n">
        <v>2866</v>
      </c>
      <c r="E75" s="7" t="s">
        <v>50</v>
      </c>
      <c r="F75" s="10" t="b">
        <f aca="false">FALSE()</f>
        <v>0</v>
      </c>
      <c r="G75" s="7" t="s">
        <v>185</v>
      </c>
      <c r="H75" s="7" t="s">
        <v>51</v>
      </c>
      <c r="I75" s="7" t="n">
        <v>1</v>
      </c>
      <c r="J75" s="7" t="s">
        <v>107</v>
      </c>
      <c r="K75" s="7" t="s">
        <v>108</v>
      </c>
      <c r="L75" s="7" t="n">
        <v>22</v>
      </c>
      <c r="M75" s="10" t="b">
        <f aca="false">FALSE()</f>
        <v>0</v>
      </c>
      <c r="N75" s="7" t="s">
        <v>109</v>
      </c>
      <c r="O75" s="7" t="n">
        <v>-33.090899</v>
      </c>
      <c r="P75" s="7" t="n">
        <v>148.870414</v>
      </c>
    </row>
    <row r="76" customFormat="false" ht="15" hidden="false" customHeight="false" outlineLevel="0" collapsed="false">
      <c r="A76" s="7" t="n">
        <v>75</v>
      </c>
      <c r="B76" s="7"/>
      <c r="C76" s="7" t="s">
        <v>186</v>
      </c>
      <c r="D76" s="7" t="n">
        <v>2866</v>
      </c>
      <c r="E76" s="7" t="s">
        <v>50</v>
      </c>
      <c r="F76" s="10" t="b">
        <f aca="false">FALSE()</f>
        <v>0</v>
      </c>
      <c r="G76" s="7" t="s">
        <v>185</v>
      </c>
      <c r="H76" s="7" t="s">
        <v>51</v>
      </c>
      <c r="I76" s="7" t="n">
        <v>4</v>
      </c>
      <c r="J76" s="7" t="s">
        <v>71</v>
      </c>
      <c r="K76" s="7" t="s">
        <v>117</v>
      </c>
      <c r="L76" s="7" t="n">
        <v>175</v>
      </c>
      <c r="M76" s="10" t="b">
        <f aca="false">FALSE()</f>
        <v>0</v>
      </c>
      <c r="N76" s="7" t="s">
        <v>118</v>
      </c>
      <c r="O76" s="7" t="n">
        <v>-33.091201</v>
      </c>
      <c r="P76" s="7" t="n">
        <v>148.870661</v>
      </c>
    </row>
    <row r="77" customFormat="false" ht="15" hidden="false" customHeight="false" outlineLevel="0" collapsed="false">
      <c r="A77" s="7" t="n">
        <v>76</v>
      </c>
      <c r="B77" s="7"/>
      <c r="C77" s="7" t="s">
        <v>187</v>
      </c>
      <c r="D77" s="7" t="n">
        <v>2550</v>
      </c>
      <c r="E77" s="7" t="s">
        <v>50</v>
      </c>
      <c r="F77" s="10" t="b">
        <f aca="false">FALSE()</f>
        <v>0</v>
      </c>
      <c r="G77" s="7" t="s">
        <v>188</v>
      </c>
      <c r="H77" s="7" t="s">
        <v>51</v>
      </c>
      <c r="I77" s="7" t="n">
        <v>2</v>
      </c>
      <c r="J77" s="7" t="s">
        <v>71</v>
      </c>
      <c r="K77" s="7" t="s">
        <v>72</v>
      </c>
      <c r="L77" s="7" t="n">
        <v>50</v>
      </c>
      <c r="M77" s="10" t="b">
        <f aca="false">FALSE()</f>
        <v>0</v>
      </c>
      <c r="N77" s="7" t="s">
        <v>76</v>
      </c>
      <c r="O77" s="7" t="n">
        <v>-36.673247</v>
      </c>
      <c r="P77" s="7" t="n">
        <v>149.843047</v>
      </c>
    </row>
    <row r="78" customFormat="false" ht="15" hidden="false" customHeight="false" outlineLevel="0" collapsed="false">
      <c r="A78" s="7" t="n">
        <v>77</v>
      </c>
      <c r="B78" s="7"/>
      <c r="C78" s="7" t="s">
        <v>189</v>
      </c>
      <c r="D78" s="7" t="n">
        <v>2446</v>
      </c>
      <c r="E78" s="7" t="s">
        <v>50</v>
      </c>
      <c r="F78" s="10" t="b">
        <f aca="false">FALSE()</f>
        <v>0</v>
      </c>
      <c r="G78" s="7" t="s">
        <v>135</v>
      </c>
      <c r="H78" s="7" t="s">
        <v>51</v>
      </c>
      <c r="I78" s="7" t="n">
        <v>4</v>
      </c>
      <c r="J78" s="7" t="s">
        <v>71</v>
      </c>
      <c r="K78" s="7" t="s">
        <v>190</v>
      </c>
      <c r="L78" s="7" t="n">
        <v>60</v>
      </c>
      <c r="M78" s="10" t="b">
        <f aca="false">FALSE()</f>
        <v>0</v>
      </c>
      <c r="N78" s="7" t="s">
        <v>76</v>
      </c>
      <c r="O78" s="7" t="n">
        <v>-31.456154</v>
      </c>
      <c r="P78" s="7" t="n">
        <v>152.732723</v>
      </c>
    </row>
    <row r="79" customFormat="false" ht="15" hidden="false" customHeight="false" outlineLevel="0" collapsed="false">
      <c r="A79" s="7" t="n">
        <v>78</v>
      </c>
      <c r="B79" s="7"/>
      <c r="C79" s="7" t="s">
        <v>129</v>
      </c>
      <c r="D79" s="7" t="n">
        <v>2170</v>
      </c>
      <c r="E79" s="7" t="s">
        <v>50</v>
      </c>
      <c r="F79" s="10" t="b">
        <f aca="false">FALSE()</f>
        <v>0</v>
      </c>
      <c r="G79" s="7" t="s">
        <v>130</v>
      </c>
      <c r="H79" s="7" t="s">
        <v>51</v>
      </c>
      <c r="I79" s="7" t="n">
        <v>6</v>
      </c>
      <c r="J79" s="7" t="s">
        <v>107</v>
      </c>
      <c r="K79" s="7" t="s">
        <v>108</v>
      </c>
      <c r="L79" s="7" t="n">
        <v>22</v>
      </c>
      <c r="M79" s="10" t="b">
        <f aca="false">FALSE()</f>
        <v>0</v>
      </c>
      <c r="N79" s="7" t="s">
        <v>109</v>
      </c>
      <c r="O79" s="7" t="n">
        <v>-33.930251</v>
      </c>
      <c r="P79" s="7" t="n">
        <v>150.875629</v>
      </c>
    </row>
    <row r="80" customFormat="false" ht="15" hidden="false" customHeight="false" outlineLevel="0" collapsed="false">
      <c r="A80" s="7" t="n">
        <v>79</v>
      </c>
      <c r="B80" s="7"/>
      <c r="C80" s="7" t="s">
        <v>191</v>
      </c>
      <c r="D80" s="7" t="n">
        <v>2340</v>
      </c>
      <c r="E80" s="7" t="s">
        <v>50</v>
      </c>
      <c r="F80" s="10" t="b">
        <f aca="false">FALSE()</f>
        <v>0</v>
      </c>
      <c r="G80" s="7" t="s">
        <v>192</v>
      </c>
      <c r="H80" s="7" t="s">
        <v>51</v>
      </c>
      <c r="I80" s="7" t="n">
        <v>2</v>
      </c>
      <c r="J80" s="7" t="s">
        <v>71</v>
      </c>
      <c r="K80" s="7" t="s">
        <v>72</v>
      </c>
      <c r="L80" s="7" t="n">
        <v>50</v>
      </c>
      <c r="M80" s="10" t="b">
        <f aca="false">FALSE()</f>
        <v>0</v>
      </c>
      <c r="N80" s="7" t="s">
        <v>76</v>
      </c>
      <c r="O80" s="7" t="n">
        <v>-31.090355</v>
      </c>
      <c r="P80" s="7" t="n">
        <v>150.927413</v>
      </c>
    </row>
    <row r="81" customFormat="false" ht="15" hidden="false" customHeight="false" outlineLevel="0" collapsed="false">
      <c r="A81" s="7" t="n">
        <v>80</v>
      </c>
      <c r="B81" s="7"/>
      <c r="C81" s="7" t="s">
        <v>193</v>
      </c>
      <c r="D81" s="7" t="n">
        <v>2640</v>
      </c>
      <c r="E81" s="7" t="s">
        <v>50</v>
      </c>
      <c r="F81" s="10" t="b">
        <f aca="false">FALSE()</f>
        <v>0</v>
      </c>
      <c r="G81" s="7" t="s">
        <v>194</v>
      </c>
      <c r="H81" s="7" t="s">
        <v>51</v>
      </c>
      <c r="I81" s="7" t="n">
        <v>2</v>
      </c>
      <c r="J81" s="7" t="s">
        <v>71</v>
      </c>
      <c r="K81" s="7" t="s">
        <v>72</v>
      </c>
      <c r="L81" s="7" t="n">
        <v>50</v>
      </c>
      <c r="M81" s="10" t="b">
        <f aca="false">FALSE()</f>
        <v>0</v>
      </c>
      <c r="N81" s="7" t="s">
        <v>76</v>
      </c>
      <c r="O81" s="7" t="n">
        <v>-36.083792</v>
      </c>
      <c r="P81" s="7" t="n">
        <v>146.914834</v>
      </c>
    </row>
    <row r="82" customFormat="false" ht="15" hidden="false" customHeight="false" outlineLevel="0" collapsed="false">
      <c r="A82" s="7" t="n">
        <v>81</v>
      </c>
      <c r="B82" s="7"/>
      <c r="C82" s="7" t="s">
        <v>195</v>
      </c>
      <c r="D82" s="7" t="n">
        <v>2880</v>
      </c>
      <c r="E82" s="7" t="s">
        <v>50</v>
      </c>
      <c r="F82" s="10" t="b">
        <f aca="false">TRUE()</f>
        <v>1</v>
      </c>
      <c r="G82" s="7" t="s">
        <v>196</v>
      </c>
      <c r="H82" s="7" t="s">
        <v>51</v>
      </c>
      <c r="I82" s="7" t="n">
        <v>2</v>
      </c>
      <c r="J82" s="7" t="s">
        <v>71</v>
      </c>
      <c r="K82" s="7" t="s">
        <v>72</v>
      </c>
      <c r="L82" s="7" t="n">
        <v>50</v>
      </c>
      <c r="M82" s="10" t="b">
        <f aca="false">FALSE()</f>
        <v>0</v>
      </c>
      <c r="N82" s="7" t="s">
        <v>73</v>
      </c>
      <c r="O82" s="7" t="n">
        <v>-31.959618</v>
      </c>
      <c r="P82" s="7" t="n">
        <v>141.45957</v>
      </c>
    </row>
    <row r="83" customFormat="false" ht="15" hidden="false" customHeight="false" outlineLevel="0" collapsed="false">
      <c r="A83" s="7" t="n">
        <v>82</v>
      </c>
      <c r="B83" s="7" t="s">
        <v>197</v>
      </c>
      <c r="C83" s="7" t="s">
        <v>198</v>
      </c>
      <c r="D83" s="7" t="n">
        <v>2850</v>
      </c>
      <c r="E83" s="7" t="s">
        <v>50</v>
      </c>
      <c r="F83" s="10" t="b">
        <f aca="false">FALSE()</f>
        <v>0</v>
      </c>
      <c r="G83" s="7" t="s">
        <v>199</v>
      </c>
      <c r="H83" s="7" t="s">
        <v>51</v>
      </c>
      <c r="I83" s="7" t="n">
        <v>2</v>
      </c>
      <c r="J83" s="7" t="s">
        <v>71</v>
      </c>
      <c r="K83" s="7" t="s">
        <v>72</v>
      </c>
      <c r="L83" s="7" t="n">
        <v>50</v>
      </c>
      <c r="M83" s="10" t="b">
        <f aca="false">FALSE()</f>
        <v>0</v>
      </c>
      <c r="N83" s="7" t="s">
        <v>76</v>
      </c>
      <c r="O83" s="7" t="n">
        <v>-32.593681</v>
      </c>
      <c r="P83" s="7" t="n">
        <v>149.586263</v>
      </c>
    </row>
    <row r="84" customFormat="false" ht="15" hidden="false" customHeight="false" outlineLevel="0" collapsed="false">
      <c r="A84" s="7" t="n">
        <v>83</v>
      </c>
      <c r="B84" s="7" t="s">
        <v>200</v>
      </c>
      <c r="C84" s="7" t="s">
        <v>201</v>
      </c>
      <c r="D84" s="7" t="n">
        <v>2127</v>
      </c>
      <c r="E84" s="7" t="s">
        <v>50</v>
      </c>
      <c r="F84" s="10" t="b">
        <f aca="false">FALSE()</f>
        <v>0</v>
      </c>
      <c r="G84" s="7" t="s">
        <v>202</v>
      </c>
      <c r="H84" s="7" t="s">
        <v>51</v>
      </c>
      <c r="I84" s="7" t="n">
        <v>2</v>
      </c>
      <c r="J84" s="7" t="s">
        <v>71</v>
      </c>
      <c r="K84" s="7" t="s">
        <v>72</v>
      </c>
      <c r="L84" s="7" t="n">
        <v>50</v>
      </c>
      <c r="M84" s="10" t="b">
        <f aca="false">FALSE()</f>
        <v>0</v>
      </c>
      <c r="N84" s="7" t="s">
        <v>76</v>
      </c>
      <c r="O84" s="7" t="n">
        <v>-33.846038</v>
      </c>
      <c r="P84" s="7" t="n">
        <v>151.069806</v>
      </c>
    </row>
    <row r="85" customFormat="false" ht="15" hidden="false" customHeight="false" outlineLevel="0" collapsed="false">
      <c r="A85" s="7" t="n">
        <v>84</v>
      </c>
      <c r="B85" s="7"/>
      <c r="C85" s="7" t="s">
        <v>203</v>
      </c>
      <c r="D85" s="7" t="n">
        <v>2644</v>
      </c>
      <c r="E85" s="7" t="s">
        <v>50</v>
      </c>
      <c r="F85" s="10" t="b">
        <f aca="false">FALSE()</f>
        <v>0</v>
      </c>
      <c r="G85" s="7" t="s">
        <v>173</v>
      </c>
      <c r="H85" s="7" t="s">
        <v>51</v>
      </c>
      <c r="I85" s="7" t="n">
        <v>2</v>
      </c>
      <c r="J85" s="7" t="s">
        <v>71</v>
      </c>
      <c r="K85" s="7" t="s">
        <v>72</v>
      </c>
      <c r="L85" s="7" t="n">
        <v>50</v>
      </c>
      <c r="M85" s="10" t="b">
        <f aca="false">FALSE()</f>
        <v>0</v>
      </c>
      <c r="N85" s="7" t="s">
        <v>76</v>
      </c>
      <c r="O85" s="7" t="n">
        <v>-35.717574</v>
      </c>
      <c r="P85" s="7" t="n">
        <v>147.317769</v>
      </c>
    </row>
    <row r="86" customFormat="false" ht="15" hidden="false" customHeight="false" outlineLevel="0" collapsed="false">
      <c r="A86" s="7" t="n">
        <v>85</v>
      </c>
      <c r="B86" s="7" t="s">
        <v>204</v>
      </c>
      <c r="C86" s="7" t="s">
        <v>205</v>
      </c>
      <c r="D86" s="7" t="n">
        <v>2726</v>
      </c>
      <c r="E86" s="7" t="s">
        <v>50</v>
      </c>
      <c r="F86" s="10" t="b">
        <f aca="false">FALSE()</f>
        <v>0</v>
      </c>
      <c r="G86" s="7" t="s">
        <v>206</v>
      </c>
      <c r="H86" s="7" t="s">
        <v>51</v>
      </c>
      <c r="I86" s="7" t="n">
        <v>2</v>
      </c>
      <c r="J86" s="7" t="s">
        <v>71</v>
      </c>
      <c r="K86" s="7" t="s">
        <v>72</v>
      </c>
      <c r="L86" s="7" t="n">
        <v>50</v>
      </c>
      <c r="M86" s="10" t="b">
        <f aca="false">FALSE()</f>
        <v>0</v>
      </c>
      <c r="N86" s="7" t="s">
        <v>76</v>
      </c>
      <c r="O86" s="7" t="n">
        <v>-34.823429</v>
      </c>
      <c r="P86" s="7" t="n">
        <v>148.325703</v>
      </c>
    </row>
    <row r="87" customFormat="false" ht="15" hidden="false" customHeight="false" outlineLevel="0" collapsed="false">
      <c r="A87" s="7" t="n">
        <v>86</v>
      </c>
      <c r="B87" s="7" t="s">
        <v>207</v>
      </c>
      <c r="C87" s="7" t="s">
        <v>208</v>
      </c>
      <c r="D87" s="7" t="n">
        <v>2594</v>
      </c>
      <c r="E87" s="7" t="s">
        <v>50</v>
      </c>
      <c r="F87" s="10" t="b">
        <f aca="false">FALSE()</f>
        <v>0</v>
      </c>
      <c r="G87" s="7" t="s">
        <v>206</v>
      </c>
      <c r="H87" s="7" t="s">
        <v>51</v>
      </c>
      <c r="I87" s="7" t="n">
        <v>2</v>
      </c>
      <c r="J87" s="7" t="s">
        <v>71</v>
      </c>
      <c r="K87" s="7" t="s">
        <v>72</v>
      </c>
      <c r="L87" s="7" t="n">
        <v>50</v>
      </c>
      <c r="M87" s="10" t="b">
        <f aca="false">FALSE()</f>
        <v>0</v>
      </c>
      <c r="N87" s="7" t="s">
        <v>76</v>
      </c>
      <c r="O87" s="7" t="n">
        <v>-34.311774</v>
      </c>
      <c r="P87" s="7" t="n">
        <v>148.295099</v>
      </c>
    </row>
    <row r="88" customFormat="false" ht="15" hidden="false" customHeight="false" outlineLevel="0" collapsed="false">
      <c r="A88" s="7" t="n">
        <v>87</v>
      </c>
      <c r="B88" s="7" t="s">
        <v>209</v>
      </c>
      <c r="C88" s="7" t="s">
        <v>210</v>
      </c>
      <c r="D88" s="7" t="n">
        <v>2671</v>
      </c>
      <c r="E88" s="7" t="s">
        <v>50</v>
      </c>
      <c r="F88" s="10" t="b">
        <f aca="false">FALSE()</f>
        <v>0</v>
      </c>
      <c r="G88" s="7" t="s">
        <v>211</v>
      </c>
      <c r="H88" s="7" t="s">
        <v>51</v>
      </c>
      <c r="I88" s="7" t="n">
        <v>2</v>
      </c>
      <c r="J88" s="7" t="s">
        <v>71</v>
      </c>
      <c r="K88" s="7" t="s">
        <v>72</v>
      </c>
      <c r="L88" s="7" t="n">
        <v>50</v>
      </c>
      <c r="M88" s="10" t="b">
        <f aca="false">FALSE()</f>
        <v>0</v>
      </c>
      <c r="N88" s="7" t="s">
        <v>76</v>
      </c>
      <c r="O88" s="7" t="n">
        <v>-33.923822</v>
      </c>
      <c r="P88" s="7" t="n">
        <v>147.203379</v>
      </c>
    </row>
    <row r="89" customFormat="false" ht="15" hidden="false" customHeight="false" outlineLevel="0" collapsed="false">
      <c r="A89" s="7" t="n">
        <v>88</v>
      </c>
      <c r="B89" s="7"/>
      <c r="C89" s="7" t="s">
        <v>212</v>
      </c>
      <c r="D89" s="7" t="n">
        <v>2850</v>
      </c>
      <c r="E89" s="7" t="s">
        <v>50</v>
      </c>
      <c r="F89" s="10" t="b">
        <f aca="false">FALSE()</f>
        <v>0</v>
      </c>
      <c r="G89" s="7" t="s">
        <v>199</v>
      </c>
      <c r="H89" s="7" t="s">
        <v>51</v>
      </c>
      <c r="I89" s="7" t="n">
        <v>4</v>
      </c>
      <c r="J89" s="7" t="s">
        <v>71</v>
      </c>
      <c r="K89" s="7" t="s">
        <v>213</v>
      </c>
      <c r="L89" s="7" t="n">
        <v>125</v>
      </c>
      <c r="M89" s="10" t="b">
        <f aca="false">FALSE()</f>
        <v>0</v>
      </c>
      <c r="N89" s="7" t="s">
        <v>76</v>
      </c>
      <c r="O89" s="7" t="n">
        <v>-32.58961</v>
      </c>
      <c r="P89" s="7" t="n">
        <v>149.585758</v>
      </c>
    </row>
    <row r="90" customFormat="false" ht="15" hidden="false" customHeight="false" outlineLevel="0" collapsed="false">
      <c r="A90" s="7" t="n">
        <v>89</v>
      </c>
      <c r="B90" s="7" t="s">
        <v>214</v>
      </c>
      <c r="C90" s="7" t="s">
        <v>215</v>
      </c>
      <c r="D90" s="7" t="n">
        <v>2829</v>
      </c>
      <c r="E90" s="7" t="s">
        <v>50</v>
      </c>
      <c r="F90" s="10" t="b">
        <f aca="false">TRUE()</f>
        <v>1</v>
      </c>
      <c r="G90" s="7" t="s">
        <v>216</v>
      </c>
      <c r="H90" s="7" t="s">
        <v>51</v>
      </c>
      <c r="I90" s="7" t="n">
        <v>4</v>
      </c>
      <c r="J90" s="7" t="s">
        <v>71</v>
      </c>
      <c r="K90" s="7" t="s">
        <v>72</v>
      </c>
      <c r="L90" s="7" t="n">
        <v>50</v>
      </c>
      <c r="M90" s="10" t="b">
        <f aca="false">FALSE()</f>
        <v>0</v>
      </c>
      <c r="N90" s="7" t="s">
        <v>73</v>
      </c>
      <c r="O90" s="7" t="n">
        <v>-30.95278</v>
      </c>
      <c r="P90" s="7" t="n">
        <v>148.387913</v>
      </c>
    </row>
    <row r="91" customFormat="false" ht="15" hidden="false" customHeight="false" outlineLevel="0" collapsed="false">
      <c r="A91" s="7" t="n">
        <v>90</v>
      </c>
      <c r="B91" s="7" t="s">
        <v>217</v>
      </c>
      <c r="C91" s="7" t="s">
        <v>218</v>
      </c>
      <c r="D91" s="7" t="n">
        <v>2370</v>
      </c>
      <c r="E91" s="7" t="s">
        <v>50</v>
      </c>
      <c r="F91" s="10" t="b">
        <f aca="false">FALSE()</f>
        <v>0</v>
      </c>
      <c r="G91" s="7" t="s">
        <v>219</v>
      </c>
      <c r="H91" s="7" t="s">
        <v>51</v>
      </c>
      <c r="I91" s="7" t="n">
        <v>2</v>
      </c>
      <c r="J91" s="7" t="s">
        <v>71</v>
      </c>
      <c r="K91" s="7" t="s">
        <v>72</v>
      </c>
      <c r="L91" s="7" t="n">
        <v>50</v>
      </c>
      <c r="M91" s="10" t="b">
        <f aca="false">FALSE()</f>
        <v>0</v>
      </c>
      <c r="N91" s="7" t="s">
        <v>76</v>
      </c>
      <c r="O91" s="7" t="n">
        <v>-29.738464</v>
      </c>
      <c r="P91" s="7" t="n">
        <v>151.736308</v>
      </c>
    </row>
    <row r="92" customFormat="false" ht="15" hidden="false" customHeight="false" outlineLevel="0" collapsed="false">
      <c r="A92" s="7" t="n">
        <v>91</v>
      </c>
      <c r="B92" s="7" t="s">
        <v>220</v>
      </c>
      <c r="C92" s="7" t="s">
        <v>221</v>
      </c>
      <c r="D92" s="7" t="n">
        <v>2536</v>
      </c>
      <c r="E92" s="7" t="s">
        <v>50</v>
      </c>
      <c r="F92" s="10" t="b">
        <f aca="false">FALSE()</f>
        <v>0</v>
      </c>
      <c r="G92" s="7" t="s">
        <v>123</v>
      </c>
      <c r="H92" s="7" t="s">
        <v>51</v>
      </c>
      <c r="I92" s="7" t="n">
        <v>4</v>
      </c>
      <c r="J92" s="7" t="s">
        <v>71</v>
      </c>
      <c r="K92" s="7" t="s">
        <v>83</v>
      </c>
      <c r="L92" s="7" t="n">
        <v>75</v>
      </c>
      <c r="M92" s="10" t="b">
        <f aca="false">FALSE()</f>
        <v>0</v>
      </c>
      <c r="N92" s="7" t="s">
        <v>76</v>
      </c>
      <c r="O92" s="7" t="n">
        <v>-35.709553</v>
      </c>
      <c r="P92" s="7" t="n">
        <v>150.173983</v>
      </c>
    </row>
    <row r="93" customFormat="false" ht="15" hidden="false" customHeight="false" outlineLevel="0" collapsed="false">
      <c r="A93" s="7" t="n">
        <v>92</v>
      </c>
      <c r="B93" s="7" t="s">
        <v>222</v>
      </c>
      <c r="C93" s="7" t="s">
        <v>223</v>
      </c>
      <c r="D93" s="7" t="n">
        <v>2571</v>
      </c>
      <c r="E93" s="7" t="s">
        <v>50</v>
      </c>
      <c r="F93" s="10" t="b">
        <f aca="false">FALSE()</f>
        <v>0</v>
      </c>
      <c r="G93" s="7" t="s">
        <v>224</v>
      </c>
      <c r="H93" s="7" t="s">
        <v>51</v>
      </c>
      <c r="I93" s="7" t="n">
        <v>2</v>
      </c>
      <c r="J93" s="7" t="s">
        <v>71</v>
      </c>
      <c r="K93" s="7" t="s">
        <v>72</v>
      </c>
      <c r="L93" s="7" t="n">
        <v>50</v>
      </c>
      <c r="M93" s="10" t="b">
        <f aca="false">FALSE()</f>
        <v>0</v>
      </c>
      <c r="N93" s="7" t="s">
        <v>76</v>
      </c>
      <c r="O93" s="7" t="n">
        <v>-34.168288</v>
      </c>
      <c r="P93" s="7" t="n">
        <v>150.610943</v>
      </c>
    </row>
    <row r="94" customFormat="false" ht="15" hidden="false" customHeight="false" outlineLevel="0" collapsed="false">
      <c r="A94" s="7" t="n">
        <v>93</v>
      </c>
      <c r="B94" s="7" t="s">
        <v>225</v>
      </c>
      <c r="C94" s="7" t="s">
        <v>226</v>
      </c>
      <c r="D94" s="7" t="n">
        <v>2830</v>
      </c>
      <c r="E94" s="7" t="s">
        <v>50</v>
      </c>
      <c r="F94" s="10" t="b">
        <f aca="false">FALSE()</f>
        <v>0</v>
      </c>
      <c r="G94" s="7" t="s">
        <v>227</v>
      </c>
      <c r="H94" s="7" t="s">
        <v>51</v>
      </c>
      <c r="I94" s="7" t="n">
        <v>2</v>
      </c>
      <c r="J94" s="7" t="s">
        <v>71</v>
      </c>
      <c r="K94" s="7" t="s">
        <v>72</v>
      </c>
      <c r="L94" s="7" t="n">
        <v>50</v>
      </c>
      <c r="M94" s="10" t="b">
        <f aca="false">FALSE()</f>
        <v>0</v>
      </c>
      <c r="N94" s="7" t="s">
        <v>76</v>
      </c>
      <c r="O94" s="7" t="n">
        <v>-32.249363</v>
      </c>
      <c r="P94" s="7" t="n">
        <v>148.609187</v>
      </c>
    </row>
    <row r="95" customFormat="false" ht="15" hidden="false" customHeight="false" outlineLevel="0" collapsed="false">
      <c r="A95" s="7" t="n">
        <v>94</v>
      </c>
      <c r="B95" s="7"/>
      <c r="C95" s="7" t="s">
        <v>228</v>
      </c>
      <c r="D95" s="7" t="n">
        <v>2333</v>
      </c>
      <c r="E95" s="7" t="s">
        <v>50</v>
      </c>
      <c r="F95" s="10" t="b">
        <f aca="false">FALSE()</f>
        <v>0</v>
      </c>
      <c r="G95" s="7" t="s">
        <v>229</v>
      </c>
      <c r="H95" s="7" t="s">
        <v>230</v>
      </c>
      <c r="I95" s="7" t="n">
        <v>2</v>
      </c>
      <c r="J95" s="7" t="s">
        <v>107</v>
      </c>
      <c r="K95" s="7" t="s">
        <v>108</v>
      </c>
      <c r="L95" s="7" t="n">
        <v>22</v>
      </c>
      <c r="M95" s="10" t="b">
        <f aca="false">FALSE()</f>
        <v>0</v>
      </c>
      <c r="N95" s="7" t="s">
        <v>109</v>
      </c>
      <c r="O95" s="7" t="n">
        <v>-32.262242</v>
      </c>
      <c r="P95" s="7" t="n">
        <v>150.890139</v>
      </c>
    </row>
    <row r="96" customFormat="false" ht="15" hidden="false" customHeight="false" outlineLevel="0" collapsed="false">
      <c r="A96" s="7" t="n">
        <v>95</v>
      </c>
      <c r="B96" s="7"/>
      <c r="C96" s="7" t="s">
        <v>231</v>
      </c>
      <c r="D96" s="7" t="n">
        <v>2766</v>
      </c>
      <c r="E96" s="7" t="s">
        <v>50</v>
      </c>
      <c r="F96" s="10" t="b">
        <f aca="false">FALSE()</f>
        <v>0</v>
      </c>
      <c r="G96" s="7" t="s">
        <v>232</v>
      </c>
      <c r="H96" s="7" t="s">
        <v>233</v>
      </c>
      <c r="I96" s="7" t="n">
        <v>4</v>
      </c>
      <c r="J96" s="7" t="s">
        <v>71</v>
      </c>
      <c r="K96" s="7" t="s">
        <v>234</v>
      </c>
      <c r="L96" s="7" t="n">
        <v>150</v>
      </c>
      <c r="M96" s="10" t="b">
        <f aca="false">FALSE()</f>
        <v>0</v>
      </c>
      <c r="N96" s="7" t="s">
        <v>76</v>
      </c>
      <c r="O96" s="7" t="n">
        <v>-33.811004</v>
      </c>
      <c r="P96" s="7" t="n">
        <v>150.849597</v>
      </c>
    </row>
    <row r="97" customFormat="false" ht="15" hidden="false" customHeight="false" outlineLevel="0" collapsed="false">
      <c r="A97" s="7" t="n">
        <v>96</v>
      </c>
      <c r="B97" s="7"/>
      <c r="C97" s="7" t="s">
        <v>235</v>
      </c>
      <c r="D97" s="7" t="n">
        <v>2070</v>
      </c>
      <c r="E97" s="7" t="s">
        <v>50</v>
      </c>
      <c r="F97" s="10" t="b">
        <f aca="false">FALSE()</f>
        <v>0</v>
      </c>
      <c r="G97" s="7" t="s">
        <v>236</v>
      </c>
      <c r="H97" s="7" t="s">
        <v>237</v>
      </c>
      <c r="I97" s="7" t="n">
        <v>7</v>
      </c>
      <c r="J97" s="7" t="s">
        <v>107</v>
      </c>
      <c r="K97" s="7" t="s">
        <v>108</v>
      </c>
      <c r="L97" s="7" t="n">
        <v>22</v>
      </c>
      <c r="M97" s="10" t="b">
        <f aca="false">FALSE()</f>
        <v>0</v>
      </c>
      <c r="N97" s="7" t="s">
        <v>109</v>
      </c>
      <c r="O97" s="7" t="n">
        <v>-33.774101</v>
      </c>
      <c r="P97" s="7" t="n">
        <v>151.167035</v>
      </c>
    </row>
    <row r="98" customFormat="false" ht="15" hidden="false" customHeight="false" outlineLevel="0" collapsed="false">
      <c r="A98" s="7" t="n">
        <v>97</v>
      </c>
      <c r="B98" s="7"/>
      <c r="C98" s="7" t="s">
        <v>238</v>
      </c>
      <c r="D98" s="7" t="n">
        <v>2481</v>
      </c>
      <c r="E98" s="7" t="s">
        <v>50</v>
      </c>
      <c r="F98" s="10" t="b">
        <f aca="false">FALSE()</f>
        <v>0</v>
      </c>
      <c r="G98" s="7" t="s">
        <v>82</v>
      </c>
      <c r="H98" s="7" t="s">
        <v>239</v>
      </c>
      <c r="I98" s="7" t="n">
        <v>2</v>
      </c>
      <c r="J98" s="7" t="s">
        <v>107</v>
      </c>
      <c r="K98" s="7" t="s">
        <v>240</v>
      </c>
      <c r="L98" s="7" t="n">
        <v>19</v>
      </c>
      <c r="M98" s="10" t="b">
        <f aca="false">FALSE()</f>
        <v>0</v>
      </c>
      <c r="N98" s="7" t="s">
        <v>109</v>
      </c>
      <c r="O98" s="7" t="n">
        <v>-28.641819</v>
      </c>
      <c r="P98" s="7" t="n">
        <v>153.613633</v>
      </c>
    </row>
    <row r="99" customFormat="false" ht="15" hidden="false" customHeight="false" outlineLevel="0" collapsed="false">
      <c r="A99" s="7" t="n">
        <v>98</v>
      </c>
      <c r="B99" s="7"/>
      <c r="C99" s="7" t="s">
        <v>241</v>
      </c>
      <c r="D99" s="7" t="n">
        <v>2037</v>
      </c>
      <c r="E99" s="7" t="s">
        <v>50</v>
      </c>
      <c r="F99" s="10" t="b">
        <f aca="false">FALSE()</f>
        <v>0</v>
      </c>
      <c r="G99" s="7" t="s">
        <v>182</v>
      </c>
      <c r="H99" s="7" t="s">
        <v>239</v>
      </c>
      <c r="I99" s="7" t="n">
        <v>16</v>
      </c>
      <c r="J99" s="7" t="s">
        <v>71</v>
      </c>
      <c r="K99" s="7" t="s">
        <v>242</v>
      </c>
      <c r="L99" s="7" t="n">
        <v>130</v>
      </c>
      <c r="M99" s="10" t="b">
        <f aca="false">FALSE()</f>
        <v>0</v>
      </c>
      <c r="N99" s="7" t="s">
        <v>76</v>
      </c>
      <c r="O99" s="7" t="n">
        <v>-33.883504</v>
      </c>
      <c r="P99" s="7" t="n">
        <v>151.194433</v>
      </c>
    </row>
    <row r="100" customFormat="false" ht="15" hidden="false" customHeight="false" outlineLevel="0" collapsed="false">
      <c r="A100" s="7" t="n">
        <v>99</v>
      </c>
      <c r="B100" s="7"/>
      <c r="C100" s="7" t="s">
        <v>243</v>
      </c>
      <c r="D100" s="7" t="n">
        <v>2487</v>
      </c>
      <c r="E100" s="7" t="s">
        <v>50</v>
      </c>
      <c r="F100" s="10" t="b">
        <f aca="false">FALSE()</f>
        <v>0</v>
      </c>
      <c r="G100" s="7" t="s">
        <v>164</v>
      </c>
      <c r="H100" s="7" t="s">
        <v>244</v>
      </c>
      <c r="I100" s="7" t="n">
        <v>4</v>
      </c>
      <c r="J100" s="7" t="s">
        <v>71</v>
      </c>
      <c r="K100" s="7" t="s">
        <v>83</v>
      </c>
      <c r="L100" s="7" t="n">
        <v>75</v>
      </c>
      <c r="M100" s="10" t="b">
        <f aca="false">FALSE()</f>
        <v>0</v>
      </c>
      <c r="N100" s="7" t="s">
        <v>76</v>
      </c>
      <c r="O100" s="7" t="n">
        <v>-28.276903</v>
      </c>
      <c r="P100" s="7" t="n">
        <v>153.577078</v>
      </c>
    </row>
    <row r="101" customFormat="false" ht="15" hidden="false" customHeight="false" outlineLevel="0" collapsed="false">
      <c r="A101" s="7" t="n">
        <v>100</v>
      </c>
      <c r="B101" s="7"/>
      <c r="C101" s="7" t="s">
        <v>245</v>
      </c>
      <c r="D101" s="7" t="n">
        <v>2088</v>
      </c>
      <c r="E101" s="7" t="s">
        <v>50</v>
      </c>
      <c r="F101" s="10" t="b">
        <f aca="false">FALSE()</f>
        <v>0</v>
      </c>
      <c r="G101" s="7" t="s">
        <v>246</v>
      </c>
      <c r="H101" s="7" t="s">
        <v>237</v>
      </c>
      <c r="I101" s="7" t="n">
        <v>1</v>
      </c>
      <c r="J101" s="7" t="s">
        <v>107</v>
      </c>
      <c r="K101" s="7" t="s">
        <v>108</v>
      </c>
      <c r="L101" s="7" t="n">
        <v>22</v>
      </c>
      <c r="M101" s="10" t="b">
        <f aca="false">FALSE()</f>
        <v>0</v>
      </c>
      <c r="N101" s="7" t="s">
        <v>109</v>
      </c>
      <c r="O101" s="7" t="n">
        <v>-33.841037</v>
      </c>
      <c r="P101" s="7" t="n">
        <v>151.242245</v>
      </c>
    </row>
    <row r="102" customFormat="false" ht="15" hidden="false" customHeight="false" outlineLevel="0" collapsed="false">
      <c r="A102" s="7" t="n">
        <v>101</v>
      </c>
      <c r="B102" s="7"/>
      <c r="C102" s="7" t="s">
        <v>245</v>
      </c>
      <c r="D102" s="7" t="n">
        <v>2088</v>
      </c>
      <c r="E102" s="7" t="s">
        <v>50</v>
      </c>
      <c r="F102" s="10" t="b">
        <f aca="false">FALSE()</f>
        <v>0</v>
      </c>
      <c r="G102" s="7" t="s">
        <v>246</v>
      </c>
      <c r="H102" s="7" t="s">
        <v>237</v>
      </c>
      <c r="I102" s="7" t="n">
        <v>1</v>
      </c>
      <c r="J102" s="7" t="s">
        <v>107</v>
      </c>
      <c r="K102" s="7" t="s">
        <v>108</v>
      </c>
      <c r="L102" s="7" t="n">
        <v>22</v>
      </c>
      <c r="M102" s="10" t="b">
        <f aca="false">FALSE()</f>
        <v>0</v>
      </c>
      <c r="N102" s="7" t="s">
        <v>109</v>
      </c>
      <c r="O102" s="7" t="n">
        <v>-33.841418</v>
      </c>
      <c r="P102" s="7" t="n">
        <v>151.242631</v>
      </c>
    </row>
    <row r="103" customFormat="false" ht="15" hidden="false" customHeight="false" outlineLevel="0" collapsed="false">
      <c r="A103" s="7" t="n">
        <v>102</v>
      </c>
      <c r="B103" s="7"/>
      <c r="C103" s="7" t="s">
        <v>247</v>
      </c>
      <c r="D103" s="7" t="n">
        <v>2000</v>
      </c>
      <c r="E103" s="7" t="s">
        <v>50</v>
      </c>
      <c r="F103" s="10" t="b">
        <f aca="false">FALSE()</f>
        <v>0</v>
      </c>
      <c r="G103" s="7" t="s">
        <v>182</v>
      </c>
      <c r="H103" s="7" t="s">
        <v>248</v>
      </c>
      <c r="I103" s="7" t="n">
        <v>3</v>
      </c>
      <c r="J103" s="7" t="s">
        <v>107</v>
      </c>
      <c r="K103" s="7" t="s">
        <v>108</v>
      </c>
      <c r="L103" s="7" t="n">
        <v>22</v>
      </c>
      <c r="M103" s="10" t="b">
        <f aca="false">FALSE()</f>
        <v>0</v>
      </c>
      <c r="N103" s="7" t="s">
        <v>109</v>
      </c>
      <c r="O103" s="7" t="n">
        <v>-33.871368</v>
      </c>
      <c r="P103" s="7" t="n">
        <v>151.213741</v>
      </c>
    </row>
    <row r="104" customFormat="false" ht="15" hidden="false" customHeight="false" outlineLevel="0" collapsed="false">
      <c r="A104" s="7" t="n">
        <v>103</v>
      </c>
      <c r="B104" s="7"/>
      <c r="C104" s="7" t="s">
        <v>249</v>
      </c>
      <c r="D104" s="7" t="n">
        <v>2037</v>
      </c>
      <c r="E104" s="7" t="s">
        <v>50</v>
      </c>
      <c r="F104" s="10" t="b">
        <f aca="false">FALSE()</f>
        <v>0</v>
      </c>
      <c r="G104" s="7" t="s">
        <v>182</v>
      </c>
      <c r="H104" s="7" t="s">
        <v>239</v>
      </c>
      <c r="I104" s="7" t="n">
        <v>2</v>
      </c>
      <c r="J104" s="7" t="s">
        <v>107</v>
      </c>
      <c r="K104" s="7" t="s">
        <v>108</v>
      </c>
      <c r="L104" s="7" t="n">
        <v>22</v>
      </c>
      <c r="M104" s="10" t="b">
        <f aca="false">FALSE()</f>
        <v>0</v>
      </c>
      <c r="N104" s="7" t="s">
        <v>109</v>
      </c>
      <c r="O104" s="7" t="n">
        <v>-33.876374</v>
      </c>
      <c r="P104" s="7" t="n">
        <v>151.177638</v>
      </c>
    </row>
    <row r="105" customFormat="false" ht="15" hidden="false" customHeight="false" outlineLevel="0" collapsed="false">
      <c r="A105" s="7" t="n">
        <v>104</v>
      </c>
      <c r="B105" s="7"/>
      <c r="C105" s="7" t="s">
        <v>249</v>
      </c>
      <c r="D105" s="7" t="n">
        <v>2037</v>
      </c>
      <c r="E105" s="7" t="s">
        <v>50</v>
      </c>
      <c r="F105" s="10" t="b">
        <f aca="false">FALSE()</f>
        <v>0</v>
      </c>
      <c r="G105" s="7" t="s">
        <v>182</v>
      </c>
      <c r="H105" s="7" t="s">
        <v>239</v>
      </c>
      <c r="I105" s="7" t="n">
        <v>4</v>
      </c>
      <c r="J105" s="7" t="s">
        <v>71</v>
      </c>
      <c r="K105" s="7" t="s">
        <v>250</v>
      </c>
      <c r="L105" s="7" t="n">
        <v>250</v>
      </c>
      <c r="M105" s="10" t="b">
        <f aca="false">FALSE()</f>
        <v>0</v>
      </c>
      <c r="N105" s="7" t="s">
        <v>76</v>
      </c>
      <c r="O105" s="7" t="n">
        <v>-33.876501</v>
      </c>
      <c r="P105" s="7" t="n">
        <v>151.178</v>
      </c>
    </row>
    <row r="106" customFormat="false" ht="15" hidden="false" customHeight="false" outlineLevel="0" collapsed="false">
      <c r="A106" s="7" t="n">
        <v>105</v>
      </c>
      <c r="B106" s="7"/>
      <c r="C106" s="7" t="s">
        <v>251</v>
      </c>
      <c r="D106" s="7" t="n">
        <v>2150</v>
      </c>
      <c r="E106" s="7" t="s">
        <v>50</v>
      </c>
      <c r="F106" s="10" t="b">
        <f aca="false">FALSE()</f>
        <v>0</v>
      </c>
      <c r="G106" s="7" t="s">
        <v>202</v>
      </c>
      <c r="H106" s="7" t="s">
        <v>252</v>
      </c>
      <c r="I106" s="7" t="n">
        <v>3</v>
      </c>
      <c r="J106" s="7" t="s">
        <v>107</v>
      </c>
      <c r="K106" s="7" t="s">
        <v>108</v>
      </c>
      <c r="L106" s="7" t="n">
        <v>22</v>
      </c>
      <c r="M106" s="10" t="b">
        <f aca="false">FALSE()</f>
        <v>0</v>
      </c>
      <c r="N106" s="7" t="s">
        <v>109</v>
      </c>
      <c r="O106" s="7" t="n">
        <v>-33.806459</v>
      </c>
      <c r="P106" s="7" t="n">
        <v>151.001748</v>
      </c>
    </row>
    <row r="107" customFormat="false" ht="15" hidden="false" customHeight="false" outlineLevel="0" collapsed="false">
      <c r="A107" s="7" t="n">
        <v>106</v>
      </c>
      <c r="B107" s="7"/>
      <c r="C107" s="7" t="s">
        <v>253</v>
      </c>
      <c r="D107" s="7" t="n">
        <v>2548</v>
      </c>
      <c r="E107" s="7" t="s">
        <v>50</v>
      </c>
      <c r="F107" s="10" t="b">
        <f aca="false">FALSE()</f>
        <v>0</v>
      </c>
      <c r="G107" s="7" t="s">
        <v>188</v>
      </c>
      <c r="H107" s="7" t="s">
        <v>239</v>
      </c>
      <c r="I107" s="7" t="n">
        <v>1</v>
      </c>
      <c r="J107" s="7" t="s">
        <v>107</v>
      </c>
      <c r="K107" s="7" t="s">
        <v>254</v>
      </c>
      <c r="L107" s="7" t="n">
        <v>8</v>
      </c>
      <c r="M107" s="10" t="b">
        <f aca="false">FALSE()</f>
        <v>0</v>
      </c>
      <c r="N107" s="7" t="s">
        <v>109</v>
      </c>
      <c r="O107" s="7" t="n">
        <v>-36.895306</v>
      </c>
      <c r="P107" s="7" t="n">
        <v>149.911881</v>
      </c>
    </row>
    <row r="108" customFormat="false" ht="15" hidden="false" customHeight="false" outlineLevel="0" collapsed="false">
      <c r="A108" s="7" t="n">
        <v>107</v>
      </c>
      <c r="B108" s="7"/>
      <c r="C108" s="7" t="s">
        <v>255</v>
      </c>
      <c r="D108" s="7" t="n">
        <v>2575</v>
      </c>
      <c r="E108" s="7" t="s">
        <v>50</v>
      </c>
      <c r="F108" s="10" t="b">
        <f aca="false">FALSE()</f>
        <v>0</v>
      </c>
      <c r="G108" s="7" t="s">
        <v>161</v>
      </c>
      <c r="H108" s="7" t="s">
        <v>239</v>
      </c>
      <c r="I108" s="7" t="n">
        <v>1</v>
      </c>
      <c r="J108" s="7" t="s">
        <v>107</v>
      </c>
      <c r="K108" s="7" t="s">
        <v>108</v>
      </c>
      <c r="L108" s="7" t="n">
        <v>22</v>
      </c>
      <c r="M108" s="10" t="b">
        <f aca="false">FALSE()</f>
        <v>0</v>
      </c>
      <c r="N108" s="7" t="s">
        <v>109</v>
      </c>
      <c r="O108" s="7" t="n">
        <v>-34.447294</v>
      </c>
      <c r="P108" s="7" t="n">
        <v>150.461559</v>
      </c>
    </row>
    <row r="109" customFormat="false" ht="15" hidden="false" customHeight="false" outlineLevel="0" collapsed="false">
      <c r="A109" s="7" t="n">
        <v>108</v>
      </c>
      <c r="B109" s="7"/>
      <c r="C109" s="7" t="s">
        <v>256</v>
      </c>
      <c r="D109" s="7" t="n">
        <v>2766</v>
      </c>
      <c r="E109" s="7" t="s">
        <v>50</v>
      </c>
      <c r="F109" s="10" t="b">
        <f aca="false">FALSE()</f>
        <v>0</v>
      </c>
      <c r="G109" s="7" t="s">
        <v>232</v>
      </c>
      <c r="H109" s="7" t="s">
        <v>239</v>
      </c>
      <c r="I109" s="7" t="n">
        <v>2</v>
      </c>
      <c r="J109" s="7" t="s">
        <v>107</v>
      </c>
      <c r="K109" s="7" t="s">
        <v>108</v>
      </c>
      <c r="L109" s="7" t="n">
        <v>22</v>
      </c>
      <c r="M109" s="10" t="b">
        <f aca="false">FALSE()</f>
        <v>0</v>
      </c>
      <c r="N109" s="7" t="s">
        <v>109</v>
      </c>
      <c r="O109" s="7" t="n">
        <v>-33.803826</v>
      </c>
      <c r="P109" s="7" t="n">
        <v>150.86773</v>
      </c>
    </row>
    <row r="110" customFormat="false" ht="15" hidden="false" customHeight="false" outlineLevel="0" collapsed="false">
      <c r="A110" s="7" t="n">
        <v>109</v>
      </c>
      <c r="B110" s="7"/>
      <c r="C110" s="7" t="s">
        <v>257</v>
      </c>
      <c r="D110" s="7" t="n">
        <v>2064</v>
      </c>
      <c r="E110" s="7" t="s">
        <v>50</v>
      </c>
      <c r="F110" s="10" t="b">
        <f aca="false">FALSE()</f>
        <v>0</v>
      </c>
      <c r="G110" s="7" t="s">
        <v>258</v>
      </c>
      <c r="H110" s="7" t="s">
        <v>244</v>
      </c>
      <c r="I110" s="7" t="n">
        <v>6</v>
      </c>
      <c r="J110" s="7" t="s">
        <v>71</v>
      </c>
      <c r="K110" s="7" t="s">
        <v>234</v>
      </c>
      <c r="L110" s="7" t="n">
        <v>150</v>
      </c>
      <c r="M110" s="10" t="b">
        <f aca="false">FALSE()</f>
        <v>0</v>
      </c>
      <c r="N110" s="7" t="s">
        <v>76</v>
      </c>
      <c r="O110" s="7" t="n">
        <v>-33.817079</v>
      </c>
      <c r="P110" s="7" t="n">
        <v>151.188937</v>
      </c>
    </row>
    <row r="111" customFormat="false" ht="15" hidden="false" customHeight="false" outlineLevel="0" collapsed="false">
      <c r="A111" s="7" t="n">
        <v>110</v>
      </c>
      <c r="B111" s="7"/>
      <c r="C111" s="7" t="s">
        <v>259</v>
      </c>
      <c r="D111" s="7" t="n">
        <v>2625</v>
      </c>
      <c r="E111" s="7" t="s">
        <v>50</v>
      </c>
      <c r="F111" s="10" t="b">
        <f aca="false">FALSE()</f>
        <v>0</v>
      </c>
      <c r="G111" s="7" t="s">
        <v>177</v>
      </c>
      <c r="H111" s="7" t="s">
        <v>260</v>
      </c>
      <c r="I111" s="7" t="n">
        <v>10</v>
      </c>
      <c r="J111" s="7" t="s">
        <v>107</v>
      </c>
      <c r="K111" s="7" t="s">
        <v>108</v>
      </c>
      <c r="L111" s="7" t="n">
        <v>22</v>
      </c>
      <c r="M111" s="10" t="b">
        <f aca="false">FALSE()</f>
        <v>0</v>
      </c>
      <c r="N111" s="7" t="s">
        <v>109</v>
      </c>
      <c r="O111" s="7" t="n">
        <v>-36.501296</v>
      </c>
      <c r="P111" s="7" t="n">
        <v>148.310377</v>
      </c>
    </row>
    <row r="112" customFormat="false" ht="15" hidden="false" customHeight="false" outlineLevel="0" collapsed="false">
      <c r="A112" s="7" t="n">
        <v>111</v>
      </c>
      <c r="B112" s="7"/>
      <c r="C112" s="7" t="s">
        <v>261</v>
      </c>
      <c r="D112" s="7" t="n">
        <v>2710</v>
      </c>
      <c r="E112" s="7" t="s">
        <v>50</v>
      </c>
      <c r="F112" s="10" t="b">
        <f aca="false">FALSE()</f>
        <v>0</v>
      </c>
      <c r="G112" s="7" t="s">
        <v>262</v>
      </c>
      <c r="H112" s="7" t="s">
        <v>237</v>
      </c>
      <c r="I112" s="7" t="n">
        <v>4</v>
      </c>
      <c r="J112" s="7" t="s">
        <v>107</v>
      </c>
      <c r="K112" s="7" t="s">
        <v>108</v>
      </c>
      <c r="L112" s="7" t="n">
        <v>22</v>
      </c>
      <c r="M112" s="10" t="b">
        <f aca="false">FALSE()</f>
        <v>0</v>
      </c>
      <c r="N112" s="7" t="s">
        <v>109</v>
      </c>
      <c r="O112" s="7" t="n">
        <v>-35.536527</v>
      </c>
      <c r="P112" s="7" t="n">
        <v>144.974228</v>
      </c>
    </row>
    <row r="113" customFormat="false" ht="15" hidden="false" customHeight="false" outlineLevel="0" collapsed="false">
      <c r="A113" s="7" t="n">
        <v>112</v>
      </c>
      <c r="B113" s="7"/>
      <c r="C113" s="7" t="s">
        <v>263</v>
      </c>
      <c r="D113" s="7" t="n">
        <v>2571</v>
      </c>
      <c r="E113" s="7" t="s">
        <v>50</v>
      </c>
      <c r="F113" s="10" t="b">
        <f aca="false">FALSE()</f>
        <v>0</v>
      </c>
      <c r="G113" s="7" t="s">
        <v>224</v>
      </c>
      <c r="H113" s="7" t="s">
        <v>237</v>
      </c>
      <c r="I113" s="7" t="n">
        <v>2</v>
      </c>
      <c r="J113" s="7" t="s">
        <v>71</v>
      </c>
      <c r="K113" s="7" t="s">
        <v>100</v>
      </c>
      <c r="L113" s="7" t="n">
        <v>160</v>
      </c>
      <c r="M113" s="10" t="b">
        <f aca="false">FALSE()</f>
        <v>0</v>
      </c>
      <c r="N113" s="7" t="s">
        <v>76</v>
      </c>
      <c r="O113" s="7" t="n">
        <v>-34.228477</v>
      </c>
      <c r="P113" s="7" t="n">
        <v>150.684156</v>
      </c>
    </row>
    <row r="114" customFormat="false" ht="15" hidden="false" customHeight="false" outlineLevel="0" collapsed="false">
      <c r="A114" s="7" t="n">
        <v>113</v>
      </c>
      <c r="B114" s="7"/>
      <c r="C114" s="7" t="s">
        <v>264</v>
      </c>
      <c r="D114" s="7" t="n">
        <v>2526</v>
      </c>
      <c r="E114" s="7" t="s">
        <v>50</v>
      </c>
      <c r="F114" s="10" t="b">
        <f aca="false">FALSE()</f>
        <v>0</v>
      </c>
      <c r="G114" s="7" t="s">
        <v>102</v>
      </c>
      <c r="H114" s="7" t="s">
        <v>260</v>
      </c>
      <c r="I114" s="7" t="n">
        <v>4</v>
      </c>
      <c r="J114" s="7" t="s">
        <v>107</v>
      </c>
      <c r="K114" s="7" t="s">
        <v>108</v>
      </c>
      <c r="L114" s="7" t="n">
        <v>22</v>
      </c>
      <c r="M114" s="10" t="b">
        <f aca="false">FALSE()</f>
        <v>0</v>
      </c>
      <c r="N114" s="7" t="s">
        <v>109</v>
      </c>
      <c r="O114" s="7" t="n">
        <v>-34.451514</v>
      </c>
      <c r="P114" s="7" t="n">
        <v>150.842856</v>
      </c>
    </row>
    <row r="115" customFormat="false" ht="15" hidden="false" customHeight="false" outlineLevel="0" collapsed="false">
      <c r="A115" s="7" t="n">
        <v>114</v>
      </c>
      <c r="B115" s="7"/>
      <c r="C115" s="7" t="s">
        <v>265</v>
      </c>
      <c r="D115" s="7" t="n">
        <v>2444</v>
      </c>
      <c r="E115" s="7" t="s">
        <v>50</v>
      </c>
      <c r="F115" s="10" t="b">
        <f aca="false">FALSE()</f>
        <v>0</v>
      </c>
      <c r="G115" s="7" t="s">
        <v>135</v>
      </c>
      <c r="H115" s="7" t="s">
        <v>239</v>
      </c>
      <c r="I115" s="7" t="n">
        <v>4</v>
      </c>
      <c r="J115" s="7" t="s">
        <v>107</v>
      </c>
      <c r="K115" s="7" t="s">
        <v>108</v>
      </c>
      <c r="L115" s="7" t="n">
        <v>22</v>
      </c>
      <c r="M115" s="10" t="b">
        <f aca="false">FALSE()</f>
        <v>0</v>
      </c>
      <c r="N115" s="7" t="s">
        <v>109</v>
      </c>
      <c r="O115" s="7" t="n">
        <v>-31.428373</v>
      </c>
      <c r="P115" s="7" t="n">
        <v>152.908762</v>
      </c>
    </row>
    <row r="116" customFormat="false" ht="15" hidden="false" customHeight="false" outlineLevel="0" collapsed="false">
      <c r="A116" s="7" t="n">
        <v>115</v>
      </c>
      <c r="B116" s="7"/>
      <c r="C116" s="7" t="s">
        <v>266</v>
      </c>
      <c r="D116" s="7" t="n">
        <v>2765</v>
      </c>
      <c r="E116" s="7" t="s">
        <v>50</v>
      </c>
      <c r="F116" s="10" t="b">
        <f aca="false">FALSE()</f>
        <v>0</v>
      </c>
      <c r="G116" s="7" t="s">
        <v>232</v>
      </c>
      <c r="H116" s="7" t="s">
        <v>237</v>
      </c>
      <c r="I116" s="7" t="n">
        <v>4</v>
      </c>
      <c r="J116" s="7" t="s">
        <v>107</v>
      </c>
      <c r="K116" s="7" t="s">
        <v>108</v>
      </c>
      <c r="L116" s="7" t="n">
        <v>22</v>
      </c>
      <c r="M116" s="10" t="b">
        <f aca="false">FALSE()</f>
        <v>0</v>
      </c>
      <c r="N116" s="7" t="s">
        <v>109</v>
      </c>
      <c r="O116" s="7" t="n">
        <v>-33.719817</v>
      </c>
      <c r="P116" s="7" t="n">
        <v>150.842556</v>
      </c>
    </row>
    <row r="117" customFormat="false" ht="15" hidden="false" customHeight="false" outlineLevel="0" collapsed="false">
      <c r="A117" s="7" t="n">
        <v>116</v>
      </c>
      <c r="B117" s="7"/>
      <c r="C117" s="7" t="s">
        <v>267</v>
      </c>
      <c r="D117" s="7" t="n">
        <v>2170</v>
      </c>
      <c r="E117" s="7" t="s">
        <v>50</v>
      </c>
      <c r="F117" s="10" t="b">
        <f aca="false">FALSE()</f>
        <v>0</v>
      </c>
      <c r="G117" s="7" t="s">
        <v>130</v>
      </c>
      <c r="H117" s="7" t="s">
        <v>244</v>
      </c>
      <c r="I117" s="7" t="n">
        <v>4</v>
      </c>
      <c r="J117" s="7" t="s">
        <v>71</v>
      </c>
      <c r="K117" s="7" t="s">
        <v>72</v>
      </c>
      <c r="L117" s="7" t="n">
        <v>50</v>
      </c>
      <c r="M117" s="10" t="b">
        <f aca="false">FALSE()</f>
        <v>0</v>
      </c>
      <c r="N117" s="7" t="s">
        <v>268</v>
      </c>
      <c r="O117" s="7" t="n">
        <v>-33.948829</v>
      </c>
      <c r="P117" s="7" t="n">
        <v>150.90027</v>
      </c>
    </row>
    <row r="118" customFormat="false" ht="15" hidden="false" customHeight="false" outlineLevel="0" collapsed="false">
      <c r="A118" s="7" t="n">
        <v>117</v>
      </c>
      <c r="B118" s="7"/>
      <c r="C118" s="7" t="s">
        <v>269</v>
      </c>
      <c r="D118" s="7" t="n">
        <v>2680</v>
      </c>
      <c r="E118" s="7" t="s">
        <v>50</v>
      </c>
      <c r="F118" s="10" t="b">
        <f aca="false">FALSE()</f>
        <v>0</v>
      </c>
      <c r="G118" s="7" t="s">
        <v>270</v>
      </c>
      <c r="H118" s="7" t="s">
        <v>239</v>
      </c>
      <c r="I118" s="7" t="n">
        <v>2</v>
      </c>
      <c r="J118" s="7" t="s">
        <v>107</v>
      </c>
      <c r="K118" s="7" t="s">
        <v>108</v>
      </c>
      <c r="L118" s="7" t="n">
        <v>22</v>
      </c>
      <c r="M118" s="10" t="b">
        <f aca="false">FALSE()</f>
        <v>0</v>
      </c>
      <c r="N118" s="7" t="s">
        <v>109</v>
      </c>
      <c r="O118" s="7" t="n">
        <v>-34.289158</v>
      </c>
      <c r="P118" s="7" t="n">
        <v>146.05112</v>
      </c>
    </row>
    <row r="119" customFormat="false" ht="15" hidden="false" customHeight="false" outlineLevel="0" collapsed="false">
      <c r="A119" s="7" t="n">
        <v>118</v>
      </c>
      <c r="B119" s="7"/>
      <c r="C119" s="7" t="s">
        <v>271</v>
      </c>
      <c r="D119" s="7" t="n">
        <v>2028</v>
      </c>
      <c r="E119" s="7" t="s">
        <v>50</v>
      </c>
      <c r="F119" s="10" t="b">
        <f aca="false">FALSE()</f>
        <v>0</v>
      </c>
      <c r="G119" s="7" t="s">
        <v>272</v>
      </c>
      <c r="H119" s="7" t="s">
        <v>237</v>
      </c>
      <c r="I119" s="7" t="n">
        <v>2</v>
      </c>
      <c r="J119" s="7" t="s">
        <v>107</v>
      </c>
      <c r="K119" s="7" t="s">
        <v>108</v>
      </c>
      <c r="L119" s="7" t="n">
        <v>22</v>
      </c>
      <c r="M119" s="10" t="b">
        <f aca="false">FALSE()</f>
        <v>0</v>
      </c>
      <c r="N119" s="7" t="s">
        <v>109</v>
      </c>
      <c r="O119" s="7" t="n">
        <v>-33.878231</v>
      </c>
      <c r="P119" s="7" t="n">
        <v>151.244866</v>
      </c>
    </row>
    <row r="120" customFormat="false" ht="15" hidden="false" customHeight="false" outlineLevel="0" collapsed="false">
      <c r="A120" s="7" t="n">
        <v>119</v>
      </c>
      <c r="B120" s="7"/>
      <c r="C120" s="7" t="s">
        <v>273</v>
      </c>
      <c r="D120" s="7" t="n">
        <v>2300</v>
      </c>
      <c r="E120" s="7" t="s">
        <v>50</v>
      </c>
      <c r="F120" s="10" t="b">
        <f aca="false">FALSE()</f>
        <v>0</v>
      </c>
      <c r="G120" s="7" t="s">
        <v>141</v>
      </c>
      <c r="H120" s="7" t="s">
        <v>237</v>
      </c>
      <c r="I120" s="7" t="n">
        <v>2</v>
      </c>
      <c r="J120" s="7" t="s">
        <v>107</v>
      </c>
      <c r="K120" s="7" t="s">
        <v>108</v>
      </c>
      <c r="L120" s="7" t="n">
        <v>22</v>
      </c>
      <c r="M120" s="10" t="b">
        <f aca="false">FALSE()</f>
        <v>0</v>
      </c>
      <c r="N120" s="7" t="s">
        <v>109</v>
      </c>
      <c r="O120" s="7" t="n">
        <v>-32.929131</v>
      </c>
      <c r="P120" s="7" t="n">
        <v>151.772021</v>
      </c>
    </row>
    <row r="121" customFormat="false" ht="15" hidden="false" customHeight="false" outlineLevel="0" collapsed="false">
      <c r="A121" s="7" t="n">
        <v>120</v>
      </c>
      <c r="B121" s="7"/>
      <c r="C121" s="7" t="s">
        <v>274</v>
      </c>
      <c r="D121" s="7" t="n">
        <v>2795</v>
      </c>
      <c r="E121" s="7" t="s">
        <v>50</v>
      </c>
      <c r="F121" s="10" t="b">
        <f aca="false">FALSE()</f>
        <v>0</v>
      </c>
      <c r="G121" s="7" t="s">
        <v>75</v>
      </c>
      <c r="H121" s="7" t="s">
        <v>260</v>
      </c>
      <c r="I121" s="7" t="n">
        <v>2</v>
      </c>
      <c r="J121" s="7" t="s">
        <v>107</v>
      </c>
      <c r="K121" s="7" t="s">
        <v>108</v>
      </c>
      <c r="L121" s="7" t="n">
        <v>22</v>
      </c>
      <c r="M121" s="10" t="b">
        <f aca="false">FALSE()</f>
        <v>0</v>
      </c>
      <c r="N121" s="7" t="s">
        <v>109</v>
      </c>
      <c r="O121" s="7" t="n">
        <v>-33.419972</v>
      </c>
      <c r="P121" s="7" t="n">
        <v>149.614399</v>
      </c>
    </row>
    <row r="122" customFormat="false" ht="15" hidden="false" customHeight="false" outlineLevel="0" collapsed="false">
      <c r="A122" s="7" t="n">
        <v>121</v>
      </c>
      <c r="B122" s="7"/>
      <c r="C122" s="7" t="s">
        <v>275</v>
      </c>
      <c r="D122" s="7" t="n">
        <v>2261</v>
      </c>
      <c r="E122" s="7" t="s">
        <v>50</v>
      </c>
      <c r="F122" s="10" t="b">
        <f aca="false">FALSE()</f>
        <v>0</v>
      </c>
      <c r="G122" s="7" t="s">
        <v>276</v>
      </c>
      <c r="H122" s="7" t="s">
        <v>239</v>
      </c>
      <c r="I122" s="7" t="n">
        <v>1</v>
      </c>
      <c r="J122" s="7" t="s">
        <v>107</v>
      </c>
      <c r="K122" s="7" t="s">
        <v>277</v>
      </c>
      <c r="L122" s="7" t="n">
        <v>6</v>
      </c>
      <c r="M122" s="10" t="b">
        <f aca="false">FALSE()</f>
        <v>0</v>
      </c>
      <c r="N122" s="7" t="s">
        <v>109</v>
      </c>
      <c r="O122" s="7" t="n">
        <v>-33.31094</v>
      </c>
      <c r="P122" s="7" t="n">
        <v>151.522814</v>
      </c>
    </row>
    <row r="123" customFormat="false" ht="15" hidden="false" customHeight="false" outlineLevel="0" collapsed="false">
      <c r="A123" s="7" t="n">
        <v>122</v>
      </c>
      <c r="B123" s="7"/>
      <c r="C123" s="7" t="s">
        <v>278</v>
      </c>
      <c r="D123" s="7" t="n">
        <v>2000</v>
      </c>
      <c r="E123" s="7" t="s">
        <v>50</v>
      </c>
      <c r="F123" s="10" t="b">
        <f aca="false">FALSE()</f>
        <v>0</v>
      </c>
      <c r="G123" s="7" t="s">
        <v>182</v>
      </c>
      <c r="H123" s="7" t="s">
        <v>252</v>
      </c>
      <c r="I123" s="7" t="n">
        <v>3</v>
      </c>
      <c r="J123" s="7" t="s">
        <v>107</v>
      </c>
      <c r="K123" s="7" t="s">
        <v>108</v>
      </c>
      <c r="L123" s="7" t="n">
        <v>22</v>
      </c>
      <c r="M123" s="10" t="b">
        <f aca="false">FALSE()</f>
        <v>0</v>
      </c>
      <c r="N123" s="7" t="s">
        <v>109</v>
      </c>
      <c r="O123" s="7" t="n">
        <v>-33.867846</v>
      </c>
      <c r="P123" s="7" t="n">
        <v>151.207786</v>
      </c>
    </row>
    <row r="124" customFormat="false" ht="15" hidden="false" customHeight="false" outlineLevel="0" collapsed="false">
      <c r="A124" s="7" t="n">
        <v>123</v>
      </c>
      <c r="B124" s="7"/>
      <c r="C124" s="7" t="s">
        <v>279</v>
      </c>
      <c r="D124" s="7" t="n">
        <v>2717</v>
      </c>
      <c r="E124" s="7" t="s">
        <v>50</v>
      </c>
      <c r="F124" s="10" t="b">
        <f aca="false">FALSE()</f>
        <v>0</v>
      </c>
      <c r="G124" s="7" t="s">
        <v>280</v>
      </c>
      <c r="H124" s="7" t="s">
        <v>281</v>
      </c>
      <c r="I124" s="7" t="n">
        <v>1</v>
      </c>
      <c r="J124" s="7" t="s">
        <v>107</v>
      </c>
      <c r="K124" s="7" t="s">
        <v>108</v>
      </c>
      <c r="L124" s="7" t="n">
        <v>22</v>
      </c>
      <c r="M124" s="10" t="b">
        <f aca="false">FALSE()</f>
        <v>0</v>
      </c>
      <c r="N124" s="7" t="s">
        <v>109</v>
      </c>
      <c r="O124" s="7" t="n">
        <v>-34.094197</v>
      </c>
      <c r="P124" s="7" t="n">
        <v>142.039688</v>
      </c>
    </row>
    <row r="125" customFormat="false" ht="15" hidden="false" customHeight="false" outlineLevel="0" collapsed="false">
      <c r="A125" s="7" t="n">
        <v>124</v>
      </c>
      <c r="B125" s="7"/>
      <c r="C125" s="7" t="s">
        <v>282</v>
      </c>
      <c r="D125" s="7" t="n">
        <v>2323</v>
      </c>
      <c r="E125" s="7" t="s">
        <v>50</v>
      </c>
      <c r="F125" s="10" t="b">
        <f aca="false">FALSE()</f>
        <v>0</v>
      </c>
      <c r="G125" s="7" t="s">
        <v>283</v>
      </c>
      <c r="H125" s="7" t="s">
        <v>237</v>
      </c>
      <c r="I125" s="7" t="n">
        <v>2</v>
      </c>
      <c r="J125" s="7" t="s">
        <v>107</v>
      </c>
      <c r="K125" s="7" t="s">
        <v>277</v>
      </c>
      <c r="L125" s="7" t="n">
        <v>6</v>
      </c>
      <c r="M125" s="10" t="b">
        <f aca="false">FALSE()</f>
        <v>0</v>
      </c>
      <c r="N125" s="7" t="s">
        <v>109</v>
      </c>
      <c r="O125" s="7" t="n">
        <v>-32.762494</v>
      </c>
      <c r="P125" s="7" t="n">
        <v>151.589582</v>
      </c>
    </row>
    <row r="126" customFormat="false" ht="15" hidden="false" customHeight="false" outlineLevel="0" collapsed="false">
      <c r="A126" s="7" t="n">
        <v>125</v>
      </c>
      <c r="B126" s="7"/>
      <c r="C126" s="7" t="s">
        <v>282</v>
      </c>
      <c r="D126" s="7" t="n">
        <v>2323</v>
      </c>
      <c r="E126" s="7" t="s">
        <v>50</v>
      </c>
      <c r="F126" s="10" t="b">
        <f aca="false">FALSE()</f>
        <v>0</v>
      </c>
      <c r="G126" s="7" t="s">
        <v>283</v>
      </c>
      <c r="H126" s="7" t="s">
        <v>239</v>
      </c>
      <c r="I126" s="7" t="n">
        <v>2</v>
      </c>
      <c r="J126" s="7" t="s">
        <v>107</v>
      </c>
      <c r="K126" s="7" t="s">
        <v>108</v>
      </c>
      <c r="L126" s="7" t="n">
        <v>22</v>
      </c>
      <c r="M126" s="10" t="b">
        <f aca="false">FALSE()</f>
        <v>0</v>
      </c>
      <c r="N126" s="7" t="s">
        <v>109</v>
      </c>
      <c r="O126" s="7" t="n">
        <v>-32.762584</v>
      </c>
      <c r="P126" s="7" t="n">
        <v>151.590355</v>
      </c>
    </row>
    <row r="127" customFormat="false" ht="15" hidden="false" customHeight="false" outlineLevel="0" collapsed="false">
      <c r="A127" s="7" t="n">
        <v>126</v>
      </c>
      <c r="B127" s="7"/>
      <c r="C127" s="7" t="s">
        <v>284</v>
      </c>
      <c r="D127" s="7" t="n">
        <v>2549</v>
      </c>
      <c r="E127" s="7" t="s">
        <v>50</v>
      </c>
      <c r="F127" s="10" t="b">
        <f aca="false">FALSE()</f>
        <v>0</v>
      </c>
      <c r="G127" s="7" t="s">
        <v>188</v>
      </c>
      <c r="H127" s="7" t="s">
        <v>239</v>
      </c>
      <c r="I127" s="7" t="n">
        <v>1</v>
      </c>
      <c r="J127" s="7" t="s">
        <v>107</v>
      </c>
      <c r="K127" s="7" t="s">
        <v>108</v>
      </c>
      <c r="L127" s="7" t="n">
        <v>22</v>
      </c>
      <c r="M127" s="10" t="b">
        <f aca="false">FALSE()</f>
        <v>0</v>
      </c>
      <c r="N127" s="7" t="s">
        <v>109</v>
      </c>
      <c r="O127" s="7" t="n">
        <v>-36.940243</v>
      </c>
      <c r="P127" s="7" t="n">
        <v>149.907265</v>
      </c>
    </row>
    <row r="128" customFormat="false" ht="15" hidden="false" customHeight="false" outlineLevel="0" collapsed="false">
      <c r="A128" s="7" t="n">
        <v>127</v>
      </c>
      <c r="B128" s="7"/>
      <c r="C128" s="7" t="s">
        <v>285</v>
      </c>
      <c r="D128" s="7" t="n">
        <v>2103</v>
      </c>
      <c r="E128" s="7" t="s">
        <v>50</v>
      </c>
      <c r="F128" s="10" t="b">
        <f aca="false">FALSE()</f>
        <v>0</v>
      </c>
      <c r="G128" s="7" t="s">
        <v>286</v>
      </c>
      <c r="H128" s="7" t="s">
        <v>287</v>
      </c>
      <c r="I128" s="7" t="n">
        <v>2</v>
      </c>
      <c r="J128" s="7" t="s">
        <v>71</v>
      </c>
      <c r="K128" s="7" t="s">
        <v>288</v>
      </c>
      <c r="L128" s="7" t="n">
        <v>25</v>
      </c>
      <c r="M128" s="10" t="b">
        <f aca="false">FALSE()</f>
        <v>0</v>
      </c>
      <c r="N128" s="7" t="s">
        <v>76</v>
      </c>
      <c r="O128" s="7" t="n">
        <v>-33.676136</v>
      </c>
      <c r="P128" s="7" t="n">
        <v>151.303943</v>
      </c>
    </row>
    <row r="129" customFormat="false" ht="15" hidden="false" customHeight="false" outlineLevel="0" collapsed="false">
      <c r="A129" s="7" t="n">
        <v>128</v>
      </c>
      <c r="B129" s="7"/>
      <c r="C129" s="7" t="s">
        <v>289</v>
      </c>
      <c r="D129" s="7" t="n">
        <v>2536</v>
      </c>
      <c r="E129" s="7" t="s">
        <v>50</v>
      </c>
      <c r="F129" s="10" t="b">
        <f aca="false">FALSE()</f>
        <v>0</v>
      </c>
      <c r="G129" s="7" t="s">
        <v>123</v>
      </c>
      <c r="H129" s="7" t="s">
        <v>244</v>
      </c>
      <c r="I129" s="7" t="n">
        <v>4</v>
      </c>
      <c r="J129" s="7" t="s">
        <v>71</v>
      </c>
      <c r="K129" s="7" t="s">
        <v>83</v>
      </c>
      <c r="L129" s="7" t="n">
        <v>75</v>
      </c>
      <c r="M129" s="10" t="b">
        <f aca="false">FALSE()</f>
        <v>0</v>
      </c>
      <c r="N129" s="7" t="s">
        <v>76</v>
      </c>
      <c r="O129" s="7" t="n">
        <v>-35.707372</v>
      </c>
      <c r="P129" s="7" t="n">
        <v>150.176167</v>
      </c>
    </row>
    <row r="130" customFormat="false" ht="15" hidden="false" customHeight="false" outlineLevel="0" collapsed="false">
      <c r="A130" s="7" t="n">
        <v>129</v>
      </c>
      <c r="B130" s="7"/>
      <c r="C130" s="7" t="s">
        <v>290</v>
      </c>
      <c r="D130" s="7" t="n">
        <v>2065</v>
      </c>
      <c r="E130" s="7" t="s">
        <v>50</v>
      </c>
      <c r="F130" s="10" t="b">
        <f aca="false">FALSE()</f>
        <v>0</v>
      </c>
      <c r="G130" s="7" t="s">
        <v>258</v>
      </c>
      <c r="H130" s="7" t="s">
        <v>260</v>
      </c>
      <c r="I130" s="7" t="n">
        <v>2</v>
      </c>
      <c r="J130" s="7" t="s">
        <v>71</v>
      </c>
      <c r="K130" s="7" t="s">
        <v>72</v>
      </c>
      <c r="L130" s="7" t="n">
        <v>50</v>
      </c>
      <c r="M130" s="10" t="b">
        <f aca="false">FALSE()</f>
        <v>0</v>
      </c>
      <c r="N130" s="7" t="s">
        <v>76</v>
      </c>
      <c r="O130" s="7" t="n">
        <v>-33.821559</v>
      </c>
      <c r="P130" s="7" t="n">
        <v>151.196412</v>
      </c>
    </row>
    <row r="131" customFormat="false" ht="15" hidden="false" customHeight="false" outlineLevel="0" collapsed="false">
      <c r="A131" s="7" t="n">
        <v>130</v>
      </c>
      <c r="B131" s="7"/>
      <c r="C131" s="7" t="s">
        <v>291</v>
      </c>
      <c r="D131" s="7" t="n">
        <v>2481</v>
      </c>
      <c r="E131" s="7" t="s">
        <v>50</v>
      </c>
      <c r="F131" s="10" t="b">
        <f aca="false">FALSE()</f>
        <v>0</v>
      </c>
      <c r="G131" s="7" t="s">
        <v>82</v>
      </c>
      <c r="H131" s="7" t="s">
        <v>237</v>
      </c>
      <c r="I131" s="7" t="n">
        <v>11</v>
      </c>
      <c r="J131" s="7" t="s">
        <v>107</v>
      </c>
      <c r="K131" s="7" t="s">
        <v>108</v>
      </c>
      <c r="L131" s="7" t="n">
        <v>22</v>
      </c>
      <c r="M131" s="10" t="b">
        <f aca="false">FALSE()</f>
        <v>0</v>
      </c>
      <c r="N131" s="7" t="s">
        <v>109</v>
      </c>
      <c r="O131" s="7" t="n">
        <v>-28.631142</v>
      </c>
      <c r="P131" s="7" t="n">
        <v>153.582259</v>
      </c>
    </row>
    <row r="132" customFormat="false" ht="15" hidden="false" customHeight="false" outlineLevel="0" collapsed="false">
      <c r="A132" s="7" t="n">
        <v>131</v>
      </c>
      <c r="B132" s="7"/>
      <c r="C132" s="7" t="s">
        <v>292</v>
      </c>
      <c r="D132" s="7" t="n">
        <v>2217</v>
      </c>
      <c r="E132" s="7" t="s">
        <v>50</v>
      </c>
      <c r="F132" s="10" t="b">
        <f aca="false">FALSE()</f>
        <v>0</v>
      </c>
      <c r="G132" s="7" t="s">
        <v>293</v>
      </c>
      <c r="H132" s="7" t="s">
        <v>239</v>
      </c>
      <c r="I132" s="7" t="n">
        <v>2</v>
      </c>
      <c r="J132" s="7" t="s">
        <v>107</v>
      </c>
      <c r="K132" s="7" t="s">
        <v>277</v>
      </c>
      <c r="L132" s="7" t="n">
        <v>6</v>
      </c>
      <c r="M132" s="10" t="b">
        <f aca="false">FALSE()</f>
        <v>0</v>
      </c>
      <c r="N132" s="7" t="s">
        <v>109</v>
      </c>
      <c r="O132" s="7" t="n">
        <v>-33.962021</v>
      </c>
      <c r="P132" s="7" t="n">
        <v>151.133108</v>
      </c>
    </row>
    <row r="133" customFormat="false" ht="15" hidden="false" customHeight="false" outlineLevel="0" collapsed="false">
      <c r="A133" s="7" t="n">
        <v>132</v>
      </c>
      <c r="B133" s="7"/>
      <c r="C133" s="7" t="s">
        <v>294</v>
      </c>
      <c r="D133" s="7" t="n">
        <v>2026</v>
      </c>
      <c r="E133" s="7" t="s">
        <v>50</v>
      </c>
      <c r="F133" s="10" t="b">
        <f aca="false">FALSE()</f>
        <v>0</v>
      </c>
      <c r="G133" s="7" t="s">
        <v>295</v>
      </c>
      <c r="H133" s="7" t="s">
        <v>260</v>
      </c>
      <c r="I133" s="7" t="n">
        <v>1</v>
      </c>
      <c r="J133" s="7" t="s">
        <v>107</v>
      </c>
      <c r="K133" s="7" t="s">
        <v>108</v>
      </c>
      <c r="L133" s="7" t="n">
        <v>22</v>
      </c>
      <c r="M133" s="10" t="b">
        <f aca="false">FALSE()</f>
        <v>0</v>
      </c>
      <c r="N133" s="7" t="s">
        <v>109</v>
      </c>
      <c r="O133" s="7" t="n">
        <v>-33.881858</v>
      </c>
      <c r="P133" s="7" t="n">
        <v>151.275285</v>
      </c>
    </row>
    <row r="134" customFormat="false" ht="15" hidden="false" customHeight="false" outlineLevel="0" collapsed="false">
      <c r="A134" s="7" t="n">
        <v>133</v>
      </c>
      <c r="B134" s="7"/>
      <c r="C134" s="7" t="s">
        <v>296</v>
      </c>
      <c r="D134" s="7" t="n">
        <v>2138</v>
      </c>
      <c r="E134" s="7" t="s">
        <v>50</v>
      </c>
      <c r="F134" s="10" t="b">
        <f aca="false">FALSE()</f>
        <v>0</v>
      </c>
      <c r="G134" s="7" t="s">
        <v>297</v>
      </c>
      <c r="H134" s="7" t="s">
        <v>239</v>
      </c>
      <c r="I134" s="7" t="n">
        <v>3</v>
      </c>
      <c r="J134" s="7" t="s">
        <v>107</v>
      </c>
      <c r="K134" s="7" t="s">
        <v>108</v>
      </c>
      <c r="L134" s="7" t="n">
        <v>22</v>
      </c>
      <c r="M134" s="10" t="b">
        <f aca="false">FALSE()</f>
        <v>0</v>
      </c>
      <c r="N134" s="7" t="s">
        <v>109</v>
      </c>
      <c r="O134" s="7" t="n">
        <v>-33.835528</v>
      </c>
      <c r="P134" s="7" t="n">
        <v>151.084126</v>
      </c>
    </row>
    <row r="135" customFormat="false" ht="15" hidden="false" customHeight="false" outlineLevel="0" collapsed="false">
      <c r="A135" s="7" t="n">
        <v>134</v>
      </c>
      <c r="B135" s="7"/>
      <c r="C135" s="7" t="s">
        <v>298</v>
      </c>
      <c r="D135" s="7" t="n">
        <v>2154</v>
      </c>
      <c r="E135" s="7" t="s">
        <v>50</v>
      </c>
      <c r="F135" s="10" t="b">
        <f aca="false">FALSE()</f>
        <v>0</v>
      </c>
      <c r="G135" s="7" t="s">
        <v>299</v>
      </c>
      <c r="H135" s="7" t="s">
        <v>239</v>
      </c>
      <c r="I135" s="7" t="n">
        <v>1</v>
      </c>
      <c r="J135" s="7" t="s">
        <v>107</v>
      </c>
      <c r="K135" s="7" t="s">
        <v>277</v>
      </c>
      <c r="L135" s="7" t="n">
        <v>6</v>
      </c>
      <c r="M135" s="10" t="b">
        <f aca="false">FALSE()</f>
        <v>0</v>
      </c>
      <c r="N135" s="7" t="s">
        <v>109</v>
      </c>
      <c r="O135" s="7" t="n">
        <v>-33.730738</v>
      </c>
      <c r="P135" s="7" t="n">
        <v>150.973402</v>
      </c>
    </row>
    <row r="136" customFormat="false" ht="15" hidden="false" customHeight="false" outlineLevel="0" collapsed="false">
      <c r="A136" s="7" t="n">
        <v>135</v>
      </c>
      <c r="B136" s="7"/>
      <c r="C136" s="7" t="s">
        <v>300</v>
      </c>
      <c r="D136" s="7" t="n">
        <v>2103</v>
      </c>
      <c r="E136" s="7" t="s">
        <v>50</v>
      </c>
      <c r="F136" s="10" t="b">
        <f aca="false">FALSE()</f>
        <v>0</v>
      </c>
      <c r="G136" s="7" t="s">
        <v>286</v>
      </c>
      <c r="H136" s="7" t="s">
        <v>237</v>
      </c>
      <c r="I136" s="7" t="n">
        <v>2</v>
      </c>
      <c r="J136" s="7" t="s">
        <v>107</v>
      </c>
      <c r="K136" s="7" t="s">
        <v>277</v>
      </c>
      <c r="L136" s="7" t="n">
        <v>6</v>
      </c>
      <c r="M136" s="10" t="b">
        <f aca="false">FALSE()</f>
        <v>0</v>
      </c>
      <c r="N136" s="7" t="s">
        <v>109</v>
      </c>
      <c r="O136" s="7" t="n">
        <v>-33.676778</v>
      </c>
      <c r="P136" s="7" t="n">
        <v>151.309884</v>
      </c>
    </row>
    <row r="137" customFormat="false" ht="15" hidden="false" customHeight="false" outlineLevel="0" collapsed="false">
      <c r="A137" s="7" t="n">
        <v>136</v>
      </c>
      <c r="B137" s="7"/>
      <c r="C137" s="7" t="s">
        <v>301</v>
      </c>
      <c r="D137" s="7" t="n">
        <v>2025</v>
      </c>
      <c r="E137" s="7" t="s">
        <v>50</v>
      </c>
      <c r="F137" s="10" t="b">
        <f aca="false">FALSE()</f>
        <v>0</v>
      </c>
      <c r="G137" s="7" t="s">
        <v>272</v>
      </c>
      <c r="H137" s="7" t="s">
        <v>302</v>
      </c>
      <c r="I137" s="7" t="n">
        <v>2</v>
      </c>
      <c r="J137" s="7" t="s">
        <v>107</v>
      </c>
      <c r="K137" s="7" t="s">
        <v>108</v>
      </c>
      <c r="L137" s="7" t="n">
        <v>22</v>
      </c>
      <c r="M137" s="10" t="b">
        <f aca="false">FALSE()</f>
        <v>0</v>
      </c>
      <c r="N137" s="7" t="s">
        <v>109</v>
      </c>
      <c r="O137" s="7" t="n">
        <v>-33.888481</v>
      </c>
      <c r="P137" s="7" t="n">
        <v>151.24446</v>
      </c>
    </row>
    <row r="138" customFormat="false" ht="15" hidden="false" customHeight="false" outlineLevel="0" collapsed="false">
      <c r="A138" s="7" t="n">
        <v>137</v>
      </c>
      <c r="B138" s="7"/>
      <c r="C138" s="7" t="s">
        <v>303</v>
      </c>
      <c r="D138" s="7" t="n">
        <v>2050</v>
      </c>
      <c r="E138" s="7" t="s">
        <v>50</v>
      </c>
      <c r="F138" s="10" t="b">
        <f aca="false">FALSE()</f>
        <v>0</v>
      </c>
      <c r="G138" s="7" t="s">
        <v>182</v>
      </c>
      <c r="H138" s="7" t="s">
        <v>304</v>
      </c>
      <c r="I138" s="7" t="n">
        <v>1</v>
      </c>
      <c r="J138" s="7" t="s">
        <v>107</v>
      </c>
      <c r="K138" s="7" t="s">
        <v>108</v>
      </c>
      <c r="L138" s="7" t="n">
        <v>22</v>
      </c>
      <c r="M138" s="10" t="b">
        <f aca="false">FALSE()</f>
        <v>0</v>
      </c>
      <c r="N138" s="7" t="s">
        <v>109</v>
      </c>
      <c r="O138" s="7" t="n">
        <v>-33.884748</v>
      </c>
      <c r="P138" s="7" t="n">
        <v>151.176609</v>
      </c>
    </row>
    <row r="139" customFormat="false" ht="15" hidden="false" customHeight="false" outlineLevel="0" collapsed="false">
      <c r="A139" s="7" t="n">
        <v>138</v>
      </c>
      <c r="B139" s="7"/>
      <c r="C139" s="7" t="s">
        <v>305</v>
      </c>
      <c r="D139" s="7" t="n">
        <v>2780</v>
      </c>
      <c r="E139" s="7" t="s">
        <v>50</v>
      </c>
      <c r="F139" s="10" t="b">
        <f aca="false">FALSE()</f>
        <v>0</v>
      </c>
      <c r="G139" s="7" t="s">
        <v>306</v>
      </c>
      <c r="H139" s="7" t="s">
        <v>260</v>
      </c>
      <c r="I139" s="7" t="n">
        <v>4</v>
      </c>
      <c r="J139" s="7" t="s">
        <v>107</v>
      </c>
      <c r="K139" s="7" t="s">
        <v>108</v>
      </c>
      <c r="L139" s="7" t="n">
        <v>22</v>
      </c>
      <c r="M139" s="10" t="b">
        <f aca="false">FALSE()</f>
        <v>0</v>
      </c>
      <c r="N139" s="7" t="s">
        <v>109</v>
      </c>
      <c r="O139" s="7" t="n">
        <v>-33.72088</v>
      </c>
      <c r="P139" s="7" t="n">
        <v>150.351419</v>
      </c>
    </row>
    <row r="140" customFormat="false" ht="15" hidden="false" customHeight="false" outlineLevel="0" collapsed="false">
      <c r="A140" s="7" t="n">
        <v>139</v>
      </c>
      <c r="B140" s="7"/>
      <c r="C140" s="7" t="s">
        <v>307</v>
      </c>
      <c r="D140" s="7" t="n">
        <v>2485</v>
      </c>
      <c r="E140" s="7" t="s">
        <v>50</v>
      </c>
      <c r="F140" s="10" t="b">
        <f aca="false">FALSE()</f>
        <v>0</v>
      </c>
      <c r="G140" s="7" t="s">
        <v>164</v>
      </c>
      <c r="H140" s="7" t="s">
        <v>239</v>
      </c>
      <c r="I140" s="7" t="n">
        <v>6</v>
      </c>
      <c r="J140" s="7" t="s">
        <v>71</v>
      </c>
      <c r="K140" s="7" t="s">
        <v>250</v>
      </c>
      <c r="L140" s="7" t="n">
        <v>250</v>
      </c>
      <c r="M140" s="10" t="b">
        <f aca="false">FALSE()</f>
        <v>0</v>
      </c>
      <c r="N140" s="7" t="s">
        <v>76</v>
      </c>
      <c r="O140" s="7" t="n">
        <v>-28.17379</v>
      </c>
      <c r="P140" s="7" t="n">
        <v>153.544517</v>
      </c>
    </row>
    <row r="141" customFormat="false" ht="15" hidden="false" customHeight="false" outlineLevel="0" collapsed="false">
      <c r="A141" s="7" t="n">
        <v>140</v>
      </c>
      <c r="B141" s="7"/>
      <c r="C141" s="7" t="s">
        <v>308</v>
      </c>
      <c r="D141" s="7" t="n">
        <v>2318</v>
      </c>
      <c r="E141" s="7" t="s">
        <v>50</v>
      </c>
      <c r="F141" s="10" t="b">
        <f aca="false">FALSE()</f>
        <v>0</v>
      </c>
      <c r="G141" s="7" t="s">
        <v>309</v>
      </c>
      <c r="H141" s="7" t="s">
        <v>237</v>
      </c>
      <c r="I141" s="7" t="n">
        <v>6</v>
      </c>
      <c r="J141" s="7" t="s">
        <v>107</v>
      </c>
      <c r="K141" s="7" t="s">
        <v>108</v>
      </c>
      <c r="L141" s="7" t="n">
        <v>22</v>
      </c>
      <c r="M141" s="10" t="b">
        <f aca="false">FALSE()</f>
        <v>0</v>
      </c>
      <c r="N141" s="7" t="s">
        <v>109</v>
      </c>
      <c r="O141" s="7" t="n">
        <v>-32.804424</v>
      </c>
      <c r="P141" s="7" t="n">
        <v>151.839121</v>
      </c>
    </row>
    <row r="142" customFormat="false" ht="15" hidden="false" customHeight="false" outlineLevel="0" collapsed="false">
      <c r="A142" s="7" t="n">
        <v>141</v>
      </c>
      <c r="B142" s="7"/>
      <c r="C142" s="7" t="s">
        <v>310</v>
      </c>
      <c r="D142" s="7" t="n">
        <v>2217</v>
      </c>
      <c r="E142" s="7" t="s">
        <v>50</v>
      </c>
      <c r="F142" s="10" t="b">
        <f aca="false">FALSE()</f>
        <v>0</v>
      </c>
      <c r="G142" s="7" t="s">
        <v>293</v>
      </c>
      <c r="H142" s="7" t="s">
        <v>244</v>
      </c>
      <c r="I142" s="7" t="n">
        <v>4</v>
      </c>
      <c r="J142" s="7" t="s">
        <v>71</v>
      </c>
      <c r="K142" s="7" t="s">
        <v>234</v>
      </c>
      <c r="L142" s="7" t="n">
        <v>150</v>
      </c>
      <c r="M142" s="10" t="b">
        <f aca="false">FALSE()</f>
        <v>0</v>
      </c>
      <c r="N142" s="7" t="s">
        <v>268</v>
      </c>
      <c r="O142" s="7" t="n">
        <v>-33.962469</v>
      </c>
      <c r="P142" s="7" t="n">
        <v>151.13247</v>
      </c>
    </row>
    <row r="143" customFormat="false" ht="15" hidden="false" customHeight="false" outlineLevel="0" collapsed="false">
      <c r="A143" s="7" t="n">
        <v>142</v>
      </c>
      <c r="B143" s="7"/>
      <c r="C143" s="7" t="s">
        <v>311</v>
      </c>
      <c r="D143" s="7" t="n">
        <v>2566</v>
      </c>
      <c r="E143" s="7" t="s">
        <v>50</v>
      </c>
      <c r="F143" s="10" t="b">
        <f aca="false">FALSE()</f>
        <v>0</v>
      </c>
      <c r="G143" s="7" t="s">
        <v>312</v>
      </c>
      <c r="H143" s="7" t="s">
        <v>244</v>
      </c>
      <c r="I143" s="7" t="n">
        <v>4</v>
      </c>
      <c r="J143" s="7" t="s">
        <v>71</v>
      </c>
      <c r="K143" s="7" t="s">
        <v>83</v>
      </c>
      <c r="L143" s="7" t="n">
        <v>75</v>
      </c>
      <c r="M143" s="10" t="b">
        <f aca="false">FALSE()</f>
        <v>0</v>
      </c>
      <c r="N143" s="7" t="s">
        <v>268</v>
      </c>
      <c r="O143" s="7" t="n">
        <v>-34.030943</v>
      </c>
      <c r="P143" s="7" t="n">
        <v>150.849029</v>
      </c>
    </row>
    <row r="144" customFormat="false" ht="15" hidden="false" customHeight="false" outlineLevel="0" collapsed="false">
      <c r="A144" s="7" t="n">
        <v>143</v>
      </c>
      <c r="B144" s="7"/>
      <c r="C144" s="7" t="s">
        <v>313</v>
      </c>
      <c r="D144" s="7" t="n">
        <v>3644</v>
      </c>
      <c r="E144" s="7" t="s">
        <v>50</v>
      </c>
      <c r="F144" s="10" t="b">
        <f aca="false">FALSE()</f>
        <v>0</v>
      </c>
      <c r="G144" s="7" t="s">
        <v>314</v>
      </c>
      <c r="H144" s="7" t="s">
        <v>260</v>
      </c>
      <c r="I144" s="7" t="n">
        <v>2</v>
      </c>
      <c r="J144" s="7" t="s">
        <v>107</v>
      </c>
      <c r="K144" s="7" t="s">
        <v>108</v>
      </c>
      <c r="L144" s="7" t="n">
        <v>22</v>
      </c>
      <c r="M144" s="10" t="b">
        <f aca="false">FALSE()</f>
        <v>0</v>
      </c>
      <c r="N144" s="7" t="s">
        <v>109</v>
      </c>
      <c r="O144" s="7" t="n">
        <v>-35.906454</v>
      </c>
      <c r="P144" s="7" t="n">
        <v>145.68675</v>
      </c>
    </row>
    <row r="145" customFormat="false" ht="15" hidden="false" customHeight="false" outlineLevel="0" collapsed="false">
      <c r="A145" s="7" t="n">
        <v>144</v>
      </c>
      <c r="B145" s="7"/>
      <c r="C145" s="7" t="s">
        <v>315</v>
      </c>
      <c r="D145" s="7" t="n">
        <v>2527</v>
      </c>
      <c r="E145" s="7" t="s">
        <v>50</v>
      </c>
      <c r="F145" s="10" t="b">
        <f aca="false">FALSE()</f>
        <v>0</v>
      </c>
      <c r="G145" s="7" t="s">
        <v>316</v>
      </c>
      <c r="H145" s="7" t="s">
        <v>237</v>
      </c>
      <c r="I145" s="7" t="n">
        <v>4</v>
      </c>
      <c r="J145" s="7" t="s">
        <v>107</v>
      </c>
      <c r="K145" s="7" t="s">
        <v>108</v>
      </c>
      <c r="L145" s="7" t="n">
        <v>22</v>
      </c>
      <c r="M145" s="10" t="b">
        <f aca="false">FALSE()</f>
        <v>0</v>
      </c>
      <c r="N145" s="7" t="s">
        <v>109</v>
      </c>
      <c r="O145" s="7" t="n">
        <v>-34.573567</v>
      </c>
      <c r="P145" s="7" t="n">
        <v>150.813427</v>
      </c>
    </row>
    <row r="146" customFormat="false" ht="15" hidden="false" customHeight="false" outlineLevel="0" collapsed="false">
      <c r="A146" s="7" t="n">
        <v>145</v>
      </c>
      <c r="B146" s="7"/>
      <c r="C146" s="7" t="s">
        <v>317</v>
      </c>
      <c r="D146" s="7" t="n">
        <v>2795</v>
      </c>
      <c r="E146" s="7" t="s">
        <v>50</v>
      </c>
      <c r="F146" s="10" t="b">
        <f aca="false">FALSE()</f>
        <v>0</v>
      </c>
      <c r="G146" s="7" t="s">
        <v>75</v>
      </c>
      <c r="H146" s="7" t="s">
        <v>244</v>
      </c>
      <c r="I146" s="7" t="n">
        <v>4</v>
      </c>
      <c r="J146" s="7" t="s">
        <v>71</v>
      </c>
      <c r="K146" s="7" t="s">
        <v>234</v>
      </c>
      <c r="L146" s="7" t="n">
        <v>150</v>
      </c>
      <c r="M146" s="10" t="b">
        <f aca="false">FALSE()</f>
        <v>0</v>
      </c>
      <c r="N146" s="7" t="s">
        <v>76</v>
      </c>
      <c r="O146" s="7" t="n">
        <v>-33.414172</v>
      </c>
      <c r="P146" s="7" t="n">
        <v>149.583356</v>
      </c>
    </row>
    <row r="147" customFormat="false" ht="15" hidden="false" customHeight="false" outlineLevel="0" collapsed="false">
      <c r="A147" s="7" t="n">
        <v>146</v>
      </c>
      <c r="B147" s="7"/>
      <c r="C147" s="7" t="s">
        <v>318</v>
      </c>
      <c r="D147" s="7" t="n">
        <v>2305</v>
      </c>
      <c r="E147" s="7" t="s">
        <v>50</v>
      </c>
      <c r="F147" s="10" t="b">
        <f aca="false">FALSE()</f>
        <v>0</v>
      </c>
      <c r="G147" s="7" t="s">
        <v>141</v>
      </c>
      <c r="H147" s="7" t="s">
        <v>239</v>
      </c>
      <c r="I147" s="7" t="n">
        <v>1</v>
      </c>
      <c r="J147" s="7" t="s">
        <v>107</v>
      </c>
      <c r="K147" s="7" t="s">
        <v>108</v>
      </c>
      <c r="L147" s="7" t="n">
        <v>22</v>
      </c>
      <c r="M147" s="10" t="b">
        <f aca="false">FALSE()</f>
        <v>0</v>
      </c>
      <c r="N147" s="7" t="s">
        <v>109</v>
      </c>
      <c r="O147" s="7" t="n">
        <v>-32.920752</v>
      </c>
      <c r="P147" s="7" t="n">
        <v>151.715523</v>
      </c>
    </row>
    <row r="148" customFormat="false" ht="15" hidden="false" customHeight="false" outlineLevel="0" collapsed="false">
      <c r="A148" s="7" t="n">
        <v>147</v>
      </c>
      <c r="B148" s="7"/>
      <c r="C148" s="7" t="s">
        <v>319</v>
      </c>
      <c r="D148" s="7" t="n">
        <v>2443</v>
      </c>
      <c r="E148" s="7" t="s">
        <v>50</v>
      </c>
      <c r="F148" s="10" t="b">
        <f aca="false">FALSE()</f>
        <v>0</v>
      </c>
      <c r="G148" s="7" t="s">
        <v>135</v>
      </c>
      <c r="H148" s="7" t="s">
        <v>260</v>
      </c>
      <c r="I148" s="7" t="n">
        <v>2</v>
      </c>
      <c r="J148" s="7" t="s">
        <v>107</v>
      </c>
      <c r="K148" s="7" t="s">
        <v>108</v>
      </c>
      <c r="L148" s="7" t="n">
        <v>22</v>
      </c>
      <c r="M148" s="10" t="b">
        <f aca="false">FALSE()</f>
        <v>0</v>
      </c>
      <c r="N148" s="7" t="s">
        <v>109</v>
      </c>
      <c r="O148" s="7" t="n">
        <v>-31.650422</v>
      </c>
      <c r="P148" s="7" t="n">
        <v>152.795887</v>
      </c>
    </row>
    <row r="149" customFormat="false" ht="15" hidden="false" customHeight="false" outlineLevel="0" collapsed="false">
      <c r="A149" s="7" t="n">
        <v>148</v>
      </c>
      <c r="B149" s="7"/>
      <c r="C149" s="7" t="s">
        <v>320</v>
      </c>
      <c r="D149" s="7" t="n">
        <v>2070</v>
      </c>
      <c r="E149" s="7" t="s">
        <v>50</v>
      </c>
      <c r="F149" s="10" t="b">
        <f aca="false">FALSE()</f>
        <v>0</v>
      </c>
      <c r="G149" s="7" t="s">
        <v>236</v>
      </c>
      <c r="H149" s="7" t="s">
        <v>237</v>
      </c>
      <c r="I149" s="7" t="n">
        <v>10</v>
      </c>
      <c r="J149" s="7" t="s">
        <v>107</v>
      </c>
      <c r="K149" s="7" t="s">
        <v>108</v>
      </c>
      <c r="L149" s="7" t="n">
        <v>22</v>
      </c>
      <c r="M149" s="10" t="b">
        <f aca="false">FALSE()</f>
        <v>0</v>
      </c>
      <c r="N149" s="7" t="s">
        <v>109</v>
      </c>
      <c r="O149" s="7" t="n">
        <v>-33.774817</v>
      </c>
      <c r="P149" s="7" t="n">
        <v>151.170499</v>
      </c>
    </row>
    <row r="150" customFormat="false" ht="15" hidden="false" customHeight="false" outlineLevel="0" collapsed="false">
      <c r="A150" s="7" t="n">
        <v>149</v>
      </c>
      <c r="B150" s="7"/>
      <c r="C150" s="7" t="s">
        <v>320</v>
      </c>
      <c r="D150" s="7" t="n">
        <v>2070</v>
      </c>
      <c r="E150" s="7" t="s">
        <v>50</v>
      </c>
      <c r="F150" s="10" t="b">
        <f aca="false">FALSE()</f>
        <v>0</v>
      </c>
      <c r="G150" s="7" t="s">
        <v>236</v>
      </c>
      <c r="H150" s="7" t="s">
        <v>260</v>
      </c>
      <c r="I150" s="7" t="n">
        <v>5</v>
      </c>
      <c r="J150" s="7" t="s">
        <v>107</v>
      </c>
      <c r="K150" s="7" t="s">
        <v>277</v>
      </c>
      <c r="L150" s="7" t="n">
        <v>6</v>
      </c>
      <c r="M150" s="10" t="b">
        <f aca="false">FALSE()</f>
        <v>0</v>
      </c>
      <c r="N150" s="7" t="s">
        <v>109</v>
      </c>
      <c r="O150" s="7" t="n">
        <v>-33.774979</v>
      </c>
      <c r="P150" s="7" t="n">
        <v>151.17021</v>
      </c>
    </row>
    <row r="151" customFormat="false" ht="15" hidden="false" customHeight="false" outlineLevel="0" collapsed="false">
      <c r="A151" s="7" t="n">
        <v>150</v>
      </c>
      <c r="B151" s="7"/>
      <c r="C151" s="7" t="s">
        <v>321</v>
      </c>
      <c r="D151" s="7" t="n">
        <v>2500</v>
      </c>
      <c r="E151" s="7" t="s">
        <v>50</v>
      </c>
      <c r="F151" s="10" t="b">
        <f aca="false">FALSE()</f>
        <v>0</v>
      </c>
      <c r="G151" s="7" t="s">
        <v>102</v>
      </c>
      <c r="H151" s="7" t="s">
        <v>302</v>
      </c>
      <c r="I151" s="7" t="n">
        <v>2</v>
      </c>
      <c r="J151" s="7" t="s">
        <v>107</v>
      </c>
      <c r="K151" s="7" t="s">
        <v>108</v>
      </c>
      <c r="L151" s="7" t="n">
        <v>22</v>
      </c>
      <c r="M151" s="10" t="b">
        <f aca="false">FALSE()</f>
        <v>0</v>
      </c>
      <c r="N151" s="7" t="s">
        <v>109</v>
      </c>
      <c r="O151" s="7" t="n">
        <v>-34.42213</v>
      </c>
      <c r="P151" s="7" t="n">
        <v>150.891979</v>
      </c>
    </row>
    <row r="152" customFormat="false" ht="15" hidden="false" customHeight="false" outlineLevel="0" collapsed="false">
      <c r="A152" s="7" t="n">
        <v>151</v>
      </c>
      <c r="B152" s="7"/>
      <c r="C152" s="7" t="s">
        <v>322</v>
      </c>
      <c r="D152" s="7" t="n">
        <v>2444</v>
      </c>
      <c r="E152" s="7" t="s">
        <v>50</v>
      </c>
      <c r="F152" s="10" t="b">
        <f aca="false">FALSE()</f>
        <v>0</v>
      </c>
      <c r="G152" s="7" t="s">
        <v>135</v>
      </c>
      <c r="H152" s="7" t="s">
        <v>239</v>
      </c>
      <c r="I152" s="7" t="n">
        <v>12</v>
      </c>
      <c r="J152" s="7" t="s">
        <v>71</v>
      </c>
      <c r="K152" s="7" t="s">
        <v>242</v>
      </c>
      <c r="L152" s="7" t="n">
        <v>130</v>
      </c>
      <c r="M152" s="10" t="b">
        <f aca="false">FALSE()</f>
        <v>0</v>
      </c>
      <c r="N152" s="7" t="s">
        <v>76</v>
      </c>
      <c r="O152" s="7" t="n">
        <v>-31.4361</v>
      </c>
      <c r="P152" s="7" t="n">
        <v>152.823583</v>
      </c>
    </row>
    <row r="153" customFormat="false" ht="15" hidden="false" customHeight="false" outlineLevel="0" collapsed="false">
      <c r="A153" s="7" t="n">
        <v>152</v>
      </c>
      <c r="B153" s="7"/>
      <c r="C153" s="7" t="s">
        <v>323</v>
      </c>
      <c r="D153" s="7" t="n">
        <v>2322</v>
      </c>
      <c r="E153" s="7" t="s">
        <v>50</v>
      </c>
      <c r="F153" s="10" t="b">
        <f aca="false">FALSE()</f>
        <v>0</v>
      </c>
      <c r="G153" s="7" t="s">
        <v>141</v>
      </c>
      <c r="H153" s="7" t="s">
        <v>260</v>
      </c>
      <c r="I153" s="7" t="n">
        <v>3</v>
      </c>
      <c r="J153" s="7" t="s">
        <v>107</v>
      </c>
      <c r="K153" s="7" t="s">
        <v>108</v>
      </c>
      <c r="L153" s="7" t="n">
        <v>22</v>
      </c>
      <c r="M153" s="10" t="b">
        <f aca="false">FALSE()</f>
        <v>0</v>
      </c>
      <c r="N153" s="7" t="s">
        <v>109</v>
      </c>
      <c r="O153" s="7" t="n">
        <v>-32.803009</v>
      </c>
      <c r="P153" s="7" t="n">
        <v>151.633431</v>
      </c>
    </row>
    <row r="154" customFormat="false" ht="15" hidden="false" customHeight="false" outlineLevel="0" collapsed="false">
      <c r="A154" s="7" t="n">
        <v>153</v>
      </c>
      <c r="B154" s="7"/>
      <c r="C154" s="7" t="s">
        <v>324</v>
      </c>
      <c r="D154" s="7" t="n">
        <v>2000</v>
      </c>
      <c r="E154" s="7" t="s">
        <v>50</v>
      </c>
      <c r="F154" s="10" t="b">
        <f aca="false">FALSE()</f>
        <v>0</v>
      </c>
      <c r="G154" s="7" t="s">
        <v>182</v>
      </c>
      <c r="H154" s="7" t="s">
        <v>237</v>
      </c>
      <c r="I154" s="7" t="n">
        <v>4</v>
      </c>
      <c r="J154" s="7" t="s">
        <v>107</v>
      </c>
      <c r="K154" s="7" t="s">
        <v>277</v>
      </c>
      <c r="L154" s="7" t="n">
        <v>6</v>
      </c>
      <c r="M154" s="10" t="b">
        <f aca="false">FALSE()</f>
        <v>0</v>
      </c>
      <c r="N154" s="7" t="s">
        <v>109</v>
      </c>
      <c r="O154" s="7" t="n">
        <v>-33.878449</v>
      </c>
      <c r="P154" s="7" t="n">
        <v>151.208999</v>
      </c>
    </row>
    <row r="155" customFormat="false" ht="15" hidden="false" customHeight="false" outlineLevel="0" collapsed="false">
      <c r="A155" s="7" t="n">
        <v>154</v>
      </c>
      <c r="B155" s="7"/>
      <c r="C155" s="7" t="s">
        <v>325</v>
      </c>
      <c r="D155" s="7" t="n">
        <v>2022</v>
      </c>
      <c r="E155" s="7" t="s">
        <v>50</v>
      </c>
      <c r="F155" s="10" t="b">
        <f aca="false">FALSE()</f>
        <v>0</v>
      </c>
      <c r="G155" s="7" t="s">
        <v>295</v>
      </c>
      <c r="H155" s="7" t="s">
        <v>239</v>
      </c>
      <c r="I155" s="7" t="n">
        <v>4</v>
      </c>
      <c r="J155" s="7" t="s">
        <v>107</v>
      </c>
      <c r="K155" s="7" t="s">
        <v>108</v>
      </c>
      <c r="L155" s="7" t="n">
        <v>22</v>
      </c>
      <c r="M155" s="10" t="b">
        <f aca="false">FALSE()</f>
        <v>0</v>
      </c>
      <c r="N155" s="7" t="s">
        <v>109</v>
      </c>
      <c r="O155" s="7" t="n">
        <v>-33.89092</v>
      </c>
      <c r="P155" s="7" t="n">
        <v>151.250822</v>
      </c>
    </row>
    <row r="156" customFormat="false" ht="15" hidden="false" customHeight="false" outlineLevel="0" collapsed="false">
      <c r="A156" s="7" t="n">
        <v>155</v>
      </c>
      <c r="B156" s="7"/>
      <c r="C156" s="7" t="s">
        <v>326</v>
      </c>
      <c r="D156" s="7" t="n">
        <v>2640</v>
      </c>
      <c r="E156" s="7" t="s">
        <v>50</v>
      </c>
      <c r="F156" s="10" t="b">
        <f aca="false">FALSE()</f>
        <v>0</v>
      </c>
      <c r="G156" s="7" t="s">
        <v>194</v>
      </c>
      <c r="H156" s="7" t="s">
        <v>260</v>
      </c>
      <c r="I156" s="7" t="n">
        <v>4</v>
      </c>
      <c r="J156" s="7" t="s">
        <v>107</v>
      </c>
      <c r="K156" s="7" t="s">
        <v>108</v>
      </c>
      <c r="L156" s="7" t="n">
        <v>22</v>
      </c>
      <c r="M156" s="10" t="b">
        <f aca="false">FALSE()</f>
        <v>0</v>
      </c>
      <c r="N156" s="7" t="s">
        <v>109</v>
      </c>
      <c r="O156" s="7" t="n">
        <v>-36.081768</v>
      </c>
      <c r="P156" s="7" t="n">
        <v>146.916319</v>
      </c>
    </row>
    <row r="157" customFormat="false" ht="15" hidden="false" customHeight="false" outlineLevel="0" collapsed="false">
      <c r="A157" s="7" t="n">
        <v>156</v>
      </c>
      <c r="B157" s="7"/>
      <c r="C157" s="7" t="s">
        <v>327</v>
      </c>
      <c r="D157" s="7" t="n">
        <v>2372</v>
      </c>
      <c r="E157" s="7" t="s">
        <v>50</v>
      </c>
      <c r="F157" s="10" t="b">
        <f aca="false">FALSE()</f>
        <v>0</v>
      </c>
      <c r="G157" s="7" t="s">
        <v>96</v>
      </c>
      <c r="H157" s="7" t="s">
        <v>239</v>
      </c>
      <c r="I157" s="7" t="n">
        <v>2</v>
      </c>
      <c r="J157" s="7" t="s">
        <v>107</v>
      </c>
      <c r="K157" s="7" t="s">
        <v>108</v>
      </c>
      <c r="L157" s="7" t="n">
        <v>22</v>
      </c>
      <c r="M157" s="10" t="b">
        <f aca="false">FALSE()</f>
        <v>0</v>
      </c>
      <c r="N157" s="7" t="s">
        <v>109</v>
      </c>
      <c r="O157" s="7" t="n">
        <v>-29.234137</v>
      </c>
      <c r="P157" s="7" t="n">
        <v>152.022288</v>
      </c>
    </row>
    <row r="158" customFormat="false" ht="15" hidden="false" customHeight="false" outlineLevel="0" collapsed="false">
      <c r="A158" s="7" t="n">
        <v>157</v>
      </c>
      <c r="B158" s="7"/>
      <c r="C158" s="7" t="s">
        <v>328</v>
      </c>
      <c r="D158" s="7" t="n">
        <v>2800</v>
      </c>
      <c r="E158" s="7" t="s">
        <v>50</v>
      </c>
      <c r="F158" s="10" t="b">
        <f aca="false">FALSE()</f>
        <v>0</v>
      </c>
      <c r="G158" s="7" t="s">
        <v>185</v>
      </c>
      <c r="H158" s="7" t="s">
        <v>239</v>
      </c>
      <c r="I158" s="7" t="n">
        <v>2</v>
      </c>
      <c r="J158" s="7" t="s">
        <v>107</v>
      </c>
      <c r="K158" s="7" t="s">
        <v>108</v>
      </c>
      <c r="L158" s="7" t="n">
        <v>22</v>
      </c>
      <c r="M158" s="10" t="b">
        <f aca="false">FALSE()</f>
        <v>0</v>
      </c>
      <c r="N158" s="7" t="s">
        <v>109</v>
      </c>
      <c r="O158" s="7" t="n">
        <v>-33.259226</v>
      </c>
      <c r="P158" s="7" t="n">
        <v>149.00404</v>
      </c>
    </row>
    <row r="159" customFormat="false" ht="15" hidden="false" customHeight="false" outlineLevel="0" collapsed="false">
      <c r="A159" s="7" t="n">
        <v>158</v>
      </c>
      <c r="B159" s="7"/>
      <c r="C159" s="7" t="s">
        <v>329</v>
      </c>
      <c r="D159" s="7" t="n">
        <v>2147</v>
      </c>
      <c r="E159" s="7" t="s">
        <v>50</v>
      </c>
      <c r="F159" s="10" t="b">
        <f aca="false">FALSE()</f>
        <v>0</v>
      </c>
      <c r="G159" s="7" t="s">
        <v>232</v>
      </c>
      <c r="H159" s="7" t="s">
        <v>330</v>
      </c>
      <c r="I159" s="7" t="n">
        <v>2</v>
      </c>
      <c r="J159" s="7" t="s">
        <v>71</v>
      </c>
      <c r="K159" s="7" t="s">
        <v>234</v>
      </c>
      <c r="L159" s="7" t="n">
        <v>150</v>
      </c>
      <c r="M159" s="10" t="b">
        <f aca="false">FALSE()</f>
        <v>0</v>
      </c>
      <c r="N159" s="7" t="s">
        <v>76</v>
      </c>
      <c r="O159" s="7" t="n">
        <v>-33.77436</v>
      </c>
      <c r="P159" s="7" t="n">
        <v>150.944881</v>
      </c>
    </row>
    <row r="160" customFormat="false" ht="15" hidden="false" customHeight="false" outlineLevel="0" collapsed="false">
      <c r="A160" s="7" t="n">
        <v>159</v>
      </c>
      <c r="B160" s="7"/>
      <c r="C160" s="7" t="s">
        <v>331</v>
      </c>
      <c r="D160" s="7" t="n">
        <v>2090</v>
      </c>
      <c r="E160" s="7" t="s">
        <v>50</v>
      </c>
      <c r="F160" s="10" t="b">
        <f aca="false">FALSE()</f>
        <v>0</v>
      </c>
      <c r="G160" s="7" t="s">
        <v>332</v>
      </c>
      <c r="H160" s="7" t="s">
        <v>244</v>
      </c>
      <c r="I160" s="7" t="n">
        <v>4</v>
      </c>
      <c r="J160" s="7" t="s">
        <v>71</v>
      </c>
      <c r="K160" s="7" t="s">
        <v>83</v>
      </c>
      <c r="L160" s="7" t="n">
        <v>75</v>
      </c>
      <c r="M160" s="10" t="b">
        <f aca="false">FALSE()</f>
        <v>0</v>
      </c>
      <c r="N160" s="7" t="s">
        <v>76</v>
      </c>
      <c r="O160" s="7" t="n">
        <v>-33.82735</v>
      </c>
      <c r="P160" s="7" t="n">
        <v>151.230337</v>
      </c>
    </row>
    <row r="161" customFormat="false" ht="15" hidden="false" customHeight="false" outlineLevel="0" collapsed="false">
      <c r="A161" s="7" t="n">
        <v>160</v>
      </c>
      <c r="B161" s="7"/>
      <c r="C161" s="7" t="s">
        <v>333</v>
      </c>
      <c r="D161" s="7" t="n">
        <v>2444</v>
      </c>
      <c r="E161" s="7" t="s">
        <v>50</v>
      </c>
      <c r="F161" s="10" t="b">
        <f aca="false">FALSE()</f>
        <v>0</v>
      </c>
      <c r="G161" s="7" t="s">
        <v>135</v>
      </c>
      <c r="H161" s="7" t="s">
        <v>237</v>
      </c>
      <c r="I161" s="7" t="n">
        <v>4</v>
      </c>
      <c r="J161" s="7" t="s">
        <v>71</v>
      </c>
      <c r="K161" s="7" t="s">
        <v>90</v>
      </c>
      <c r="L161" s="7" t="n">
        <v>180</v>
      </c>
      <c r="M161" s="10" t="b">
        <f aca="false">FALSE()</f>
        <v>0</v>
      </c>
      <c r="N161" s="7" t="s">
        <v>76</v>
      </c>
      <c r="O161" s="7" t="n">
        <v>-31.463942</v>
      </c>
      <c r="P161" s="7" t="n">
        <v>152.82195</v>
      </c>
    </row>
    <row r="162" customFormat="false" ht="15" hidden="false" customHeight="false" outlineLevel="0" collapsed="false">
      <c r="A162" s="7" t="n">
        <v>161</v>
      </c>
      <c r="B162" s="7"/>
      <c r="C162" s="7" t="s">
        <v>334</v>
      </c>
      <c r="D162" s="7" t="n">
        <v>2097</v>
      </c>
      <c r="E162" s="7" t="s">
        <v>50</v>
      </c>
      <c r="F162" s="10" t="b">
        <f aca="false">FALSE()</f>
        <v>0</v>
      </c>
      <c r="G162" s="7" t="s">
        <v>286</v>
      </c>
      <c r="H162" s="7" t="s">
        <v>287</v>
      </c>
      <c r="I162" s="7" t="n">
        <v>2</v>
      </c>
      <c r="J162" s="7" t="s">
        <v>71</v>
      </c>
      <c r="K162" s="7" t="s">
        <v>288</v>
      </c>
      <c r="L162" s="7" t="n">
        <v>25</v>
      </c>
      <c r="M162" s="10" t="b">
        <f aca="false">FALSE()</f>
        <v>0</v>
      </c>
      <c r="N162" s="7" t="s">
        <v>76</v>
      </c>
      <c r="O162" s="7" t="n">
        <v>-33.73111</v>
      </c>
      <c r="P162" s="7" t="n">
        <v>151.301011</v>
      </c>
    </row>
    <row r="163" customFormat="false" ht="15" hidden="false" customHeight="false" outlineLevel="0" collapsed="false">
      <c r="A163" s="7" t="n">
        <v>162</v>
      </c>
      <c r="B163" s="7"/>
      <c r="C163" s="7" t="s">
        <v>335</v>
      </c>
      <c r="D163" s="7" t="n">
        <v>2330</v>
      </c>
      <c r="E163" s="7" t="s">
        <v>50</v>
      </c>
      <c r="F163" s="10" t="b">
        <f aca="false">FALSE()</f>
        <v>0</v>
      </c>
      <c r="G163" s="7" t="s">
        <v>336</v>
      </c>
      <c r="H163" s="7" t="s">
        <v>260</v>
      </c>
      <c r="I163" s="7" t="n">
        <v>1</v>
      </c>
      <c r="J163" s="7" t="s">
        <v>107</v>
      </c>
      <c r="K163" s="7" t="s">
        <v>108</v>
      </c>
      <c r="L163" s="7" t="n">
        <v>22</v>
      </c>
      <c r="M163" s="10" t="b">
        <f aca="false">FALSE()</f>
        <v>0</v>
      </c>
      <c r="N163" s="7" t="s">
        <v>109</v>
      </c>
      <c r="O163" s="7" t="n">
        <v>-32.565528</v>
      </c>
      <c r="P163" s="7" t="n">
        <v>151.16714</v>
      </c>
    </row>
    <row r="164" customFormat="false" ht="15" hidden="false" customHeight="false" outlineLevel="0" collapsed="false">
      <c r="A164" s="7" t="n">
        <v>163</v>
      </c>
      <c r="B164" s="7"/>
      <c r="C164" s="7" t="s">
        <v>337</v>
      </c>
      <c r="D164" s="7" t="n">
        <v>2179</v>
      </c>
      <c r="E164" s="7" t="s">
        <v>50</v>
      </c>
      <c r="F164" s="10" t="b">
        <f aca="false">FALSE()</f>
        <v>0</v>
      </c>
      <c r="G164" s="7" t="s">
        <v>338</v>
      </c>
      <c r="H164" s="7" t="s">
        <v>237</v>
      </c>
      <c r="I164" s="7" t="n">
        <v>6</v>
      </c>
      <c r="J164" s="7" t="s">
        <v>107</v>
      </c>
      <c r="K164" s="7" t="s">
        <v>277</v>
      </c>
      <c r="L164" s="7" t="n">
        <v>6</v>
      </c>
      <c r="M164" s="10" t="b">
        <f aca="false">FALSE()</f>
        <v>0</v>
      </c>
      <c r="N164" s="7" t="s">
        <v>109</v>
      </c>
      <c r="O164" s="7" t="n">
        <v>-33.96188</v>
      </c>
      <c r="P164" s="7" t="n">
        <v>150.806234</v>
      </c>
    </row>
    <row r="165" customFormat="false" ht="15" hidden="false" customHeight="false" outlineLevel="0" collapsed="false">
      <c r="A165" s="7" t="n">
        <v>164</v>
      </c>
      <c r="B165" s="7"/>
      <c r="C165" s="7" t="s">
        <v>339</v>
      </c>
      <c r="D165" s="7" t="n">
        <v>2119</v>
      </c>
      <c r="E165" s="7" t="s">
        <v>50</v>
      </c>
      <c r="F165" s="10" t="b">
        <f aca="false">FALSE()</f>
        <v>0</v>
      </c>
      <c r="G165" s="7" t="s">
        <v>340</v>
      </c>
      <c r="H165" s="7" t="s">
        <v>287</v>
      </c>
      <c r="I165" s="7" t="n">
        <v>2</v>
      </c>
      <c r="J165" s="7" t="s">
        <v>71</v>
      </c>
      <c r="K165" s="7" t="s">
        <v>288</v>
      </c>
      <c r="L165" s="7" t="n">
        <v>25</v>
      </c>
      <c r="M165" s="10" t="b">
        <f aca="false">FALSE()</f>
        <v>0</v>
      </c>
      <c r="N165" s="7" t="s">
        <v>76</v>
      </c>
      <c r="O165" s="7" t="n">
        <v>-33.750517</v>
      </c>
      <c r="P165" s="7" t="n">
        <v>151.065083</v>
      </c>
    </row>
    <row r="166" customFormat="false" ht="15" hidden="false" customHeight="false" outlineLevel="0" collapsed="false">
      <c r="A166" s="7" t="n">
        <v>165</v>
      </c>
      <c r="B166" s="7"/>
      <c r="C166" s="7" t="s">
        <v>341</v>
      </c>
      <c r="D166" s="7" t="n">
        <v>2830</v>
      </c>
      <c r="E166" s="7" t="s">
        <v>50</v>
      </c>
      <c r="F166" s="10" t="b">
        <f aca="false">FALSE()</f>
        <v>0</v>
      </c>
      <c r="G166" s="7" t="s">
        <v>227</v>
      </c>
      <c r="H166" s="7" t="s">
        <v>239</v>
      </c>
      <c r="I166" s="7" t="n">
        <v>2</v>
      </c>
      <c r="J166" s="7" t="s">
        <v>107</v>
      </c>
      <c r="K166" s="7" t="s">
        <v>342</v>
      </c>
      <c r="L166" s="7" t="n">
        <v>14</v>
      </c>
      <c r="M166" s="10" t="b">
        <f aca="false">FALSE()</f>
        <v>0</v>
      </c>
      <c r="N166" s="7" t="s">
        <v>109</v>
      </c>
      <c r="O166" s="7" t="n">
        <v>-32.254749</v>
      </c>
      <c r="P166" s="7" t="n">
        <v>148.610142</v>
      </c>
    </row>
    <row r="167" customFormat="false" ht="15" hidden="false" customHeight="false" outlineLevel="0" collapsed="false">
      <c r="A167" s="7" t="n">
        <v>166</v>
      </c>
      <c r="B167" s="7"/>
      <c r="C167" s="7" t="s">
        <v>343</v>
      </c>
      <c r="D167" s="7" t="n">
        <v>2830</v>
      </c>
      <c r="E167" s="7" t="s">
        <v>50</v>
      </c>
      <c r="F167" s="10" t="b">
        <f aca="false">FALSE()</f>
        <v>0</v>
      </c>
      <c r="G167" s="7" t="s">
        <v>227</v>
      </c>
      <c r="H167" s="7" t="s">
        <v>239</v>
      </c>
      <c r="I167" s="7" t="n">
        <v>1</v>
      </c>
      <c r="J167" s="7" t="s">
        <v>107</v>
      </c>
      <c r="K167" s="7" t="s">
        <v>108</v>
      </c>
      <c r="L167" s="7" t="n">
        <v>22</v>
      </c>
      <c r="M167" s="10" t="b">
        <f aca="false">FALSE()</f>
        <v>0</v>
      </c>
      <c r="N167" s="7" t="s">
        <v>109</v>
      </c>
      <c r="O167" s="7" t="n">
        <v>-32.252166</v>
      </c>
      <c r="P167" s="7" t="n">
        <v>148.589921</v>
      </c>
    </row>
    <row r="168" customFormat="false" ht="15" hidden="false" customHeight="false" outlineLevel="0" collapsed="false">
      <c r="A168" s="7" t="n">
        <v>167</v>
      </c>
      <c r="B168" s="7"/>
      <c r="C168" s="7" t="s">
        <v>344</v>
      </c>
      <c r="D168" s="7" t="n">
        <v>2193</v>
      </c>
      <c r="E168" s="7" t="s">
        <v>50</v>
      </c>
      <c r="F168" s="10" t="b">
        <f aca="false">FALSE()</f>
        <v>0</v>
      </c>
      <c r="G168" s="7" t="s">
        <v>345</v>
      </c>
      <c r="H168" s="7" t="s">
        <v>260</v>
      </c>
      <c r="I168" s="7" t="n">
        <v>1</v>
      </c>
      <c r="J168" s="7" t="s">
        <v>107</v>
      </c>
      <c r="K168" s="7" t="s">
        <v>277</v>
      </c>
      <c r="L168" s="7" t="n">
        <v>6</v>
      </c>
      <c r="M168" s="10" t="b">
        <f aca="false">FALSE()</f>
        <v>0</v>
      </c>
      <c r="N168" s="7" t="s">
        <v>109</v>
      </c>
      <c r="O168" s="7" t="n">
        <v>-33.911711</v>
      </c>
      <c r="P168" s="7" t="n">
        <v>151.117292</v>
      </c>
    </row>
    <row r="169" customFormat="false" ht="15" hidden="false" customHeight="false" outlineLevel="0" collapsed="false">
      <c r="A169" s="7" t="n">
        <v>168</v>
      </c>
      <c r="B169" s="7"/>
      <c r="C169" s="7" t="s">
        <v>346</v>
      </c>
      <c r="D169" s="7" t="n">
        <v>2535</v>
      </c>
      <c r="E169" s="7" t="s">
        <v>50</v>
      </c>
      <c r="F169" s="10" t="b">
        <f aca="false">FALSE()</f>
        <v>0</v>
      </c>
      <c r="G169" s="7" t="s">
        <v>92</v>
      </c>
      <c r="H169" s="7" t="s">
        <v>230</v>
      </c>
      <c r="I169" s="7" t="n">
        <v>2</v>
      </c>
      <c r="J169" s="7" t="s">
        <v>107</v>
      </c>
      <c r="K169" s="7" t="s">
        <v>108</v>
      </c>
      <c r="L169" s="7" t="n">
        <v>22</v>
      </c>
      <c r="M169" s="10" t="b">
        <f aca="false">FALSE()</f>
        <v>0</v>
      </c>
      <c r="N169" s="7" t="s">
        <v>109</v>
      </c>
      <c r="O169" s="7" t="n">
        <v>-34.840288</v>
      </c>
      <c r="P169" s="7" t="n">
        <v>150.73236</v>
      </c>
    </row>
    <row r="170" customFormat="false" ht="15" hidden="false" customHeight="false" outlineLevel="0" collapsed="false">
      <c r="A170" s="7" t="n">
        <v>169</v>
      </c>
      <c r="B170" s="7"/>
      <c r="C170" s="7" t="s">
        <v>346</v>
      </c>
      <c r="D170" s="7" t="n">
        <v>2535</v>
      </c>
      <c r="E170" s="7" t="s">
        <v>50</v>
      </c>
      <c r="F170" s="10" t="b">
        <f aca="false">FALSE()</f>
        <v>0</v>
      </c>
      <c r="G170" s="7" t="s">
        <v>92</v>
      </c>
      <c r="H170" s="7" t="s">
        <v>239</v>
      </c>
      <c r="I170" s="7" t="n">
        <v>2</v>
      </c>
      <c r="J170" s="7" t="s">
        <v>107</v>
      </c>
      <c r="K170" s="7" t="s">
        <v>277</v>
      </c>
      <c r="L170" s="7" t="n">
        <v>6</v>
      </c>
      <c r="M170" s="10" t="b">
        <f aca="false">FALSE()</f>
        <v>0</v>
      </c>
      <c r="N170" s="7" t="s">
        <v>109</v>
      </c>
      <c r="O170" s="7" t="n">
        <v>-34.83925</v>
      </c>
      <c r="P170" s="7" t="n">
        <v>150.734083</v>
      </c>
    </row>
    <row r="171" customFormat="false" ht="15" hidden="false" customHeight="false" outlineLevel="0" collapsed="false">
      <c r="A171" s="7" t="n">
        <v>170</v>
      </c>
      <c r="B171" s="7"/>
      <c r="C171" s="7" t="s">
        <v>347</v>
      </c>
      <c r="D171" s="7" t="n">
        <v>2000</v>
      </c>
      <c r="E171" s="7" t="s">
        <v>50</v>
      </c>
      <c r="F171" s="10" t="b">
        <f aca="false">FALSE()</f>
        <v>0</v>
      </c>
      <c r="G171" s="7" t="s">
        <v>182</v>
      </c>
      <c r="H171" s="7" t="s">
        <v>239</v>
      </c>
      <c r="I171" s="7" t="n">
        <v>2</v>
      </c>
      <c r="J171" s="7" t="s">
        <v>107</v>
      </c>
      <c r="K171" s="7" t="s">
        <v>108</v>
      </c>
      <c r="L171" s="7" t="n">
        <v>22</v>
      </c>
      <c r="M171" s="10" t="b">
        <f aca="false">FALSE()</f>
        <v>0</v>
      </c>
      <c r="N171" s="7" t="s">
        <v>109</v>
      </c>
      <c r="O171" s="7" t="n">
        <v>-33.854268</v>
      </c>
      <c r="P171" s="7" t="n">
        <v>151.208195</v>
      </c>
    </row>
    <row r="172" customFormat="false" ht="15" hidden="false" customHeight="false" outlineLevel="0" collapsed="false">
      <c r="A172" s="7" t="n">
        <v>171</v>
      </c>
      <c r="B172" s="7"/>
      <c r="C172" s="7" t="s">
        <v>348</v>
      </c>
      <c r="D172" s="7" t="n">
        <v>2000</v>
      </c>
      <c r="E172" s="7" t="s">
        <v>50</v>
      </c>
      <c r="F172" s="10" t="b">
        <f aca="false">FALSE()</f>
        <v>0</v>
      </c>
      <c r="G172" s="7" t="s">
        <v>182</v>
      </c>
      <c r="H172" s="7" t="s">
        <v>239</v>
      </c>
      <c r="I172" s="7" t="n">
        <v>2</v>
      </c>
      <c r="J172" s="7" t="s">
        <v>107</v>
      </c>
      <c r="K172" s="7" t="s">
        <v>108</v>
      </c>
      <c r="L172" s="7" t="n">
        <v>22</v>
      </c>
      <c r="M172" s="10" t="b">
        <f aca="false">FALSE()</f>
        <v>0</v>
      </c>
      <c r="N172" s="7" t="s">
        <v>109</v>
      </c>
      <c r="O172" s="7" t="n">
        <v>-33.864331</v>
      </c>
      <c r="P172" s="7" t="n">
        <v>151.206069</v>
      </c>
    </row>
    <row r="173" customFormat="false" ht="15" hidden="false" customHeight="false" outlineLevel="0" collapsed="false">
      <c r="A173" s="7" t="n">
        <v>172</v>
      </c>
      <c r="B173" s="7"/>
      <c r="C173" s="7" t="s">
        <v>349</v>
      </c>
      <c r="D173" s="7" t="n">
        <v>2153</v>
      </c>
      <c r="E173" s="7" t="s">
        <v>50</v>
      </c>
      <c r="F173" s="10" t="b">
        <f aca="false">FALSE()</f>
        <v>0</v>
      </c>
      <c r="G173" s="7" t="s">
        <v>299</v>
      </c>
      <c r="H173" s="7" t="s">
        <v>239</v>
      </c>
      <c r="I173" s="7" t="n">
        <v>1</v>
      </c>
      <c r="J173" s="7" t="s">
        <v>107</v>
      </c>
      <c r="K173" s="7" t="s">
        <v>240</v>
      </c>
      <c r="L173" s="7" t="n">
        <v>19</v>
      </c>
      <c r="M173" s="10" t="b">
        <f aca="false">FALSE()</f>
        <v>0</v>
      </c>
      <c r="N173" s="7" t="s">
        <v>109</v>
      </c>
      <c r="O173" s="7" t="n">
        <v>-33.76312</v>
      </c>
      <c r="P173" s="7" t="n">
        <v>151.00429</v>
      </c>
    </row>
    <row r="174" customFormat="false" ht="15" hidden="false" customHeight="false" outlineLevel="0" collapsed="false">
      <c r="A174" s="7" t="n">
        <v>173</v>
      </c>
      <c r="B174" s="7"/>
      <c r="C174" s="7" t="s">
        <v>350</v>
      </c>
      <c r="D174" s="7" t="n">
        <v>2170</v>
      </c>
      <c r="E174" s="7" t="s">
        <v>50</v>
      </c>
      <c r="F174" s="10" t="b">
        <f aca="false">FALSE()</f>
        <v>0</v>
      </c>
      <c r="G174" s="7" t="s">
        <v>130</v>
      </c>
      <c r="H174" s="7" t="s">
        <v>287</v>
      </c>
      <c r="I174" s="7" t="n">
        <v>2</v>
      </c>
      <c r="J174" s="7" t="s">
        <v>71</v>
      </c>
      <c r="K174" s="7" t="s">
        <v>288</v>
      </c>
      <c r="L174" s="7" t="n">
        <v>25</v>
      </c>
      <c r="M174" s="10" t="b">
        <f aca="false">FALSE()</f>
        <v>0</v>
      </c>
      <c r="N174" s="7" t="s">
        <v>76</v>
      </c>
      <c r="O174" s="7" t="n">
        <v>-33.925224</v>
      </c>
      <c r="P174" s="7" t="n">
        <v>150.926584</v>
      </c>
    </row>
    <row r="175" customFormat="false" ht="15" hidden="false" customHeight="false" outlineLevel="0" collapsed="false">
      <c r="A175" s="7" t="n">
        <v>174</v>
      </c>
      <c r="B175" s="7"/>
      <c r="C175" s="7" t="s">
        <v>351</v>
      </c>
      <c r="D175" s="7" t="n">
        <v>2500</v>
      </c>
      <c r="E175" s="7" t="s">
        <v>50</v>
      </c>
      <c r="F175" s="10" t="b">
        <f aca="false">FALSE()</f>
        <v>0</v>
      </c>
      <c r="G175" s="7" t="s">
        <v>102</v>
      </c>
      <c r="H175" s="7" t="s">
        <v>230</v>
      </c>
      <c r="I175" s="7" t="n">
        <v>2</v>
      </c>
      <c r="J175" s="7" t="s">
        <v>107</v>
      </c>
      <c r="K175" s="7" t="s">
        <v>352</v>
      </c>
      <c r="L175" s="7" t="n">
        <v>23</v>
      </c>
      <c r="M175" s="10" t="b">
        <f aca="false">FALSE()</f>
        <v>0</v>
      </c>
      <c r="N175" s="7" t="s">
        <v>109</v>
      </c>
      <c r="O175" s="7" t="n">
        <v>-34.433674</v>
      </c>
      <c r="P175" s="7" t="n">
        <v>150.891622</v>
      </c>
    </row>
    <row r="176" customFormat="false" ht="15" hidden="false" customHeight="false" outlineLevel="0" collapsed="false">
      <c r="A176" s="7" t="n">
        <v>175</v>
      </c>
      <c r="B176" s="7"/>
      <c r="C176" s="7" t="s">
        <v>353</v>
      </c>
      <c r="D176" s="7" t="n">
        <v>2454</v>
      </c>
      <c r="E176" s="7" t="s">
        <v>50</v>
      </c>
      <c r="F176" s="10" t="b">
        <f aca="false">FALSE()</f>
        <v>0</v>
      </c>
      <c r="G176" s="7" t="s">
        <v>151</v>
      </c>
      <c r="H176" s="7" t="s">
        <v>302</v>
      </c>
      <c r="I176" s="7" t="n">
        <v>2</v>
      </c>
      <c r="J176" s="7" t="s">
        <v>107</v>
      </c>
      <c r="K176" s="7" t="s">
        <v>108</v>
      </c>
      <c r="L176" s="7" t="n">
        <v>22</v>
      </c>
      <c r="M176" s="10" t="b">
        <f aca="false">FALSE()</f>
        <v>0</v>
      </c>
      <c r="N176" s="7" t="s">
        <v>109</v>
      </c>
      <c r="O176" s="7" t="n">
        <v>-30.452756</v>
      </c>
      <c r="P176" s="7" t="n">
        <v>152.896039</v>
      </c>
    </row>
    <row r="177" customFormat="false" ht="15" hidden="false" customHeight="false" outlineLevel="0" collapsed="false">
      <c r="A177" s="7" t="n">
        <v>176</v>
      </c>
      <c r="B177" s="7"/>
      <c r="C177" s="7" t="s">
        <v>354</v>
      </c>
      <c r="D177" s="7" t="n">
        <v>2033</v>
      </c>
      <c r="E177" s="7" t="s">
        <v>50</v>
      </c>
      <c r="F177" s="10" t="b">
        <f aca="false">FALSE()</f>
        <v>0</v>
      </c>
      <c r="G177" s="7" t="s">
        <v>355</v>
      </c>
      <c r="H177" s="7" t="s">
        <v>287</v>
      </c>
      <c r="I177" s="7" t="n">
        <v>2</v>
      </c>
      <c r="J177" s="7" t="s">
        <v>71</v>
      </c>
      <c r="K177" s="7" t="s">
        <v>288</v>
      </c>
      <c r="L177" s="7" t="n">
        <v>25</v>
      </c>
      <c r="M177" s="10" t="b">
        <f aca="false">FALSE()</f>
        <v>0</v>
      </c>
      <c r="N177" s="7" t="s">
        <v>76</v>
      </c>
      <c r="O177" s="7" t="n">
        <v>-33.907173</v>
      </c>
      <c r="P177" s="7" t="n">
        <v>151.223941</v>
      </c>
    </row>
    <row r="178" customFormat="false" ht="15" hidden="false" customHeight="false" outlineLevel="0" collapsed="false">
      <c r="A178" s="7" t="n">
        <v>177</v>
      </c>
      <c r="B178" s="7"/>
      <c r="C178" s="7" t="s">
        <v>356</v>
      </c>
      <c r="D178" s="7" t="n">
        <v>2108</v>
      </c>
      <c r="E178" s="7" t="s">
        <v>50</v>
      </c>
      <c r="F178" s="10" t="b">
        <f aca="false">FALSE()</f>
        <v>0</v>
      </c>
      <c r="G178" s="7" t="s">
        <v>286</v>
      </c>
      <c r="H178" s="7" t="s">
        <v>287</v>
      </c>
      <c r="I178" s="7" t="n">
        <v>2</v>
      </c>
      <c r="J178" s="7" t="s">
        <v>71</v>
      </c>
      <c r="K178" s="7" t="s">
        <v>288</v>
      </c>
      <c r="L178" s="7" t="n">
        <v>25</v>
      </c>
      <c r="M178" s="10" t="b">
        <f aca="false">FALSE()</f>
        <v>0</v>
      </c>
      <c r="N178" s="7" t="s">
        <v>76</v>
      </c>
      <c r="O178" s="7" t="n">
        <v>-33.597077</v>
      </c>
      <c r="P178" s="7" t="n">
        <v>151.320022</v>
      </c>
    </row>
    <row r="179" customFormat="false" ht="15" hidden="false" customHeight="false" outlineLevel="0" collapsed="false">
      <c r="A179" s="7" t="n">
        <v>178</v>
      </c>
      <c r="B179" s="7"/>
      <c r="C179" s="7" t="s">
        <v>357</v>
      </c>
      <c r="D179" s="7" t="n">
        <v>2153</v>
      </c>
      <c r="E179" s="7" t="s">
        <v>50</v>
      </c>
      <c r="F179" s="10" t="b">
        <f aca="false">FALSE()</f>
        <v>0</v>
      </c>
      <c r="G179" s="7" t="s">
        <v>299</v>
      </c>
      <c r="H179" s="7" t="s">
        <v>358</v>
      </c>
      <c r="I179" s="7" t="n">
        <v>6</v>
      </c>
      <c r="J179" s="7" t="s">
        <v>107</v>
      </c>
      <c r="K179" s="7" t="s">
        <v>277</v>
      </c>
      <c r="L179" s="7" t="n">
        <v>6</v>
      </c>
      <c r="M179" s="10" t="b">
        <f aca="false">FALSE()</f>
        <v>0</v>
      </c>
      <c r="N179" s="7" t="s">
        <v>109</v>
      </c>
      <c r="O179" s="7" t="n">
        <v>-33.736692</v>
      </c>
      <c r="P179" s="7" t="n">
        <v>150.95032</v>
      </c>
    </row>
    <row r="180" customFormat="false" ht="15" hidden="false" customHeight="false" outlineLevel="0" collapsed="false">
      <c r="A180" s="7" t="n">
        <v>179</v>
      </c>
      <c r="B180" s="7"/>
      <c r="C180" s="7" t="s">
        <v>359</v>
      </c>
      <c r="D180" s="7" t="n">
        <v>2450</v>
      </c>
      <c r="E180" s="7" t="s">
        <v>50</v>
      </c>
      <c r="F180" s="10" t="b">
        <f aca="false">FALSE()</f>
        <v>0</v>
      </c>
      <c r="G180" s="7" t="s">
        <v>360</v>
      </c>
      <c r="H180" s="7" t="s">
        <v>239</v>
      </c>
      <c r="I180" s="7" t="n">
        <v>2</v>
      </c>
      <c r="J180" s="7" t="s">
        <v>107</v>
      </c>
      <c r="K180" s="7" t="s">
        <v>277</v>
      </c>
      <c r="L180" s="7" t="n">
        <v>6</v>
      </c>
      <c r="M180" s="10" t="b">
        <f aca="false">FALSE()</f>
        <v>0</v>
      </c>
      <c r="N180" s="7" t="s">
        <v>109</v>
      </c>
      <c r="O180" s="7" t="n">
        <v>-30.286092</v>
      </c>
      <c r="P180" s="7" t="n">
        <v>153.136516</v>
      </c>
    </row>
    <row r="181" customFormat="false" ht="15" hidden="false" customHeight="false" outlineLevel="0" collapsed="false">
      <c r="A181" s="7" t="n">
        <v>180</v>
      </c>
      <c r="B181" s="7"/>
      <c r="C181" s="7" t="s">
        <v>361</v>
      </c>
      <c r="D181" s="7" t="n">
        <v>2680</v>
      </c>
      <c r="E181" s="7" t="s">
        <v>50</v>
      </c>
      <c r="F181" s="10" t="b">
        <f aca="false">FALSE()</f>
        <v>0</v>
      </c>
      <c r="G181" s="7" t="s">
        <v>270</v>
      </c>
      <c r="H181" s="7" t="s">
        <v>239</v>
      </c>
      <c r="I181" s="7" t="n">
        <v>2</v>
      </c>
      <c r="J181" s="7" t="s">
        <v>107</v>
      </c>
      <c r="K181" s="7" t="s">
        <v>108</v>
      </c>
      <c r="L181" s="7" t="n">
        <v>22</v>
      </c>
      <c r="M181" s="10" t="b">
        <f aca="false">FALSE()</f>
        <v>0</v>
      </c>
      <c r="N181" s="7" t="s">
        <v>109</v>
      </c>
      <c r="O181" s="7" t="n">
        <v>-34.340756</v>
      </c>
      <c r="P181" s="7" t="n">
        <v>146.058634</v>
      </c>
    </row>
    <row r="182" customFormat="false" ht="15" hidden="false" customHeight="false" outlineLevel="0" collapsed="false">
      <c r="A182" s="7" t="n">
        <v>181</v>
      </c>
      <c r="B182" s="7"/>
      <c r="C182" s="7" t="s">
        <v>362</v>
      </c>
      <c r="D182" s="7" t="n">
        <v>2077</v>
      </c>
      <c r="E182" s="7" t="s">
        <v>50</v>
      </c>
      <c r="F182" s="10" t="b">
        <f aca="false">FALSE()</f>
        <v>0</v>
      </c>
      <c r="G182" s="7" t="s">
        <v>340</v>
      </c>
      <c r="H182" s="7" t="s">
        <v>287</v>
      </c>
      <c r="I182" s="7" t="n">
        <v>2</v>
      </c>
      <c r="J182" s="7" t="s">
        <v>71</v>
      </c>
      <c r="K182" s="7" t="s">
        <v>288</v>
      </c>
      <c r="L182" s="7" t="n">
        <v>25</v>
      </c>
      <c r="M182" s="10" t="b">
        <f aca="false">FALSE()</f>
        <v>0</v>
      </c>
      <c r="N182" s="7" t="s">
        <v>76</v>
      </c>
      <c r="O182" s="7" t="n">
        <v>-33.709732</v>
      </c>
      <c r="P182" s="7" t="n">
        <v>151.104587</v>
      </c>
    </row>
    <row r="183" customFormat="false" ht="15" hidden="false" customHeight="false" outlineLevel="0" collapsed="false">
      <c r="A183" s="7" t="n">
        <v>182</v>
      </c>
      <c r="B183" s="7"/>
      <c r="C183" s="7" t="s">
        <v>363</v>
      </c>
      <c r="D183" s="7" t="n">
        <v>2122</v>
      </c>
      <c r="E183" s="7" t="s">
        <v>50</v>
      </c>
      <c r="F183" s="10" t="b">
        <f aca="false">FALSE()</f>
        <v>0</v>
      </c>
      <c r="G183" s="7" t="s">
        <v>364</v>
      </c>
      <c r="H183" s="7" t="s">
        <v>239</v>
      </c>
      <c r="I183" s="7" t="n">
        <v>2</v>
      </c>
      <c r="J183" s="7" t="s">
        <v>107</v>
      </c>
      <c r="K183" s="7" t="s">
        <v>240</v>
      </c>
      <c r="L183" s="7" t="n">
        <v>19</v>
      </c>
      <c r="M183" s="10" t="b">
        <f aca="false">FALSE()</f>
        <v>0</v>
      </c>
      <c r="N183" s="7" t="s">
        <v>109</v>
      </c>
      <c r="O183" s="7" t="n">
        <v>-33.791039</v>
      </c>
      <c r="P183" s="7" t="n">
        <v>151.083094</v>
      </c>
    </row>
    <row r="184" customFormat="false" ht="15" hidden="false" customHeight="false" outlineLevel="0" collapsed="false">
      <c r="A184" s="7" t="n">
        <v>183</v>
      </c>
      <c r="B184" s="7"/>
      <c r="C184" s="7" t="s">
        <v>365</v>
      </c>
      <c r="D184" s="7" t="n">
        <v>2018</v>
      </c>
      <c r="E184" s="7" t="s">
        <v>50</v>
      </c>
      <c r="F184" s="10" t="b">
        <f aca="false">FALSE()</f>
        <v>0</v>
      </c>
      <c r="G184" s="7" t="s">
        <v>182</v>
      </c>
      <c r="H184" s="7" t="s">
        <v>260</v>
      </c>
      <c r="I184" s="7" t="n">
        <v>4</v>
      </c>
      <c r="J184" s="7" t="s">
        <v>107</v>
      </c>
      <c r="K184" s="7" t="s">
        <v>108</v>
      </c>
      <c r="L184" s="7" t="n">
        <v>22</v>
      </c>
      <c r="M184" s="10" t="b">
        <f aca="false">FALSE()</f>
        <v>0</v>
      </c>
      <c r="N184" s="7" t="s">
        <v>109</v>
      </c>
      <c r="O184" s="7" t="n">
        <v>-33.918333</v>
      </c>
      <c r="P184" s="7" t="n">
        <v>151.202164</v>
      </c>
    </row>
    <row r="185" customFormat="false" ht="15" hidden="false" customHeight="false" outlineLevel="0" collapsed="false">
      <c r="A185" s="7" t="n">
        <v>184</v>
      </c>
      <c r="B185" s="7"/>
      <c r="C185" s="7" t="s">
        <v>366</v>
      </c>
      <c r="D185" s="7" t="n">
        <v>2026</v>
      </c>
      <c r="E185" s="7" t="s">
        <v>50</v>
      </c>
      <c r="F185" s="10" t="b">
        <f aca="false">FALSE()</f>
        <v>0</v>
      </c>
      <c r="G185" s="7" t="s">
        <v>295</v>
      </c>
      <c r="H185" s="7" t="s">
        <v>237</v>
      </c>
      <c r="I185" s="7" t="n">
        <v>1</v>
      </c>
      <c r="J185" s="7" t="s">
        <v>107</v>
      </c>
      <c r="K185" s="7" t="s">
        <v>277</v>
      </c>
      <c r="L185" s="7" t="n">
        <v>6</v>
      </c>
      <c r="M185" s="10" t="b">
        <f aca="false">FALSE()</f>
        <v>0</v>
      </c>
      <c r="N185" s="7" t="s">
        <v>109</v>
      </c>
      <c r="O185" s="7" t="n">
        <v>-33.886825</v>
      </c>
      <c r="P185" s="7" t="n">
        <v>151.272373</v>
      </c>
    </row>
    <row r="186" customFormat="false" ht="15" hidden="false" customHeight="false" outlineLevel="0" collapsed="false">
      <c r="A186" s="7" t="n">
        <v>185</v>
      </c>
      <c r="B186" s="7"/>
      <c r="C186" s="7" t="s">
        <v>367</v>
      </c>
      <c r="D186" s="7" t="n">
        <v>2000</v>
      </c>
      <c r="E186" s="7" t="s">
        <v>50</v>
      </c>
      <c r="F186" s="10" t="b">
        <f aca="false">FALSE()</f>
        <v>0</v>
      </c>
      <c r="G186" s="7" t="s">
        <v>182</v>
      </c>
      <c r="H186" s="7" t="s">
        <v>239</v>
      </c>
      <c r="I186" s="7" t="n">
        <v>2</v>
      </c>
      <c r="J186" s="7" t="s">
        <v>107</v>
      </c>
      <c r="K186" s="7" t="s">
        <v>108</v>
      </c>
      <c r="L186" s="7" t="n">
        <v>22</v>
      </c>
      <c r="M186" s="10" t="b">
        <f aca="false">FALSE()</f>
        <v>0</v>
      </c>
      <c r="N186" s="7" t="s">
        <v>109</v>
      </c>
      <c r="O186" s="7" t="n">
        <v>-33.862986</v>
      </c>
      <c r="P186" s="7" t="n">
        <v>151.212305</v>
      </c>
    </row>
    <row r="187" customFormat="false" ht="15" hidden="false" customHeight="false" outlineLevel="0" collapsed="false">
      <c r="A187" s="7" t="n">
        <v>186</v>
      </c>
      <c r="B187" s="7"/>
      <c r="C187" s="7" t="s">
        <v>368</v>
      </c>
      <c r="D187" s="7" t="n">
        <v>2100</v>
      </c>
      <c r="E187" s="7" t="s">
        <v>50</v>
      </c>
      <c r="F187" s="10" t="b">
        <f aca="false">FALSE()</f>
        <v>0</v>
      </c>
      <c r="G187" s="7" t="s">
        <v>286</v>
      </c>
      <c r="H187" s="7" t="s">
        <v>260</v>
      </c>
      <c r="I187" s="7" t="n">
        <v>1</v>
      </c>
      <c r="J187" s="7" t="s">
        <v>107</v>
      </c>
      <c r="K187" s="7" t="s">
        <v>108</v>
      </c>
      <c r="L187" s="7" t="n">
        <v>22</v>
      </c>
      <c r="M187" s="10" t="b">
        <f aca="false">FALSE()</f>
        <v>0</v>
      </c>
      <c r="N187" s="7" t="s">
        <v>109</v>
      </c>
      <c r="O187" s="7" t="n">
        <v>-33.765492</v>
      </c>
      <c r="P187" s="7" t="n">
        <v>151.251198</v>
      </c>
    </row>
    <row r="188" customFormat="false" ht="15" hidden="false" customHeight="false" outlineLevel="0" collapsed="false">
      <c r="A188" s="7" t="n">
        <v>187</v>
      </c>
      <c r="B188" s="7"/>
      <c r="C188" s="7" t="s">
        <v>369</v>
      </c>
      <c r="D188" s="7" t="n">
        <v>2164</v>
      </c>
      <c r="E188" s="7" t="s">
        <v>50</v>
      </c>
      <c r="F188" s="10" t="b">
        <f aca="false">FALSE()</f>
        <v>0</v>
      </c>
      <c r="G188" s="7" t="s">
        <v>370</v>
      </c>
      <c r="H188" s="7" t="s">
        <v>237</v>
      </c>
      <c r="I188" s="7" t="n">
        <v>2</v>
      </c>
      <c r="J188" s="7" t="s">
        <v>71</v>
      </c>
      <c r="K188" s="7" t="s">
        <v>234</v>
      </c>
      <c r="L188" s="7" t="n">
        <v>150</v>
      </c>
      <c r="M188" s="10" t="b">
        <f aca="false">FALSE()</f>
        <v>0</v>
      </c>
      <c r="N188" s="7" t="s">
        <v>76</v>
      </c>
      <c r="O188" s="7" t="n">
        <v>-33.849869</v>
      </c>
      <c r="P188" s="7" t="n">
        <v>150.897825</v>
      </c>
    </row>
    <row r="189" customFormat="false" ht="15" hidden="false" customHeight="false" outlineLevel="0" collapsed="false">
      <c r="A189" s="7" t="n">
        <v>188</v>
      </c>
      <c r="B189" s="7"/>
      <c r="C189" s="7" t="s">
        <v>371</v>
      </c>
      <c r="D189" s="7" t="n">
        <v>2164</v>
      </c>
      <c r="E189" s="7" t="s">
        <v>50</v>
      </c>
      <c r="F189" s="10" t="b">
        <f aca="false">FALSE()</f>
        <v>0</v>
      </c>
      <c r="G189" s="7" t="s">
        <v>370</v>
      </c>
      <c r="H189" s="7" t="s">
        <v>372</v>
      </c>
      <c r="I189" s="7" t="n">
        <v>2</v>
      </c>
      <c r="J189" s="7" t="s">
        <v>71</v>
      </c>
      <c r="K189" s="7" t="s">
        <v>234</v>
      </c>
      <c r="L189" s="7" t="n">
        <v>150</v>
      </c>
      <c r="M189" s="10" t="b">
        <f aca="false">FALSE()</f>
        <v>0</v>
      </c>
      <c r="N189" s="7" t="s">
        <v>268</v>
      </c>
      <c r="O189" s="7" t="n">
        <v>-33.850535</v>
      </c>
      <c r="P189" s="7" t="n">
        <v>150.89886</v>
      </c>
    </row>
    <row r="190" customFormat="false" ht="15" hidden="false" customHeight="false" outlineLevel="0" collapsed="false">
      <c r="A190" s="7" t="n">
        <v>189</v>
      </c>
      <c r="B190" s="7"/>
      <c r="C190" s="7" t="s">
        <v>373</v>
      </c>
      <c r="D190" s="7" t="n">
        <v>2640</v>
      </c>
      <c r="E190" s="7" t="s">
        <v>50</v>
      </c>
      <c r="F190" s="10" t="b">
        <f aca="false">FALSE()</f>
        <v>0</v>
      </c>
      <c r="G190" s="7" t="s">
        <v>194</v>
      </c>
      <c r="H190" s="7" t="s">
        <v>230</v>
      </c>
      <c r="I190" s="7" t="n">
        <v>4</v>
      </c>
      <c r="J190" s="7" t="s">
        <v>107</v>
      </c>
      <c r="K190" s="7" t="s">
        <v>107</v>
      </c>
      <c r="L190" s="7"/>
      <c r="M190" s="10" t="b">
        <f aca="false">FALSE()</f>
        <v>0</v>
      </c>
      <c r="N190" s="7" t="s">
        <v>374</v>
      </c>
      <c r="O190" s="7" t="n">
        <v>-36.077954</v>
      </c>
      <c r="P190" s="7" t="n">
        <v>146.943213</v>
      </c>
    </row>
    <row r="191" customFormat="false" ht="15" hidden="false" customHeight="false" outlineLevel="0" collapsed="false">
      <c r="A191" s="7" t="n">
        <v>190</v>
      </c>
      <c r="B191" s="7"/>
      <c r="C191" s="7" t="s">
        <v>375</v>
      </c>
      <c r="D191" s="7" t="n">
        <v>2540</v>
      </c>
      <c r="E191" s="7" t="s">
        <v>50</v>
      </c>
      <c r="F191" s="10" t="b">
        <f aca="false">FALSE()</f>
        <v>0</v>
      </c>
      <c r="G191" s="7" t="s">
        <v>92</v>
      </c>
      <c r="H191" s="7" t="s">
        <v>252</v>
      </c>
      <c r="I191" s="7" t="n">
        <v>1</v>
      </c>
      <c r="J191" s="7" t="s">
        <v>107</v>
      </c>
      <c r="K191" s="7" t="s">
        <v>108</v>
      </c>
      <c r="L191" s="7" t="n">
        <v>22</v>
      </c>
      <c r="M191" s="10" t="b">
        <f aca="false">FALSE()</f>
        <v>0</v>
      </c>
      <c r="N191" s="7" t="s">
        <v>109</v>
      </c>
      <c r="O191" s="7" t="n">
        <v>-34.907111</v>
      </c>
      <c r="P191" s="7" t="n">
        <v>150.735105</v>
      </c>
    </row>
    <row r="192" customFormat="false" ht="15" hidden="false" customHeight="false" outlineLevel="0" collapsed="false">
      <c r="A192" s="7" t="n">
        <v>191</v>
      </c>
      <c r="B192" s="7"/>
      <c r="C192" s="7" t="s">
        <v>376</v>
      </c>
      <c r="D192" s="7" t="n">
        <v>2285</v>
      </c>
      <c r="E192" s="7" t="s">
        <v>50</v>
      </c>
      <c r="F192" s="10" t="b">
        <f aca="false">FALSE()</f>
        <v>0</v>
      </c>
      <c r="G192" s="7" t="s">
        <v>377</v>
      </c>
      <c r="H192" s="7" t="s">
        <v>244</v>
      </c>
      <c r="I192" s="7" t="n">
        <v>8</v>
      </c>
      <c r="J192" s="7" t="s">
        <v>71</v>
      </c>
      <c r="K192" s="7" t="s">
        <v>378</v>
      </c>
      <c r="L192" s="7" t="n">
        <v>350</v>
      </c>
      <c r="M192" s="10" t="b">
        <f aca="false">FALSE()</f>
        <v>0</v>
      </c>
      <c r="N192" s="7" t="s">
        <v>76</v>
      </c>
      <c r="O192" s="7" t="n">
        <v>-32.896474</v>
      </c>
      <c r="P192" s="7" t="n">
        <v>151.597711</v>
      </c>
    </row>
    <row r="193" customFormat="false" ht="15" hidden="false" customHeight="false" outlineLevel="0" collapsed="false">
      <c r="A193" s="7" t="n">
        <v>192</v>
      </c>
      <c r="B193" s="7"/>
      <c r="C193" s="7" t="s">
        <v>379</v>
      </c>
      <c r="D193" s="7" t="n">
        <v>2205</v>
      </c>
      <c r="E193" s="7" t="s">
        <v>50</v>
      </c>
      <c r="F193" s="10" t="b">
        <f aca="false">FALSE()</f>
        <v>0</v>
      </c>
      <c r="G193" s="7" t="s">
        <v>380</v>
      </c>
      <c r="H193" s="7" t="s">
        <v>260</v>
      </c>
      <c r="I193" s="7" t="n">
        <v>1</v>
      </c>
      <c r="J193" s="7" t="s">
        <v>107</v>
      </c>
      <c r="K193" s="7" t="s">
        <v>108</v>
      </c>
      <c r="L193" s="7" t="n">
        <v>22</v>
      </c>
      <c r="M193" s="10" t="b">
        <f aca="false">FALSE()</f>
        <v>0</v>
      </c>
      <c r="N193" s="7" t="s">
        <v>109</v>
      </c>
      <c r="O193" s="7" t="n">
        <v>-33.933742</v>
      </c>
      <c r="P193" s="7" t="n">
        <v>151.149288</v>
      </c>
    </row>
    <row r="194" customFormat="false" ht="15" hidden="false" customHeight="false" outlineLevel="0" collapsed="false">
      <c r="A194" s="7" t="n">
        <v>193</v>
      </c>
      <c r="B194" s="7"/>
      <c r="C194" s="7" t="s">
        <v>381</v>
      </c>
      <c r="D194" s="7" t="n">
        <v>2061</v>
      </c>
      <c r="E194" s="7" t="s">
        <v>50</v>
      </c>
      <c r="F194" s="10" t="b">
        <f aca="false">FALSE()</f>
        <v>0</v>
      </c>
      <c r="G194" s="7" t="s">
        <v>382</v>
      </c>
      <c r="H194" s="7" t="s">
        <v>239</v>
      </c>
      <c r="I194" s="7" t="n">
        <v>2</v>
      </c>
      <c r="J194" s="7" t="s">
        <v>107</v>
      </c>
      <c r="K194" s="7" t="s">
        <v>108</v>
      </c>
      <c r="L194" s="7" t="n">
        <v>22</v>
      </c>
      <c r="M194" s="10" t="b">
        <f aca="false">FALSE()</f>
        <v>0</v>
      </c>
      <c r="N194" s="7" t="s">
        <v>109</v>
      </c>
      <c r="O194" s="7" t="n">
        <v>-33.850162</v>
      </c>
      <c r="P194" s="7" t="n">
        <v>151.218479</v>
      </c>
    </row>
    <row r="195" customFormat="false" ht="15" hidden="false" customHeight="false" outlineLevel="0" collapsed="false">
      <c r="A195" s="7" t="n">
        <v>194</v>
      </c>
      <c r="B195" s="7"/>
      <c r="C195" s="7" t="s">
        <v>383</v>
      </c>
      <c r="D195" s="7" t="n">
        <v>2023</v>
      </c>
      <c r="E195" s="7" t="s">
        <v>50</v>
      </c>
      <c r="F195" s="10" t="b">
        <f aca="false">FALSE()</f>
        <v>0</v>
      </c>
      <c r="G195" s="7" t="s">
        <v>272</v>
      </c>
      <c r="H195" s="7" t="s">
        <v>237</v>
      </c>
      <c r="I195" s="7" t="n">
        <v>2</v>
      </c>
      <c r="J195" s="7" t="s">
        <v>107</v>
      </c>
      <c r="K195" s="7" t="s">
        <v>277</v>
      </c>
      <c r="L195" s="7" t="n">
        <v>6</v>
      </c>
      <c r="M195" s="10" t="b">
        <f aca="false">FALSE()</f>
        <v>0</v>
      </c>
      <c r="N195" s="7" t="s">
        <v>109</v>
      </c>
      <c r="O195" s="7" t="n">
        <v>-33.884964</v>
      </c>
      <c r="P195" s="7" t="n">
        <v>151.253366</v>
      </c>
    </row>
    <row r="196" customFormat="false" ht="15" hidden="false" customHeight="false" outlineLevel="0" collapsed="false">
      <c r="A196" s="7" t="n">
        <v>195</v>
      </c>
      <c r="B196" s="7"/>
      <c r="C196" s="7" t="s">
        <v>384</v>
      </c>
      <c r="D196" s="7" t="n">
        <v>2574</v>
      </c>
      <c r="E196" s="7" t="s">
        <v>50</v>
      </c>
      <c r="F196" s="10" t="b">
        <f aca="false">FALSE()</f>
        <v>0</v>
      </c>
      <c r="G196" s="7" t="s">
        <v>224</v>
      </c>
      <c r="H196" s="7" t="s">
        <v>330</v>
      </c>
      <c r="I196" s="7" t="n">
        <v>9</v>
      </c>
      <c r="J196" s="7" t="s">
        <v>71</v>
      </c>
      <c r="K196" s="7" t="s">
        <v>234</v>
      </c>
      <c r="L196" s="7" t="n">
        <v>150</v>
      </c>
      <c r="M196" s="10" t="b">
        <f aca="false">FALSE()</f>
        <v>0</v>
      </c>
      <c r="N196" s="7" t="s">
        <v>76</v>
      </c>
      <c r="O196" s="7" t="n">
        <v>-34.281385</v>
      </c>
      <c r="P196" s="7" t="n">
        <v>150.640016</v>
      </c>
    </row>
    <row r="197" customFormat="false" ht="15" hidden="false" customHeight="false" outlineLevel="0" collapsed="false">
      <c r="A197" s="7" t="n">
        <v>196</v>
      </c>
      <c r="B197" s="7"/>
      <c r="C197" s="7" t="s">
        <v>384</v>
      </c>
      <c r="D197" s="7" t="n">
        <v>2574</v>
      </c>
      <c r="E197" s="7" t="s">
        <v>50</v>
      </c>
      <c r="F197" s="10" t="b">
        <f aca="false">FALSE()</f>
        <v>0</v>
      </c>
      <c r="G197" s="7" t="s">
        <v>224</v>
      </c>
      <c r="H197" s="7" t="s">
        <v>330</v>
      </c>
      <c r="I197" s="7" t="n">
        <v>9</v>
      </c>
      <c r="J197" s="7" t="s">
        <v>71</v>
      </c>
      <c r="K197" s="7" t="s">
        <v>234</v>
      </c>
      <c r="L197" s="7" t="n">
        <v>150</v>
      </c>
      <c r="M197" s="10" t="b">
        <f aca="false">FALSE()</f>
        <v>0</v>
      </c>
      <c r="N197" s="7" t="s">
        <v>76</v>
      </c>
      <c r="O197" s="7" t="n">
        <v>-34.282224</v>
      </c>
      <c r="P197" s="7" t="n">
        <v>150.636603</v>
      </c>
    </row>
    <row r="198" customFormat="false" ht="15" hidden="false" customHeight="false" outlineLevel="0" collapsed="false">
      <c r="A198" s="7" t="n">
        <v>197</v>
      </c>
      <c r="B198" s="7"/>
      <c r="C198" s="7" t="s">
        <v>385</v>
      </c>
      <c r="D198" s="7" t="n">
        <v>2102</v>
      </c>
      <c r="E198" s="7" t="s">
        <v>50</v>
      </c>
      <c r="F198" s="10" t="b">
        <f aca="false">FALSE()</f>
        <v>0</v>
      </c>
      <c r="G198" s="7" t="s">
        <v>286</v>
      </c>
      <c r="H198" s="7" t="s">
        <v>237</v>
      </c>
      <c r="I198" s="7" t="n">
        <v>2</v>
      </c>
      <c r="J198" s="7" t="s">
        <v>107</v>
      </c>
      <c r="K198" s="7" t="s">
        <v>108</v>
      </c>
      <c r="L198" s="7" t="n">
        <v>22</v>
      </c>
      <c r="M198" s="10" t="b">
        <f aca="false">FALSE()</f>
        <v>0</v>
      </c>
      <c r="N198" s="7" t="s">
        <v>109</v>
      </c>
      <c r="O198" s="7" t="n">
        <v>-33.696077</v>
      </c>
      <c r="P198" s="7" t="n">
        <v>151.297028</v>
      </c>
    </row>
    <row r="199" customFormat="false" ht="15" hidden="false" customHeight="false" outlineLevel="0" collapsed="false">
      <c r="A199" s="7" t="n">
        <v>198</v>
      </c>
      <c r="B199" s="7"/>
      <c r="C199" s="7" t="s">
        <v>386</v>
      </c>
      <c r="D199" s="7" t="n">
        <v>2102</v>
      </c>
      <c r="E199" s="7" t="s">
        <v>50</v>
      </c>
      <c r="F199" s="10" t="b">
        <f aca="false">FALSE()</f>
        <v>0</v>
      </c>
      <c r="G199" s="7" t="s">
        <v>286</v>
      </c>
      <c r="H199" s="7" t="s">
        <v>372</v>
      </c>
      <c r="I199" s="7" t="n">
        <v>2</v>
      </c>
      <c r="J199" s="7" t="s">
        <v>71</v>
      </c>
      <c r="K199" s="7" t="s">
        <v>234</v>
      </c>
      <c r="L199" s="7" t="n">
        <v>150</v>
      </c>
      <c r="M199" s="10" t="b">
        <f aca="false">FALSE()</f>
        <v>0</v>
      </c>
      <c r="N199" s="7" t="s">
        <v>268</v>
      </c>
      <c r="O199" s="7" t="n">
        <v>-33.697174</v>
      </c>
      <c r="P199" s="7" t="n">
        <v>151.295694</v>
      </c>
    </row>
    <row r="200" customFormat="false" ht="15" hidden="false" customHeight="false" outlineLevel="0" collapsed="false">
      <c r="A200" s="7" t="n">
        <v>199</v>
      </c>
      <c r="B200" s="7"/>
      <c r="C200" s="7" t="s">
        <v>387</v>
      </c>
      <c r="D200" s="7" t="n">
        <v>2019</v>
      </c>
      <c r="E200" s="7" t="s">
        <v>50</v>
      </c>
      <c r="F200" s="10" t="b">
        <f aca="false">FALSE()</f>
        <v>0</v>
      </c>
      <c r="G200" s="7" t="s">
        <v>380</v>
      </c>
      <c r="H200" s="7" t="s">
        <v>244</v>
      </c>
      <c r="I200" s="7" t="n">
        <v>4</v>
      </c>
      <c r="J200" s="7" t="s">
        <v>71</v>
      </c>
      <c r="K200" s="7" t="s">
        <v>83</v>
      </c>
      <c r="L200" s="7" t="n">
        <v>75</v>
      </c>
      <c r="M200" s="10" t="b">
        <f aca="false">FALSE()</f>
        <v>0</v>
      </c>
      <c r="N200" s="7" t="s">
        <v>268</v>
      </c>
      <c r="O200" s="7" t="n">
        <v>-33.939429</v>
      </c>
      <c r="P200" s="7" t="n">
        <v>151.197038</v>
      </c>
    </row>
    <row r="201" customFormat="false" ht="15" hidden="false" customHeight="false" outlineLevel="0" collapsed="false">
      <c r="A201" s="7" t="n">
        <v>200</v>
      </c>
      <c r="B201" s="7"/>
      <c r="C201" s="7" t="s">
        <v>388</v>
      </c>
      <c r="D201" s="7" t="n">
        <v>2066</v>
      </c>
      <c r="E201" s="7" t="s">
        <v>50</v>
      </c>
      <c r="F201" s="10" t="b">
        <f aca="false">FALSE()</f>
        <v>0</v>
      </c>
      <c r="G201" s="7" t="s">
        <v>389</v>
      </c>
      <c r="H201" s="7" t="s">
        <v>260</v>
      </c>
      <c r="I201" s="7" t="n">
        <v>6</v>
      </c>
      <c r="J201" s="7" t="s">
        <v>107</v>
      </c>
      <c r="K201" s="7" t="s">
        <v>108</v>
      </c>
      <c r="L201" s="7" t="n">
        <v>22</v>
      </c>
      <c r="M201" s="10" t="b">
        <f aca="false">FALSE()</f>
        <v>0</v>
      </c>
      <c r="N201" s="7" t="s">
        <v>109</v>
      </c>
      <c r="O201" s="7" t="n">
        <v>-33.81384</v>
      </c>
      <c r="P201" s="7" t="n">
        <v>151.169232</v>
      </c>
    </row>
    <row r="202" customFormat="false" ht="15" hidden="false" customHeight="false" outlineLevel="0" collapsed="false">
      <c r="A202" s="7" t="n">
        <v>201</v>
      </c>
      <c r="B202" s="7"/>
      <c r="C202" s="7" t="s">
        <v>390</v>
      </c>
      <c r="D202" s="7" t="n">
        <v>2000</v>
      </c>
      <c r="E202" s="7" t="s">
        <v>50</v>
      </c>
      <c r="F202" s="10" t="b">
        <f aca="false">FALSE()</f>
        <v>0</v>
      </c>
      <c r="G202" s="7" t="s">
        <v>182</v>
      </c>
      <c r="H202" s="7" t="s">
        <v>302</v>
      </c>
      <c r="I202" s="7" t="n">
        <v>2</v>
      </c>
      <c r="J202" s="7" t="s">
        <v>107</v>
      </c>
      <c r="K202" s="7" t="s">
        <v>108</v>
      </c>
      <c r="L202" s="7" t="n">
        <v>22</v>
      </c>
      <c r="M202" s="10" t="b">
        <f aca="false">FALSE()</f>
        <v>0</v>
      </c>
      <c r="N202" s="7" t="s">
        <v>109</v>
      </c>
      <c r="O202" s="7" t="n">
        <v>-33.8574</v>
      </c>
      <c r="P202" s="7" t="n">
        <v>151.206573</v>
      </c>
    </row>
    <row r="203" customFormat="false" ht="15" hidden="false" customHeight="false" outlineLevel="0" collapsed="false">
      <c r="A203" s="7" t="n">
        <v>202</v>
      </c>
      <c r="B203" s="7"/>
      <c r="C203" s="7" t="s">
        <v>391</v>
      </c>
      <c r="D203" s="7" t="n">
        <v>2084</v>
      </c>
      <c r="E203" s="7" t="s">
        <v>50</v>
      </c>
      <c r="F203" s="10" t="b">
        <f aca="false">FALSE()</f>
        <v>0</v>
      </c>
      <c r="G203" s="7" t="s">
        <v>286</v>
      </c>
      <c r="H203" s="7" t="s">
        <v>260</v>
      </c>
      <c r="I203" s="7" t="n">
        <v>1</v>
      </c>
      <c r="J203" s="7" t="s">
        <v>107</v>
      </c>
      <c r="K203" s="7" t="s">
        <v>108</v>
      </c>
      <c r="L203" s="7" t="n">
        <v>22</v>
      </c>
      <c r="M203" s="10" t="b">
        <f aca="false">FALSE()</f>
        <v>0</v>
      </c>
      <c r="N203" s="7" t="s">
        <v>109</v>
      </c>
      <c r="O203" s="7" t="n">
        <v>-33.682221</v>
      </c>
      <c r="P203" s="7" t="n">
        <v>151.227953</v>
      </c>
    </row>
    <row r="204" customFormat="false" ht="15" hidden="false" customHeight="false" outlineLevel="0" collapsed="false">
      <c r="A204" s="7" t="n">
        <v>203</v>
      </c>
      <c r="B204" s="7"/>
      <c r="C204" s="7" t="s">
        <v>392</v>
      </c>
      <c r="D204" s="7" t="n">
        <v>2372</v>
      </c>
      <c r="E204" s="7" t="s">
        <v>50</v>
      </c>
      <c r="F204" s="10" t="b">
        <f aca="false">FALSE()</f>
        <v>0</v>
      </c>
      <c r="G204" s="7" t="s">
        <v>96</v>
      </c>
      <c r="H204" s="7" t="s">
        <v>239</v>
      </c>
      <c r="I204" s="7" t="n">
        <v>2</v>
      </c>
      <c r="J204" s="7" t="s">
        <v>107</v>
      </c>
      <c r="K204" s="7" t="s">
        <v>277</v>
      </c>
      <c r="L204" s="7" t="n">
        <v>6</v>
      </c>
      <c r="M204" s="10" t="b">
        <f aca="false">FALSE()</f>
        <v>0</v>
      </c>
      <c r="N204" s="7" t="s">
        <v>109</v>
      </c>
      <c r="O204" s="7" t="n">
        <v>-29.059594</v>
      </c>
      <c r="P204" s="7" t="n">
        <v>152.017889</v>
      </c>
    </row>
    <row r="205" customFormat="false" ht="15" hidden="false" customHeight="false" outlineLevel="0" collapsed="false">
      <c r="A205" s="7" t="n">
        <v>204</v>
      </c>
      <c r="B205" s="7"/>
      <c r="C205" s="7" t="s">
        <v>393</v>
      </c>
      <c r="D205" s="7" t="n">
        <v>2037</v>
      </c>
      <c r="E205" s="7" t="s">
        <v>50</v>
      </c>
      <c r="F205" s="10" t="b">
        <f aca="false">FALSE()</f>
        <v>0</v>
      </c>
      <c r="G205" s="7" t="s">
        <v>182</v>
      </c>
      <c r="H205" s="7" t="s">
        <v>237</v>
      </c>
      <c r="I205" s="7" t="n">
        <v>3</v>
      </c>
      <c r="J205" s="7" t="s">
        <v>107</v>
      </c>
      <c r="K205" s="7" t="s">
        <v>108</v>
      </c>
      <c r="L205" s="7" t="n">
        <v>22</v>
      </c>
      <c r="M205" s="10" t="b">
        <f aca="false">FALSE()</f>
        <v>0</v>
      </c>
      <c r="N205" s="7" t="s">
        <v>109</v>
      </c>
      <c r="O205" s="7" t="n">
        <v>-33.88363</v>
      </c>
      <c r="P205" s="7" t="n">
        <v>151.193946</v>
      </c>
    </row>
    <row r="206" customFormat="false" ht="15" hidden="false" customHeight="false" outlineLevel="0" collapsed="false">
      <c r="A206" s="7" t="n">
        <v>205</v>
      </c>
      <c r="B206" s="7"/>
      <c r="C206" s="7" t="s">
        <v>394</v>
      </c>
      <c r="D206" s="7" t="n">
        <v>2795</v>
      </c>
      <c r="E206" s="7" t="s">
        <v>50</v>
      </c>
      <c r="F206" s="10" t="b">
        <f aca="false">FALSE()</f>
        <v>0</v>
      </c>
      <c r="G206" s="7" t="s">
        <v>75</v>
      </c>
      <c r="H206" s="7" t="s">
        <v>239</v>
      </c>
      <c r="I206" s="7" t="n">
        <v>2</v>
      </c>
      <c r="J206" s="7" t="s">
        <v>107</v>
      </c>
      <c r="K206" s="7" t="s">
        <v>277</v>
      </c>
      <c r="L206" s="7" t="n">
        <v>6</v>
      </c>
      <c r="M206" s="10" t="b">
        <f aca="false">FALSE()</f>
        <v>0</v>
      </c>
      <c r="N206" s="7" t="s">
        <v>109</v>
      </c>
      <c r="O206" s="7" t="n">
        <v>-33.418442</v>
      </c>
      <c r="P206" s="7" t="n">
        <v>149.58286</v>
      </c>
    </row>
    <row r="207" customFormat="false" ht="15" hidden="false" customHeight="false" outlineLevel="0" collapsed="false">
      <c r="A207" s="7" t="n">
        <v>206</v>
      </c>
      <c r="B207" s="7"/>
      <c r="C207" s="7" t="s">
        <v>395</v>
      </c>
      <c r="D207" s="7" t="n">
        <v>2519</v>
      </c>
      <c r="E207" s="7" t="s">
        <v>50</v>
      </c>
      <c r="F207" s="10" t="b">
        <f aca="false">FALSE()</f>
        <v>0</v>
      </c>
      <c r="G207" s="7" t="s">
        <v>102</v>
      </c>
      <c r="H207" s="7" t="s">
        <v>260</v>
      </c>
      <c r="I207" s="7" t="n">
        <v>2</v>
      </c>
      <c r="J207" s="7" t="s">
        <v>71</v>
      </c>
      <c r="K207" s="7" t="s">
        <v>190</v>
      </c>
      <c r="L207" s="7" t="n">
        <v>60</v>
      </c>
      <c r="M207" s="10" t="b">
        <f aca="false">FALSE()</f>
        <v>0</v>
      </c>
      <c r="N207" s="7" t="s">
        <v>76</v>
      </c>
      <c r="O207" s="7" t="n">
        <v>-34.401927</v>
      </c>
      <c r="P207" s="7" t="n">
        <v>150.890652</v>
      </c>
    </row>
    <row r="208" customFormat="false" ht="15" hidden="false" customHeight="false" outlineLevel="0" collapsed="false">
      <c r="A208" s="7" t="n">
        <v>207</v>
      </c>
      <c r="B208" s="7" t="s">
        <v>396</v>
      </c>
      <c r="C208" s="7" t="s">
        <v>397</v>
      </c>
      <c r="D208" s="7" t="n">
        <v>2450</v>
      </c>
      <c r="E208" s="7" t="s">
        <v>50</v>
      </c>
      <c r="F208" s="10" t="b">
        <f aca="false">FALSE()</f>
        <v>0</v>
      </c>
      <c r="G208" s="7" t="s">
        <v>360</v>
      </c>
      <c r="H208" s="7" t="s">
        <v>398</v>
      </c>
      <c r="I208" s="7" t="n">
        <v>4</v>
      </c>
      <c r="J208" s="7" t="s">
        <v>107</v>
      </c>
      <c r="K208" s="7" t="s">
        <v>107</v>
      </c>
      <c r="L208" s="7"/>
      <c r="M208" s="10" t="b">
        <f aca="false">FALSE()</f>
        <v>0</v>
      </c>
      <c r="N208" s="7" t="s">
        <v>399</v>
      </c>
      <c r="O208" s="7" t="n">
        <v>-30.293063</v>
      </c>
      <c r="P208" s="7" t="n">
        <v>153.120009</v>
      </c>
    </row>
    <row r="209" customFormat="false" ht="15" hidden="false" customHeight="false" outlineLevel="0" collapsed="false">
      <c r="A209" s="7" t="n">
        <v>208</v>
      </c>
      <c r="B209" s="7"/>
      <c r="C209" s="7" t="s">
        <v>400</v>
      </c>
      <c r="D209" s="7" t="n">
        <v>2485</v>
      </c>
      <c r="E209" s="7" t="s">
        <v>50</v>
      </c>
      <c r="F209" s="10" t="b">
        <f aca="false">FALSE()</f>
        <v>0</v>
      </c>
      <c r="G209" s="7" t="s">
        <v>164</v>
      </c>
      <c r="H209" s="7" t="s">
        <v>239</v>
      </c>
      <c r="I209" s="7" t="n">
        <v>2</v>
      </c>
      <c r="J209" s="7" t="s">
        <v>107</v>
      </c>
      <c r="K209" s="7" t="s">
        <v>342</v>
      </c>
      <c r="L209" s="7" t="n">
        <v>14</v>
      </c>
      <c r="M209" s="10" t="b">
        <f aca="false">FALSE()</f>
        <v>0</v>
      </c>
      <c r="N209" s="7" t="s">
        <v>109</v>
      </c>
      <c r="O209" s="7" t="n">
        <v>-28.176746</v>
      </c>
      <c r="P209" s="7" t="n">
        <v>153.541284</v>
      </c>
    </row>
    <row r="210" customFormat="false" ht="15" hidden="false" customHeight="false" outlineLevel="0" collapsed="false">
      <c r="A210" s="7" t="n">
        <v>209</v>
      </c>
      <c r="B210" s="7"/>
      <c r="C210" s="7" t="s">
        <v>401</v>
      </c>
      <c r="D210" s="7" t="n">
        <v>2485</v>
      </c>
      <c r="E210" s="7" t="s">
        <v>50</v>
      </c>
      <c r="F210" s="10" t="b">
        <f aca="false">FALSE()</f>
        <v>0</v>
      </c>
      <c r="G210" s="7" t="s">
        <v>164</v>
      </c>
      <c r="H210" s="7" t="s">
        <v>260</v>
      </c>
      <c r="I210" s="7" t="n">
        <v>2</v>
      </c>
      <c r="J210" s="7" t="s">
        <v>107</v>
      </c>
      <c r="K210" s="7" t="s">
        <v>108</v>
      </c>
      <c r="L210" s="7" t="n">
        <v>22</v>
      </c>
      <c r="M210" s="10" t="b">
        <f aca="false">FALSE()</f>
        <v>0</v>
      </c>
      <c r="N210" s="7" t="s">
        <v>109</v>
      </c>
      <c r="O210" s="7" t="n">
        <v>-28.176619</v>
      </c>
      <c r="P210" s="7" t="n">
        <v>153.540787</v>
      </c>
    </row>
    <row r="211" customFormat="false" ht="15" hidden="false" customHeight="false" outlineLevel="0" collapsed="false">
      <c r="A211" s="7" t="n">
        <v>210</v>
      </c>
      <c r="B211" s="7"/>
      <c r="C211" s="7" t="s">
        <v>402</v>
      </c>
      <c r="D211" s="7" t="n">
        <v>2541</v>
      </c>
      <c r="E211" s="7" t="s">
        <v>50</v>
      </c>
      <c r="F211" s="10" t="b">
        <f aca="false">FALSE()</f>
        <v>0</v>
      </c>
      <c r="G211" s="7" t="s">
        <v>92</v>
      </c>
      <c r="H211" s="7" t="s">
        <v>260</v>
      </c>
      <c r="I211" s="7" t="n">
        <v>2</v>
      </c>
      <c r="J211" s="7" t="s">
        <v>107</v>
      </c>
      <c r="K211" s="7" t="s">
        <v>108</v>
      </c>
      <c r="L211" s="7" t="n">
        <v>22</v>
      </c>
      <c r="M211" s="10" t="b">
        <f aca="false">FALSE()</f>
        <v>0</v>
      </c>
      <c r="N211" s="7" t="s">
        <v>109</v>
      </c>
      <c r="O211" s="7" t="n">
        <v>-34.889516</v>
      </c>
      <c r="P211" s="7" t="n">
        <v>150.608486</v>
      </c>
    </row>
    <row r="212" customFormat="false" ht="15" hidden="false" customHeight="false" outlineLevel="0" collapsed="false">
      <c r="A212" s="7" t="n">
        <v>211</v>
      </c>
      <c r="B212" s="7"/>
      <c r="C212" s="7" t="s">
        <v>403</v>
      </c>
      <c r="D212" s="7" t="n">
        <v>2795</v>
      </c>
      <c r="E212" s="7" t="s">
        <v>50</v>
      </c>
      <c r="F212" s="10" t="b">
        <f aca="false">FALSE()</f>
        <v>0</v>
      </c>
      <c r="G212" s="7" t="s">
        <v>75</v>
      </c>
      <c r="H212" s="7" t="s">
        <v>260</v>
      </c>
      <c r="I212" s="7" t="n">
        <v>2</v>
      </c>
      <c r="J212" s="7" t="s">
        <v>107</v>
      </c>
      <c r="K212" s="7" t="s">
        <v>162</v>
      </c>
      <c r="L212" s="7" t="n">
        <v>20</v>
      </c>
      <c r="M212" s="10" t="b">
        <f aca="false">FALSE()</f>
        <v>0</v>
      </c>
      <c r="N212" s="7" t="s">
        <v>109</v>
      </c>
      <c r="O212" s="7" t="n">
        <v>-33.426073</v>
      </c>
      <c r="P212" s="7" t="n">
        <v>149.581551</v>
      </c>
    </row>
    <row r="213" customFormat="false" ht="15" hidden="false" customHeight="false" outlineLevel="0" collapsed="false">
      <c r="A213" s="7" t="n">
        <v>212</v>
      </c>
      <c r="B213" s="7"/>
      <c r="C213" s="7" t="s">
        <v>404</v>
      </c>
      <c r="D213" s="7" t="n">
        <v>2680</v>
      </c>
      <c r="E213" s="7" t="s">
        <v>50</v>
      </c>
      <c r="F213" s="10" t="b">
        <f aca="false">FALSE()</f>
        <v>0</v>
      </c>
      <c r="G213" s="7" t="s">
        <v>270</v>
      </c>
      <c r="H213" s="7" t="s">
        <v>237</v>
      </c>
      <c r="I213" s="7" t="n">
        <v>1</v>
      </c>
      <c r="J213" s="7" t="s">
        <v>71</v>
      </c>
      <c r="K213" s="7" t="s">
        <v>405</v>
      </c>
      <c r="L213" s="7" t="n">
        <v>24</v>
      </c>
      <c r="M213" s="10" t="b">
        <f aca="false">FALSE()</f>
        <v>0</v>
      </c>
      <c r="N213" s="7" t="s">
        <v>76</v>
      </c>
      <c r="O213" s="7" t="n">
        <v>-34.301728</v>
      </c>
      <c r="P213" s="7" t="n">
        <v>146.082643</v>
      </c>
    </row>
    <row r="214" customFormat="false" ht="15" hidden="false" customHeight="false" outlineLevel="0" collapsed="false">
      <c r="A214" s="7" t="n">
        <v>213</v>
      </c>
      <c r="B214" s="7"/>
      <c r="C214" s="7" t="s">
        <v>406</v>
      </c>
      <c r="D214" s="7" t="n">
        <v>2380</v>
      </c>
      <c r="E214" s="7" t="s">
        <v>50</v>
      </c>
      <c r="F214" s="10" t="b">
        <f aca="false">FALSE()</f>
        <v>0</v>
      </c>
      <c r="G214" s="7" t="s">
        <v>149</v>
      </c>
      <c r="H214" s="7" t="s">
        <v>237</v>
      </c>
      <c r="I214" s="7" t="n">
        <v>4</v>
      </c>
      <c r="J214" s="7" t="s">
        <v>71</v>
      </c>
      <c r="K214" s="7" t="s">
        <v>407</v>
      </c>
      <c r="L214" s="7" t="n">
        <v>47</v>
      </c>
      <c r="M214" s="10" t="b">
        <f aca="false">FALSE()</f>
        <v>0</v>
      </c>
      <c r="N214" s="7" t="s">
        <v>76</v>
      </c>
      <c r="O214" s="7" t="n">
        <v>-30.976811</v>
      </c>
      <c r="P214" s="7" t="n">
        <v>150.250165</v>
      </c>
    </row>
    <row r="215" customFormat="false" ht="15" hidden="false" customHeight="false" outlineLevel="0" collapsed="false">
      <c r="A215" s="7" t="n">
        <v>214</v>
      </c>
      <c r="B215" s="7"/>
      <c r="C215" s="7" t="s">
        <v>408</v>
      </c>
      <c r="D215" s="7" t="n">
        <v>2484</v>
      </c>
      <c r="E215" s="7" t="s">
        <v>50</v>
      </c>
      <c r="F215" s="10" t="b">
        <f aca="false">FALSE()</f>
        <v>0</v>
      </c>
      <c r="G215" s="7" t="s">
        <v>164</v>
      </c>
      <c r="H215" s="7" t="s">
        <v>239</v>
      </c>
      <c r="I215" s="7" t="n">
        <v>2</v>
      </c>
      <c r="J215" s="7" t="s">
        <v>107</v>
      </c>
      <c r="K215" s="7" t="s">
        <v>108</v>
      </c>
      <c r="L215" s="7" t="n">
        <v>22</v>
      </c>
      <c r="M215" s="10" t="b">
        <f aca="false">FALSE()</f>
        <v>0</v>
      </c>
      <c r="N215" s="7" t="s">
        <v>109</v>
      </c>
      <c r="O215" s="7" t="n">
        <v>-28.404553</v>
      </c>
      <c r="P215" s="7" t="n">
        <v>153.351662</v>
      </c>
    </row>
    <row r="216" customFormat="false" ht="15" hidden="false" customHeight="false" outlineLevel="0" collapsed="false">
      <c r="A216" s="7" t="n">
        <v>215</v>
      </c>
      <c r="B216" s="7"/>
      <c r="C216" s="7" t="s">
        <v>409</v>
      </c>
      <c r="D216" s="7" t="n">
        <v>2040</v>
      </c>
      <c r="E216" s="7" t="s">
        <v>50</v>
      </c>
      <c r="F216" s="10" t="b">
        <f aca="false">FALSE()</f>
        <v>0</v>
      </c>
      <c r="G216" s="7" t="s">
        <v>410</v>
      </c>
      <c r="H216" s="7" t="s">
        <v>244</v>
      </c>
      <c r="I216" s="7" t="n">
        <v>4</v>
      </c>
      <c r="J216" s="7" t="s">
        <v>71</v>
      </c>
      <c r="K216" s="7" t="s">
        <v>83</v>
      </c>
      <c r="L216" s="7" t="n">
        <v>75</v>
      </c>
      <c r="M216" s="10" t="b">
        <f aca="false">FALSE()</f>
        <v>0</v>
      </c>
      <c r="N216" s="7" t="s">
        <v>268</v>
      </c>
      <c r="O216" s="7" t="n">
        <v>-33.88518</v>
      </c>
      <c r="P216" s="7" t="n">
        <v>151.148629</v>
      </c>
    </row>
    <row r="217" customFormat="false" ht="15" hidden="false" customHeight="false" outlineLevel="0" collapsed="false">
      <c r="A217" s="7" t="n">
        <v>216</v>
      </c>
      <c r="B217" s="7"/>
      <c r="C217" s="7" t="s">
        <v>411</v>
      </c>
      <c r="D217" s="7" t="n">
        <v>2077</v>
      </c>
      <c r="E217" s="7" t="s">
        <v>50</v>
      </c>
      <c r="F217" s="10" t="b">
        <f aca="false">FALSE()</f>
        <v>0</v>
      </c>
      <c r="G217" s="7" t="s">
        <v>340</v>
      </c>
      <c r="H217" s="7" t="s">
        <v>244</v>
      </c>
      <c r="I217" s="7" t="n">
        <v>4</v>
      </c>
      <c r="J217" s="7" t="s">
        <v>71</v>
      </c>
      <c r="K217" s="7" t="s">
        <v>72</v>
      </c>
      <c r="L217" s="7" t="n">
        <v>50</v>
      </c>
      <c r="M217" s="10" t="b">
        <f aca="false">FALSE()</f>
        <v>0</v>
      </c>
      <c r="N217" s="7" t="s">
        <v>268</v>
      </c>
      <c r="O217" s="7" t="n">
        <v>-33.702762</v>
      </c>
      <c r="P217" s="7" t="n">
        <v>151.096479</v>
      </c>
    </row>
    <row r="218" customFormat="false" ht="15" hidden="false" customHeight="false" outlineLevel="0" collapsed="false">
      <c r="A218" s="7" t="n">
        <v>217</v>
      </c>
      <c r="B218" s="7"/>
      <c r="C218" s="7" t="s">
        <v>412</v>
      </c>
      <c r="D218" s="7" t="n">
        <v>2106</v>
      </c>
      <c r="E218" s="7" t="s">
        <v>50</v>
      </c>
      <c r="F218" s="10" t="b">
        <f aca="false">FALSE()</f>
        <v>0</v>
      </c>
      <c r="G218" s="7" t="s">
        <v>286</v>
      </c>
      <c r="H218" s="7" t="s">
        <v>260</v>
      </c>
      <c r="I218" s="7" t="n">
        <v>1</v>
      </c>
      <c r="J218" s="7" t="s">
        <v>107</v>
      </c>
      <c r="K218" s="7" t="s">
        <v>108</v>
      </c>
      <c r="L218" s="7" t="n">
        <v>22</v>
      </c>
      <c r="M218" s="10" t="b">
        <f aca="false">FALSE()</f>
        <v>0</v>
      </c>
      <c r="N218" s="7" t="s">
        <v>109</v>
      </c>
      <c r="O218" s="7" t="n">
        <v>-33.658822</v>
      </c>
      <c r="P218" s="7" t="n">
        <v>151.309654</v>
      </c>
    </row>
    <row r="219" customFormat="false" ht="15" hidden="false" customHeight="false" outlineLevel="0" collapsed="false">
      <c r="A219" s="7" t="n">
        <v>218</v>
      </c>
      <c r="B219" s="7"/>
      <c r="C219" s="7" t="s">
        <v>413</v>
      </c>
      <c r="D219" s="7" t="n">
        <v>2840</v>
      </c>
      <c r="E219" s="7" t="s">
        <v>50</v>
      </c>
      <c r="F219" s="10" t="b">
        <f aca="false">FALSE()</f>
        <v>0</v>
      </c>
      <c r="G219" s="7" t="s">
        <v>98</v>
      </c>
      <c r="H219" s="7" t="s">
        <v>239</v>
      </c>
      <c r="I219" s="7" t="n">
        <v>2</v>
      </c>
      <c r="J219" s="7" t="s">
        <v>107</v>
      </c>
      <c r="K219" s="7" t="s">
        <v>108</v>
      </c>
      <c r="L219" s="7" t="n">
        <v>22</v>
      </c>
      <c r="M219" s="10" t="b">
        <f aca="false">FALSE()</f>
        <v>0</v>
      </c>
      <c r="N219" s="7" t="s">
        <v>109</v>
      </c>
      <c r="O219" s="7" t="n">
        <v>-30.0882</v>
      </c>
      <c r="P219" s="7" t="n">
        <v>145.933893</v>
      </c>
    </row>
    <row r="220" customFormat="false" ht="15" hidden="false" customHeight="false" outlineLevel="0" collapsed="false">
      <c r="A220" s="7" t="n">
        <v>219</v>
      </c>
      <c r="B220" s="7"/>
      <c r="C220" s="7" t="s">
        <v>414</v>
      </c>
      <c r="D220" s="7" t="n">
        <v>2284</v>
      </c>
      <c r="E220" s="7" t="s">
        <v>50</v>
      </c>
      <c r="F220" s="10" t="b">
        <f aca="false">FALSE()</f>
        <v>0</v>
      </c>
      <c r="G220" s="7" t="s">
        <v>377</v>
      </c>
      <c r="H220" s="7" t="s">
        <v>252</v>
      </c>
      <c r="I220" s="7" t="n">
        <v>2</v>
      </c>
      <c r="J220" s="7" t="s">
        <v>107</v>
      </c>
      <c r="K220" s="7" t="s">
        <v>108</v>
      </c>
      <c r="L220" s="7" t="n">
        <v>22</v>
      </c>
      <c r="M220" s="10" t="b">
        <f aca="false">FALSE()</f>
        <v>0</v>
      </c>
      <c r="N220" s="7" t="s">
        <v>109</v>
      </c>
      <c r="O220" s="7" t="n">
        <v>-32.962652</v>
      </c>
      <c r="P220" s="7" t="n">
        <v>151.618953</v>
      </c>
    </row>
    <row r="221" customFormat="false" ht="15" hidden="false" customHeight="false" outlineLevel="0" collapsed="false">
      <c r="A221" s="7" t="n">
        <v>220</v>
      </c>
      <c r="B221" s="7"/>
      <c r="C221" s="7" t="s">
        <v>415</v>
      </c>
      <c r="D221" s="7" t="n">
        <v>2026</v>
      </c>
      <c r="E221" s="7" t="s">
        <v>50</v>
      </c>
      <c r="F221" s="10" t="b">
        <f aca="false">FALSE()</f>
        <v>0</v>
      </c>
      <c r="G221" s="7" t="s">
        <v>295</v>
      </c>
      <c r="H221" s="7" t="s">
        <v>260</v>
      </c>
      <c r="I221" s="7" t="n">
        <v>1</v>
      </c>
      <c r="J221" s="7" t="s">
        <v>107</v>
      </c>
      <c r="K221" s="7" t="s">
        <v>108</v>
      </c>
      <c r="L221" s="7" t="n">
        <v>22</v>
      </c>
      <c r="M221" s="10" t="b">
        <f aca="false">FALSE()</f>
        <v>0</v>
      </c>
      <c r="N221" s="7" t="s">
        <v>109</v>
      </c>
      <c r="O221" s="7" t="n">
        <v>-33.884344</v>
      </c>
      <c r="P221" s="7" t="n">
        <v>151.271299</v>
      </c>
    </row>
    <row r="222" customFormat="false" ht="15" hidden="false" customHeight="false" outlineLevel="0" collapsed="false">
      <c r="A222" s="7" t="n">
        <v>221</v>
      </c>
      <c r="B222" s="7"/>
      <c r="C222" s="7" t="s">
        <v>416</v>
      </c>
      <c r="D222" s="7" t="n">
        <v>2026</v>
      </c>
      <c r="E222" s="7" t="s">
        <v>50</v>
      </c>
      <c r="F222" s="10" t="b">
        <f aca="false">FALSE()</f>
        <v>0</v>
      </c>
      <c r="G222" s="7" t="s">
        <v>295</v>
      </c>
      <c r="H222" s="7" t="s">
        <v>237</v>
      </c>
      <c r="I222" s="7" t="n">
        <v>1</v>
      </c>
      <c r="J222" s="7" t="s">
        <v>107</v>
      </c>
      <c r="K222" s="7" t="s">
        <v>277</v>
      </c>
      <c r="L222" s="7" t="n">
        <v>6</v>
      </c>
      <c r="M222" s="10" t="b">
        <f aca="false">FALSE()</f>
        <v>0</v>
      </c>
      <c r="N222" s="7" t="s">
        <v>109</v>
      </c>
      <c r="O222" s="7" t="n">
        <v>-33.887066</v>
      </c>
      <c r="P222" s="7" t="n">
        <v>151.272344</v>
      </c>
    </row>
    <row r="223" customFormat="false" ht="15" hidden="false" customHeight="false" outlineLevel="0" collapsed="false">
      <c r="A223" s="7" t="n">
        <v>222</v>
      </c>
      <c r="B223" s="7"/>
      <c r="C223" s="7" t="s">
        <v>417</v>
      </c>
      <c r="D223" s="7" t="n">
        <v>2577</v>
      </c>
      <c r="E223" s="7" t="s">
        <v>50</v>
      </c>
      <c r="F223" s="10" t="b">
        <f aca="false">FALSE()</f>
        <v>0</v>
      </c>
      <c r="G223" s="7" t="s">
        <v>161</v>
      </c>
      <c r="H223" s="7" t="s">
        <v>244</v>
      </c>
      <c r="I223" s="7" t="n">
        <v>8</v>
      </c>
      <c r="J223" s="7" t="s">
        <v>71</v>
      </c>
      <c r="K223" s="7" t="s">
        <v>378</v>
      </c>
      <c r="L223" s="7" t="n">
        <v>350</v>
      </c>
      <c r="M223" s="10" t="b">
        <f aca="false">FALSE()</f>
        <v>0</v>
      </c>
      <c r="N223" s="7" t="s">
        <v>76</v>
      </c>
      <c r="O223" s="7" t="n">
        <v>-34.607219</v>
      </c>
      <c r="P223" s="7" t="n">
        <v>150.225163</v>
      </c>
    </row>
    <row r="224" customFormat="false" ht="15" hidden="false" customHeight="false" outlineLevel="0" collapsed="false">
      <c r="A224" s="7" t="n">
        <v>223</v>
      </c>
      <c r="B224" s="7"/>
      <c r="C224" s="7" t="s">
        <v>418</v>
      </c>
      <c r="D224" s="7" t="n">
        <v>2026</v>
      </c>
      <c r="E224" s="7" t="s">
        <v>50</v>
      </c>
      <c r="F224" s="10" t="b">
        <f aca="false">FALSE()</f>
        <v>0</v>
      </c>
      <c r="G224" s="7" t="s">
        <v>295</v>
      </c>
      <c r="H224" s="7" t="s">
        <v>237</v>
      </c>
      <c r="I224" s="7" t="n">
        <v>2</v>
      </c>
      <c r="J224" s="7" t="s">
        <v>107</v>
      </c>
      <c r="K224" s="7" t="s">
        <v>108</v>
      </c>
      <c r="L224" s="7" t="n">
        <v>22</v>
      </c>
      <c r="M224" s="10" t="b">
        <f aca="false">FALSE()</f>
        <v>0</v>
      </c>
      <c r="N224" s="7" t="s">
        <v>109</v>
      </c>
      <c r="O224" s="7" t="n">
        <v>-33.893471</v>
      </c>
      <c r="P224" s="7" t="n">
        <v>151.267712</v>
      </c>
    </row>
    <row r="225" customFormat="false" ht="15" hidden="false" customHeight="false" outlineLevel="0" collapsed="false">
      <c r="A225" s="7" t="n">
        <v>224</v>
      </c>
      <c r="B225" s="7"/>
      <c r="C225" s="7" t="s">
        <v>419</v>
      </c>
      <c r="D225" s="7" t="n">
        <v>2527</v>
      </c>
      <c r="E225" s="7" t="s">
        <v>50</v>
      </c>
      <c r="F225" s="10" t="b">
        <f aca="false">FALSE()</f>
        <v>0</v>
      </c>
      <c r="G225" s="7" t="s">
        <v>316</v>
      </c>
      <c r="H225" s="7" t="s">
        <v>244</v>
      </c>
      <c r="I225" s="7" t="n">
        <v>2</v>
      </c>
      <c r="J225" s="7" t="s">
        <v>71</v>
      </c>
      <c r="K225" s="7" t="s">
        <v>72</v>
      </c>
      <c r="L225" s="7" t="n">
        <v>50</v>
      </c>
      <c r="M225" s="10" t="b">
        <f aca="false">FALSE()</f>
        <v>0</v>
      </c>
      <c r="N225" s="7" t="s">
        <v>268</v>
      </c>
      <c r="O225" s="7" t="n">
        <v>-34.550435</v>
      </c>
      <c r="P225" s="7" t="n">
        <v>150.787781</v>
      </c>
    </row>
    <row r="226" customFormat="false" ht="15" hidden="false" customHeight="false" outlineLevel="0" collapsed="false">
      <c r="A226" s="7" t="n">
        <v>225</v>
      </c>
      <c r="B226" s="7"/>
      <c r="C226" s="7" t="s">
        <v>420</v>
      </c>
      <c r="D226" s="7" t="n">
        <v>2134</v>
      </c>
      <c r="E226" s="7" t="s">
        <v>50</v>
      </c>
      <c r="F226" s="10" t="b">
        <f aca="false">FALSE()</f>
        <v>0</v>
      </c>
      <c r="G226" s="7" t="s">
        <v>421</v>
      </c>
      <c r="H226" s="7" t="s">
        <v>287</v>
      </c>
      <c r="I226" s="7" t="n">
        <v>2</v>
      </c>
      <c r="J226" s="7" t="s">
        <v>71</v>
      </c>
      <c r="K226" s="7" t="s">
        <v>288</v>
      </c>
      <c r="L226" s="7" t="n">
        <v>25</v>
      </c>
      <c r="M226" s="10" t="b">
        <f aca="false">FALSE()</f>
        <v>0</v>
      </c>
      <c r="N226" s="7" t="s">
        <v>76</v>
      </c>
      <c r="O226" s="7" t="n">
        <v>-33.887249</v>
      </c>
      <c r="P226" s="7" t="n">
        <v>151.099335</v>
      </c>
    </row>
    <row r="227" customFormat="false" ht="15" hidden="false" customHeight="false" outlineLevel="0" collapsed="false">
      <c r="A227" s="7" t="n">
        <v>226</v>
      </c>
      <c r="B227" s="7"/>
      <c r="C227" s="7" t="s">
        <v>422</v>
      </c>
      <c r="D227" s="7" t="n">
        <v>2155</v>
      </c>
      <c r="E227" s="7" t="s">
        <v>50</v>
      </c>
      <c r="F227" s="10" t="b">
        <f aca="false">FALSE()</f>
        <v>0</v>
      </c>
      <c r="G227" s="7" t="s">
        <v>299</v>
      </c>
      <c r="H227" s="7" t="s">
        <v>237</v>
      </c>
      <c r="I227" s="7" t="n">
        <v>2</v>
      </c>
      <c r="J227" s="7" t="s">
        <v>107</v>
      </c>
      <c r="K227" s="7" t="s">
        <v>108</v>
      </c>
      <c r="L227" s="7" t="n">
        <v>22</v>
      </c>
      <c r="M227" s="10" t="b">
        <f aca="false">FALSE()</f>
        <v>0</v>
      </c>
      <c r="N227" s="7" t="s">
        <v>109</v>
      </c>
      <c r="O227" s="7" t="n">
        <v>-33.699818</v>
      </c>
      <c r="P227" s="7" t="n">
        <v>150.957798</v>
      </c>
    </row>
    <row r="228" customFormat="false" ht="15" hidden="false" customHeight="false" outlineLevel="0" collapsed="false">
      <c r="A228" s="7" t="n">
        <v>227</v>
      </c>
      <c r="B228" s="7"/>
      <c r="C228" s="7" t="s">
        <v>423</v>
      </c>
      <c r="D228" s="7" t="n">
        <v>2015</v>
      </c>
      <c r="E228" s="7" t="s">
        <v>50</v>
      </c>
      <c r="F228" s="10" t="b">
        <f aca="false">FALSE()</f>
        <v>0</v>
      </c>
      <c r="G228" s="7" t="s">
        <v>380</v>
      </c>
      <c r="H228" s="7" t="s">
        <v>330</v>
      </c>
      <c r="I228" s="7" t="n">
        <v>2</v>
      </c>
      <c r="J228" s="7" t="s">
        <v>71</v>
      </c>
      <c r="K228" s="7" t="s">
        <v>234</v>
      </c>
      <c r="L228" s="7" t="n">
        <v>150</v>
      </c>
      <c r="M228" s="10" t="b">
        <f aca="false">FALSE()</f>
        <v>0</v>
      </c>
      <c r="N228" s="7" t="s">
        <v>268</v>
      </c>
      <c r="O228" s="7" t="n">
        <v>-33.902017</v>
      </c>
      <c r="P228" s="7" t="n">
        <v>151.20001</v>
      </c>
    </row>
    <row r="229" customFormat="false" ht="15" hidden="false" customHeight="false" outlineLevel="0" collapsed="false">
      <c r="A229" s="7" t="n">
        <v>228</v>
      </c>
      <c r="B229" s="7"/>
      <c r="C229" s="7" t="s">
        <v>424</v>
      </c>
      <c r="D229" s="7" t="n">
        <v>2800</v>
      </c>
      <c r="E229" s="7" t="s">
        <v>50</v>
      </c>
      <c r="F229" s="10" t="b">
        <f aca="false">FALSE()</f>
        <v>0</v>
      </c>
      <c r="G229" s="7" t="s">
        <v>167</v>
      </c>
      <c r="H229" s="7" t="s">
        <v>239</v>
      </c>
      <c r="I229" s="7" t="n">
        <v>1</v>
      </c>
      <c r="J229" s="7" t="s">
        <v>107</v>
      </c>
      <c r="K229" s="7" t="s">
        <v>342</v>
      </c>
      <c r="L229" s="7" t="n">
        <v>14</v>
      </c>
      <c r="M229" s="10" t="b">
        <f aca="false">FALSE()</f>
        <v>0</v>
      </c>
      <c r="N229" s="7" t="s">
        <v>109</v>
      </c>
      <c r="O229" s="7" t="n">
        <v>-33.333459</v>
      </c>
      <c r="P229" s="7" t="n">
        <v>149.043623</v>
      </c>
    </row>
    <row r="230" customFormat="false" ht="15" hidden="false" customHeight="false" outlineLevel="0" collapsed="false">
      <c r="A230" s="7" t="n">
        <v>229</v>
      </c>
      <c r="B230" s="7"/>
      <c r="C230" s="7" t="s">
        <v>425</v>
      </c>
      <c r="D230" s="7" t="n">
        <v>2450</v>
      </c>
      <c r="E230" s="7" t="s">
        <v>50</v>
      </c>
      <c r="F230" s="10" t="b">
        <f aca="false">FALSE()</f>
        <v>0</v>
      </c>
      <c r="G230" s="7" t="s">
        <v>360</v>
      </c>
      <c r="H230" s="7" t="s">
        <v>233</v>
      </c>
      <c r="I230" s="7" t="n">
        <v>2</v>
      </c>
      <c r="J230" s="7" t="s">
        <v>71</v>
      </c>
      <c r="K230" s="7" t="s">
        <v>83</v>
      </c>
      <c r="L230" s="7" t="n">
        <v>75</v>
      </c>
      <c r="M230" s="10" t="b">
        <f aca="false">FALSE()</f>
        <v>0</v>
      </c>
      <c r="N230" s="7" t="s">
        <v>76</v>
      </c>
      <c r="O230" s="7" t="n">
        <v>-30.291569</v>
      </c>
      <c r="P230" s="7" t="n">
        <v>153.118371</v>
      </c>
    </row>
    <row r="231" customFormat="false" ht="15" hidden="false" customHeight="false" outlineLevel="0" collapsed="false">
      <c r="A231" s="7" t="n">
        <v>230</v>
      </c>
      <c r="B231" s="7"/>
      <c r="C231" s="7" t="s">
        <v>426</v>
      </c>
      <c r="D231" s="7" t="n">
        <v>2026</v>
      </c>
      <c r="E231" s="7" t="s">
        <v>50</v>
      </c>
      <c r="F231" s="10" t="b">
        <f aca="false">FALSE()</f>
        <v>0</v>
      </c>
      <c r="G231" s="7" t="s">
        <v>295</v>
      </c>
      <c r="H231" s="7" t="s">
        <v>237</v>
      </c>
      <c r="I231" s="7" t="n">
        <v>2</v>
      </c>
      <c r="J231" s="7" t="s">
        <v>107</v>
      </c>
      <c r="K231" s="7" t="s">
        <v>108</v>
      </c>
      <c r="L231" s="7" t="n">
        <v>22</v>
      </c>
      <c r="M231" s="10" t="b">
        <f aca="false">FALSE()</f>
        <v>0</v>
      </c>
      <c r="N231" s="7" t="s">
        <v>109</v>
      </c>
      <c r="O231" s="7" t="n">
        <v>-33.888368</v>
      </c>
      <c r="P231" s="7" t="n">
        <v>151.263325</v>
      </c>
    </row>
    <row r="232" customFormat="false" ht="15" hidden="false" customHeight="false" outlineLevel="0" collapsed="false">
      <c r="A232" s="7" t="n">
        <v>231</v>
      </c>
      <c r="B232" s="7"/>
      <c r="C232" s="7" t="s">
        <v>427</v>
      </c>
      <c r="D232" s="7" t="n">
        <v>2000</v>
      </c>
      <c r="E232" s="7" t="s">
        <v>50</v>
      </c>
      <c r="F232" s="10" t="b">
        <f aca="false">FALSE()</f>
        <v>0</v>
      </c>
      <c r="G232" s="7" t="s">
        <v>182</v>
      </c>
      <c r="H232" s="7" t="s">
        <v>239</v>
      </c>
      <c r="I232" s="7" t="n">
        <v>1</v>
      </c>
      <c r="J232" s="7" t="s">
        <v>107</v>
      </c>
      <c r="K232" s="7" t="s">
        <v>108</v>
      </c>
      <c r="L232" s="7" t="n">
        <v>22</v>
      </c>
      <c r="M232" s="10" t="b">
        <f aca="false">FALSE()</f>
        <v>0</v>
      </c>
      <c r="N232" s="7" t="s">
        <v>109</v>
      </c>
      <c r="O232" s="7" t="n">
        <v>-33.869059</v>
      </c>
      <c r="P232" s="7" t="n">
        <v>151.208854</v>
      </c>
    </row>
    <row r="233" customFormat="false" ht="15" hidden="false" customHeight="false" outlineLevel="0" collapsed="false">
      <c r="A233" s="7" t="n">
        <v>232</v>
      </c>
      <c r="B233" s="7"/>
      <c r="C233" s="7" t="s">
        <v>428</v>
      </c>
      <c r="D233" s="7" t="n">
        <v>2194</v>
      </c>
      <c r="E233" s="7" t="s">
        <v>50</v>
      </c>
      <c r="F233" s="10" t="b">
        <f aca="false">FALSE()</f>
        <v>0</v>
      </c>
      <c r="G233" s="7" t="s">
        <v>345</v>
      </c>
      <c r="H233" s="7" t="s">
        <v>260</v>
      </c>
      <c r="I233" s="7" t="n">
        <v>2</v>
      </c>
      <c r="J233" s="7" t="s">
        <v>107</v>
      </c>
      <c r="K233" s="7" t="s">
        <v>277</v>
      </c>
      <c r="L233" s="7" t="n">
        <v>6</v>
      </c>
      <c r="M233" s="10" t="b">
        <f aca="false">FALSE()</f>
        <v>0</v>
      </c>
      <c r="N233" s="7" t="s">
        <v>109</v>
      </c>
      <c r="O233" s="7" t="n">
        <v>-33.90774</v>
      </c>
      <c r="P233" s="7" t="n">
        <v>151.103869</v>
      </c>
    </row>
    <row r="234" customFormat="false" ht="15" hidden="false" customHeight="false" outlineLevel="0" collapsed="false">
      <c r="A234" s="7" t="n">
        <v>233</v>
      </c>
      <c r="B234" s="7"/>
      <c r="C234" s="7" t="s">
        <v>429</v>
      </c>
      <c r="D234" s="7" t="n">
        <v>2022</v>
      </c>
      <c r="E234" s="7" t="s">
        <v>50</v>
      </c>
      <c r="F234" s="10" t="b">
        <f aca="false">FALSE()</f>
        <v>0</v>
      </c>
      <c r="G234" s="7" t="s">
        <v>295</v>
      </c>
      <c r="H234" s="7" t="s">
        <v>260</v>
      </c>
      <c r="I234" s="7" t="n">
        <v>1</v>
      </c>
      <c r="J234" s="7" t="s">
        <v>107</v>
      </c>
      <c r="K234" s="7" t="s">
        <v>108</v>
      </c>
      <c r="L234" s="7" t="n">
        <v>22</v>
      </c>
      <c r="M234" s="10" t="b">
        <f aca="false">FALSE()</f>
        <v>0</v>
      </c>
      <c r="N234" s="7" t="s">
        <v>109</v>
      </c>
      <c r="O234" s="7" t="n">
        <v>-33.897159</v>
      </c>
      <c r="P234" s="7" t="n">
        <v>151.251344</v>
      </c>
    </row>
    <row r="235" customFormat="false" ht="15" hidden="false" customHeight="false" outlineLevel="0" collapsed="false">
      <c r="A235" s="7" t="n">
        <v>234</v>
      </c>
      <c r="B235" s="7"/>
      <c r="C235" s="7" t="s">
        <v>430</v>
      </c>
      <c r="D235" s="7" t="n">
        <v>2086</v>
      </c>
      <c r="E235" s="7" t="s">
        <v>50</v>
      </c>
      <c r="F235" s="10" t="b">
        <f aca="false">FALSE()</f>
        <v>0</v>
      </c>
      <c r="G235" s="7" t="s">
        <v>286</v>
      </c>
      <c r="H235" s="7" t="s">
        <v>302</v>
      </c>
      <c r="I235" s="7" t="n">
        <v>18</v>
      </c>
      <c r="J235" s="7" t="s">
        <v>107</v>
      </c>
      <c r="K235" s="7" t="s">
        <v>108</v>
      </c>
      <c r="L235" s="7" t="n">
        <v>22</v>
      </c>
      <c r="M235" s="10" t="b">
        <f aca="false">FALSE()</f>
        <v>0</v>
      </c>
      <c r="N235" s="7" t="s">
        <v>109</v>
      </c>
      <c r="O235" s="7" t="n">
        <v>-33.754253</v>
      </c>
      <c r="P235" s="7" t="n">
        <v>151.236031</v>
      </c>
    </row>
    <row r="236" customFormat="false" ht="15" hidden="false" customHeight="false" outlineLevel="0" collapsed="false">
      <c r="A236" s="7" t="n">
        <v>235</v>
      </c>
      <c r="B236" s="7"/>
      <c r="C236" s="7" t="s">
        <v>431</v>
      </c>
      <c r="D236" s="7" t="n">
        <v>2871</v>
      </c>
      <c r="E236" s="7" t="s">
        <v>50</v>
      </c>
      <c r="F236" s="10" t="b">
        <f aca="false">FALSE()</f>
        <v>0</v>
      </c>
      <c r="G236" s="7" t="s">
        <v>432</v>
      </c>
      <c r="H236" s="7" t="s">
        <v>239</v>
      </c>
      <c r="I236" s="7" t="n">
        <v>2</v>
      </c>
      <c r="J236" s="7" t="s">
        <v>107</v>
      </c>
      <c r="K236" s="7" t="s">
        <v>108</v>
      </c>
      <c r="L236" s="7" t="n">
        <v>22</v>
      </c>
      <c r="M236" s="10" t="b">
        <f aca="false">FALSE()</f>
        <v>0</v>
      </c>
      <c r="N236" s="7" t="s">
        <v>109</v>
      </c>
      <c r="O236" s="7" t="n">
        <v>-33.383658</v>
      </c>
      <c r="P236" s="7" t="n">
        <v>148.009946</v>
      </c>
    </row>
    <row r="237" customFormat="false" ht="15" hidden="false" customHeight="false" outlineLevel="0" collapsed="false">
      <c r="A237" s="7" t="n">
        <v>236</v>
      </c>
      <c r="B237" s="7"/>
      <c r="C237" s="7" t="s">
        <v>433</v>
      </c>
      <c r="D237" s="7" t="n">
        <v>2135</v>
      </c>
      <c r="E237" s="7" t="s">
        <v>50</v>
      </c>
      <c r="F237" s="10" t="b">
        <f aca="false">FALSE()</f>
        <v>0</v>
      </c>
      <c r="G237" s="7" t="s">
        <v>421</v>
      </c>
      <c r="H237" s="7" t="s">
        <v>287</v>
      </c>
      <c r="I237" s="7" t="n">
        <v>2</v>
      </c>
      <c r="J237" s="7" t="s">
        <v>71</v>
      </c>
      <c r="K237" s="7" t="s">
        <v>288</v>
      </c>
      <c r="L237" s="7" t="n">
        <v>25</v>
      </c>
      <c r="M237" s="10" t="b">
        <f aca="false">FALSE()</f>
        <v>0</v>
      </c>
      <c r="N237" s="7" t="s">
        <v>76</v>
      </c>
      <c r="O237" s="7" t="n">
        <v>-33.872049</v>
      </c>
      <c r="P237" s="7" t="n">
        <v>151.095446</v>
      </c>
    </row>
    <row r="238" customFormat="false" ht="15" hidden="false" customHeight="false" outlineLevel="0" collapsed="false">
      <c r="A238" s="7" t="n">
        <v>237</v>
      </c>
      <c r="B238" s="7"/>
      <c r="C238" s="7" t="s">
        <v>434</v>
      </c>
      <c r="D238" s="7" t="n">
        <v>2500</v>
      </c>
      <c r="E238" s="7" t="s">
        <v>50</v>
      </c>
      <c r="F238" s="10" t="b">
        <f aca="false">FALSE()</f>
        <v>0</v>
      </c>
      <c r="G238" s="7" t="s">
        <v>102</v>
      </c>
      <c r="H238" s="7" t="s">
        <v>302</v>
      </c>
      <c r="I238" s="7" t="n">
        <v>2</v>
      </c>
      <c r="J238" s="7" t="s">
        <v>107</v>
      </c>
      <c r="K238" s="7" t="s">
        <v>108</v>
      </c>
      <c r="L238" s="7" t="n">
        <v>22</v>
      </c>
      <c r="M238" s="10" t="b">
        <f aca="false">FALSE()</f>
        <v>0</v>
      </c>
      <c r="N238" s="7" t="s">
        <v>109</v>
      </c>
      <c r="O238" s="7" t="n">
        <v>-34.428262</v>
      </c>
      <c r="P238" s="7" t="n">
        <v>150.895417</v>
      </c>
    </row>
    <row r="239" customFormat="false" ht="15" hidden="false" customHeight="false" outlineLevel="0" collapsed="false">
      <c r="A239" s="7" t="n">
        <v>238</v>
      </c>
      <c r="B239" s="7" t="s">
        <v>435</v>
      </c>
      <c r="C239" s="7" t="s">
        <v>436</v>
      </c>
      <c r="D239" s="7" t="n">
        <v>2328</v>
      </c>
      <c r="E239" s="7" t="s">
        <v>50</v>
      </c>
      <c r="F239" s="10" t="b">
        <f aca="false">FALSE()</f>
        <v>0</v>
      </c>
      <c r="G239" s="7" t="s">
        <v>229</v>
      </c>
      <c r="H239" s="7" t="s">
        <v>398</v>
      </c>
      <c r="I239" s="7" t="n">
        <v>2</v>
      </c>
      <c r="J239" s="7" t="s">
        <v>107</v>
      </c>
      <c r="K239" s="7" t="s">
        <v>107</v>
      </c>
      <c r="L239" s="7"/>
      <c r="M239" s="10" t="b">
        <f aca="false">FALSE()</f>
        <v>0</v>
      </c>
      <c r="N239" s="7" t="s">
        <v>399</v>
      </c>
      <c r="O239" s="7" t="n">
        <v>-32.394325</v>
      </c>
      <c r="P239" s="7" t="n">
        <v>150.684767</v>
      </c>
    </row>
    <row r="240" customFormat="false" ht="15" hidden="false" customHeight="false" outlineLevel="0" collapsed="false">
      <c r="A240" s="7" t="n">
        <v>239</v>
      </c>
      <c r="B240" s="7"/>
      <c r="C240" s="7" t="s">
        <v>437</v>
      </c>
      <c r="D240" s="7" t="n">
        <v>2036</v>
      </c>
      <c r="E240" s="7" t="s">
        <v>50</v>
      </c>
      <c r="F240" s="10" t="b">
        <f aca="false">FALSE()</f>
        <v>0</v>
      </c>
      <c r="G240" s="7" t="s">
        <v>380</v>
      </c>
      <c r="H240" s="7" t="s">
        <v>260</v>
      </c>
      <c r="I240" s="7" t="n">
        <v>2</v>
      </c>
      <c r="J240" s="7" t="s">
        <v>71</v>
      </c>
      <c r="K240" s="7" t="s">
        <v>438</v>
      </c>
      <c r="L240" s="7" t="n">
        <v>120</v>
      </c>
      <c r="M240" s="10" t="b">
        <f aca="false">FALSE()</f>
        <v>0</v>
      </c>
      <c r="N240" s="7" t="s">
        <v>76</v>
      </c>
      <c r="O240" s="7" t="n">
        <v>-33.949168</v>
      </c>
      <c r="P240" s="7" t="n">
        <v>151.224796</v>
      </c>
    </row>
    <row r="241" customFormat="false" ht="15" hidden="false" customHeight="false" outlineLevel="0" collapsed="false">
      <c r="A241" s="7" t="n">
        <v>240</v>
      </c>
      <c r="B241" s="7"/>
      <c r="C241" s="7" t="s">
        <v>439</v>
      </c>
      <c r="D241" s="7" t="n">
        <v>2209</v>
      </c>
      <c r="E241" s="7" t="s">
        <v>50</v>
      </c>
      <c r="F241" s="10" t="b">
        <f aca="false">FALSE()</f>
        <v>0</v>
      </c>
      <c r="G241" s="7" t="s">
        <v>293</v>
      </c>
      <c r="H241" s="7" t="s">
        <v>287</v>
      </c>
      <c r="I241" s="7" t="n">
        <v>2</v>
      </c>
      <c r="J241" s="7" t="s">
        <v>71</v>
      </c>
      <c r="K241" s="7" t="s">
        <v>288</v>
      </c>
      <c r="L241" s="7" t="n">
        <v>25</v>
      </c>
      <c r="M241" s="10" t="b">
        <f aca="false">FALSE()</f>
        <v>0</v>
      </c>
      <c r="N241" s="7" t="s">
        <v>76</v>
      </c>
      <c r="O241" s="7" t="n">
        <v>-33.94925</v>
      </c>
      <c r="P241" s="7" t="n">
        <v>151.08125</v>
      </c>
    </row>
    <row r="242" customFormat="false" ht="15" hidden="false" customHeight="false" outlineLevel="0" collapsed="false">
      <c r="A242" s="7" t="n">
        <v>241</v>
      </c>
      <c r="B242" s="7"/>
      <c r="C242" s="7" t="s">
        <v>440</v>
      </c>
      <c r="D242" s="7" t="n">
        <v>2196</v>
      </c>
      <c r="E242" s="7" t="s">
        <v>50</v>
      </c>
      <c r="F242" s="10" t="b">
        <f aca="false">FALSE()</f>
        <v>0</v>
      </c>
      <c r="G242" s="7" t="s">
        <v>293</v>
      </c>
      <c r="H242" s="7" t="s">
        <v>372</v>
      </c>
      <c r="I242" s="7" t="n">
        <v>2</v>
      </c>
      <c r="J242" s="7" t="s">
        <v>71</v>
      </c>
      <c r="K242" s="7" t="s">
        <v>438</v>
      </c>
      <c r="L242" s="7" t="n">
        <v>120</v>
      </c>
      <c r="M242" s="10" t="b">
        <f aca="false">FALSE()</f>
        <v>0</v>
      </c>
      <c r="N242" s="7" t="s">
        <v>268</v>
      </c>
      <c r="O242" s="7" t="n">
        <v>-33.935442</v>
      </c>
      <c r="P242" s="7" t="n">
        <v>151.068525</v>
      </c>
    </row>
    <row r="243" customFormat="false" ht="15" hidden="false" customHeight="false" outlineLevel="0" collapsed="false">
      <c r="A243" s="7" t="n">
        <v>242</v>
      </c>
      <c r="B243" s="7"/>
      <c r="C243" s="7" t="s">
        <v>441</v>
      </c>
      <c r="D243" s="7" t="n">
        <v>2648</v>
      </c>
      <c r="E243" s="7" t="s">
        <v>50</v>
      </c>
      <c r="F243" s="10" t="b">
        <f aca="false">FALSE()</f>
        <v>0</v>
      </c>
      <c r="G243" s="7" t="s">
        <v>280</v>
      </c>
      <c r="H243" s="7" t="s">
        <v>237</v>
      </c>
      <c r="I243" s="7" t="n">
        <v>2</v>
      </c>
      <c r="J243" s="7" t="s">
        <v>107</v>
      </c>
      <c r="K243" s="7" t="s">
        <v>108</v>
      </c>
      <c r="L243" s="7" t="n">
        <v>22</v>
      </c>
      <c r="M243" s="10" t="b">
        <f aca="false">FALSE()</f>
        <v>0</v>
      </c>
      <c r="N243" s="7" t="s">
        <v>109</v>
      </c>
      <c r="O243" s="7" t="n">
        <v>-34.109613</v>
      </c>
      <c r="P243" s="7" t="n">
        <v>141.920106</v>
      </c>
    </row>
    <row r="244" customFormat="false" ht="15" hidden="false" customHeight="false" outlineLevel="0" collapsed="false">
      <c r="A244" s="7" t="n">
        <v>243</v>
      </c>
      <c r="B244" s="7"/>
      <c r="C244" s="7" t="s">
        <v>442</v>
      </c>
      <c r="D244" s="7" t="n">
        <v>2204</v>
      </c>
      <c r="E244" s="7" t="s">
        <v>50</v>
      </c>
      <c r="F244" s="10" t="b">
        <f aca="false">FALSE()</f>
        <v>0</v>
      </c>
      <c r="G244" s="7" t="s">
        <v>410</v>
      </c>
      <c r="H244" s="7" t="s">
        <v>252</v>
      </c>
      <c r="I244" s="7" t="n">
        <v>2</v>
      </c>
      <c r="J244" s="7" t="s">
        <v>107</v>
      </c>
      <c r="K244" s="7" t="s">
        <v>277</v>
      </c>
      <c r="L244" s="7" t="n">
        <v>6</v>
      </c>
      <c r="M244" s="10" t="b">
        <f aca="false">FALSE()</f>
        <v>0</v>
      </c>
      <c r="N244" s="7" t="s">
        <v>109</v>
      </c>
      <c r="O244" s="7" t="n">
        <v>-33.902144</v>
      </c>
      <c r="P244" s="7" t="n">
        <v>151.1613</v>
      </c>
    </row>
    <row r="245" customFormat="false" ht="15" hidden="false" customHeight="false" outlineLevel="0" collapsed="false">
      <c r="A245" s="7" t="n">
        <v>244</v>
      </c>
      <c r="B245" s="7"/>
      <c r="C245" s="7" t="s">
        <v>443</v>
      </c>
      <c r="D245" s="7" t="n">
        <v>2026</v>
      </c>
      <c r="E245" s="7" t="s">
        <v>50</v>
      </c>
      <c r="F245" s="10" t="b">
        <f aca="false">FALSE()</f>
        <v>0</v>
      </c>
      <c r="G245" s="7" t="s">
        <v>295</v>
      </c>
      <c r="H245" s="7" t="s">
        <v>237</v>
      </c>
      <c r="I245" s="7" t="n">
        <v>1</v>
      </c>
      <c r="J245" s="7" t="s">
        <v>107</v>
      </c>
      <c r="K245" s="7" t="s">
        <v>277</v>
      </c>
      <c r="L245" s="7" t="n">
        <v>6</v>
      </c>
      <c r="M245" s="10" t="b">
        <f aca="false">FALSE()</f>
        <v>0</v>
      </c>
      <c r="N245" s="7" t="s">
        <v>109</v>
      </c>
      <c r="O245" s="7" t="n">
        <v>-33.887984</v>
      </c>
      <c r="P245" s="7" t="n">
        <v>151.271473</v>
      </c>
    </row>
    <row r="246" customFormat="false" ht="15" hidden="false" customHeight="false" outlineLevel="0" collapsed="false">
      <c r="A246" s="7" t="n">
        <v>245</v>
      </c>
      <c r="B246" s="7"/>
      <c r="C246" s="7" t="s">
        <v>444</v>
      </c>
      <c r="D246" s="7" t="n">
        <v>2470</v>
      </c>
      <c r="E246" s="7" t="s">
        <v>50</v>
      </c>
      <c r="F246" s="10" t="b">
        <f aca="false">FALSE()</f>
        <v>0</v>
      </c>
      <c r="G246" s="7" t="s">
        <v>78</v>
      </c>
      <c r="H246" s="7" t="s">
        <v>230</v>
      </c>
      <c r="I246" s="7" t="n">
        <v>1</v>
      </c>
      <c r="J246" s="7" t="s">
        <v>107</v>
      </c>
      <c r="K246" s="7" t="s">
        <v>108</v>
      </c>
      <c r="L246" s="7" t="n">
        <v>22</v>
      </c>
      <c r="M246" s="10" t="b">
        <f aca="false">FALSE()</f>
        <v>0</v>
      </c>
      <c r="N246" s="7" t="s">
        <v>109</v>
      </c>
      <c r="O246" s="7" t="n">
        <v>-28.862278</v>
      </c>
      <c r="P246" s="7" t="n">
        <v>153.067609</v>
      </c>
    </row>
    <row r="247" customFormat="false" ht="15" hidden="false" customHeight="false" outlineLevel="0" collapsed="false">
      <c r="A247" s="7" t="n">
        <v>246</v>
      </c>
      <c r="B247" s="7"/>
      <c r="C247" s="7" t="s">
        <v>445</v>
      </c>
      <c r="D247" s="7" t="n">
        <v>2533</v>
      </c>
      <c r="E247" s="7" t="s">
        <v>50</v>
      </c>
      <c r="F247" s="10" t="b">
        <f aca="false">FALSE()</f>
        <v>0</v>
      </c>
      <c r="G247" s="7" t="s">
        <v>446</v>
      </c>
      <c r="H247" s="7" t="s">
        <v>237</v>
      </c>
      <c r="I247" s="7" t="n">
        <v>4</v>
      </c>
      <c r="J247" s="7" t="s">
        <v>107</v>
      </c>
      <c r="K247" s="7" t="s">
        <v>277</v>
      </c>
      <c r="L247" s="7" t="n">
        <v>6</v>
      </c>
      <c r="M247" s="10" t="b">
        <f aca="false">FALSE()</f>
        <v>0</v>
      </c>
      <c r="N247" s="7" t="s">
        <v>109</v>
      </c>
      <c r="O247" s="7" t="n">
        <v>-34.667237</v>
      </c>
      <c r="P247" s="7" t="n">
        <v>150.849938</v>
      </c>
    </row>
    <row r="248" customFormat="false" ht="15" hidden="false" customHeight="false" outlineLevel="0" collapsed="false">
      <c r="A248" s="7" t="n">
        <v>247</v>
      </c>
      <c r="B248" s="7"/>
      <c r="C248" s="7" t="s">
        <v>447</v>
      </c>
      <c r="D248" s="7" t="n">
        <v>2250</v>
      </c>
      <c r="E248" s="7" t="s">
        <v>50</v>
      </c>
      <c r="F248" s="10" t="b">
        <f aca="false">FALSE()</f>
        <v>0</v>
      </c>
      <c r="G248" s="7" t="s">
        <v>276</v>
      </c>
      <c r="H248" s="7" t="s">
        <v>239</v>
      </c>
      <c r="I248" s="7" t="n">
        <v>3</v>
      </c>
      <c r="J248" s="7" t="s">
        <v>107</v>
      </c>
      <c r="K248" s="7" t="s">
        <v>108</v>
      </c>
      <c r="L248" s="7" t="n">
        <v>22</v>
      </c>
      <c r="M248" s="10" t="b">
        <f aca="false">FALSE()</f>
        <v>0</v>
      </c>
      <c r="N248" s="7" t="s">
        <v>109</v>
      </c>
      <c r="O248" s="7" t="n">
        <v>-33.198622</v>
      </c>
      <c r="P248" s="7" t="n">
        <v>151.199975</v>
      </c>
    </row>
    <row r="249" customFormat="false" ht="15" hidden="false" customHeight="false" outlineLevel="0" collapsed="false">
      <c r="A249" s="7" t="n">
        <v>248</v>
      </c>
      <c r="B249" s="7"/>
      <c r="C249" s="7" t="s">
        <v>448</v>
      </c>
      <c r="D249" s="7" t="n">
        <v>2100</v>
      </c>
      <c r="E249" s="7" t="s">
        <v>50</v>
      </c>
      <c r="F249" s="10" t="b">
        <f aca="false">FALSE()</f>
        <v>0</v>
      </c>
      <c r="G249" s="7" t="s">
        <v>286</v>
      </c>
      <c r="H249" s="7" t="s">
        <v>239</v>
      </c>
      <c r="I249" s="7" t="n">
        <v>4</v>
      </c>
      <c r="J249" s="7" t="s">
        <v>107</v>
      </c>
      <c r="K249" s="7" t="s">
        <v>108</v>
      </c>
      <c r="L249" s="7" t="n">
        <v>22</v>
      </c>
      <c r="M249" s="10" t="b">
        <f aca="false">FALSE()</f>
        <v>0</v>
      </c>
      <c r="N249" s="7" t="s">
        <v>109</v>
      </c>
      <c r="O249" s="7" t="n">
        <v>-33.766578</v>
      </c>
      <c r="P249" s="7" t="n">
        <v>151.264445</v>
      </c>
    </row>
    <row r="250" customFormat="false" ht="15" hidden="false" customHeight="false" outlineLevel="0" collapsed="false">
      <c r="A250" s="7" t="n">
        <v>249</v>
      </c>
      <c r="B250" s="7"/>
      <c r="C250" s="7" t="s">
        <v>449</v>
      </c>
      <c r="D250" s="7" t="n">
        <v>2545</v>
      </c>
      <c r="E250" s="7" t="s">
        <v>50</v>
      </c>
      <c r="F250" s="10" t="b">
        <f aca="false">FALSE()</f>
        <v>0</v>
      </c>
      <c r="G250" s="7" t="s">
        <v>123</v>
      </c>
      <c r="H250" s="7" t="s">
        <v>358</v>
      </c>
      <c r="I250" s="7" t="n">
        <v>1</v>
      </c>
      <c r="J250" s="7" t="s">
        <v>107</v>
      </c>
      <c r="K250" s="7" t="s">
        <v>108</v>
      </c>
      <c r="L250" s="7" t="n">
        <v>22</v>
      </c>
      <c r="M250" s="10" t="b">
        <f aca="false">FALSE()</f>
        <v>0</v>
      </c>
      <c r="N250" s="7" t="s">
        <v>109</v>
      </c>
      <c r="O250" s="7" t="n">
        <v>-36.095825</v>
      </c>
      <c r="P250" s="7" t="n">
        <v>150.051763</v>
      </c>
    </row>
    <row r="251" customFormat="false" ht="15" hidden="false" customHeight="false" outlineLevel="0" collapsed="false">
      <c r="A251" s="7" t="n">
        <v>250</v>
      </c>
      <c r="B251" s="7"/>
      <c r="C251" s="7" t="s">
        <v>450</v>
      </c>
      <c r="D251" s="7" t="n">
        <v>2317</v>
      </c>
      <c r="E251" s="7" t="s">
        <v>50</v>
      </c>
      <c r="F251" s="10" t="b">
        <f aca="false">FALSE()</f>
        <v>0</v>
      </c>
      <c r="G251" s="7" t="s">
        <v>309</v>
      </c>
      <c r="H251" s="7" t="s">
        <v>239</v>
      </c>
      <c r="I251" s="7" t="n">
        <v>1</v>
      </c>
      <c r="J251" s="7" t="s">
        <v>107</v>
      </c>
      <c r="K251" s="7" t="s">
        <v>342</v>
      </c>
      <c r="L251" s="7" t="n">
        <v>14</v>
      </c>
      <c r="M251" s="10" t="b">
        <f aca="false">FALSE()</f>
        <v>0</v>
      </c>
      <c r="N251" s="7" t="s">
        <v>109</v>
      </c>
      <c r="O251" s="7" t="n">
        <v>-32.711459</v>
      </c>
      <c r="P251" s="7" t="n">
        <v>152.071401</v>
      </c>
    </row>
    <row r="252" customFormat="false" ht="15" hidden="false" customHeight="false" outlineLevel="0" collapsed="false">
      <c r="A252" s="7" t="n">
        <v>251</v>
      </c>
      <c r="B252" s="7"/>
      <c r="C252" s="7" t="s">
        <v>451</v>
      </c>
      <c r="D252" s="7" t="n">
        <v>2031</v>
      </c>
      <c r="E252" s="7" t="s">
        <v>50</v>
      </c>
      <c r="F252" s="10" t="b">
        <f aca="false">FALSE()</f>
        <v>0</v>
      </c>
      <c r="G252" s="7" t="s">
        <v>355</v>
      </c>
      <c r="H252" s="7" t="s">
        <v>287</v>
      </c>
      <c r="I252" s="7" t="n">
        <v>2</v>
      </c>
      <c r="J252" s="7" t="s">
        <v>71</v>
      </c>
      <c r="K252" s="7" t="s">
        <v>72</v>
      </c>
      <c r="L252" s="7" t="n">
        <v>50</v>
      </c>
      <c r="M252" s="10" t="b">
        <f aca="false">FALSE()</f>
        <v>0</v>
      </c>
      <c r="N252" s="7" t="s">
        <v>76</v>
      </c>
      <c r="O252" s="7" t="n">
        <v>-33.913076</v>
      </c>
      <c r="P252" s="7" t="n">
        <v>151.238795</v>
      </c>
    </row>
    <row r="253" customFormat="false" ht="15" hidden="false" customHeight="false" outlineLevel="0" collapsed="false">
      <c r="A253" s="7" t="n">
        <v>252</v>
      </c>
      <c r="B253" s="7"/>
      <c r="C253" s="7" t="s">
        <v>452</v>
      </c>
      <c r="D253" s="7" t="n">
        <v>2020</v>
      </c>
      <c r="E253" s="7" t="s">
        <v>50</v>
      </c>
      <c r="F253" s="10" t="b">
        <f aca="false">FALSE()</f>
        <v>0</v>
      </c>
      <c r="G253" s="7" t="s">
        <v>380</v>
      </c>
      <c r="H253" s="7" t="s">
        <v>260</v>
      </c>
      <c r="I253" s="7" t="n">
        <v>1</v>
      </c>
      <c r="J253" s="7" t="s">
        <v>107</v>
      </c>
      <c r="K253" s="7" t="s">
        <v>108</v>
      </c>
      <c r="L253" s="7" t="n">
        <v>22</v>
      </c>
      <c r="M253" s="10" t="b">
        <f aca="false">FALSE()</f>
        <v>0</v>
      </c>
      <c r="N253" s="7" t="s">
        <v>109</v>
      </c>
      <c r="O253" s="7" t="n">
        <v>-33.925507</v>
      </c>
      <c r="P253" s="7" t="n">
        <v>151.193883</v>
      </c>
    </row>
    <row r="254" customFormat="false" ht="15" hidden="false" customHeight="false" outlineLevel="0" collapsed="false">
      <c r="A254" s="7" t="n">
        <v>253</v>
      </c>
      <c r="B254" s="7"/>
      <c r="C254" s="7" t="s">
        <v>453</v>
      </c>
      <c r="D254" s="7" t="n">
        <v>2588</v>
      </c>
      <c r="E254" s="7" t="s">
        <v>50</v>
      </c>
      <c r="F254" s="10" t="b">
        <f aca="false">FALSE()</f>
        <v>0</v>
      </c>
      <c r="G254" s="7" t="s">
        <v>454</v>
      </c>
      <c r="H254" s="7" t="s">
        <v>260</v>
      </c>
      <c r="I254" s="7" t="n">
        <v>1</v>
      </c>
      <c r="J254" s="7" t="s">
        <v>107</v>
      </c>
      <c r="K254" s="7" t="s">
        <v>277</v>
      </c>
      <c r="L254" s="7" t="n">
        <v>6</v>
      </c>
      <c r="M254" s="10" t="b">
        <f aca="false">FALSE()</f>
        <v>0</v>
      </c>
      <c r="N254" s="7" t="s">
        <v>109</v>
      </c>
      <c r="O254" s="7" t="n">
        <v>-34.544356</v>
      </c>
      <c r="P254" s="7" t="n">
        <v>148.166837</v>
      </c>
    </row>
    <row r="255" customFormat="false" ht="15" hidden="false" customHeight="false" outlineLevel="0" collapsed="false">
      <c r="A255" s="7" t="n">
        <v>254</v>
      </c>
      <c r="B255" s="7"/>
      <c r="C255" s="7" t="s">
        <v>455</v>
      </c>
      <c r="D255" s="7" t="n">
        <v>2720</v>
      </c>
      <c r="E255" s="7" t="s">
        <v>50</v>
      </c>
      <c r="F255" s="10" t="b">
        <f aca="false">FALSE()</f>
        <v>0</v>
      </c>
      <c r="G255" s="7" t="s">
        <v>456</v>
      </c>
      <c r="H255" s="7" t="s">
        <v>239</v>
      </c>
      <c r="I255" s="7" t="n">
        <v>2</v>
      </c>
      <c r="J255" s="7" t="s">
        <v>107</v>
      </c>
      <c r="K255" s="7" t="s">
        <v>108</v>
      </c>
      <c r="L255" s="7" t="n">
        <v>22</v>
      </c>
      <c r="M255" s="10" t="b">
        <f aca="false">FALSE()</f>
        <v>0</v>
      </c>
      <c r="N255" s="7" t="s">
        <v>109</v>
      </c>
      <c r="O255" s="7" t="n">
        <v>-35.295273</v>
      </c>
      <c r="P255" s="7" t="n">
        <v>148.215198</v>
      </c>
    </row>
    <row r="256" customFormat="false" ht="15" hidden="false" customHeight="false" outlineLevel="0" collapsed="false">
      <c r="A256" s="7" t="n">
        <v>255</v>
      </c>
      <c r="B256" s="7"/>
      <c r="C256" s="7" t="s">
        <v>457</v>
      </c>
      <c r="D256" s="7" t="n">
        <v>2444</v>
      </c>
      <c r="E256" s="7" t="s">
        <v>50</v>
      </c>
      <c r="F256" s="10" t="b">
        <f aca="false">FALSE()</f>
        <v>0</v>
      </c>
      <c r="G256" s="7" t="s">
        <v>135</v>
      </c>
      <c r="H256" s="7" t="s">
        <v>239</v>
      </c>
      <c r="I256" s="7" t="n">
        <v>12</v>
      </c>
      <c r="J256" s="7" t="s">
        <v>71</v>
      </c>
      <c r="K256" s="7" t="s">
        <v>250</v>
      </c>
      <c r="L256" s="7" t="n">
        <v>250</v>
      </c>
      <c r="M256" s="10" t="b">
        <f aca="false">FALSE()</f>
        <v>0</v>
      </c>
      <c r="N256" s="7" t="s">
        <v>76</v>
      </c>
      <c r="O256" s="7" t="n">
        <v>-31.457752</v>
      </c>
      <c r="P256" s="7" t="n">
        <v>152.826791</v>
      </c>
    </row>
    <row r="257" customFormat="false" ht="15" hidden="false" customHeight="false" outlineLevel="0" collapsed="false">
      <c r="A257" s="7" t="n">
        <v>256</v>
      </c>
      <c r="B257" s="7"/>
      <c r="C257" s="7" t="s">
        <v>458</v>
      </c>
      <c r="D257" s="7" t="n">
        <v>2127</v>
      </c>
      <c r="E257" s="7" t="s">
        <v>50</v>
      </c>
      <c r="F257" s="10" t="b">
        <f aca="false">FALSE()</f>
        <v>0</v>
      </c>
      <c r="G257" s="7" t="s">
        <v>202</v>
      </c>
      <c r="H257" s="7" t="s">
        <v>239</v>
      </c>
      <c r="I257" s="7" t="n">
        <v>2</v>
      </c>
      <c r="J257" s="7" t="s">
        <v>107</v>
      </c>
      <c r="K257" s="7" t="s">
        <v>108</v>
      </c>
      <c r="L257" s="7" t="n">
        <v>22</v>
      </c>
      <c r="M257" s="10" t="b">
        <f aca="false">FALSE()</f>
        <v>0</v>
      </c>
      <c r="N257" s="7" t="s">
        <v>109</v>
      </c>
      <c r="O257" s="7" t="n">
        <v>-33.845901</v>
      </c>
      <c r="P257" s="7" t="n">
        <v>151.060861</v>
      </c>
    </row>
    <row r="258" customFormat="false" ht="15" hidden="false" customHeight="false" outlineLevel="0" collapsed="false">
      <c r="A258" s="7" t="n">
        <v>257</v>
      </c>
      <c r="B258" s="7"/>
      <c r="C258" s="7" t="s">
        <v>459</v>
      </c>
      <c r="D258" s="7" t="n">
        <v>2065</v>
      </c>
      <c r="E258" s="7" t="s">
        <v>50</v>
      </c>
      <c r="F258" s="10" t="b">
        <f aca="false">FALSE()</f>
        <v>0</v>
      </c>
      <c r="G258" s="7" t="s">
        <v>389</v>
      </c>
      <c r="H258" s="7" t="s">
        <v>302</v>
      </c>
      <c r="I258" s="7" t="n">
        <v>2</v>
      </c>
      <c r="J258" s="7" t="s">
        <v>107</v>
      </c>
      <c r="K258" s="7" t="s">
        <v>108</v>
      </c>
      <c r="L258" s="7" t="n">
        <v>22</v>
      </c>
      <c r="M258" s="10" t="b">
        <f aca="false">FALSE()</f>
        <v>0</v>
      </c>
      <c r="N258" s="7" t="s">
        <v>109</v>
      </c>
      <c r="O258" s="7" t="n">
        <v>-33.825559</v>
      </c>
      <c r="P258" s="7" t="n">
        <v>151.187957</v>
      </c>
    </row>
    <row r="259" customFormat="false" ht="15" hidden="false" customHeight="false" outlineLevel="0" collapsed="false">
      <c r="A259" s="7" t="n">
        <v>258</v>
      </c>
      <c r="B259" s="7"/>
      <c r="C259" s="7" t="s">
        <v>460</v>
      </c>
      <c r="D259" s="7" t="n">
        <v>2066</v>
      </c>
      <c r="E259" s="7" t="s">
        <v>50</v>
      </c>
      <c r="F259" s="10" t="b">
        <f aca="false">FALSE()</f>
        <v>0</v>
      </c>
      <c r="G259" s="7" t="s">
        <v>389</v>
      </c>
      <c r="H259" s="7" t="s">
        <v>260</v>
      </c>
      <c r="I259" s="7" t="n">
        <v>1</v>
      </c>
      <c r="J259" s="7" t="s">
        <v>107</v>
      </c>
      <c r="K259" s="7" t="s">
        <v>108</v>
      </c>
      <c r="L259" s="7" t="n">
        <v>22</v>
      </c>
      <c r="M259" s="10" t="b">
        <f aca="false">FALSE()</f>
        <v>0</v>
      </c>
      <c r="N259" s="7" t="s">
        <v>109</v>
      </c>
      <c r="O259" s="7" t="n">
        <v>-33.814607</v>
      </c>
      <c r="P259" s="7" t="n">
        <v>151.171302</v>
      </c>
    </row>
    <row r="260" customFormat="false" ht="15" hidden="false" customHeight="false" outlineLevel="0" collapsed="false">
      <c r="A260" s="7" t="n">
        <v>259</v>
      </c>
      <c r="B260" s="7"/>
      <c r="C260" s="7" t="s">
        <v>461</v>
      </c>
      <c r="D260" s="7" t="n">
        <v>2155</v>
      </c>
      <c r="E260" s="7" t="s">
        <v>50</v>
      </c>
      <c r="F260" s="10" t="b">
        <f aca="false">FALSE()</f>
        <v>0</v>
      </c>
      <c r="G260" s="7" t="s">
        <v>232</v>
      </c>
      <c r="H260" s="7" t="s">
        <v>287</v>
      </c>
      <c r="I260" s="7" t="n">
        <v>2</v>
      </c>
      <c r="J260" s="7" t="s">
        <v>71</v>
      </c>
      <c r="K260" s="7" t="s">
        <v>288</v>
      </c>
      <c r="L260" s="7" t="n">
        <v>25</v>
      </c>
      <c r="M260" s="10" t="b">
        <f aca="false">FALSE()</f>
        <v>0</v>
      </c>
      <c r="N260" s="7" t="s">
        <v>76</v>
      </c>
      <c r="O260" s="7" t="n">
        <v>-33.700403</v>
      </c>
      <c r="P260" s="7" t="n">
        <v>150.928312</v>
      </c>
    </row>
    <row r="261" customFormat="false" ht="15" hidden="false" customHeight="false" outlineLevel="0" collapsed="false">
      <c r="A261" s="7" t="n">
        <v>260</v>
      </c>
      <c r="B261" s="7"/>
      <c r="C261" s="7" t="s">
        <v>461</v>
      </c>
      <c r="D261" s="7" t="n">
        <v>2155</v>
      </c>
      <c r="E261" s="7" t="s">
        <v>50</v>
      </c>
      <c r="F261" s="10" t="b">
        <f aca="false">FALSE()</f>
        <v>0</v>
      </c>
      <c r="G261" s="7" t="s">
        <v>232</v>
      </c>
      <c r="H261" s="7" t="s">
        <v>287</v>
      </c>
      <c r="I261" s="7" t="n">
        <v>2</v>
      </c>
      <c r="J261" s="7" t="s">
        <v>71</v>
      </c>
      <c r="K261" s="7" t="s">
        <v>288</v>
      </c>
      <c r="L261" s="7" t="n">
        <v>25</v>
      </c>
      <c r="M261" s="10" t="b">
        <f aca="false">FALSE()</f>
        <v>0</v>
      </c>
      <c r="N261" s="7" t="s">
        <v>76</v>
      </c>
      <c r="O261" s="7" t="n">
        <v>-33.700518</v>
      </c>
      <c r="P261" s="7" t="n">
        <v>150.928108</v>
      </c>
    </row>
    <row r="262" customFormat="false" ht="15" hidden="false" customHeight="false" outlineLevel="0" collapsed="false">
      <c r="A262" s="7" t="n">
        <v>261</v>
      </c>
      <c r="B262" s="7"/>
      <c r="C262" s="7" t="s">
        <v>462</v>
      </c>
      <c r="D262" s="7" t="n">
        <v>2444</v>
      </c>
      <c r="E262" s="7" t="s">
        <v>50</v>
      </c>
      <c r="F262" s="10" t="b">
        <f aca="false">FALSE()</f>
        <v>0</v>
      </c>
      <c r="G262" s="7" t="s">
        <v>135</v>
      </c>
      <c r="H262" s="7" t="s">
        <v>239</v>
      </c>
      <c r="I262" s="7" t="n">
        <v>2</v>
      </c>
      <c r="J262" s="7" t="s">
        <v>107</v>
      </c>
      <c r="K262" s="7" t="s">
        <v>108</v>
      </c>
      <c r="L262" s="7" t="n">
        <v>22</v>
      </c>
      <c r="M262" s="10" t="b">
        <f aca="false">FALSE()</f>
        <v>0</v>
      </c>
      <c r="N262" s="7" t="s">
        <v>109</v>
      </c>
      <c r="O262" s="7" t="n">
        <v>-31.431571</v>
      </c>
      <c r="P262" s="7" t="n">
        <v>152.896476</v>
      </c>
    </row>
    <row r="263" customFormat="false" ht="15" hidden="false" customHeight="false" outlineLevel="0" collapsed="false">
      <c r="A263" s="7" t="n">
        <v>262</v>
      </c>
      <c r="B263" s="7"/>
      <c r="C263" s="7" t="s">
        <v>463</v>
      </c>
      <c r="D263" s="7" t="n">
        <v>2060</v>
      </c>
      <c r="E263" s="7" t="s">
        <v>50</v>
      </c>
      <c r="F263" s="10" t="b">
        <f aca="false">FALSE()</f>
        <v>0</v>
      </c>
      <c r="G263" s="7" t="s">
        <v>332</v>
      </c>
      <c r="H263" s="7" t="s">
        <v>244</v>
      </c>
      <c r="I263" s="7" t="n">
        <v>4</v>
      </c>
      <c r="J263" s="7" t="s">
        <v>71</v>
      </c>
      <c r="K263" s="7" t="s">
        <v>83</v>
      </c>
      <c r="L263" s="7" t="n">
        <v>75</v>
      </c>
      <c r="M263" s="10" t="b">
        <f aca="false">FALSE()</f>
        <v>0</v>
      </c>
      <c r="N263" s="7" t="s">
        <v>76</v>
      </c>
      <c r="O263" s="7" t="n">
        <v>-33.83275</v>
      </c>
      <c r="P263" s="7" t="n">
        <v>151.206426</v>
      </c>
    </row>
    <row r="264" customFormat="false" ht="15" hidden="false" customHeight="false" outlineLevel="0" collapsed="false">
      <c r="A264" s="7" t="n">
        <v>263</v>
      </c>
      <c r="B264" s="7"/>
      <c r="C264" s="7" t="s">
        <v>464</v>
      </c>
      <c r="D264" s="7" t="n">
        <v>2019</v>
      </c>
      <c r="E264" s="7" t="s">
        <v>50</v>
      </c>
      <c r="F264" s="10" t="b">
        <f aca="false">FALSE()</f>
        <v>0</v>
      </c>
      <c r="G264" s="7" t="s">
        <v>380</v>
      </c>
      <c r="H264" s="7" t="s">
        <v>260</v>
      </c>
      <c r="I264" s="7" t="n">
        <v>1</v>
      </c>
      <c r="J264" s="7" t="s">
        <v>107</v>
      </c>
      <c r="K264" s="7" t="s">
        <v>108</v>
      </c>
      <c r="L264" s="7" t="n">
        <v>22</v>
      </c>
      <c r="M264" s="10" t="b">
        <f aca="false">FALSE()</f>
        <v>0</v>
      </c>
      <c r="N264" s="7" t="s">
        <v>109</v>
      </c>
      <c r="O264" s="7" t="n">
        <v>-33.946132</v>
      </c>
      <c r="P264" s="7" t="n">
        <v>151.207559</v>
      </c>
    </row>
    <row r="265" customFormat="false" ht="15" hidden="false" customHeight="false" outlineLevel="0" collapsed="false">
      <c r="A265" s="7" t="n">
        <v>264</v>
      </c>
      <c r="B265" s="7"/>
      <c r="C265" s="7" t="s">
        <v>465</v>
      </c>
      <c r="D265" s="7" t="n">
        <v>2101</v>
      </c>
      <c r="E265" s="7" t="s">
        <v>50</v>
      </c>
      <c r="F265" s="10" t="b">
        <f aca="false">FALSE()</f>
        <v>0</v>
      </c>
      <c r="G265" s="7" t="s">
        <v>286</v>
      </c>
      <c r="H265" s="7" t="s">
        <v>330</v>
      </c>
      <c r="I265" s="7" t="n">
        <v>2</v>
      </c>
      <c r="J265" s="7" t="s">
        <v>71</v>
      </c>
      <c r="K265" s="7" t="s">
        <v>234</v>
      </c>
      <c r="L265" s="7" t="n">
        <v>150</v>
      </c>
      <c r="M265" s="10" t="b">
        <f aca="false">FALSE()</f>
        <v>0</v>
      </c>
      <c r="N265" s="7" t="s">
        <v>76</v>
      </c>
      <c r="O265" s="7" t="n">
        <v>-33.704449</v>
      </c>
      <c r="P265" s="7" t="n">
        <v>151.296851</v>
      </c>
    </row>
    <row r="266" customFormat="false" ht="15" hidden="false" customHeight="false" outlineLevel="0" collapsed="false">
      <c r="A266" s="7" t="n">
        <v>265</v>
      </c>
      <c r="B266" s="7"/>
      <c r="C266" s="7" t="s">
        <v>466</v>
      </c>
      <c r="D266" s="7" t="n">
        <v>2036</v>
      </c>
      <c r="E266" s="7" t="s">
        <v>50</v>
      </c>
      <c r="F266" s="10" t="b">
        <f aca="false">FALSE()</f>
        <v>0</v>
      </c>
      <c r="G266" s="7" t="s">
        <v>355</v>
      </c>
      <c r="H266" s="7" t="s">
        <v>287</v>
      </c>
      <c r="I266" s="7" t="n">
        <v>2</v>
      </c>
      <c r="J266" s="7" t="s">
        <v>71</v>
      </c>
      <c r="K266" s="7" t="s">
        <v>288</v>
      </c>
      <c r="L266" s="7" t="n">
        <v>25</v>
      </c>
      <c r="M266" s="10" t="b">
        <f aca="false">FALSE()</f>
        <v>0</v>
      </c>
      <c r="N266" s="7" t="s">
        <v>76</v>
      </c>
      <c r="O266" s="7" t="n">
        <v>-33.956331</v>
      </c>
      <c r="P266" s="7" t="n">
        <v>151.226599</v>
      </c>
    </row>
    <row r="267" customFormat="false" ht="15" hidden="false" customHeight="false" outlineLevel="0" collapsed="false">
      <c r="A267" s="7" t="n">
        <v>266</v>
      </c>
      <c r="B267" s="7"/>
      <c r="C267" s="7" t="s">
        <v>467</v>
      </c>
      <c r="D267" s="7" t="n">
        <v>2370</v>
      </c>
      <c r="E267" s="7" t="s">
        <v>50</v>
      </c>
      <c r="F267" s="10" t="b">
        <f aca="false">FALSE()</f>
        <v>0</v>
      </c>
      <c r="G267" s="7" t="s">
        <v>219</v>
      </c>
      <c r="H267" s="7" t="s">
        <v>230</v>
      </c>
      <c r="I267" s="7" t="n">
        <v>3</v>
      </c>
      <c r="J267" s="7" t="s">
        <v>107</v>
      </c>
      <c r="K267" s="7" t="s">
        <v>108</v>
      </c>
      <c r="L267" s="7" t="n">
        <v>22</v>
      </c>
      <c r="M267" s="10" t="b">
        <f aca="false">FALSE()</f>
        <v>0</v>
      </c>
      <c r="N267" s="7" t="s">
        <v>109</v>
      </c>
      <c r="O267" s="7" t="n">
        <v>-29.738166</v>
      </c>
      <c r="P267" s="7" t="n">
        <v>151.735442</v>
      </c>
    </row>
    <row r="268" customFormat="false" ht="15" hidden="false" customHeight="false" outlineLevel="0" collapsed="false">
      <c r="A268" s="7" t="n">
        <v>267</v>
      </c>
      <c r="B268" s="7"/>
      <c r="C268" s="7" t="s">
        <v>467</v>
      </c>
      <c r="D268" s="7" t="n">
        <v>2370</v>
      </c>
      <c r="E268" s="7" t="s">
        <v>50</v>
      </c>
      <c r="F268" s="10" t="b">
        <f aca="false">FALSE()</f>
        <v>0</v>
      </c>
      <c r="G268" s="7" t="s">
        <v>219</v>
      </c>
      <c r="H268" s="7" t="s">
        <v>239</v>
      </c>
      <c r="I268" s="7" t="n">
        <v>2</v>
      </c>
      <c r="J268" s="7" t="s">
        <v>107</v>
      </c>
      <c r="K268" s="7" t="s">
        <v>108</v>
      </c>
      <c r="L268" s="7" t="n">
        <v>22</v>
      </c>
      <c r="M268" s="10" t="b">
        <f aca="false">FALSE()</f>
        <v>0</v>
      </c>
      <c r="N268" s="7" t="s">
        <v>109</v>
      </c>
      <c r="O268" s="7" t="n">
        <v>-29.738356</v>
      </c>
      <c r="P268" s="7" t="n">
        <v>151.737836</v>
      </c>
    </row>
    <row r="269" customFormat="false" ht="15" hidden="false" customHeight="false" outlineLevel="0" collapsed="false">
      <c r="A269" s="7" t="n">
        <v>268</v>
      </c>
      <c r="B269" s="7"/>
      <c r="C269" s="7" t="s">
        <v>468</v>
      </c>
      <c r="D269" s="7" t="n">
        <v>2656</v>
      </c>
      <c r="E269" s="7" t="s">
        <v>50</v>
      </c>
      <c r="F269" s="10" t="b">
        <f aca="false">FALSE()</f>
        <v>0</v>
      </c>
      <c r="G269" s="7" t="s">
        <v>469</v>
      </c>
      <c r="H269" s="7" t="s">
        <v>260</v>
      </c>
      <c r="I269" s="7" t="n">
        <v>2</v>
      </c>
      <c r="J269" s="7" t="s">
        <v>107</v>
      </c>
      <c r="K269" s="7" t="s">
        <v>108</v>
      </c>
      <c r="L269" s="7" t="n">
        <v>22</v>
      </c>
      <c r="M269" s="10" t="b">
        <f aca="false">FALSE()</f>
        <v>0</v>
      </c>
      <c r="N269" s="7" t="s">
        <v>109</v>
      </c>
      <c r="O269" s="7" t="n">
        <v>-35.220924</v>
      </c>
      <c r="P269" s="7" t="n">
        <v>146.712054</v>
      </c>
    </row>
    <row r="270" customFormat="false" ht="15" hidden="false" customHeight="false" outlineLevel="0" collapsed="false">
      <c r="A270" s="7" t="n">
        <v>269</v>
      </c>
      <c r="B270" s="7"/>
      <c r="C270" s="7" t="s">
        <v>470</v>
      </c>
      <c r="D270" s="7" t="n">
        <v>2281</v>
      </c>
      <c r="E270" s="7" t="s">
        <v>50</v>
      </c>
      <c r="F270" s="10" t="b">
        <f aca="false">FALSE()</f>
        <v>0</v>
      </c>
      <c r="G270" s="7" t="s">
        <v>377</v>
      </c>
      <c r="H270" s="7" t="s">
        <v>244</v>
      </c>
      <c r="I270" s="7" t="n">
        <v>4</v>
      </c>
      <c r="J270" s="7" t="s">
        <v>71</v>
      </c>
      <c r="K270" s="7" t="s">
        <v>72</v>
      </c>
      <c r="L270" s="7" t="n">
        <v>50</v>
      </c>
      <c r="M270" s="10" t="b">
        <f aca="false">FALSE()</f>
        <v>0</v>
      </c>
      <c r="N270" s="7" t="s">
        <v>268</v>
      </c>
      <c r="O270" s="7" t="n">
        <v>-33.088721</v>
      </c>
      <c r="P270" s="7" t="n">
        <v>151.637587</v>
      </c>
    </row>
    <row r="271" customFormat="false" ht="15" hidden="false" customHeight="false" outlineLevel="0" collapsed="false">
      <c r="A271" s="7" t="n">
        <v>270</v>
      </c>
      <c r="B271" s="7"/>
      <c r="C271" s="7" t="s">
        <v>471</v>
      </c>
      <c r="D271" s="7" t="n">
        <v>2750</v>
      </c>
      <c r="E271" s="7" t="s">
        <v>50</v>
      </c>
      <c r="F271" s="10" t="b">
        <f aca="false">FALSE()</f>
        <v>0</v>
      </c>
      <c r="G271" s="7" t="s">
        <v>472</v>
      </c>
      <c r="H271" s="7" t="s">
        <v>330</v>
      </c>
      <c r="I271" s="7" t="n">
        <v>2</v>
      </c>
      <c r="J271" s="7" t="s">
        <v>71</v>
      </c>
      <c r="K271" s="7" t="s">
        <v>213</v>
      </c>
      <c r="L271" s="7" t="n">
        <v>125</v>
      </c>
      <c r="M271" s="10" t="b">
        <f aca="false">FALSE()</f>
        <v>0</v>
      </c>
      <c r="N271" s="7" t="s">
        <v>268</v>
      </c>
      <c r="O271" s="7" t="n">
        <v>-33.74281</v>
      </c>
      <c r="P271" s="7" t="n">
        <v>150.692929</v>
      </c>
    </row>
    <row r="272" customFormat="false" ht="15" hidden="false" customHeight="false" outlineLevel="0" collapsed="false">
      <c r="A272" s="7" t="n">
        <v>271</v>
      </c>
      <c r="B272" s="7"/>
      <c r="C272" s="7" t="s">
        <v>473</v>
      </c>
      <c r="D272" s="7" t="n">
        <v>2650</v>
      </c>
      <c r="E272" s="7" t="s">
        <v>50</v>
      </c>
      <c r="F272" s="10" t="b">
        <f aca="false">FALSE()</f>
        <v>0</v>
      </c>
      <c r="G272" s="7" t="s">
        <v>147</v>
      </c>
      <c r="H272" s="7" t="s">
        <v>239</v>
      </c>
      <c r="I272" s="7" t="n">
        <v>1</v>
      </c>
      <c r="J272" s="7" t="s">
        <v>107</v>
      </c>
      <c r="K272" s="7" t="s">
        <v>254</v>
      </c>
      <c r="L272" s="7" t="n">
        <v>8</v>
      </c>
      <c r="M272" s="10" t="b">
        <f aca="false">FALSE()</f>
        <v>0</v>
      </c>
      <c r="N272" s="7" t="s">
        <v>109</v>
      </c>
      <c r="O272" s="7" t="n">
        <v>-35.103026</v>
      </c>
      <c r="P272" s="7" t="n">
        <v>147.368699</v>
      </c>
    </row>
    <row r="273" customFormat="false" ht="15" hidden="false" customHeight="false" outlineLevel="0" collapsed="false">
      <c r="A273" s="7" t="n">
        <v>272</v>
      </c>
      <c r="B273" s="7"/>
      <c r="C273" s="7" t="s">
        <v>474</v>
      </c>
      <c r="D273" s="7" t="n">
        <v>2470</v>
      </c>
      <c r="E273" s="7" t="s">
        <v>50</v>
      </c>
      <c r="F273" s="10" t="b">
        <f aca="false">FALSE()</f>
        <v>0</v>
      </c>
      <c r="G273" s="7" t="s">
        <v>78</v>
      </c>
      <c r="H273" s="7" t="s">
        <v>302</v>
      </c>
      <c r="I273" s="7" t="n">
        <v>2</v>
      </c>
      <c r="J273" s="7" t="s">
        <v>107</v>
      </c>
      <c r="K273" s="7" t="s">
        <v>108</v>
      </c>
      <c r="L273" s="7" t="n">
        <v>22</v>
      </c>
      <c r="M273" s="10" t="b">
        <f aca="false">FALSE()</f>
        <v>0</v>
      </c>
      <c r="N273" s="7" t="s">
        <v>109</v>
      </c>
      <c r="O273" s="7" t="n">
        <v>-28.862709</v>
      </c>
      <c r="P273" s="7" t="n">
        <v>153.048037</v>
      </c>
    </row>
    <row r="274" customFormat="false" ht="15" hidden="false" customHeight="false" outlineLevel="0" collapsed="false">
      <c r="A274" s="7" t="n">
        <v>273</v>
      </c>
      <c r="B274" s="7"/>
      <c r="C274" s="7" t="s">
        <v>475</v>
      </c>
      <c r="D274" s="7" t="n">
        <v>2170</v>
      </c>
      <c r="E274" s="7" t="s">
        <v>50</v>
      </c>
      <c r="F274" s="10" t="b">
        <f aca="false">FALSE()</f>
        <v>0</v>
      </c>
      <c r="G274" s="7" t="s">
        <v>130</v>
      </c>
      <c r="H274" s="7" t="s">
        <v>239</v>
      </c>
      <c r="I274" s="7" t="n">
        <v>3</v>
      </c>
      <c r="J274" s="7" t="s">
        <v>107</v>
      </c>
      <c r="K274" s="7" t="s">
        <v>108</v>
      </c>
      <c r="L274" s="7" t="n">
        <v>22</v>
      </c>
      <c r="M274" s="10" t="b">
        <f aca="false">FALSE()</f>
        <v>0</v>
      </c>
      <c r="N274" s="7" t="s">
        <v>109</v>
      </c>
      <c r="O274" s="7" t="n">
        <v>-33.914337</v>
      </c>
      <c r="P274" s="7" t="n">
        <v>150.945617</v>
      </c>
    </row>
    <row r="275" customFormat="false" ht="15" hidden="false" customHeight="false" outlineLevel="0" collapsed="false">
      <c r="A275" s="7" t="n">
        <v>274</v>
      </c>
      <c r="B275" s="7"/>
      <c r="C275" s="7" t="s">
        <v>476</v>
      </c>
      <c r="D275" s="7" t="n">
        <v>2647</v>
      </c>
      <c r="E275" s="7" t="s">
        <v>50</v>
      </c>
      <c r="F275" s="10" t="b">
        <f aca="false">FALSE()</f>
        <v>0</v>
      </c>
      <c r="G275" s="7" t="s">
        <v>477</v>
      </c>
      <c r="H275" s="7" t="s">
        <v>478</v>
      </c>
      <c r="I275" s="7" t="n">
        <v>4</v>
      </c>
      <c r="J275" s="7" t="s">
        <v>71</v>
      </c>
      <c r="K275" s="7" t="s">
        <v>479</v>
      </c>
      <c r="L275" s="7" t="n">
        <v>80</v>
      </c>
      <c r="M275" s="10" t="b">
        <f aca="false">FALSE()</f>
        <v>0</v>
      </c>
      <c r="N275" s="7" t="s">
        <v>76</v>
      </c>
      <c r="O275" s="7" t="n">
        <v>-35.994991</v>
      </c>
      <c r="P275" s="7" t="n">
        <v>146.001983</v>
      </c>
    </row>
    <row r="276" customFormat="false" ht="15" hidden="false" customHeight="false" outlineLevel="0" collapsed="false">
      <c r="A276" s="7" t="n">
        <v>275</v>
      </c>
      <c r="B276" s="7"/>
      <c r="C276" s="7" t="s">
        <v>480</v>
      </c>
      <c r="D276" s="7" t="n">
        <v>2579</v>
      </c>
      <c r="E276" s="7" t="s">
        <v>50</v>
      </c>
      <c r="F276" s="10" t="b">
        <f aca="false">FALSE()</f>
        <v>0</v>
      </c>
      <c r="G276" s="7" t="s">
        <v>481</v>
      </c>
      <c r="H276" s="7" t="s">
        <v>233</v>
      </c>
      <c r="I276" s="7" t="n">
        <v>2</v>
      </c>
      <c r="J276" s="7" t="s">
        <v>71</v>
      </c>
      <c r="K276" s="7" t="s">
        <v>83</v>
      </c>
      <c r="L276" s="7" t="n">
        <v>75</v>
      </c>
      <c r="M276" s="10" t="b">
        <f aca="false">FALSE()</f>
        <v>0</v>
      </c>
      <c r="N276" s="7" t="s">
        <v>76</v>
      </c>
      <c r="O276" s="7" t="n">
        <v>-34.718523</v>
      </c>
      <c r="P276" s="7" t="n">
        <v>150.000388</v>
      </c>
    </row>
    <row r="277" customFormat="false" ht="15" hidden="false" customHeight="false" outlineLevel="0" collapsed="false">
      <c r="A277" s="7" t="n">
        <v>276</v>
      </c>
      <c r="B277" s="7"/>
      <c r="C277" s="7" t="s">
        <v>482</v>
      </c>
      <c r="D277" s="7" t="n">
        <v>2579</v>
      </c>
      <c r="E277" s="7" t="s">
        <v>50</v>
      </c>
      <c r="F277" s="10" t="b">
        <f aca="false">FALSE()</f>
        <v>0</v>
      </c>
      <c r="G277" s="7" t="s">
        <v>481</v>
      </c>
      <c r="H277" s="7" t="s">
        <v>233</v>
      </c>
      <c r="I277" s="7" t="n">
        <v>2</v>
      </c>
      <c r="J277" s="7" t="s">
        <v>71</v>
      </c>
      <c r="K277" s="7" t="s">
        <v>83</v>
      </c>
      <c r="L277" s="7" t="n">
        <v>75</v>
      </c>
      <c r="M277" s="10" t="b">
        <f aca="false">FALSE()</f>
        <v>0</v>
      </c>
      <c r="N277" s="7" t="s">
        <v>76</v>
      </c>
      <c r="O277" s="7" t="n">
        <v>-34.719221</v>
      </c>
      <c r="P277" s="7" t="n">
        <v>149.995327</v>
      </c>
    </row>
    <row r="278" customFormat="false" ht="15" hidden="false" customHeight="false" outlineLevel="0" collapsed="false">
      <c r="A278" s="7" t="n">
        <v>277</v>
      </c>
      <c r="B278" s="7"/>
      <c r="C278" s="7" t="s">
        <v>483</v>
      </c>
      <c r="D278" s="7" t="n">
        <v>2320</v>
      </c>
      <c r="E278" s="7" t="s">
        <v>50</v>
      </c>
      <c r="F278" s="10" t="b">
        <f aca="false">FALSE()</f>
        <v>0</v>
      </c>
      <c r="G278" s="7" t="s">
        <v>111</v>
      </c>
      <c r="H278" s="7" t="s">
        <v>239</v>
      </c>
      <c r="I278" s="7" t="n">
        <v>2</v>
      </c>
      <c r="J278" s="7" t="s">
        <v>107</v>
      </c>
      <c r="K278" s="7" t="s">
        <v>108</v>
      </c>
      <c r="L278" s="7" t="n">
        <v>22</v>
      </c>
      <c r="M278" s="10" t="b">
        <f aca="false">FALSE()</f>
        <v>0</v>
      </c>
      <c r="N278" s="7" t="s">
        <v>109</v>
      </c>
      <c r="O278" s="7" t="n">
        <v>-32.759004</v>
      </c>
      <c r="P278" s="7" t="n">
        <v>151.252347</v>
      </c>
    </row>
    <row r="279" customFormat="false" ht="15" hidden="false" customHeight="false" outlineLevel="0" collapsed="false">
      <c r="A279" s="7" t="n">
        <v>278</v>
      </c>
      <c r="B279" s="7"/>
      <c r="C279" s="7" t="s">
        <v>484</v>
      </c>
      <c r="D279" s="7" t="n">
        <v>2036</v>
      </c>
      <c r="E279" s="7" t="s">
        <v>50</v>
      </c>
      <c r="F279" s="10" t="b">
        <f aca="false">FALSE()</f>
        <v>0</v>
      </c>
      <c r="G279" s="7" t="s">
        <v>355</v>
      </c>
      <c r="H279" s="7" t="s">
        <v>237</v>
      </c>
      <c r="I279" s="7" t="n">
        <v>2</v>
      </c>
      <c r="J279" s="7" t="s">
        <v>107</v>
      </c>
      <c r="K279" s="7" t="s">
        <v>485</v>
      </c>
      <c r="L279" s="7" t="n">
        <v>11</v>
      </c>
      <c r="M279" s="10" t="b">
        <f aca="false">FALSE()</f>
        <v>0</v>
      </c>
      <c r="N279" s="7" t="s">
        <v>109</v>
      </c>
      <c r="O279" s="7" t="n">
        <v>-33.957236</v>
      </c>
      <c r="P279" s="7" t="n">
        <v>151.237237</v>
      </c>
    </row>
    <row r="280" customFormat="false" ht="15" hidden="false" customHeight="false" outlineLevel="0" collapsed="false">
      <c r="A280" s="7" t="n">
        <v>279</v>
      </c>
      <c r="B280" s="7"/>
      <c r="C280" s="7" t="s">
        <v>486</v>
      </c>
      <c r="D280" s="7" t="n">
        <v>2261</v>
      </c>
      <c r="E280" s="7" t="s">
        <v>50</v>
      </c>
      <c r="F280" s="10" t="b">
        <f aca="false">FALSE()</f>
        <v>0</v>
      </c>
      <c r="G280" s="7" t="s">
        <v>276</v>
      </c>
      <c r="H280" s="7" t="s">
        <v>239</v>
      </c>
      <c r="I280" s="7" t="n">
        <v>2</v>
      </c>
      <c r="J280" s="7" t="s">
        <v>107</v>
      </c>
      <c r="K280" s="7" t="s">
        <v>277</v>
      </c>
      <c r="L280" s="7" t="n">
        <v>6</v>
      </c>
      <c r="M280" s="10" t="b">
        <f aca="false">FALSE()</f>
        <v>0</v>
      </c>
      <c r="N280" s="7" t="s">
        <v>109</v>
      </c>
      <c r="O280" s="7" t="n">
        <v>-33.360825</v>
      </c>
      <c r="P280" s="7" t="n">
        <v>151.499553</v>
      </c>
    </row>
    <row r="281" customFormat="false" ht="15" hidden="false" customHeight="false" outlineLevel="0" collapsed="false">
      <c r="A281" s="7" t="n">
        <v>280</v>
      </c>
      <c r="B281" s="7"/>
      <c r="C281" s="7" t="s">
        <v>487</v>
      </c>
      <c r="D281" s="7" t="n">
        <v>2000</v>
      </c>
      <c r="E281" s="7" t="s">
        <v>50</v>
      </c>
      <c r="F281" s="10" t="b">
        <f aca="false">FALSE()</f>
        <v>0</v>
      </c>
      <c r="G281" s="7" t="s">
        <v>182</v>
      </c>
      <c r="H281" s="7" t="s">
        <v>302</v>
      </c>
      <c r="I281" s="7" t="n">
        <v>2</v>
      </c>
      <c r="J281" s="7" t="s">
        <v>107</v>
      </c>
      <c r="K281" s="7" t="s">
        <v>108</v>
      </c>
      <c r="L281" s="7" t="n">
        <v>22</v>
      </c>
      <c r="M281" s="10" t="b">
        <f aca="false">FALSE()</f>
        <v>0</v>
      </c>
      <c r="N281" s="7" t="s">
        <v>109</v>
      </c>
      <c r="O281" s="7" t="n">
        <v>-33.858666</v>
      </c>
      <c r="P281" s="7" t="n">
        <v>151.203668</v>
      </c>
    </row>
    <row r="282" customFormat="false" ht="15" hidden="false" customHeight="false" outlineLevel="0" collapsed="false">
      <c r="A282" s="7" t="n">
        <v>281</v>
      </c>
      <c r="B282" s="7"/>
      <c r="C282" s="7" t="s">
        <v>488</v>
      </c>
      <c r="D282" s="7" t="n">
        <v>2627</v>
      </c>
      <c r="E282" s="7" t="s">
        <v>50</v>
      </c>
      <c r="F282" s="10" t="b">
        <f aca="false">FALSE()</f>
        <v>0</v>
      </c>
      <c r="G282" s="7" t="s">
        <v>177</v>
      </c>
      <c r="H282" s="7" t="s">
        <v>239</v>
      </c>
      <c r="I282" s="7" t="n">
        <v>2</v>
      </c>
      <c r="J282" s="7" t="s">
        <v>107</v>
      </c>
      <c r="K282" s="7" t="s">
        <v>108</v>
      </c>
      <c r="L282" s="7" t="n">
        <v>22</v>
      </c>
      <c r="M282" s="10" t="b">
        <f aca="false">FALSE()</f>
        <v>0</v>
      </c>
      <c r="N282" s="7" t="s">
        <v>109</v>
      </c>
      <c r="O282" s="7" t="n">
        <v>-36.417329</v>
      </c>
      <c r="P282" s="7" t="n">
        <v>148.607657</v>
      </c>
    </row>
    <row r="283" customFormat="false" ht="15" hidden="false" customHeight="false" outlineLevel="0" collapsed="false">
      <c r="A283" s="7" t="n">
        <v>282</v>
      </c>
      <c r="B283" s="7"/>
      <c r="C283" s="7" t="s">
        <v>489</v>
      </c>
      <c r="D283" s="7" t="n">
        <v>2099</v>
      </c>
      <c r="E283" s="7" t="s">
        <v>50</v>
      </c>
      <c r="F283" s="10" t="b">
        <f aca="false">FALSE()</f>
        <v>0</v>
      </c>
      <c r="G283" s="7" t="s">
        <v>286</v>
      </c>
      <c r="H283" s="7" t="s">
        <v>287</v>
      </c>
      <c r="I283" s="7" t="n">
        <v>2</v>
      </c>
      <c r="J283" s="7" t="s">
        <v>71</v>
      </c>
      <c r="K283" s="7" t="s">
        <v>288</v>
      </c>
      <c r="L283" s="7" t="n">
        <v>25</v>
      </c>
      <c r="M283" s="10" t="b">
        <f aca="false">FALSE()</f>
        <v>0</v>
      </c>
      <c r="N283" s="7" t="s">
        <v>76</v>
      </c>
      <c r="O283" s="7" t="n">
        <v>-33.753702</v>
      </c>
      <c r="P283" s="7" t="n">
        <v>151.287</v>
      </c>
    </row>
    <row r="284" customFormat="false" ht="15" hidden="false" customHeight="false" outlineLevel="0" collapsed="false">
      <c r="A284" s="7" t="n">
        <v>283</v>
      </c>
      <c r="B284" s="7"/>
      <c r="C284" s="7" t="s">
        <v>490</v>
      </c>
      <c r="D284" s="7" t="n">
        <v>2000</v>
      </c>
      <c r="E284" s="7" t="s">
        <v>50</v>
      </c>
      <c r="F284" s="10" t="b">
        <f aca="false">FALSE()</f>
        <v>0</v>
      </c>
      <c r="G284" s="7" t="s">
        <v>182</v>
      </c>
      <c r="H284" s="7" t="s">
        <v>239</v>
      </c>
      <c r="I284" s="7" t="n">
        <v>2</v>
      </c>
      <c r="J284" s="7" t="s">
        <v>107</v>
      </c>
      <c r="K284" s="7" t="s">
        <v>108</v>
      </c>
      <c r="L284" s="7" t="n">
        <v>22</v>
      </c>
      <c r="M284" s="10" t="b">
        <f aca="false">FALSE()</f>
        <v>0</v>
      </c>
      <c r="N284" s="7" t="s">
        <v>109</v>
      </c>
      <c r="O284" s="7" t="n">
        <v>-33.871922</v>
      </c>
      <c r="P284" s="7" t="n">
        <v>151.209721</v>
      </c>
    </row>
    <row r="285" customFormat="false" ht="15" hidden="false" customHeight="false" outlineLevel="0" collapsed="false">
      <c r="A285" s="7" t="n">
        <v>284</v>
      </c>
      <c r="B285" s="7"/>
      <c r="C285" s="7" t="s">
        <v>491</v>
      </c>
      <c r="D285" s="7" t="n">
        <v>2000</v>
      </c>
      <c r="E285" s="7" t="s">
        <v>50</v>
      </c>
      <c r="F285" s="10" t="b">
        <f aca="false">FALSE()</f>
        <v>0</v>
      </c>
      <c r="G285" s="7" t="s">
        <v>182</v>
      </c>
      <c r="H285" s="7" t="s">
        <v>260</v>
      </c>
      <c r="I285" s="7" t="n">
        <v>8</v>
      </c>
      <c r="J285" s="7" t="s">
        <v>107</v>
      </c>
      <c r="K285" s="7" t="s">
        <v>108</v>
      </c>
      <c r="L285" s="7" t="n">
        <v>22</v>
      </c>
      <c r="M285" s="10" t="b">
        <f aca="false">FALSE()</f>
        <v>0</v>
      </c>
      <c r="N285" s="7" t="s">
        <v>109</v>
      </c>
      <c r="O285" s="7" t="n">
        <v>-33.871529</v>
      </c>
      <c r="P285" s="7" t="n">
        <v>151.209821</v>
      </c>
    </row>
    <row r="286" customFormat="false" ht="15" hidden="false" customHeight="false" outlineLevel="0" collapsed="false">
      <c r="A286" s="7" t="n">
        <v>285</v>
      </c>
      <c r="B286" s="7"/>
      <c r="C286" s="7" t="s">
        <v>492</v>
      </c>
      <c r="D286" s="7" t="n">
        <v>2021</v>
      </c>
      <c r="E286" s="7" t="s">
        <v>50</v>
      </c>
      <c r="F286" s="10" t="b">
        <f aca="false">FALSE()</f>
        <v>0</v>
      </c>
      <c r="G286" s="7" t="s">
        <v>272</v>
      </c>
      <c r="H286" s="7" t="s">
        <v>237</v>
      </c>
      <c r="I286" s="7" t="n">
        <v>2</v>
      </c>
      <c r="J286" s="7" t="s">
        <v>71</v>
      </c>
      <c r="K286" s="7" t="s">
        <v>493</v>
      </c>
      <c r="L286" s="7" t="n">
        <v>30</v>
      </c>
      <c r="M286" s="10" t="b">
        <f aca="false">FALSE()</f>
        <v>0</v>
      </c>
      <c r="N286" s="7" t="s">
        <v>76</v>
      </c>
      <c r="O286" s="7" t="n">
        <v>-33.881812</v>
      </c>
      <c r="P286" s="7" t="n">
        <v>151.228318</v>
      </c>
    </row>
    <row r="287" customFormat="false" ht="15" hidden="false" customHeight="false" outlineLevel="0" collapsed="false">
      <c r="A287" s="7" t="n">
        <v>286</v>
      </c>
      <c r="B287" s="7"/>
      <c r="C287" s="7" t="s">
        <v>494</v>
      </c>
      <c r="D287" s="7" t="n">
        <v>2478</v>
      </c>
      <c r="E287" s="7" t="s">
        <v>50</v>
      </c>
      <c r="F287" s="10" t="b">
        <f aca="false">FALSE()</f>
        <v>0</v>
      </c>
      <c r="G287" s="7" t="s">
        <v>495</v>
      </c>
      <c r="H287" s="7" t="s">
        <v>237</v>
      </c>
      <c r="I287" s="7" t="n">
        <v>2</v>
      </c>
      <c r="J287" s="7" t="s">
        <v>107</v>
      </c>
      <c r="K287" s="7" t="s">
        <v>108</v>
      </c>
      <c r="L287" s="7" t="n">
        <v>22</v>
      </c>
      <c r="M287" s="10" t="b">
        <f aca="false">FALSE()</f>
        <v>0</v>
      </c>
      <c r="N287" s="7" t="s">
        <v>109</v>
      </c>
      <c r="O287" s="7" t="n">
        <v>-28.778375</v>
      </c>
      <c r="P287" s="7" t="n">
        <v>153.592686</v>
      </c>
    </row>
    <row r="288" customFormat="false" ht="15" hidden="false" customHeight="false" outlineLevel="0" collapsed="false">
      <c r="A288" s="7" t="n">
        <v>287</v>
      </c>
      <c r="B288" s="7"/>
      <c r="C288" s="7" t="s">
        <v>496</v>
      </c>
      <c r="D288" s="7" t="n">
        <v>2075</v>
      </c>
      <c r="E288" s="7" t="s">
        <v>50</v>
      </c>
      <c r="F288" s="10" t="b">
        <f aca="false">FALSE()</f>
        <v>0</v>
      </c>
      <c r="G288" s="7" t="s">
        <v>236</v>
      </c>
      <c r="H288" s="7" t="s">
        <v>330</v>
      </c>
      <c r="I288" s="7" t="n">
        <v>2</v>
      </c>
      <c r="J288" s="7" t="s">
        <v>71</v>
      </c>
      <c r="K288" s="7" t="s">
        <v>213</v>
      </c>
      <c r="L288" s="7" t="n">
        <v>125</v>
      </c>
      <c r="M288" s="10" t="b">
        <f aca="false">FALSE()</f>
        <v>0</v>
      </c>
      <c r="N288" s="7" t="s">
        <v>268</v>
      </c>
      <c r="O288" s="7" t="n">
        <v>-33.730776</v>
      </c>
      <c r="P288" s="7" t="n">
        <v>151.157011</v>
      </c>
    </row>
    <row r="289" customFormat="false" ht="15" hidden="false" customHeight="false" outlineLevel="0" collapsed="false">
      <c r="A289" s="7" t="n">
        <v>288</v>
      </c>
      <c r="B289" s="7"/>
      <c r="C289" s="7" t="s">
        <v>497</v>
      </c>
      <c r="D289" s="7" t="n">
        <v>2034</v>
      </c>
      <c r="E289" s="7" t="s">
        <v>50</v>
      </c>
      <c r="F289" s="10" t="b">
        <f aca="false">FALSE()</f>
        <v>0</v>
      </c>
      <c r="G289" s="7" t="s">
        <v>355</v>
      </c>
      <c r="H289" s="7" t="s">
        <v>260</v>
      </c>
      <c r="I289" s="7" t="n">
        <v>1</v>
      </c>
      <c r="J289" s="7" t="s">
        <v>107</v>
      </c>
      <c r="K289" s="7" t="s">
        <v>108</v>
      </c>
      <c r="L289" s="7" t="n">
        <v>22</v>
      </c>
      <c r="M289" s="10" t="b">
        <f aca="false">FALSE()</f>
        <v>0</v>
      </c>
      <c r="N289" s="7" t="s">
        <v>109</v>
      </c>
      <c r="O289" s="7" t="n">
        <v>-33.925865</v>
      </c>
      <c r="P289" s="7" t="n">
        <v>151.250423</v>
      </c>
    </row>
    <row r="290" customFormat="false" ht="15" hidden="false" customHeight="false" outlineLevel="0" collapsed="false">
      <c r="A290" s="7" t="n">
        <v>289</v>
      </c>
      <c r="B290" s="7"/>
      <c r="C290" s="7" t="s">
        <v>498</v>
      </c>
      <c r="D290" s="7" t="n">
        <v>2627</v>
      </c>
      <c r="E290" s="7" t="s">
        <v>50</v>
      </c>
      <c r="F290" s="10" t="b">
        <f aca="false">FALSE()</f>
        <v>0</v>
      </c>
      <c r="G290" s="7" t="s">
        <v>177</v>
      </c>
      <c r="H290" s="7" t="s">
        <v>237</v>
      </c>
      <c r="I290" s="7" t="n">
        <v>2</v>
      </c>
      <c r="J290" s="7" t="s">
        <v>107</v>
      </c>
      <c r="K290" s="7" t="s">
        <v>108</v>
      </c>
      <c r="L290" s="7" t="n">
        <v>22</v>
      </c>
      <c r="M290" s="10" t="b">
        <f aca="false">FALSE()</f>
        <v>0</v>
      </c>
      <c r="N290" s="7" t="s">
        <v>109</v>
      </c>
      <c r="O290" s="7" t="n">
        <v>-36.445084</v>
      </c>
      <c r="P290" s="7" t="n">
        <v>148.449913</v>
      </c>
    </row>
    <row r="291" customFormat="false" ht="15" hidden="false" customHeight="false" outlineLevel="0" collapsed="false">
      <c r="A291" s="7" t="n">
        <v>290</v>
      </c>
      <c r="B291" s="7"/>
      <c r="C291" s="7" t="s">
        <v>499</v>
      </c>
      <c r="D291" s="7" t="n">
        <v>2075</v>
      </c>
      <c r="E291" s="7" t="s">
        <v>50</v>
      </c>
      <c r="F291" s="10" t="b">
        <f aca="false">FALSE()</f>
        <v>0</v>
      </c>
      <c r="G291" s="7" t="s">
        <v>236</v>
      </c>
      <c r="H291" s="7" t="s">
        <v>237</v>
      </c>
      <c r="I291" s="7" t="n">
        <v>2</v>
      </c>
      <c r="J291" s="7" t="s">
        <v>107</v>
      </c>
      <c r="K291" s="7" t="s">
        <v>108</v>
      </c>
      <c r="L291" s="7" t="n">
        <v>22</v>
      </c>
      <c r="M291" s="10" t="b">
        <f aca="false">FALSE()</f>
        <v>0</v>
      </c>
      <c r="N291" s="7" t="s">
        <v>109</v>
      </c>
      <c r="O291" s="7" t="n">
        <v>-33.730073</v>
      </c>
      <c r="P291" s="7" t="n">
        <v>151.158559</v>
      </c>
    </row>
    <row r="292" customFormat="false" ht="15" hidden="false" customHeight="false" outlineLevel="0" collapsed="false">
      <c r="A292" s="7" t="n">
        <v>291</v>
      </c>
      <c r="B292" s="7"/>
      <c r="C292" s="7" t="s">
        <v>500</v>
      </c>
      <c r="D292" s="7" t="n">
        <v>2065</v>
      </c>
      <c r="E292" s="7" t="s">
        <v>50</v>
      </c>
      <c r="F292" s="10" t="b">
        <f aca="false">FALSE()</f>
        <v>0</v>
      </c>
      <c r="G292" s="7" t="s">
        <v>258</v>
      </c>
      <c r="H292" s="7" t="s">
        <v>233</v>
      </c>
      <c r="I292" s="7" t="n">
        <v>2</v>
      </c>
      <c r="J292" s="7" t="s">
        <v>71</v>
      </c>
      <c r="K292" s="7" t="s">
        <v>83</v>
      </c>
      <c r="L292" s="7" t="n">
        <v>75</v>
      </c>
      <c r="M292" s="10" t="b">
        <f aca="false">FALSE()</f>
        <v>0</v>
      </c>
      <c r="N292" s="7" t="s">
        <v>76</v>
      </c>
      <c r="O292" s="7" t="n">
        <v>-33.820152</v>
      </c>
      <c r="P292" s="7" t="n">
        <v>151.20119</v>
      </c>
    </row>
    <row r="293" customFormat="false" ht="15" hidden="false" customHeight="false" outlineLevel="0" collapsed="false">
      <c r="A293" s="7" t="n">
        <v>292</v>
      </c>
      <c r="B293" s="7"/>
      <c r="C293" s="7" t="s">
        <v>501</v>
      </c>
      <c r="D293" s="7" t="n">
        <v>2000</v>
      </c>
      <c r="E293" s="7" t="s">
        <v>50</v>
      </c>
      <c r="F293" s="10" t="b">
        <f aca="false">FALSE()</f>
        <v>0</v>
      </c>
      <c r="G293" s="7" t="s">
        <v>182</v>
      </c>
      <c r="H293" s="7" t="s">
        <v>239</v>
      </c>
      <c r="I293" s="7" t="n">
        <v>2</v>
      </c>
      <c r="J293" s="7" t="s">
        <v>107</v>
      </c>
      <c r="K293" s="7" t="s">
        <v>108</v>
      </c>
      <c r="L293" s="7" t="n">
        <v>22</v>
      </c>
      <c r="M293" s="10" t="b">
        <f aca="false">FALSE()</f>
        <v>0</v>
      </c>
      <c r="N293" s="7" t="s">
        <v>109</v>
      </c>
      <c r="O293" s="7" t="n">
        <v>-33.881855</v>
      </c>
      <c r="P293" s="7" t="n">
        <v>151.202419</v>
      </c>
    </row>
    <row r="294" customFormat="false" ht="15" hidden="false" customHeight="false" outlineLevel="0" collapsed="false">
      <c r="A294" s="7" t="n">
        <v>293</v>
      </c>
      <c r="B294" s="7"/>
      <c r="C294" s="7" t="s">
        <v>502</v>
      </c>
      <c r="D294" s="7" t="n">
        <v>2766</v>
      </c>
      <c r="E294" s="7" t="s">
        <v>50</v>
      </c>
      <c r="F294" s="10" t="b">
        <f aca="false">FALSE()</f>
        <v>0</v>
      </c>
      <c r="G294" s="7" t="s">
        <v>232</v>
      </c>
      <c r="H294" s="7" t="s">
        <v>260</v>
      </c>
      <c r="I294" s="7" t="n">
        <v>6</v>
      </c>
      <c r="J294" s="7" t="s">
        <v>107</v>
      </c>
      <c r="K294" s="7" t="s">
        <v>108</v>
      </c>
      <c r="L294" s="7" t="n">
        <v>22</v>
      </c>
      <c r="M294" s="10" t="b">
        <f aca="false">FALSE()</f>
        <v>0</v>
      </c>
      <c r="N294" s="7" t="s">
        <v>109</v>
      </c>
      <c r="O294" s="7" t="n">
        <v>-33.817281</v>
      </c>
      <c r="P294" s="7" t="n">
        <v>150.83814</v>
      </c>
    </row>
    <row r="295" customFormat="false" ht="15" hidden="false" customHeight="false" outlineLevel="0" collapsed="false">
      <c r="A295" s="7" t="n">
        <v>294</v>
      </c>
      <c r="B295" s="7"/>
      <c r="C295" s="7" t="s">
        <v>503</v>
      </c>
      <c r="D295" s="7" t="n">
        <v>2067</v>
      </c>
      <c r="E295" s="7" t="s">
        <v>50</v>
      </c>
      <c r="F295" s="10" t="b">
        <f aca="false">FALSE()</f>
        <v>0</v>
      </c>
      <c r="G295" s="7" t="s">
        <v>258</v>
      </c>
      <c r="H295" s="7" t="s">
        <v>237</v>
      </c>
      <c r="I295" s="7" t="n">
        <v>6</v>
      </c>
      <c r="J295" s="7" t="s">
        <v>71</v>
      </c>
      <c r="K295" s="7" t="s">
        <v>407</v>
      </c>
      <c r="L295" s="7" t="n">
        <v>47</v>
      </c>
      <c r="M295" s="10" t="b">
        <f aca="false">FALSE()</f>
        <v>0</v>
      </c>
      <c r="N295" s="7" t="s">
        <v>76</v>
      </c>
      <c r="O295" s="7" t="n">
        <v>-33.786013</v>
      </c>
      <c r="P295" s="7" t="n">
        <v>151.198083</v>
      </c>
    </row>
    <row r="296" customFormat="false" ht="15" hidden="false" customHeight="false" outlineLevel="0" collapsed="false">
      <c r="A296" s="7" t="n">
        <v>295</v>
      </c>
      <c r="B296" s="7"/>
      <c r="C296" s="7" t="s">
        <v>504</v>
      </c>
      <c r="D296" s="7" t="n">
        <v>2210</v>
      </c>
      <c r="E296" s="7" t="s">
        <v>50</v>
      </c>
      <c r="F296" s="10" t="b">
        <f aca="false">FALSE()</f>
        <v>0</v>
      </c>
      <c r="G296" s="7" t="s">
        <v>293</v>
      </c>
      <c r="H296" s="7" t="s">
        <v>287</v>
      </c>
      <c r="I296" s="7" t="n">
        <v>2</v>
      </c>
      <c r="J296" s="7" t="s">
        <v>71</v>
      </c>
      <c r="K296" s="7" t="s">
        <v>288</v>
      </c>
      <c r="L296" s="7" t="n">
        <v>25</v>
      </c>
      <c r="M296" s="10" t="b">
        <f aca="false">FALSE()</f>
        <v>0</v>
      </c>
      <c r="N296" s="7" t="s">
        <v>76</v>
      </c>
      <c r="O296" s="7" t="n">
        <v>-33.962122</v>
      </c>
      <c r="P296" s="7" t="n">
        <v>151.063574</v>
      </c>
    </row>
    <row r="297" customFormat="false" ht="15" hidden="false" customHeight="false" outlineLevel="0" collapsed="false">
      <c r="A297" s="7" t="n">
        <v>296</v>
      </c>
      <c r="B297" s="7"/>
      <c r="C297" s="7" t="s">
        <v>505</v>
      </c>
      <c r="D297" s="7" t="n">
        <v>2540</v>
      </c>
      <c r="E297" s="7" t="s">
        <v>50</v>
      </c>
      <c r="F297" s="10" t="b">
        <f aca="false">FALSE()</f>
        <v>0</v>
      </c>
      <c r="G297" s="7" t="s">
        <v>92</v>
      </c>
      <c r="H297" s="7" t="s">
        <v>239</v>
      </c>
      <c r="I297" s="7" t="n">
        <v>4</v>
      </c>
      <c r="J297" s="7" t="s">
        <v>107</v>
      </c>
      <c r="K297" s="7" t="s">
        <v>108</v>
      </c>
      <c r="L297" s="7" t="n">
        <v>22</v>
      </c>
      <c r="M297" s="10" t="b">
        <f aca="false">FALSE()</f>
        <v>0</v>
      </c>
      <c r="N297" s="7" t="s">
        <v>109</v>
      </c>
      <c r="O297" s="7" t="n">
        <v>-34.86498</v>
      </c>
      <c r="P297" s="7" t="n">
        <v>150.49251</v>
      </c>
    </row>
    <row r="298" customFormat="false" ht="15" hidden="false" customHeight="false" outlineLevel="0" collapsed="false">
      <c r="A298" s="7" t="n">
        <v>297</v>
      </c>
      <c r="B298" s="7"/>
      <c r="C298" s="7" t="s">
        <v>506</v>
      </c>
      <c r="D298" s="7" t="n">
        <v>2581</v>
      </c>
      <c r="E298" s="7" t="s">
        <v>50</v>
      </c>
      <c r="F298" s="10" t="b">
        <f aca="false">FALSE()</f>
        <v>0</v>
      </c>
      <c r="G298" s="7" t="s">
        <v>153</v>
      </c>
      <c r="H298" s="7" t="s">
        <v>260</v>
      </c>
      <c r="I298" s="7" t="n">
        <v>2</v>
      </c>
      <c r="J298" s="7" t="s">
        <v>71</v>
      </c>
      <c r="K298" s="7" t="s">
        <v>190</v>
      </c>
      <c r="L298" s="7" t="n">
        <v>60</v>
      </c>
      <c r="M298" s="10" t="b">
        <f aca="false">FALSE()</f>
        <v>0</v>
      </c>
      <c r="N298" s="7" t="s">
        <v>76</v>
      </c>
      <c r="O298" s="7" t="n">
        <v>-34.99683</v>
      </c>
      <c r="P298" s="7" t="n">
        <v>149.38484</v>
      </c>
    </row>
    <row r="299" customFormat="false" ht="15" hidden="false" customHeight="false" outlineLevel="0" collapsed="false">
      <c r="A299" s="7" t="n">
        <v>298</v>
      </c>
      <c r="B299" s="7"/>
      <c r="C299" s="7" t="s">
        <v>507</v>
      </c>
      <c r="D299" s="7" t="n">
        <v>2021</v>
      </c>
      <c r="E299" s="7" t="s">
        <v>50</v>
      </c>
      <c r="F299" s="10" t="b">
        <f aca="false">FALSE()</f>
        <v>0</v>
      </c>
      <c r="G299" s="7" t="s">
        <v>272</v>
      </c>
      <c r="H299" s="7" t="s">
        <v>260</v>
      </c>
      <c r="I299" s="7" t="n">
        <v>1</v>
      </c>
      <c r="J299" s="7" t="s">
        <v>107</v>
      </c>
      <c r="K299" s="7" t="s">
        <v>108</v>
      </c>
      <c r="L299" s="7" t="n">
        <v>22</v>
      </c>
      <c r="M299" s="10" t="b">
        <f aca="false">FALSE()</f>
        <v>0</v>
      </c>
      <c r="N299" s="7" t="s">
        <v>109</v>
      </c>
      <c r="O299" s="7" t="n">
        <v>-33.88436</v>
      </c>
      <c r="P299" s="7" t="n">
        <v>151.235985</v>
      </c>
    </row>
    <row r="300" customFormat="false" ht="15" hidden="false" customHeight="false" outlineLevel="0" collapsed="false">
      <c r="A300" s="7" t="n">
        <v>299</v>
      </c>
      <c r="B300" s="7"/>
      <c r="C300" s="7" t="s">
        <v>508</v>
      </c>
      <c r="D300" s="7" t="n">
        <v>2575</v>
      </c>
      <c r="E300" s="7" t="s">
        <v>50</v>
      </c>
      <c r="F300" s="10" t="b">
        <f aca="false">FALSE()</f>
        <v>0</v>
      </c>
      <c r="G300" s="7" t="s">
        <v>161</v>
      </c>
      <c r="H300" s="7" t="s">
        <v>239</v>
      </c>
      <c r="I300" s="7" t="n">
        <v>1</v>
      </c>
      <c r="J300" s="7" t="s">
        <v>107</v>
      </c>
      <c r="K300" s="7" t="s">
        <v>108</v>
      </c>
      <c r="L300" s="7" t="n">
        <v>22</v>
      </c>
      <c r="M300" s="10" t="b">
        <f aca="false">FALSE()</f>
        <v>0</v>
      </c>
      <c r="N300" s="7" t="s">
        <v>109</v>
      </c>
      <c r="O300" s="7" t="n">
        <v>-34.405888</v>
      </c>
      <c r="P300" s="7" t="n">
        <v>150.222651</v>
      </c>
    </row>
    <row r="301" customFormat="false" ht="15" hidden="false" customHeight="false" outlineLevel="0" collapsed="false">
      <c r="A301" s="7" t="n">
        <v>300</v>
      </c>
      <c r="B301" s="7"/>
      <c r="C301" s="7" t="s">
        <v>509</v>
      </c>
      <c r="D301" s="7" t="n">
        <v>2026</v>
      </c>
      <c r="E301" s="7" t="s">
        <v>50</v>
      </c>
      <c r="F301" s="10" t="b">
        <f aca="false">FALSE()</f>
        <v>0</v>
      </c>
      <c r="G301" s="7" t="s">
        <v>295</v>
      </c>
      <c r="H301" s="7" t="s">
        <v>237</v>
      </c>
      <c r="I301" s="7" t="n">
        <v>1</v>
      </c>
      <c r="J301" s="7" t="s">
        <v>107</v>
      </c>
      <c r="K301" s="7" t="s">
        <v>277</v>
      </c>
      <c r="L301" s="7" t="n">
        <v>6</v>
      </c>
      <c r="M301" s="10" t="b">
        <f aca="false">FALSE()</f>
        <v>0</v>
      </c>
      <c r="N301" s="7" t="s">
        <v>109</v>
      </c>
      <c r="O301" s="7" t="n">
        <v>-33.888604</v>
      </c>
      <c r="P301" s="7" t="n">
        <v>151.270699</v>
      </c>
    </row>
    <row r="302" customFormat="false" ht="15" hidden="false" customHeight="false" outlineLevel="0" collapsed="false">
      <c r="A302" s="7" t="n">
        <v>301</v>
      </c>
      <c r="B302" s="7"/>
      <c r="C302" s="7" t="s">
        <v>510</v>
      </c>
      <c r="D302" s="7" t="n">
        <v>2320</v>
      </c>
      <c r="E302" s="7" t="s">
        <v>50</v>
      </c>
      <c r="F302" s="10" t="b">
        <f aca="false">FALSE()</f>
        <v>0</v>
      </c>
      <c r="G302" s="7" t="s">
        <v>111</v>
      </c>
      <c r="H302" s="7" t="s">
        <v>260</v>
      </c>
      <c r="I302" s="7" t="n">
        <v>1</v>
      </c>
      <c r="J302" s="7" t="s">
        <v>107</v>
      </c>
      <c r="K302" s="7" t="s">
        <v>108</v>
      </c>
      <c r="L302" s="7" t="n">
        <v>22</v>
      </c>
      <c r="M302" s="10" t="b">
        <f aca="false">FALSE()</f>
        <v>0</v>
      </c>
      <c r="N302" s="7" t="s">
        <v>109</v>
      </c>
      <c r="O302" s="7" t="n">
        <v>-32.764056</v>
      </c>
      <c r="P302" s="7" t="n">
        <v>151.2916</v>
      </c>
    </row>
    <row r="303" customFormat="false" ht="15" hidden="false" customHeight="false" outlineLevel="0" collapsed="false">
      <c r="A303" s="7" t="n">
        <v>302</v>
      </c>
      <c r="B303" s="7"/>
      <c r="C303" s="7" t="s">
        <v>511</v>
      </c>
      <c r="D303" s="7" t="n">
        <v>2444</v>
      </c>
      <c r="E303" s="7" t="s">
        <v>50</v>
      </c>
      <c r="F303" s="10" t="b">
        <f aca="false">FALSE()</f>
        <v>0</v>
      </c>
      <c r="G303" s="7" t="s">
        <v>135</v>
      </c>
      <c r="H303" s="7" t="s">
        <v>239</v>
      </c>
      <c r="I303" s="7" t="n">
        <v>2</v>
      </c>
      <c r="J303" s="7" t="s">
        <v>107</v>
      </c>
      <c r="K303" s="7" t="s">
        <v>108</v>
      </c>
      <c r="L303" s="7" t="n">
        <v>22</v>
      </c>
      <c r="M303" s="10" t="b">
        <f aca="false">FALSE()</f>
        <v>0</v>
      </c>
      <c r="N303" s="7" t="s">
        <v>109</v>
      </c>
      <c r="O303" s="7" t="n">
        <v>-31.435</v>
      </c>
      <c r="P303" s="7" t="n">
        <v>152.897943</v>
      </c>
    </row>
    <row r="304" customFormat="false" ht="15" hidden="false" customHeight="false" outlineLevel="0" collapsed="false">
      <c r="A304" s="7" t="n">
        <v>303</v>
      </c>
      <c r="B304" s="7"/>
      <c r="C304" s="7" t="s">
        <v>512</v>
      </c>
      <c r="D304" s="7" t="n">
        <v>2830</v>
      </c>
      <c r="E304" s="7" t="s">
        <v>50</v>
      </c>
      <c r="F304" s="10" t="b">
        <f aca="false">FALSE()</f>
        <v>0</v>
      </c>
      <c r="G304" s="7" t="s">
        <v>227</v>
      </c>
      <c r="H304" s="7" t="s">
        <v>237</v>
      </c>
      <c r="I304" s="7" t="n">
        <v>3</v>
      </c>
      <c r="J304" s="7" t="s">
        <v>107</v>
      </c>
      <c r="K304" s="7" t="s">
        <v>108</v>
      </c>
      <c r="L304" s="7" t="n">
        <v>22</v>
      </c>
      <c r="M304" s="10" t="b">
        <f aca="false">FALSE()</f>
        <v>0</v>
      </c>
      <c r="N304" s="7" t="s">
        <v>109</v>
      </c>
      <c r="O304" s="7" t="n">
        <v>-32.245591</v>
      </c>
      <c r="P304" s="7" t="n">
        <v>148.5961</v>
      </c>
    </row>
    <row r="305" customFormat="false" ht="15" hidden="false" customHeight="false" outlineLevel="0" collapsed="false">
      <c r="A305" s="7" t="n">
        <v>304</v>
      </c>
      <c r="B305" s="7"/>
      <c r="C305" s="7" t="s">
        <v>513</v>
      </c>
      <c r="D305" s="7" t="n">
        <v>2537</v>
      </c>
      <c r="E305" s="7" t="s">
        <v>50</v>
      </c>
      <c r="F305" s="10" t="b">
        <f aca="false">FALSE()</f>
        <v>0</v>
      </c>
      <c r="G305" s="7" t="s">
        <v>123</v>
      </c>
      <c r="H305" s="7" t="s">
        <v>239</v>
      </c>
      <c r="I305" s="7" t="n">
        <v>2</v>
      </c>
      <c r="J305" s="7" t="s">
        <v>107</v>
      </c>
      <c r="K305" s="7" t="s">
        <v>277</v>
      </c>
      <c r="L305" s="7" t="n">
        <v>6</v>
      </c>
      <c r="M305" s="10" t="b">
        <f aca="false">FALSE()</f>
        <v>0</v>
      </c>
      <c r="N305" s="7" t="s">
        <v>109</v>
      </c>
      <c r="O305" s="7" t="n">
        <v>-35.855909</v>
      </c>
      <c r="P305" s="7" t="n">
        <v>150.172222</v>
      </c>
    </row>
    <row r="306" customFormat="false" ht="15" hidden="false" customHeight="false" outlineLevel="0" collapsed="false">
      <c r="A306" s="7" t="n">
        <v>305</v>
      </c>
      <c r="B306" s="7"/>
      <c r="C306" s="7" t="s">
        <v>514</v>
      </c>
      <c r="D306" s="7" t="n">
        <v>2031</v>
      </c>
      <c r="E306" s="7" t="s">
        <v>50</v>
      </c>
      <c r="F306" s="10" t="b">
        <f aca="false">FALSE()</f>
        <v>0</v>
      </c>
      <c r="G306" s="7" t="s">
        <v>355</v>
      </c>
      <c r="H306" s="7" t="s">
        <v>237</v>
      </c>
      <c r="I306" s="7" t="n">
        <v>2</v>
      </c>
      <c r="J306" s="7" t="s">
        <v>71</v>
      </c>
      <c r="K306" s="7" t="s">
        <v>515</v>
      </c>
      <c r="L306" s="7" t="n">
        <v>42</v>
      </c>
      <c r="M306" s="10" t="b">
        <f aca="false">FALSE()</f>
        <v>0</v>
      </c>
      <c r="N306" s="7" t="s">
        <v>76</v>
      </c>
      <c r="O306" s="7" t="n">
        <v>-33.913746</v>
      </c>
      <c r="P306" s="7" t="n">
        <v>151.239061</v>
      </c>
    </row>
    <row r="307" customFormat="false" ht="15" hidden="false" customHeight="false" outlineLevel="0" collapsed="false">
      <c r="A307" s="7" t="n">
        <v>306</v>
      </c>
      <c r="B307" s="7"/>
      <c r="C307" s="7" t="s">
        <v>516</v>
      </c>
      <c r="D307" s="7" t="n">
        <v>2766</v>
      </c>
      <c r="E307" s="7" t="s">
        <v>50</v>
      </c>
      <c r="F307" s="10" t="b">
        <f aca="false">FALSE()</f>
        <v>0</v>
      </c>
      <c r="G307" s="7" t="s">
        <v>232</v>
      </c>
      <c r="H307" s="7" t="s">
        <v>237</v>
      </c>
      <c r="I307" s="7" t="n">
        <v>8</v>
      </c>
      <c r="J307" s="7" t="s">
        <v>107</v>
      </c>
      <c r="K307" s="7" t="s">
        <v>277</v>
      </c>
      <c r="L307" s="7" t="n">
        <v>6</v>
      </c>
      <c r="M307" s="10" t="b">
        <f aca="false">FALSE()</f>
        <v>0</v>
      </c>
      <c r="N307" s="7" t="s">
        <v>109</v>
      </c>
      <c r="O307" s="7" t="n">
        <v>-33.771054</v>
      </c>
      <c r="P307" s="7" t="n">
        <v>150.844904</v>
      </c>
    </row>
    <row r="308" customFormat="false" ht="15" hidden="false" customHeight="false" outlineLevel="0" collapsed="false">
      <c r="A308" s="7" t="n">
        <v>307</v>
      </c>
      <c r="B308" s="7"/>
      <c r="C308" s="7" t="s">
        <v>517</v>
      </c>
      <c r="D308" s="7" t="n">
        <v>2154</v>
      </c>
      <c r="E308" s="7" t="s">
        <v>50</v>
      </c>
      <c r="F308" s="10" t="b">
        <f aca="false">FALSE()</f>
        <v>0</v>
      </c>
      <c r="G308" s="7" t="s">
        <v>299</v>
      </c>
      <c r="H308" s="7" t="s">
        <v>244</v>
      </c>
      <c r="I308" s="7" t="n">
        <v>4</v>
      </c>
      <c r="J308" s="7" t="s">
        <v>71</v>
      </c>
      <c r="K308" s="7" t="s">
        <v>72</v>
      </c>
      <c r="L308" s="7" t="n">
        <v>50</v>
      </c>
      <c r="M308" s="10" t="b">
        <f aca="false">FALSE()</f>
        <v>0</v>
      </c>
      <c r="N308" s="7" t="s">
        <v>268</v>
      </c>
      <c r="O308" s="7" t="n">
        <v>-33.727803</v>
      </c>
      <c r="P308" s="7" t="n">
        <v>150.976049</v>
      </c>
    </row>
    <row r="309" customFormat="false" ht="15" hidden="false" customHeight="false" outlineLevel="0" collapsed="false">
      <c r="A309" s="7" t="n">
        <v>308</v>
      </c>
      <c r="B309" s="7"/>
      <c r="C309" s="7" t="s">
        <v>518</v>
      </c>
      <c r="D309" s="7" t="n">
        <v>2325</v>
      </c>
      <c r="E309" s="7" t="s">
        <v>50</v>
      </c>
      <c r="F309" s="10" t="b">
        <f aca="false">FALSE()</f>
        <v>0</v>
      </c>
      <c r="G309" s="7" t="s">
        <v>111</v>
      </c>
      <c r="H309" s="7" t="s">
        <v>260</v>
      </c>
      <c r="I309" s="7" t="n">
        <v>4</v>
      </c>
      <c r="J309" s="7" t="s">
        <v>107</v>
      </c>
      <c r="K309" s="7" t="s">
        <v>277</v>
      </c>
      <c r="L309" s="7" t="n">
        <v>6</v>
      </c>
      <c r="M309" s="10" t="b">
        <f aca="false">FALSE()</f>
        <v>0</v>
      </c>
      <c r="N309" s="7" t="s">
        <v>109</v>
      </c>
      <c r="O309" s="7" t="n">
        <v>-32.831744</v>
      </c>
      <c r="P309" s="7" t="n">
        <v>151.35968</v>
      </c>
    </row>
    <row r="310" customFormat="false" ht="15" hidden="false" customHeight="false" outlineLevel="0" collapsed="false">
      <c r="A310" s="7" t="n">
        <v>309</v>
      </c>
      <c r="B310" s="7"/>
      <c r="C310" s="7" t="s">
        <v>519</v>
      </c>
      <c r="D310" s="7" t="n">
        <v>2026</v>
      </c>
      <c r="E310" s="7" t="s">
        <v>50</v>
      </c>
      <c r="F310" s="10" t="b">
        <f aca="false">FALSE()</f>
        <v>0</v>
      </c>
      <c r="G310" s="7" t="s">
        <v>295</v>
      </c>
      <c r="H310" s="7" t="s">
        <v>239</v>
      </c>
      <c r="I310" s="7" t="n">
        <v>2</v>
      </c>
      <c r="J310" s="7" t="s">
        <v>107</v>
      </c>
      <c r="K310" s="7" t="s">
        <v>108</v>
      </c>
      <c r="L310" s="7" t="n">
        <v>22</v>
      </c>
      <c r="M310" s="10" t="b">
        <f aca="false">FALSE()</f>
        <v>0</v>
      </c>
      <c r="N310" s="7" t="s">
        <v>109</v>
      </c>
      <c r="O310" s="7" t="n">
        <v>-33.888968</v>
      </c>
      <c r="P310" s="7" t="n">
        <v>151.275949</v>
      </c>
    </row>
    <row r="311" customFormat="false" ht="15" hidden="false" customHeight="false" outlineLevel="0" collapsed="false">
      <c r="A311" s="7" t="n">
        <v>310</v>
      </c>
      <c r="B311" s="7"/>
      <c r="C311" s="7" t="s">
        <v>520</v>
      </c>
      <c r="D311" s="7" t="n">
        <v>2150</v>
      </c>
      <c r="E311" s="7" t="s">
        <v>50</v>
      </c>
      <c r="F311" s="10" t="b">
        <f aca="false">FALSE()</f>
        <v>0</v>
      </c>
      <c r="G311" s="7" t="s">
        <v>202</v>
      </c>
      <c r="H311" s="7" t="s">
        <v>237</v>
      </c>
      <c r="I311" s="7" t="n">
        <v>3</v>
      </c>
      <c r="J311" s="7" t="s">
        <v>107</v>
      </c>
      <c r="K311" s="7" t="s">
        <v>277</v>
      </c>
      <c r="L311" s="7" t="n">
        <v>6</v>
      </c>
      <c r="M311" s="10" t="b">
        <f aca="false">FALSE()</f>
        <v>0</v>
      </c>
      <c r="N311" s="7" t="s">
        <v>109</v>
      </c>
      <c r="O311" s="7" t="n">
        <v>-33.814439</v>
      </c>
      <c r="P311" s="7" t="n">
        <v>151.010268</v>
      </c>
    </row>
    <row r="312" customFormat="false" ht="15" hidden="false" customHeight="false" outlineLevel="0" collapsed="false">
      <c r="A312" s="7" t="n">
        <v>311</v>
      </c>
      <c r="B312" s="7"/>
      <c r="C312" s="7" t="s">
        <v>521</v>
      </c>
      <c r="D312" s="7" t="n">
        <v>2010</v>
      </c>
      <c r="E312" s="7" t="s">
        <v>50</v>
      </c>
      <c r="F312" s="10" t="b">
        <f aca="false">FALSE()</f>
        <v>0</v>
      </c>
      <c r="G312" s="7" t="s">
        <v>182</v>
      </c>
      <c r="H312" s="7" t="s">
        <v>304</v>
      </c>
      <c r="I312" s="7" t="n">
        <v>2</v>
      </c>
      <c r="J312" s="7" t="s">
        <v>107</v>
      </c>
      <c r="K312" s="7" t="s">
        <v>108</v>
      </c>
      <c r="L312" s="7" t="n">
        <v>22</v>
      </c>
      <c r="M312" s="10" t="b">
        <f aca="false">FALSE()</f>
        <v>0</v>
      </c>
      <c r="N312" s="7" t="s">
        <v>109</v>
      </c>
      <c r="O312" s="7" t="n">
        <v>-33.875673</v>
      </c>
      <c r="P312" s="7" t="n">
        <v>151.219284</v>
      </c>
    </row>
    <row r="313" customFormat="false" ht="15" hidden="false" customHeight="false" outlineLevel="0" collapsed="false">
      <c r="A313" s="7" t="n">
        <v>312</v>
      </c>
      <c r="B313" s="7"/>
      <c r="C313" s="7" t="s">
        <v>522</v>
      </c>
      <c r="D313" s="7" t="n">
        <v>2150</v>
      </c>
      <c r="E313" s="7" t="s">
        <v>50</v>
      </c>
      <c r="F313" s="10" t="b">
        <f aca="false">FALSE()</f>
        <v>0</v>
      </c>
      <c r="G313" s="7" t="s">
        <v>202</v>
      </c>
      <c r="H313" s="7" t="s">
        <v>239</v>
      </c>
      <c r="I313" s="7" t="n">
        <v>4</v>
      </c>
      <c r="J313" s="7" t="s">
        <v>107</v>
      </c>
      <c r="K313" s="7" t="s">
        <v>108</v>
      </c>
      <c r="L313" s="7" t="n">
        <v>22</v>
      </c>
      <c r="M313" s="10" t="b">
        <f aca="false">FALSE()</f>
        <v>0</v>
      </c>
      <c r="N313" s="7" t="s">
        <v>109</v>
      </c>
      <c r="O313" s="7" t="n">
        <v>-33.820708</v>
      </c>
      <c r="P313" s="7" t="n">
        <v>151.005215</v>
      </c>
    </row>
    <row r="314" customFormat="false" ht="15" hidden="false" customHeight="false" outlineLevel="0" collapsed="false">
      <c r="A314" s="7" t="n">
        <v>313</v>
      </c>
      <c r="B314" s="7"/>
      <c r="C314" s="7" t="s">
        <v>523</v>
      </c>
      <c r="D314" s="7" t="n">
        <v>2020</v>
      </c>
      <c r="E314" s="7" t="s">
        <v>50</v>
      </c>
      <c r="F314" s="10" t="b">
        <f aca="false">FALSE()</f>
        <v>0</v>
      </c>
      <c r="G314" s="7" t="s">
        <v>380</v>
      </c>
      <c r="H314" s="7" t="s">
        <v>260</v>
      </c>
      <c r="I314" s="7" t="n">
        <v>4</v>
      </c>
      <c r="J314" s="7" t="s">
        <v>107</v>
      </c>
      <c r="K314" s="7" t="s">
        <v>277</v>
      </c>
      <c r="L314" s="7" t="n">
        <v>6</v>
      </c>
      <c r="M314" s="10" t="b">
        <f aca="false">FALSE()</f>
        <v>0</v>
      </c>
      <c r="N314" s="7" t="s">
        <v>109</v>
      </c>
      <c r="O314" s="7" t="n">
        <v>-33.926974</v>
      </c>
      <c r="P314" s="7" t="n">
        <v>151.186465</v>
      </c>
    </row>
    <row r="315" customFormat="false" ht="15" hidden="false" customHeight="false" outlineLevel="0" collapsed="false">
      <c r="A315" s="7" t="n">
        <v>314</v>
      </c>
      <c r="B315" s="7"/>
      <c r="C315" s="7" t="s">
        <v>524</v>
      </c>
      <c r="D315" s="7" t="n">
        <v>2546</v>
      </c>
      <c r="E315" s="7" t="s">
        <v>50</v>
      </c>
      <c r="F315" s="10" t="b">
        <f aca="false">FALSE()</f>
        <v>0</v>
      </c>
      <c r="G315" s="7" t="s">
        <v>123</v>
      </c>
      <c r="H315" s="7" t="s">
        <v>239</v>
      </c>
      <c r="I315" s="7" t="n">
        <v>8</v>
      </c>
      <c r="J315" s="7" t="s">
        <v>71</v>
      </c>
      <c r="K315" s="7" t="s">
        <v>242</v>
      </c>
      <c r="L315" s="7" t="n">
        <v>130</v>
      </c>
      <c r="M315" s="10" t="b">
        <f aca="false">FALSE()</f>
        <v>0</v>
      </c>
      <c r="N315" s="7" t="s">
        <v>76</v>
      </c>
      <c r="O315" s="7" t="n">
        <v>-36.223136</v>
      </c>
      <c r="P315" s="7" t="n">
        <v>150.128346</v>
      </c>
    </row>
    <row r="316" customFormat="false" ht="15" hidden="false" customHeight="false" outlineLevel="0" collapsed="false">
      <c r="A316" s="7" t="n">
        <v>315</v>
      </c>
      <c r="B316" s="7"/>
      <c r="C316" s="7" t="s">
        <v>525</v>
      </c>
      <c r="D316" s="7" t="n">
        <v>2179</v>
      </c>
      <c r="E316" s="7" t="s">
        <v>50</v>
      </c>
      <c r="F316" s="10" t="b">
        <f aca="false">FALSE()</f>
        <v>0</v>
      </c>
      <c r="G316" s="7" t="s">
        <v>338</v>
      </c>
      <c r="H316" s="7" t="s">
        <v>237</v>
      </c>
      <c r="I316" s="7" t="n">
        <v>8</v>
      </c>
      <c r="J316" s="7" t="s">
        <v>107</v>
      </c>
      <c r="K316" s="7" t="s">
        <v>277</v>
      </c>
      <c r="L316" s="7" t="n">
        <v>6</v>
      </c>
      <c r="M316" s="10" t="b">
        <f aca="false">FALSE()</f>
        <v>0</v>
      </c>
      <c r="N316" s="7" t="s">
        <v>109</v>
      </c>
      <c r="O316" s="7" t="n">
        <v>-33.953532</v>
      </c>
      <c r="P316" s="7" t="n">
        <v>150.808773</v>
      </c>
    </row>
    <row r="317" customFormat="false" ht="15" hidden="false" customHeight="false" outlineLevel="0" collapsed="false">
      <c r="A317" s="7" t="n">
        <v>316</v>
      </c>
      <c r="B317" s="7"/>
      <c r="C317" s="7" t="s">
        <v>526</v>
      </c>
      <c r="D317" s="7" t="n">
        <v>2650</v>
      </c>
      <c r="E317" s="7" t="s">
        <v>50</v>
      </c>
      <c r="F317" s="10" t="b">
        <f aca="false">FALSE()</f>
        <v>0</v>
      </c>
      <c r="G317" s="7" t="s">
        <v>147</v>
      </c>
      <c r="H317" s="7" t="s">
        <v>239</v>
      </c>
      <c r="I317" s="7" t="n">
        <v>1</v>
      </c>
      <c r="J317" s="7" t="s">
        <v>107</v>
      </c>
      <c r="K317" s="7" t="s">
        <v>108</v>
      </c>
      <c r="L317" s="7" t="n">
        <v>22</v>
      </c>
      <c r="M317" s="10" t="b">
        <f aca="false">FALSE()</f>
        <v>0</v>
      </c>
      <c r="N317" s="7" t="s">
        <v>109</v>
      </c>
      <c r="O317" s="7" t="n">
        <v>-35.130909</v>
      </c>
      <c r="P317" s="7" t="n">
        <v>147.340409</v>
      </c>
    </row>
    <row r="318" customFormat="false" ht="15" hidden="false" customHeight="false" outlineLevel="0" collapsed="false">
      <c r="A318" s="7" t="n">
        <v>317</v>
      </c>
      <c r="B318" s="7"/>
      <c r="C318" s="7" t="s">
        <v>527</v>
      </c>
      <c r="D318" s="7" t="n">
        <v>2088</v>
      </c>
      <c r="E318" s="7" t="s">
        <v>50</v>
      </c>
      <c r="F318" s="10" t="b">
        <f aca="false">FALSE()</f>
        <v>0</v>
      </c>
      <c r="G318" s="7" t="s">
        <v>246</v>
      </c>
      <c r="H318" s="7" t="s">
        <v>244</v>
      </c>
      <c r="I318" s="7" t="n">
        <v>4</v>
      </c>
      <c r="J318" s="7" t="s">
        <v>71</v>
      </c>
      <c r="K318" s="7" t="s">
        <v>72</v>
      </c>
      <c r="L318" s="7" t="n">
        <v>50</v>
      </c>
      <c r="M318" s="10" t="b">
        <f aca="false">FALSE()</f>
        <v>0</v>
      </c>
      <c r="N318" s="7" t="s">
        <v>76</v>
      </c>
      <c r="O318" s="7" t="n">
        <v>-33.831084</v>
      </c>
      <c r="P318" s="7" t="n">
        <v>151.243659</v>
      </c>
    </row>
    <row r="319" customFormat="false" ht="15" hidden="false" customHeight="false" outlineLevel="0" collapsed="false">
      <c r="A319" s="7" t="n">
        <v>318</v>
      </c>
      <c r="B319" s="7"/>
      <c r="C319" s="7" t="s">
        <v>528</v>
      </c>
      <c r="D319" s="7" t="n">
        <v>2299</v>
      </c>
      <c r="E319" s="7" t="s">
        <v>50</v>
      </c>
      <c r="F319" s="10" t="b">
        <f aca="false">FALSE()</f>
        <v>0</v>
      </c>
      <c r="G319" s="7" t="s">
        <v>141</v>
      </c>
      <c r="H319" s="7" t="s">
        <v>529</v>
      </c>
      <c r="I319" s="7" t="n">
        <v>2</v>
      </c>
      <c r="J319" s="7" t="s">
        <v>107</v>
      </c>
      <c r="K319" s="7" t="s">
        <v>108</v>
      </c>
      <c r="L319" s="7" t="n">
        <v>22</v>
      </c>
      <c r="M319" s="10" t="b">
        <f aca="false">FALSE()</f>
        <v>0</v>
      </c>
      <c r="N319" s="7" t="s">
        <v>109</v>
      </c>
      <c r="O319" s="7" t="n">
        <v>-32.905491</v>
      </c>
      <c r="P319" s="7" t="n">
        <v>151.6911</v>
      </c>
    </row>
    <row r="320" customFormat="false" ht="15" hidden="false" customHeight="false" outlineLevel="0" collapsed="false">
      <c r="A320" s="7" t="n">
        <v>319</v>
      </c>
      <c r="B320" s="7"/>
      <c r="C320" s="7" t="s">
        <v>530</v>
      </c>
      <c r="D320" s="7" t="n">
        <v>2319</v>
      </c>
      <c r="E320" s="7" t="s">
        <v>50</v>
      </c>
      <c r="F320" s="10" t="b">
        <f aca="false">FALSE()</f>
        <v>0</v>
      </c>
      <c r="G320" s="7" t="s">
        <v>309</v>
      </c>
      <c r="H320" s="7" t="s">
        <v>260</v>
      </c>
      <c r="I320" s="7" t="n">
        <v>4</v>
      </c>
      <c r="J320" s="7" t="s">
        <v>107</v>
      </c>
      <c r="K320" s="7" t="s">
        <v>277</v>
      </c>
      <c r="L320" s="7" t="n">
        <v>6</v>
      </c>
      <c r="M320" s="10" t="b">
        <f aca="false">FALSE()</f>
        <v>0</v>
      </c>
      <c r="N320" s="7" t="s">
        <v>109</v>
      </c>
      <c r="O320" s="7" t="n">
        <v>-32.733602</v>
      </c>
      <c r="P320" s="7" t="n">
        <v>152.033681</v>
      </c>
    </row>
    <row r="321" customFormat="false" ht="15" hidden="false" customHeight="false" outlineLevel="0" collapsed="false">
      <c r="A321" s="7" t="n">
        <v>320</v>
      </c>
      <c r="B321" s="7"/>
      <c r="C321" s="7" t="s">
        <v>531</v>
      </c>
      <c r="D321" s="7" t="n">
        <v>2020</v>
      </c>
      <c r="E321" s="7" t="s">
        <v>50</v>
      </c>
      <c r="F321" s="10" t="b">
        <f aca="false">FALSE()</f>
        <v>0</v>
      </c>
      <c r="G321" s="7" t="s">
        <v>380</v>
      </c>
      <c r="H321" s="7" t="s">
        <v>239</v>
      </c>
      <c r="I321" s="7" t="n">
        <v>4</v>
      </c>
      <c r="J321" s="7" t="s">
        <v>107</v>
      </c>
      <c r="K321" s="7" t="s">
        <v>108</v>
      </c>
      <c r="L321" s="7" t="n">
        <v>22</v>
      </c>
      <c r="M321" s="10" t="b">
        <f aca="false">FALSE()</f>
        <v>0</v>
      </c>
      <c r="N321" s="7" t="s">
        <v>109</v>
      </c>
      <c r="O321" s="7" t="n">
        <v>-33.926155</v>
      </c>
      <c r="P321" s="7" t="n">
        <v>151.187957</v>
      </c>
    </row>
    <row r="322" customFormat="false" ht="15" hidden="false" customHeight="false" outlineLevel="0" collapsed="false">
      <c r="A322" s="7" t="n">
        <v>321</v>
      </c>
      <c r="B322" s="7"/>
      <c r="C322" s="7" t="s">
        <v>532</v>
      </c>
      <c r="D322" s="7" t="n">
        <v>2431</v>
      </c>
      <c r="E322" s="7" t="s">
        <v>50</v>
      </c>
      <c r="F322" s="10" t="b">
        <f aca="false">FALSE()</f>
        <v>0</v>
      </c>
      <c r="G322" s="7" t="s">
        <v>533</v>
      </c>
      <c r="H322" s="7" t="s">
        <v>260</v>
      </c>
      <c r="I322" s="7" t="n">
        <v>2</v>
      </c>
      <c r="J322" s="7" t="s">
        <v>107</v>
      </c>
      <c r="K322" s="7" t="s">
        <v>108</v>
      </c>
      <c r="L322" s="7" t="n">
        <v>22</v>
      </c>
      <c r="M322" s="10" t="b">
        <f aca="false">FALSE()</f>
        <v>0</v>
      </c>
      <c r="N322" s="7" t="s">
        <v>109</v>
      </c>
      <c r="O322" s="7" t="n">
        <v>-30.886531</v>
      </c>
      <c r="P322" s="7" t="n">
        <v>153.037958</v>
      </c>
    </row>
    <row r="323" customFormat="false" ht="15" hidden="false" customHeight="false" outlineLevel="0" collapsed="false">
      <c r="A323" s="7" t="n">
        <v>322</v>
      </c>
      <c r="B323" s="7"/>
      <c r="C323" s="7" t="s">
        <v>534</v>
      </c>
      <c r="D323" s="7" t="n">
        <v>2290</v>
      </c>
      <c r="E323" s="7" t="s">
        <v>50</v>
      </c>
      <c r="F323" s="10" t="b">
        <f aca="false">FALSE()</f>
        <v>0</v>
      </c>
      <c r="G323" s="7" t="s">
        <v>377</v>
      </c>
      <c r="H323" s="7" t="s">
        <v>260</v>
      </c>
      <c r="I323" s="7" t="n">
        <v>1</v>
      </c>
      <c r="J323" s="7" t="s">
        <v>107</v>
      </c>
      <c r="K323" s="7" t="s">
        <v>108</v>
      </c>
      <c r="L323" s="7" t="n">
        <v>22</v>
      </c>
      <c r="M323" s="10" t="b">
        <f aca="false">FALSE()</f>
        <v>0</v>
      </c>
      <c r="N323" s="7" t="s">
        <v>109</v>
      </c>
      <c r="O323" s="7" t="n">
        <v>-33.012717</v>
      </c>
      <c r="P323" s="7" t="n">
        <v>151.719038</v>
      </c>
    </row>
    <row r="324" customFormat="false" ht="15" hidden="false" customHeight="false" outlineLevel="0" collapsed="false">
      <c r="A324" s="7" t="n">
        <v>323</v>
      </c>
      <c r="B324" s="7"/>
      <c r="C324" s="7" t="s">
        <v>535</v>
      </c>
      <c r="D324" s="7" t="n">
        <v>2085</v>
      </c>
      <c r="E324" s="7" t="s">
        <v>50</v>
      </c>
      <c r="F324" s="10" t="b">
        <f aca="false">FALSE()</f>
        <v>0</v>
      </c>
      <c r="G324" s="7" t="s">
        <v>286</v>
      </c>
      <c r="H324" s="7" t="s">
        <v>304</v>
      </c>
      <c r="I324" s="7" t="n">
        <v>1</v>
      </c>
      <c r="J324" s="7" t="s">
        <v>107</v>
      </c>
      <c r="K324" s="7" t="s">
        <v>485</v>
      </c>
      <c r="L324" s="7" t="n">
        <v>11</v>
      </c>
      <c r="M324" s="10" t="b">
        <f aca="false">FALSE()</f>
        <v>0</v>
      </c>
      <c r="N324" s="7" t="s">
        <v>109</v>
      </c>
      <c r="O324" s="7" t="n">
        <v>-33.707356</v>
      </c>
      <c r="P324" s="7" t="n">
        <v>151.212124</v>
      </c>
    </row>
    <row r="325" customFormat="false" ht="15" hidden="false" customHeight="false" outlineLevel="0" collapsed="false">
      <c r="A325" s="7" t="n">
        <v>324</v>
      </c>
      <c r="B325" s="7"/>
      <c r="C325" s="7" t="s">
        <v>536</v>
      </c>
      <c r="D325" s="7" t="n">
        <v>2525</v>
      </c>
      <c r="E325" s="7" t="s">
        <v>50</v>
      </c>
      <c r="F325" s="10" t="b">
        <f aca="false">FALSE()</f>
        <v>0</v>
      </c>
      <c r="G325" s="7" t="s">
        <v>102</v>
      </c>
      <c r="H325" s="7" t="s">
        <v>239</v>
      </c>
      <c r="I325" s="7" t="n">
        <v>6</v>
      </c>
      <c r="J325" s="7" t="s">
        <v>71</v>
      </c>
      <c r="K325" s="7" t="s">
        <v>117</v>
      </c>
      <c r="L325" s="7" t="n">
        <v>175</v>
      </c>
      <c r="M325" s="10" t="b">
        <f aca="false">FALSE()</f>
        <v>0</v>
      </c>
      <c r="N325" s="7" t="s">
        <v>118</v>
      </c>
      <c r="O325" s="7" t="n">
        <v>-34.436615</v>
      </c>
      <c r="P325" s="7" t="n">
        <v>150.863298</v>
      </c>
    </row>
    <row r="326" customFormat="false" ht="15" hidden="false" customHeight="false" outlineLevel="0" collapsed="false">
      <c r="A326" s="7" t="n">
        <v>325</v>
      </c>
      <c r="B326" s="7"/>
      <c r="C326" s="7" t="s">
        <v>537</v>
      </c>
      <c r="D326" s="7" t="n">
        <v>2217</v>
      </c>
      <c r="E326" s="7" t="s">
        <v>50</v>
      </c>
      <c r="F326" s="10" t="b">
        <f aca="false">FALSE()</f>
        <v>0</v>
      </c>
      <c r="G326" s="7" t="s">
        <v>293</v>
      </c>
      <c r="H326" s="7" t="s">
        <v>244</v>
      </c>
      <c r="I326" s="7" t="n">
        <v>4</v>
      </c>
      <c r="J326" s="7" t="s">
        <v>71</v>
      </c>
      <c r="K326" s="7" t="s">
        <v>234</v>
      </c>
      <c r="L326" s="7" t="n">
        <v>150</v>
      </c>
      <c r="M326" s="10" t="b">
        <f aca="false">FALSE()</f>
        <v>0</v>
      </c>
      <c r="N326" s="7" t="s">
        <v>268</v>
      </c>
      <c r="O326" s="7" t="n">
        <v>-33.961681</v>
      </c>
      <c r="P326" s="7" t="n">
        <v>151.13259</v>
      </c>
    </row>
    <row r="327" customFormat="false" ht="15" hidden="false" customHeight="false" outlineLevel="0" collapsed="false">
      <c r="A327" s="7" t="n">
        <v>326</v>
      </c>
      <c r="B327" s="7"/>
      <c r="C327" s="7" t="s">
        <v>538</v>
      </c>
      <c r="D327" s="7" t="n">
        <v>2140</v>
      </c>
      <c r="E327" s="7" t="s">
        <v>50</v>
      </c>
      <c r="F327" s="10" t="b">
        <f aca="false">FALSE()</f>
        <v>0</v>
      </c>
      <c r="G327" s="7" t="s">
        <v>539</v>
      </c>
      <c r="H327" s="7" t="s">
        <v>287</v>
      </c>
      <c r="I327" s="7" t="n">
        <v>2</v>
      </c>
      <c r="J327" s="7" t="s">
        <v>71</v>
      </c>
      <c r="K327" s="7" t="s">
        <v>288</v>
      </c>
      <c r="L327" s="7" t="n">
        <v>25</v>
      </c>
      <c r="M327" s="10" t="b">
        <f aca="false">FALSE()</f>
        <v>0</v>
      </c>
      <c r="N327" s="7" t="s">
        <v>76</v>
      </c>
      <c r="O327" s="7" t="n">
        <v>-33.866038</v>
      </c>
      <c r="P327" s="7" t="n">
        <v>151.064452</v>
      </c>
    </row>
    <row r="328" customFormat="false" ht="15" hidden="false" customHeight="false" outlineLevel="0" collapsed="false">
      <c r="A328" s="7" t="n">
        <v>327</v>
      </c>
      <c r="B328" s="7"/>
      <c r="C328" s="7" t="s">
        <v>540</v>
      </c>
      <c r="D328" s="7" t="n">
        <v>2155</v>
      </c>
      <c r="E328" s="7" t="s">
        <v>50</v>
      </c>
      <c r="F328" s="10" t="b">
        <f aca="false">FALSE()</f>
        <v>0</v>
      </c>
      <c r="G328" s="7" t="s">
        <v>299</v>
      </c>
      <c r="H328" s="7" t="s">
        <v>233</v>
      </c>
      <c r="I328" s="7" t="n">
        <v>2</v>
      </c>
      <c r="J328" s="7" t="s">
        <v>71</v>
      </c>
      <c r="K328" s="7" t="s">
        <v>83</v>
      </c>
      <c r="L328" s="7" t="n">
        <v>75</v>
      </c>
      <c r="M328" s="10" t="b">
        <f aca="false">FALSE()</f>
        <v>0</v>
      </c>
      <c r="N328" s="7" t="s">
        <v>76</v>
      </c>
      <c r="O328" s="7" t="n">
        <v>-33.712747</v>
      </c>
      <c r="P328" s="7" t="n">
        <v>150.95916</v>
      </c>
    </row>
    <row r="329" customFormat="false" ht="15" hidden="false" customHeight="false" outlineLevel="0" collapsed="false">
      <c r="A329" s="7" t="n">
        <v>328</v>
      </c>
      <c r="B329" s="7"/>
      <c r="C329" s="7" t="s">
        <v>541</v>
      </c>
      <c r="D329" s="7" t="n">
        <v>2116</v>
      </c>
      <c r="E329" s="7" t="s">
        <v>50</v>
      </c>
      <c r="F329" s="10" t="b">
        <f aca="false">FALSE()</f>
        <v>0</v>
      </c>
      <c r="G329" s="7" t="s">
        <v>202</v>
      </c>
      <c r="H329" s="7" t="s">
        <v>260</v>
      </c>
      <c r="I329" s="7" t="n">
        <v>5</v>
      </c>
      <c r="J329" s="7" t="s">
        <v>107</v>
      </c>
      <c r="K329" s="7" t="s">
        <v>108</v>
      </c>
      <c r="L329" s="7" t="n">
        <v>22</v>
      </c>
      <c r="M329" s="10" t="b">
        <f aca="false">FALSE()</f>
        <v>0</v>
      </c>
      <c r="N329" s="7" t="s">
        <v>109</v>
      </c>
      <c r="O329" s="7" t="n">
        <v>-33.812112</v>
      </c>
      <c r="P329" s="7" t="n">
        <v>151.03551</v>
      </c>
    </row>
    <row r="330" customFormat="false" ht="15" hidden="false" customHeight="false" outlineLevel="0" collapsed="false">
      <c r="A330" s="7" t="n">
        <v>329</v>
      </c>
      <c r="B330" s="7"/>
      <c r="C330" s="7" t="s">
        <v>542</v>
      </c>
      <c r="D330" s="7" t="n">
        <v>2285</v>
      </c>
      <c r="E330" s="7" t="s">
        <v>50</v>
      </c>
      <c r="F330" s="10" t="b">
        <f aca="false">FALSE()</f>
        <v>0</v>
      </c>
      <c r="G330" s="7" t="s">
        <v>377</v>
      </c>
      <c r="H330" s="7" t="s">
        <v>237</v>
      </c>
      <c r="I330" s="7" t="n">
        <v>4</v>
      </c>
      <c r="J330" s="7" t="s">
        <v>107</v>
      </c>
      <c r="K330" s="7" t="s">
        <v>277</v>
      </c>
      <c r="L330" s="7" t="n">
        <v>6</v>
      </c>
      <c r="M330" s="10" t="b">
        <f aca="false">FALSE()</f>
        <v>0</v>
      </c>
      <c r="N330" s="7" t="s">
        <v>109</v>
      </c>
      <c r="O330" s="7" t="n">
        <v>-32.916015</v>
      </c>
      <c r="P330" s="7" t="n">
        <v>151.597787</v>
      </c>
    </row>
    <row r="331" customFormat="false" ht="15" hidden="false" customHeight="false" outlineLevel="0" collapsed="false">
      <c r="A331" s="7" t="n">
        <v>330</v>
      </c>
      <c r="B331" s="7"/>
      <c r="C331" s="7" t="s">
        <v>543</v>
      </c>
      <c r="D331" s="7" t="n">
        <v>2539</v>
      </c>
      <c r="E331" s="7" t="s">
        <v>50</v>
      </c>
      <c r="F331" s="10" t="b">
        <f aca="false">FALSE()</f>
        <v>0</v>
      </c>
      <c r="G331" s="7" t="s">
        <v>92</v>
      </c>
      <c r="H331" s="7" t="s">
        <v>239</v>
      </c>
      <c r="I331" s="7" t="n">
        <v>1</v>
      </c>
      <c r="J331" s="7" t="s">
        <v>107</v>
      </c>
      <c r="K331" s="7" t="s">
        <v>108</v>
      </c>
      <c r="L331" s="7" t="n">
        <v>22</v>
      </c>
      <c r="M331" s="10" t="b">
        <f aca="false">FALSE()</f>
        <v>0</v>
      </c>
      <c r="N331" s="7" t="s">
        <v>109</v>
      </c>
      <c r="O331" s="7" t="n">
        <v>-35.322723</v>
      </c>
      <c r="P331" s="7" t="n">
        <v>150.482015</v>
      </c>
    </row>
    <row r="332" customFormat="false" ht="15" hidden="false" customHeight="false" outlineLevel="0" collapsed="false">
      <c r="A332" s="7" t="n">
        <v>331</v>
      </c>
      <c r="B332" s="7"/>
      <c r="C332" s="7" t="s">
        <v>544</v>
      </c>
      <c r="D332" s="7" t="n">
        <v>2343</v>
      </c>
      <c r="E332" s="7" t="s">
        <v>50</v>
      </c>
      <c r="F332" s="10" t="b">
        <f aca="false">FALSE()</f>
        <v>0</v>
      </c>
      <c r="G332" s="7" t="s">
        <v>545</v>
      </c>
      <c r="H332" s="7" t="s">
        <v>260</v>
      </c>
      <c r="I332" s="7" t="n">
        <v>2</v>
      </c>
      <c r="J332" s="7" t="s">
        <v>107</v>
      </c>
      <c r="K332" s="7" t="s">
        <v>108</v>
      </c>
      <c r="L332" s="7" t="n">
        <v>22</v>
      </c>
      <c r="M332" s="10" t="b">
        <f aca="false">FALSE()</f>
        <v>0</v>
      </c>
      <c r="N332" s="7" t="s">
        <v>109</v>
      </c>
      <c r="O332" s="7" t="n">
        <v>-31.507373</v>
      </c>
      <c r="P332" s="7" t="n">
        <v>150.680478</v>
      </c>
    </row>
    <row r="333" customFormat="false" ht="15" hidden="false" customHeight="false" outlineLevel="0" collapsed="false">
      <c r="A333" s="7" t="n">
        <v>332</v>
      </c>
      <c r="B333" s="7"/>
      <c r="C333" s="7" t="s">
        <v>546</v>
      </c>
      <c r="D333" s="7" t="n">
        <v>2093</v>
      </c>
      <c r="E333" s="7" t="s">
        <v>50</v>
      </c>
      <c r="F333" s="10" t="b">
        <f aca="false">FALSE()</f>
        <v>0</v>
      </c>
      <c r="G333" s="7" t="s">
        <v>286</v>
      </c>
      <c r="H333" s="7" t="s">
        <v>239</v>
      </c>
      <c r="I333" s="7" t="n">
        <v>6</v>
      </c>
      <c r="J333" s="7" t="s">
        <v>71</v>
      </c>
      <c r="K333" s="7" t="s">
        <v>117</v>
      </c>
      <c r="L333" s="7" t="n">
        <v>175</v>
      </c>
      <c r="M333" s="10" t="b">
        <f aca="false">FALSE()</f>
        <v>0</v>
      </c>
      <c r="N333" s="7" t="s">
        <v>547</v>
      </c>
      <c r="O333" s="7" t="n">
        <v>-33.793034</v>
      </c>
      <c r="P333" s="7" t="n">
        <v>151.264143</v>
      </c>
    </row>
    <row r="334" customFormat="false" ht="15" hidden="false" customHeight="false" outlineLevel="0" collapsed="false">
      <c r="A334" s="7" t="n">
        <v>333</v>
      </c>
      <c r="B334" s="7"/>
      <c r="C334" s="7" t="s">
        <v>548</v>
      </c>
      <c r="D334" s="7" t="n">
        <v>2093</v>
      </c>
      <c r="E334" s="7" t="s">
        <v>50</v>
      </c>
      <c r="F334" s="10" t="b">
        <f aca="false">FALSE()</f>
        <v>0</v>
      </c>
      <c r="G334" s="7" t="s">
        <v>286</v>
      </c>
      <c r="H334" s="7" t="s">
        <v>239</v>
      </c>
      <c r="I334" s="7" t="n">
        <v>4</v>
      </c>
      <c r="J334" s="7" t="s">
        <v>107</v>
      </c>
      <c r="K334" s="7" t="s">
        <v>108</v>
      </c>
      <c r="L334" s="7" t="n">
        <v>22</v>
      </c>
      <c r="M334" s="10" t="b">
        <f aca="false">FALSE()</f>
        <v>0</v>
      </c>
      <c r="N334" s="7" t="s">
        <v>109</v>
      </c>
      <c r="O334" s="7" t="n">
        <v>-33.793153</v>
      </c>
      <c r="P334" s="7" t="n">
        <v>151.264116</v>
      </c>
    </row>
    <row r="335" customFormat="false" ht="15" hidden="false" customHeight="false" outlineLevel="0" collapsed="false">
      <c r="A335" s="7" t="n">
        <v>334</v>
      </c>
      <c r="B335" s="7"/>
      <c r="C335" s="7" t="s">
        <v>549</v>
      </c>
      <c r="D335" s="7" t="n">
        <v>2779</v>
      </c>
      <c r="E335" s="7" t="s">
        <v>50</v>
      </c>
      <c r="F335" s="10" t="b">
        <f aca="false">FALSE()</f>
        <v>0</v>
      </c>
      <c r="G335" s="7" t="s">
        <v>306</v>
      </c>
      <c r="H335" s="7" t="s">
        <v>330</v>
      </c>
      <c r="I335" s="7" t="n">
        <v>2</v>
      </c>
      <c r="J335" s="7" t="s">
        <v>71</v>
      </c>
      <c r="K335" s="7" t="s">
        <v>213</v>
      </c>
      <c r="L335" s="7" t="n">
        <v>125</v>
      </c>
      <c r="M335" s="10" t="b">
        <f aca="false">FALSE()</f>
        <v>0</v>
      </c>
      <c r="N335" s="7" t="s">
        <v>268</v>
      </c>
      <c r="O335" s="7" t="n">
        <v>-33.721133</v>
      </c>
      <c r="P335" s="7" t="n">
        <v>150.452107</v>
      </c>
    </row>
    <row r="336" customFormat="false" ht="15" hidden="false" customHeight="false" outlineLevel="0" collapsed="false">
      <c r="A336" s="7" t="n">
        <v>335</v>
      </c>
      <c r="B336" s="7"/>
      <c r="C336" s="7" t="s">
        <v>550</v>
      </c>
      <c r="D336" s="7" t="n">
        <v>2170</v>
      </c>
      <c r="E336" s="7" t="s">
        <v>50</v>
      </c>
      <c r="F336" s="10" t="b">
        <f aca="false">FALSE()</f>
        <v>0</v>
      </c>
      <c r="G336" s="7" t="s">
        <v>130</v>
      </c>
      <c r="H336" s="7" t="s">
        <v>244</v>
      </c>
      <c r="I336" s="7" t="n">
        <v>4</v>
      </c>
      <c r="J336" s="7" t="s">
        <v>71</v>
      </c>
      <c r="K336" s="7" t="s">
        <v>234</v>
      </c>
      <c r="L336" s="7" t="n">
        <v>150</v>
      </c>
      <c r="M336" s="10" t="b">
        <f aca="false">FALSE()</f>
        <v>0</v>
      </c>
      <c r="N336" s="7" t="s">
        <v>268</v>
      </c>
      <c r="O336" s="7" t="n">
        <v>-33.952248</v>
      </c>
      <c r="P336" s="7" t="n">
        <v>150.855753</v>
      </c>
    </row>
    <row r="337" customFormat="false" ht="15" hidden="false" customHeight="false" outlineLevel="0" collapsed="false">
      <c r="A337" s="7" t="n">
        <v>336</v>
      </c>
      <c r="B337" s="7"/>
      <c r="C337" s="7" t="s">
        <v>551</v>
      </c>
      <c r="D337" s="7" t="n">
        <v>2066</v>
      </c>
      <c r="E337" s="7" t="s">
        <v>50</v>
      </c>
      <c r="F337" s="10" t="b">
        <f aca="false">FALSE()</f>
        <v>0</v>
      </c>
      <c r="G337" s="7" t="s">
        <v>389</v>
      </c>
      <c r="H337" s="7" t="s">
        <v>260</v>
      </c>
      <c r="I337" s="7" t="n">
        <v>1</v>
      </c>
      <c r="J337" s="7" t="s">
        <v>107</v>
      </c>
      <c r="K337" s="7" t="s">
        <v>108</v>
      </c>
      <c r="L337" s="7" t="n">
        <v>22</v>
      </c>
      <c r="M337" s="10" t="b">
        <f aca="false">FALSE()</f>
        <v>0</v>
      </c>
      <c r="N337" s="7" t="s">
        <v>109</v>
      </c>
      <c r="O337" s="7" t="n">
        <v>-33.810182</v>
      </c>
      <c r="P337" s="7" t="n">
        <v>151.146065</v>
      </c>
    </row>
    <row r="338" customFormat="false" ht="15" hidden="false" customHeight="false" outlineLevel="0" collapsed="false">
      <c r="A338" s="7" t="n">
        <v>337</v>
      </c>
      <c r="B338" s="7"/>
      <c r="C338" s="7" t="s">
        <v>552</v>
      </c>
      <c r="D338" s="7" t="n">
        <v>2534</v>
      </c>
      <c r="E338" s="7" t="s">
        <v>50</v>
      </c>
      <c r="F338" s="10" t="b">
        <f aca="false">FALSE()</f>
        <v>0</v>
      </c>
      <c r="G338" s="7" t="s">
        <v>446</v>
      </c>
      <c r="H338" s="7" t="s">
        <v>260</v>
      </c>
      <c r="I338" s="7" t="n">
        <v>2</v>
      </c>
      <c r="J338" s="7" t="s">
        <v>107</v>
      </c>
      <c r="K338" s="7" t="s">
        <v>277</v>
      </c>
      <c r="L338" s="7" t="n">
        <v>6</v>
      </c>
      <c r="M338" s="10" t="b">
        <f aca="false">FALSE()</f>
        <v>0</v>
      </c>
      <c r="N338" s="7" t="s">
        <v>109</v>
      </c>
      <c r="O338" s="7" t="n">
        <v>-34.742446</v>
      </c>
      <c r="P338" s="7" t="n">
        <v>150.831547</v>
      </c>
    </row>
    <row r="339" customFormat="false" ht="15" hidden="false" customHeight="false" outlineLevel="0" collapsed="false">
      <c r="A339" s="7" t="n">
        <v>338</v>
      </c>
      <c r="B339" s="7"/>
      <c r="C339" s="7" t="s">
        <v>553</v>
      </c>
      <c r="D339" s="7" t="n">
        <v>2144</v>
      </c>
      <c r="E339" s="7" t="s">
        <v>50</v>
      </c>
      <c r="F339" s="10" t="b">
        <f aca="false">FALSE()</f>
        <v>0</v>
      </c>
      <c r="G339" s="7" t="s">
        <v>554</v>
      </c>
      <c r="H339" s="7" t="s">
        <v>239</v>
      </c>
      <c r="I339" s="7" t="n">
        <v>2</v>
      </c>
      <c r="J339" s="7" t="s">
        <v>107</v>
      </c>
      <c r="K339" s="7" t="s">
        <v>108</v>
      </c>
      <c r="L339" s="7" t="n">
        <v>22</v>
      </c>
      <c r="M339" s="10" t="b">
        <f aca="false">FALSE()</f>
        <v>0</v>
      </c>
      <c r="N339" s="7" t="s">
        <v>109</v>
      </c>
      <c r="O339" s="7" t="n">
        <v>-33.836954</v>
      </c>
      <c r="P339" s="7" t="n">
        <v>151.027035</v>
      </c>
    </row>
    <row r="340" customFormat="false" ht="15" hidden="false" customHeight="false" outlineLevel="0" collapsed="false">
      <c r="A340" s="7" t="n">
        <v>339</v>
      </c>
      <c r="B340" s="7"/>
      <c r="C340" s="7" t="s">
        <v>555</v>
      </c>
      <c r="D340" s="7" t="n">
        <v>2203</v>
      </c>
      <c r="E340" s="7" t="s">
        <v>50</v>
      </c>
      <c r="F340" s="10" t="b">
        <f aca="false">FALSE()</f>
        <v>0</v>
      </c>
      <c r="G340" s="7" t="s">
        <v>410</v>
      </c>
      <c r="H340" s="7" t="s">
        <v>556</v>
      </c>
      <c r="I340" s="7" t="n">
        <v>2</v>
      </c>
      <c r="J340" s="7" t="s">
        <v>107</v>
      </c>
      <c r="K340" s="7" t="s">
        <v>108</v>
      </c>
      <c r="L340" s="7" t="n">
        <v>22</v>
      </c>
      <c r="M340" s="10" t="b">
        <f aca="false">FALSE()</f>
        <v>0</v>
      </c>
      <c r="N340" s="7" t="s">
        <v>557</v>
      </c>
      <c r="O340" s="7" t="n">
        <v>-33.909859</v>
      </c>
      <c r="P340" s="7" t="n">
        <v>151.141688</v>
      </c>
    </row>
    <row r="341" customFormat="false" ht="15" hidden="false" customHeight="false" outlineLevel="0" collapsed="false">
      <c r="A341" s="7" t="n">
        <v>340</v>
      </c>
      <c r="B341" s="7"/>
      <c r="C341" s="7" t="s">
        <v>558</v>
      </c>
      <c r="D341" s="7" t="n">
        <v>2016</v>
      </c>
      <c r="E341" s="7" t="s">
        <v>50</v>
      </c>
      <c r="F341" s="10" t="b">
        <f aca="false">FALSE()</f>
        <v>0</v>
      </c>
      <c r="G341" s="7" t="s">
        <v>182</v>
      </c>
      <c r="H341" s="7" t="s">
        <v>260</v>
      </c>
      <c r="I341" s="7" t="n">
        <v>10</v>
      </c>
      <c r="J341" s="7" t="s">
        <v>107</v>
      </c>
      <c r="K341" s="7" t="s">
        <v>108</v>
      </c>
      <c r="L341" s="7" t="n">
        <v>22</v>
      </c>
      <c r="M341" s="10" t="b">
        <f aca="false">FALSE()</f>
        <v>0</v>
      </c>
      <c r="N341" s="7" t="s">
        <v>109</v>
      </c>
      <c r="O341" s="7" t="n">
        <v>-33.893462</v>
      </c>
      <c r="P341" s="7" t="n">
        <v>151.212338</v>
      </c>
    </row>
    <row r="342" customFormat="false" ht="15" hidden="false" customHeight="false" outlineLevel="0" collapsed="false">
      <c r="A342" s="7" t="n">
        <v>341</v>
      </c>
      <c r="B342" s="7"/>
      <c r="C342" s="7" t="s">
        <v>559</v>
      </c>
      <c r="D342" s="7" t="n">
        <v>2015</v>
      </c>
      <c r="E342" s="7" t="s">
        <v>50</v>
      </c>
      <c r="F342" s="10" t="b">
        <f aca="false">FALSE()</f>
        <v>0</v>
      </c>
      <c r="G342" s="7" t="s">
        <v>182</v>
      </c>
      <c r="H342" s="7" t="s">
        <v>239</v>
      </c>
      <c r="I342" s="7" t="n">
        <v>1</v>
      </c>
      <c r="J342" s="7" t="s">
        <v>107</v>
      </c>
      <c r="K342" s="7" t="s">
        <v>108</v>
      </c>
      <c r="L342" s="7" t="n">
        <v>22</v>
      </c>
      <c r="M342" s="10" t="b">
        <f aca="false">FALSE()</f>
        <v>0</v>
      </c>
      <c r="N342" s="7" t="s">
        <v>109</v>
      </c>
      <c r="O342" s="7" t="n">
        <v>-33.89589</v>
      </c>
      <c r="P342" s="7" t="n">
        <v>151.196056</v>
      </c>
    </row>
    <row r="343" customFormat="false" ht="15" hidden="false" customHeight="false" outlineLevel="0" collapsed="false">
      <c r="A343" s="7" t="n">
        <v>342</v>
      </c>
      <c r="B343" s="7"/>
      <c r="C343" s="7" t="s">
        <v>560</v>
      </c>
      <c r="D343" s="7" t="n">
        <v>2036</v>
      </c>
      <c r="E343" s="7" t="s">
        <v>50</v>
      </c>
      <c r="F343" s="10" t="b">
        <f aca="false">FALSE()</f>
        <v>0</v>
      </c>
      <c r="G343" s="7" t="s">
        <v>355</v>
      </c>
      <c r="H343" s="7" t="s">
        <v>244</v>
      </c>
      <c r="I343" s="7" t="n">
        <v>2</v>
      </c>
      <c r="J343" s="7" t="s">
        <v>71</v>
      </c>
      <c r="K343" s="7" t="s">
        <v>83</v>
      </c>
      <c r="L343" s="7" t="n">
        <v>75</v>
      </c>
      <c r="M343" s="10" t="b">
        <f aca="false">FALSE()</f>
        <v>0</v>
      </c>
      <c r="N343" s="7" t="s">
        <v>76</v>
      </c>
      <c r="O343" s="7" t="n">
        <v>-33.981025</v>
      </c>
      <c r="P343" s="7" t="n">
        <v>151.249709</v>
      </c>
    </row>
    <row r="344" customFormat="false" ht="15" hidden="false" customHeight="false" outlineLevel="0" collapsed="false">
      <c r="A344" s="7" t="n">
        <v>343</v>
      </c>
      <c r="B344" s="7"/>
      <c r="C344" s="7" t="s">
        <v>561</v>
      </c>
      <c r="D344" s="7" t="n">
        <v>2448</v>
      </c>
      <c r="E344" s="7" t="s">
        <v>50</v>
      </c>
      <c r="F344" s="10" t="b">
        <f aca="false">FALSE()</f>
        <v>0</v>
      </c>
      <c r="G344" s="7" t="s">
        <v>562</v>
      </c>
      <c r="H344" s="7" t="s">
        <v>233</v>
      </c>
      <c r="I344" s="7" t="n">
        <v>2</v>
      </c>
      <c r="J344" s="7" t="s">
        <v>71</v>
      </c>
      <c r="K344" s="7" t="s">
        <v>83</v>
      </c>
      <c r="L344" s="7" t="n">
        <v>75</v>
      </c>
      <c r="M344" s="10" t="b">
        <f aca="false">FALSE()</f>
        <v>0</v>
      </c>
      <c r="N344" s="7" t="s">
        <v>76</v>
      </c>
      <c r="O344" s="7" t="n">
        <v>-30.626753</v>
      </c>
      <c r="P344" s="7" t="n">
        <v>152.972473</v>
      </c>
    </row>
    <row r="345" customFormat="false" ht="15" hidden="false" customHeight="false" outlineLevel="0" collapsed="false">
      <c r="A345" s="7" t="n">
        <v>344</v>
      </c>
      <c r="B345" s="7"/>
      <c r="C345" s="7" t="s">
        <v>563</v>
      </c>
      <c r="D345" s="7" t="n">
        <v>2220</v>
      </c>
      <c r="E345" s="7" t="s">
        <v>50</v>
      </c>
      <c r="F345" s="10" t="b">
        <f aca="false">FALSE()</f>
        <v>0</v>
      </c>
      <c r="G345" s="7" t="s">
        <v>293</v>
      </c>
      <c r="H345" s="7" t="s">
        <v>260</v>
      </c>
      <c r="I345" s="7" t="n">
        <v>4</v>
      </c>
      <c r="J345" s="7" t="s">
        <v>107</v>
      </c>
      <c r="K345" s="7" t="s">
        <v>108</v>
      </c>
      <c r="L345" s="7" t="n">
        <v>22</v>
      </c>
      <c r="M345" s="10" t="b">
        <f aca="false">FALSE()</f>
        <v>0</v>
      </c>
      <c r="N345" s="7" t="s">
        <v>109</v>
      </c>
      <c r="O345" s="7" t="n">
        <v>-33.966037</v>
      </c>
      <c r="P345" s="7" t="n">
        <v>151.103671</v>
      </c>
    </row>
    <row r="346" customFormat="false" ht="15" hidden="false" customHeight="false" outlineLevel="0" collapsed="false">
      <c r="A346" s="7" t="n">
        <v>345</v>
      </c>
      <c r="B346" s="7"/>
      <c r="C346" s="7" t="s">
        <v>564</v>
      </c>
      <c r="D346" s="7" t="n">
        <v>2100</v>
      </c>
      <c r="E346" s="7" t="s">
        <v>50</v>
      </c>
      <c r="F346" s="10" t="b">
        <f aca="false">FALSE()</f>
        <v>0</v>
      </c>
      <c r="G346" s="7" t="s">
        <v>286</v>
      </c>
      <c r="H346" s="7" t="s">
        <v>230</v>
      </c>
      <c r="I346" s="7" t="n">
        <v>1</v>
      </c>
      <c r="J346" s="7" t="s">
        <v>107</v>
      </c>
      <c r="K346" s="7" t="s">
        <v>108</v>
      </c>
      <c r="L346" s="7" t="n">
        <v>22</v>
      </c>
      <c r="M346" s="10" t="b">
        <f aca="false">FALSE()</f>
        <v>0</v>
      </c>
      <c r="N346" s="7" t="s">
        <v>109</v>
      </c>
      <c r="O346" s="7" t="n">
        <v>-33.765559</v>
      </c>
      <c r="P346" s="7" t="n">
        <v>151.267214</v>
      </c>
    </row>
    <row r="347" customFormat="false" ht="15" hidden="false" customHeight="false" outlineLevel="0" collapsed="false">
      <c r="A347" s="7" t="n">
        <v>346</v>
      </c>
      <c r="B347" s="7"/>
      <c r="C347" s="7" t="s">
        <v>565</v>
      </c>
      <c r="D347" s="7" t="n">
        <v>2756</v>
      </c>
      <c r="E347" s="7" t="s">
        <v>50</v>
      </c>
      <c r="F347" s="10" t="b">
        <f aca="false">FALSE()</f>
        <v>0</v>
      </c>
      <c r="G347" s="7" t="s">
        <v>566</v>
      </c>
      <c r="H347" s="7" t="s">
        <v>260</v>
      </c>
      <c r="I347" s="7" t="n">
        <v>2</v>
      </c>
      <c r="J347" s="7" t="s">
        <v>71</v>
      </c>
      <c r="K347" s="7" t="s">
        <v>190</v>
      </c>
      <c r="L347" s="7" t="n">
        <v>60</v>
      </c>
      <c r="M347" s="10" t="b">
        <f aca="false">FALSE()</f>
        <v>0</v>
      </c>
      <c r="N347" s="7" t="s">
        <v>76</v>
      </c>
      <c r="O347" s="7" t="n">
        <v>-33.626763</v>
      </c>
      <c r="P347" s="7" t="n">
        <v>150.835348</v>
      </c>
    </row>
    <row r="348" customFormat="false" ht="15" hidden="false" customHeight="false" outlineLevel="0" collapsed="false">
      <c r="A348" s="7" t="n">
        <v>347</v>
      </c>
      <c r="B348" s="7"/>
      <c r="C348" s="7" t="s">
        <v>567</v>
      </c>
      <c r="D348" s="7" t="n">
        <v>2155</v>
      </c>
      <c r="E348" s="7" t="s">
        <v>50</v>
      </c>
      <c r="F348" s="10" t="b">
        <f aca="false">FALSE()</f>
        <v>0</v>
      </c>
      <c r="G348" s="7" t="s">
        <v>299</v>
      </c>
      <c r="H348" s="7" t="s">
        <v>237</v>
      </c>
      <c r="I348" s="7" t="n">
        <v>4</v>
      </c>
      <c r="J348" s="7" t="s">
        <v>107</v>
      </c>
      <c r="K348" s="7" t="s">
        <v>277</v>
      </c>
      <c r="L348" s="7" t="n">
        <v>6</v>
      </c>
      <c r="M348" s="10" t="b">
        <f aca="false">FALSE()</f>
        <v>0</v>
      </c>
      <c r="N348" s="7" t="s">
        <v>109</v>
      </c>
      <c r="O348" s="7" t="n">
        <v>-33.719123</v>
      </c>
      <c r="P348" s="7" t="n">
        <v>150.954418</v>
      </c>
    </row>
    <row r="349" customFormat="false" ht="15" hidden="false" customHeight="false" outlineLevel="0" collapsed="false">
      <c r="A349" s="7" t="n">
        <v>348</v>
      </c>
      <c r="B349" s="7"/>
      <c r="C349" s="7" t="s">
        <v>568</v>
      </c>
      <c r="D349" s="7" t="n">
        <v>2582</v>
      </c>
      <c r="E349" s="7" t="s">
        <v>50</v>
      </c>
      <c r="F349" s="10" t="b">
        <f aca="false">FALSE()</f>
        <v>0</v>
      </c>
      <c r="G349" s="7" t="s">
        <v>153</v>
      </c>
      <c r="H349" s="7" t="s">
        <v>244</v>
      </c>
      <c r="I349" s="7" t="n">
        <v>2</v>
      </c>
      <c r="J349" s="7" t="s">
        <v>71</v>
      </c>
      <c r="K349" s="7" t="s">
        <v>72</v>
      </c>
      <c r="L349" s="7" t="n">
        <v>50</v>
      </c>
      <c r="M349" s="10" t="b">
        <f aca="false">FALSE()</f>
        <v>0</v>
      </c>
      <c r="N349" s="7" t="s">
        <v>76</v>
      </c>
      <c r="O349" s="7" t="n">
        <v>-34.96936</v>
      </c>
      <c r="P349" s="7" t="n">
        <v>149.03</v>
      </c>
    </row>
    <row r="350" customFormat="false" ht="15" hidden="false" customHeight="false" outlineLevel="0" collapsed="false">
      <c r="A350" s="7" t="n">
        <v>349</v>
      </c>
      <c r="B350" s="7"/>
      <c r="C350" s="7" t="s">
        <v>569</v>
      </c>
      <c r="D350" s="7" t="n">
        <v>2015</v>
      </c>
      <c r="E350" s="7" t="s">
        <v>50</v>
      </c>
      <c r="F350" s="10" t="b">
        <f aca="false">FALSE()</f>
        <v>0</v>
      </c>
      <c r="G350" s="7" t="s">
        <v>182</v>
      </c>
      <c r="H350" s="7" t="s">
        <v>302</v>
      </c>
      <c r="I350" s="7" t="n">
        <v>2</v>
      </c>
      <c r="J350" s="7" t="s">
        <v>107</v>
      </c>
      <c r="K350" s="7" t="s">
        <v>108</v>
      </c>
      <c r="L350" s="7" t="n">
        <v>22</v>
      </c>
      <c r="M350" s="10" t="b">
        <f aca="false">FALSE()</f>
        <v>0</v>
      </c>
      <c r="N350" s="7" t="s">
        <v>109</v>
      </c>
      <c r="O350" s="7" t="n">
        <v>-33.910453</v>
      </c>
      <c r="P350" s="7" t="n">
        <v>151.194203</v>
      </c>
    </row>
    <row r="351" customFormat="false" ht="15" hidden="false" customHeight="false" outlineLevel="0" collapsed="false">
      <c r="A351" s="7" t="n">
        <v>350</v>
      </c>
      <c r="B351" s="7"/>
      <c r="C351" s="7" t="s">
        <v>570</v>
      </c>
      <c r="D351" s="7" t="n">
        <v>2529</v>
      </c>
      <c r="E351" s="7" t="s">
        <v>50</v>
      </c>
      <c r="F351" s="10" t="b">
        <f aca="false">FALSE()</f>
        <v>0</v>
      </c>
      <c r="G351" s="7" t="s">
        <v>316</v>
      </c>
      <c r="H351" s="7" t="s">
        <v>237</v>
      </c>
      <c r="I351" s="7" t="n">
        <v>1</v>
      </c>
      <c r="J351" s="7" t="s">
        <v>107</v>
      </c>
      <c r="K351" s="7" t="s">
        <v>277</v>
      </c>
      <c r="L351" s="7" t="n">
        <v>6</v>
      </c>
      <c r="M351" s="10" t="b">
        <f aca="false">FALSE()</f>
        <v>0</v>
      </c>
      <c r="N351" s="7" t="s">
        <v>109</v>
      </c>
      <c r="O351" s="7" t="n">
        <v>-34.581151</v>
      </c>
      <c r="P351" s="7" t="n">
        <v>150.873067</v>
      </c>
    </row>
    <row r="352" customFormat="false" ht="15" hidden="false" customHeight="false" outlineLevel="0" collapsed="false">
      <c r="A352" s="7" t="n">
        <v>351</v>
      </c>
      <c r="B352" s="7"/>
      <c r="C352" s="7" t="s">
        <v>571</v>
      </c>
      <c r="D352" s="7" t="n">
        <v>2794</v>
      </c>
      <c r="E352" s="7" t="s">
        <v>50</v>
      </c>
      <c r="F352" s="10" t="b">
        <f aca="false">FALSE()</f>
        <v>0</v>
      </c>
      <c r="G352" s="7" t="s">
        <v>143</v>
      </c>
      <c r="H352" s="7" t="s">
        <v>398</v>
      </c>
      <c r="I352" s="7" t="n">
        <v>2</v>
      </c>
      <c r="J352" s="7" t="s">
        <v>107</v>
      </c>
      <c r="K352" s="7" t="s">
        <v>108</v>
      </c>
      <c r="L352" s="7" t="n">
        <v>22</v>
      </c>
      <c r="M352" s="10" t="b">
        <f aca="false">FALSE()</f>
        <v>0</v>
      </c>
      <c r="N352" s="7" t="s">
        <v>109</v>
      </c>
      <c r="O352" s="7" t="n">
        <v>-33.835275</v>
      </c>
      <c r="P352" s="7" t="n">
        <v>148.681179</v>
      </c>
    </row>
    <row r="353" customFormat="false" ht="15" hidden="false" customHeight="false" outlineLevel="0" collapsed="false">
      <c r="A353" s="7" t="n">
        <v>352</v>
      </c>
      <c r="B353" s="7"/>
      <c r="C353" s="7" t="s">
        <v>571</v>
      </c>
      <c r="D353" s="7" t="n">
        <v>2794</v>
      </c>
      <c r="E353" s="7" t="s">
        <v>50</v>
      </c>
      <c r="F353" s="10" t="b">
        <f aca="false">FALSE()</f>
        <v>0</v>
      </c>
      <c r="G353" s="7" t="s">
        <v>143</v>
      </c>
      <c r="H353" s="7" t="s">
        <v>239</v>
      </c>
      <c r="I353" s="7" t="n">
        <v>2</v>
      </c>
      <c r="J353" s="7" t="s">
        <v>107</v>
      </c>
      <c r="K353" s="7" t="s">
        <v>108</v>
      </c>
      <c r="L353" s="7" t="n">
        <v>22</v>
      </c>
      <c r="M353" s="10" t="b">
        <f aca="false">FALSE()</f>
        <v>0</v>
      </c>
      <c r="N353" s="7" t="s">
        <v>109</v>
      </c>
      <c r="O353" s="7" t="n">
        <v>-33.835479</v>
      </c>
      <c r="P353" s="7" t="n">
        <v>148.681728</v>
      </c>
    </row>
    <row r="354" customFormat="false" ht="15" hidden="false" customHeight="false" outlineLevel="0" collapsed="false">
      <c r="A354" s="7" t="n">
        <v>353</v>
      </c>
      <c r="B354" s="7"/>
      <c r="C354" s="7" t="s">
        <v>572</v>
      </c>
      <c r="D354" s="7" t="n">
        <v>2066</v>
      </c>
      <c r="E354" s="7" t="s">
        <v>50</v>
      </c>
      <c r="F354" s="10" t="b">
        <f aca="false">FALSE()</f>
        <v>0</v>
      </c>
      <c r="G354" s="7" t="s">
        <v>389</v>
      </c>
      <c r="H354" s="7" t="s">
        <v>260</v>
      </c>
      <c r="I354" s="7" t="n">
        <v>2</v>
      </c>
      <c r="J354" s="7" t="s">
        <v>107</v>
      </c>
      <c r="K354" s="7" t="s">
        <v>108</v>
      </c>
      <c r="L354" s="7" t="n">
        <v>22</v>
      </c>
      <c r="M354" s="10" t="b">
        <f aca="false">FALSE()</f>
        <v>0</v>
      </c>
      <c r="N354" s="7" t="s">
        <v>109</v>
      </c>
      <c r="O354" s="7" t="n">
        <v>-33.813891</v>
      </c>
      <c r="P354" s="7" t="n">
        <v>151.170788</v>
      </c>
    </row>
    <row r="355" customFormat="false" ht="15" hidden="false" customHeight="false" outlineLevel="0" collapsed="false">
      <c r="A355" s="7" t="n">
        <v>354</v>
      </c>
      <c r="B355" s="7"/>
      <c r="C355" s="7" t="s">
        <v>573</v>
      </c>
      <c r="D355" s="7" t="n">
        <v>2444</v>
      </c>
      <c r="E355" s="7" t="s">
        <v>50</v>
      </c>
      <c r="F355" s="10" t="b">
        <f aca="false">FALSE()</f>
        <v>0</v>
      </c>
      <c r="G355" s="7" t="s">
        <v>135</v>
      </c>
      <c r="H355" s="7" t="s">
        <v>239</v>
      </c>
      <c r="I355" s="7" t="n">
        <v>2</v>
      </c>
      <c r="J355" s="7" t="s">
        <v>107</v>
      </c>
      <c r="K355" s="7" t="s">
        <v>108</v>
      </c>
      <c r="L355" s="7" t="n">
        <v>22</v>
      </c>
      <c r="M355" s="10" t="b">
        <f aca="false">FALSE()</f>
        <v>0</v>
      </c>
      <c r="N355" s="7" t="s">
        <v>109</v>
      </c>
      <c r="O355" s="7" t="n">
        <v>-31.428139</v>
      </c>
      <c r="P355" s="7" t="n">
        <v>152.910901</v>
      </c>
    </row>
    <row r="356" customFormat="false" ht="15" hidden="false" customHeight="false" outlineLevel="0" collapsed="false">
      <c r="A356" s="7" t="n">
        <v>355</v>
      </c>
      <c r="B356" s="7"/>
      <c r="C356" s="7" t="s">
        <v>574</v>
      </c>
      <c r="D356" s="7" t="n">
        <v>2439</v>
      </c>
      <c r="E356" s="7" t="s">
        <v>50</v>
      </c>
      <c r="F356" s="10" t="b">
        <f aca="false">FALSE()</f>
        <v>0</v>
      </c>
      <c r="G356" s="7" t="s">
        <v>135</v>
      </c>
      <c r="H356" s="7" t="s">
        <v>239</v>
      </c>
      <c r="I356" s="7" t="n">
        <v>8</v>
      </c>
      <c r="J356" s="7" t="s">
        <v>71</v>
      </c>
      <c r="K356" s="7" t="s">
        <v>250</v>
      </c>
      <c r="L356" s="7" t="n">
        <v>250</v>
      </c>
      <c r="M356" s="10" t="b">
        <f aca="false">FALSE()</f>
        <v>0</v>
      </c>
      <c r="N356" s="7" t="s">
        <v>76</v>
      </c>
      <c r="O356" s="7" t="n">
        <v>-31.63426</v>
      </c>
      <c r="P356" s="7" t="n">
        <v>152.72505</v>
      </c>
    </row>
    <row r="357" customFormat="false" ht="15" hidden="false" customHeight="false" outlineLevel="0" collapsed="false">
      <c r="A357" s="7" t="n">
        <v>356</v>
      </c>
      <c r="B357" s="7"/>
      <c r="C357" s="7" t="s">
        <v>575</v>
      </c>
      <c r="D357" s="7" t="n">
        <v>2217</v>
      </c>
      <c r="E357" s="7" t="s">
        <v>50</v>
      </c>
      <c r="F357" s="10" t="b">
        <f aca="false">FALSE()</f>
        <v>0</v>
      </c>
      <c r="G357" s="7" t="s">
        <v>293</v>
      </c>
      <c r="H357" s="7" t="s">
        <v>287</v>
      </c>
      <c r="I357" s="7" t="n">
        <v>2</v>
      </c>
      <c r="J357" s="7" t="s">
        <v>71</v>
      </c>
      <c r="K357" s="7" t="s">
        <v>288</v>
      </c>
      <c r="L357" s="7" t="n">
        <v>25</v>
      </c>
      <c r="M357" s="10" t="b">
        <f aca="false">FALSE()</f>
        <v>0</v>
      </c>
      <c r="N357" s="7" t="s">
        <v>76</v>
      </c>
      <c r="O357" s="7" t="n">
        <v>-33.962422</v>
      </c>
      <c r="P357" s="7" t="n">
        <v>151.134321</v>
      </c>
    </row>
    <row r="358" customFormat="false" ht="15" hidden="false" customHeight="false" outlineLevel="0" collapsed="false">
      <c r="A358" s="7" t="n">
        <v>357</v>
      </c>
      <c r="B358" s="7"/>
      <c r="C358" s="7" t="s">
        <v>576</v>
      </c>
      <c r="D358" s="7" t="n">
        <v>2000</v>
      </c>
      <c r="E358" s="7" t="s">
        <v>50</v>
      </c>
      <c r="F358" s="10" t="b">
        <f aca="false">FALSE()</f>
        <v>0</v>
      </c>
      <c r="G358" s="7" t="s">
        <v>182</v>
      </c>
      <c r="H358" s="7" t="s">
        <v>239</v>
      </c>
      <c r="I358" s="7" t="n">
        <v>6</v>
      </c>
      <c r="J358" s="7" t="s">
        <v>107</v>
      </c>
      <c r="K358" s="7" t="s">
        <v>240</v>
      </c>
      <c r="L358" s="7" t="n">
        <v>19</v>
      </c>
      <c r="M358" s="10" t="b">
        <f aca="false">FALSE()</f>
        <v>0</v>
      </c>
      <c r="N358" s="7" t="s">
        <v>109</v>
      </c>
      <c r="O358" s="7" t="n">
        <v>-33.879692</v>
      </c>
      <c r="P358" s="7" t="n">
        <v>151.202719</v>
      </c>
    </row>
    <row r="359" customFormat="false" ht="15" hidden="false" customHeight="false" outlineLevel="0" collapsed="false">
      <c r="A359" s="7" t="n">
        <v>358</v>
      </c>
      <c r="B359" s="7"/>
      <c r="C359" s="7" t="s">
        <v>577</v>
      </c>
      <c r="D359" s="7" t="n">
        <v>2023</v>
      </c>
      <c r="E359" s="7" t="s">
        <v>50</v>
      </c>
      <c r="F359" s="10" t="b">
        <f aca="false">FALSE()</f>
        <v>0</v>
      </c>
      <c r="G359" s="7" t="s">
        <v>272</v>
      </c>
      <c r="H359" s="7" t="s">
        <v>237</v>
      </c>
      <c r="I359" s="7" t="n">
        <v>2</v>
      </c>
      <c r="J359" s="7" t="s">
        <v>71</v>
      </c>
      <c r="K359" s="7" t="s">
        <v>578</v>
      </c>
      <c r="L359" s="7" t="n">
        <v>40</v>
      </c>
      <c r="M359" s="10" t="b">
        <f aca="false">FALSE()</f>
        <v>0</v>
      </c>
      <c r="N359" s="7" t="s">
        <v>76</v>
      </c>
      <c r="O359" s="7" t="n">
        <v>-33.885789</v>
      </c>
      <c r="P359" s="7" t="n">
        <v>151.257326</v>
      </c>
    </row>
    <row r="360" customFormat="false" ht="15" hidden="false" customHeight="false" outlineLevel="0" collapsed="false">
      <c r="A360" s="7" t="n">
        <v>359</v>
      </c>
      <c r="B360" s="7"/>
      <c r="C360" s="7" t="s">
        <v>579</v>
      </c>
      <c r="D360" s="7" t="n">
        <v>2500</v>
      </c>
      <c r="E360" s="7" t="s">
        <v>50</v>
      </c>
      <c r="F360" s="10" t="b">
        <f aca="false">FALSE()</f>
        <v>0</v>
      </c>
      <c r="G360" s="7" t="s">
        <v>102</v>
      </c>
      <c r="H360" s="7" t="s">
        <v>237</v>
      </c>
      <c r="I360" s="7" t="n">
        <v>4</v>
      </c>
      <c r="J360" s="7" t="s">
        <v>107</v>
      </c>
      <c r="K360" s="7" t="s">
        <v>108</v>
      </c>
      <c r="L360" s="7" t="n">
        <v>22</v>
      </c>
      <c r="M360" s="10" t="b">
        <f aca="false">FALSE()</f>
        <v>0</v>
      </c>
      <c r="N360" s="7" t="s">
        <v>109</v>
      </c>
      <c r="O360" s="7" t="n">
        <v>-34.404056</v>
      </c>
      <c r="P360" s="7" t="n">
        <v>150.874529</v>
      </c>
    </row>
    <row r="361" customFormat="false" ht="15" hidden="false" customHeight="false" outlineLevel="0" collapsed="false">
      <c r="A361" s="7" t="n">
        <v>360</v>
      </c>
      <c r="B361" s="7"/>
      <c r="C361" s="7" t="s">
        <v>580</v>
      </c>
      <c r="D361" s="7" t="n">
        <v>2066</v>
      </c>
      <c r="E361" s="7" t="s">
        <v>50</v>
      </c>
      <c r="F361" s="10" t="b">
        <f aca="false">FALSE()</f>
        <v>0</v>
      </c>
      <c r="G361" s="7" t="s">
        <v>389</v>
      </c>
      <c r="H361" s="7" t="s">
        <v>244</v>
      </c>
      <c r="I361" s="7" t="n">
        <v>4</v>
      </c>
      <c r="J361" s="7" t="s">
        <v>71</v>
      </c>
      <c r="K361" s="7" t="s">
        <v>72</v>
      </c>
      <c r="L361" s="7" t="n">
        <v>50</v>
      </c>
      <c r="M361" s="10" t="b">
        <f aca="false">FALSE()</f>
        <v>0</v>
      </c>
      <c r="N361" s="7" t="s">
        <v>268</v>
      </c>
      <c r="O361" s="7" t="n">
        <v>-33.813936</v>
      </c>
      <c r="P361" s="7" t="n">
        <v>151.169298</v>
      </c>
    </row>
    <row r="362" customFormat="false" ht="15" hidden="false" customHeight="false" outlineLevel="0" collapsed="false">
      <c r="A362" s="7" t="n">
        <v>361</v>
      </c>
      <c r="B362" s="7"/>
      <c r="C362" s="7" t="s">
        <v>581</v>
      </c>
      <c r="D362" s="7" t="n">
        <v>2066</v>
      </c>
      <c r="E362" s="7" t="s">
        <v>50</v>
      </c>
      <c r="F362" s="10" t="b">
        <f aca="false">FALSE()</f>
        <v>0</v>
      </c>
      <c r="G362" s="7" t="s">
        <v>389</v>
      </c>
      <c r="H362" s="7" t="s">
        <v>239</v>
      </c>
      <c r="I362" s="7" t="n">
        <v>3</v>
      </c>
      <c r="J362" s="7" t="s">
        <v>107</v>
      </c>
      <c r="K362" s="7" t="s">
        <v>240</v>
      </c>
      <c r="L362" s="7" t="n">
        <v>19</v>
      </c>
      <c r="M362" s="10" t="b">
        <f aca="false">FALSE()</f>
        <v>0</v>
      </c>
      <c r="N362" s="7" t="s">
        <v>109</v>
      </c>
      <c r="O362" s="7" t="n">
        <v>-33.813751</v>
      </c>
      <c r="P362" s="7" t="n">
        <v>151.168779</v>
      </c>
    </row>
    <row r="363" customFormat="false" ht="15" hidden="false" customHeight="false" outlineLevel="0" collapsed="false">
      <c r="A363" s="7" t="n">
        <v>362</v>
      </c>
      <c r="B363" s="7"/>
      <c r="C363" s="7" t="s">
        <v>582</v>
      </c>
      <c r="D363" s="7" t="n">
        <v>2768</v>
      </c>
      <c r="E363" s="7" t="s">
        <v>50</v>
      </c>
      <c r="F363" s="10" t="b">
        <f aca="false">FALSE()</f>
        <v>0</v>
      </c>
      <c r="G363" s="7" t="s">
        <v>232</v>
      </c>
      <c r="H363" s="7" t="s">
        <v>239</v>
      </c>
      <c r="I363" s="7" t="n">
        <v>3</v>
      </c>
      <c r="J363" s="7" t="s">
        <v>107</v>
      </c>
      <c r="K363" s="7" t="s">
        <v>108</v>
      </c>
      <c r="L363" s="7" t="n">
        <v>22</v>
      </c>
      <c r="M363" s="10" t="b">
        <f aca="false">FALSE()</f>
        <v>0</v>
      </c>
      <c r="N363" s="7" t="s">
        <v>109</v>
      </c>
      <c r="O363" s="7" t="n">
        <v>-33.718792</v>
      </c>
      <c r="P363" s="7" t="n">
        <v>150.920671</v>
      </c>
    </row>
    <row r="364" customFormat="false" ht="15" hidden="false" customHeight="false" outlineLevel="0" collapsed="false">
      <c r="A364" s="7" t="n">
        <v>363</v>
      </c>
      <c r="B364" s="7"/>
      <c r="C364" s="7" t="s">
        <v>582</v>
      </c>
      <c r="D364" s="7" t="n">
        <v>2768</v>
      </c>
      <c r="E364" s="7" t="s">
        <v>50</v>
      </c>
      <c r="F364" s="10" t="b">
        <f aca="false">FALSE()</f>
        <v>0</v>
      </c>
      <c r="G364" s="7" t="s">
        <v>232</v>
      </c>
      <c r="H364" s="7" t="s">
        <v>237</v>
      </c>
      <c r="I364" s="7" t="n">
        <v>4</v>
      </c>
      <c r="J364" s="7" t="s">
        <v>71</v>
      </c>
      <c r="K364" s="7" t="s">
        <v>578</v>
      </c>
      <c r="L364" s="7" t="n">
        <v>40</v>
      </c>
      <c r="M364" s="10" t="b">
        <f aca="false">FALSE()</f>
        <v>0</v>
      </c>
      <c r="N364" s="7" t="s">
        <v>76</v>
      </c>
      <c r="O364" s="7" t="n">
        <v>-33.719844</v>
      </c>
      <c r="P364" s="7" t="n">
        <v>150.918979</v>
      </c>
    </row>
    <row r="365" customFormat="false" ht="15" hidden="false" customHeight="false" outlineLevel="0" collapsed="false">
      <c r="A365" s="7" t="n">
        <v>364</v>
      </c>
      <c r="B365" s="7"/>
      <c r="C365" s="7" t="s">
        <v>583</v>
      </c>
      <c r="D365" s="7" t="n">
        <v>2539</v>
      </c>
      <c r="E365" s="7" t="s">
        <v>50</v>
      </c>
      <c r="F365" s="10" t="b">
        <f aca="false">FALSE()</f>
        <v>0</v>
      </c>
      <c r="G365" s="7" t="s">
        <v>92</v>
      </c>
      <c r="H365" s="7" t="s">
        <v>239</v>
      </c>
      <c r="I365" s="7" t="n">
        <v>3</v>
      </c>
      <c r="J365" s="7" t="s">
        <v>107</v>
      </c>
      <c r="K365" s="7" t="s">
        <v>108</v>
      </c>
      <c r="L365" s="7" t="n">
        <v>22</v>
      </c>
      <c r="M365" s="10" t="b">
        <f aca="false">FALSE()</f>
        <v>0</v>
      </c>
      <c r="N365" s="7" t="s">
        <v>109</v>
      </c>
      <c r="O365" s="7" t="n">
        <v>-35.339701</v>
      </c>
      <c r="P365" s="7" t="n">
        <v>150.472731</v>
      </c>
    </row>
    <row r="366" customFormat="false" ht="15" hidden="false" customHeight="false" outlineLevel="0" collapsed="false">
      <c r="A366" s="7" t="n">
        <v>365</v>
      </c>
      <c r="B366" s="7"/>
      <c r="C366" s="7" t="s">
        <v>584</v>
      </c>
      <c r="D366" s="7" t="n">
        <v>2790</v>
      </c>
      <c r="E366" s="7" t="s">
        <v>50</v>
      </c>
      <c r="F366" s="10" t="b">
        <f aca="false">FALSE()</f>
        <v>0</v>
      </c>
      <c r="G366" s="7" t="s">
        <v>139</v>
      </c>
      <c r="H366" s="7" t="s">
        <v>244</v>
      </c>
      <c r="I366" s="7" t="n">
        <v>4</v>
      </c>
      <c r="J366" s="7" t="s">
        <v>71</v>
      </c>
      <c r="K366" s="7" t="s">
        <v>234</v>
      </c>
      <c r="L366" s="7" t="n">
        <v>150</v>
      </c>
      <c r="M366" s="10" t="b">
        <f aca="false">FALSE()</f>
        <v>0</v>
      </c>
      <c r="N366" s="7" t="s">
        <v>76</v>
      </c>
      <c r="O366" s="7" t="n">
        <v>-33.481849</v>
      </c>
      <c r="P366" s="7" t="n">
        <v>150.136181</v>
      </c>
    </row>
    <row r="367" customFormat="false" ht="15" hidden="false" customHeight="false" outlineLevel="0" collapsed="false">
      <c r="A367" s="7" t="n">
        <v>366</v>
      </c>
      <c r="B367" s="7"/>
      <c r="C367" s="7" t="s">
        <v>585</v>
      </c>
      <c r="D367" s="7" t="n">
        <v>2315</v>
      </c>
      <c r="E367" s="7" t="s">
        <v>50</v>
      </c>
      <c r="F367" s="10" t="b">
        <f aca="false">FALSE()</f>
        <v>0</v>
      </c>
      <c r="G367" s="7" t="s">
        <v>309</v>
      </c>
      <c r="H367" s="7" t="s">
        <v>237</v>
      </c>
      <c r="I367" s="7" t="n">
        <v>2</v>
      </c>
      <c r="J367" s="7" t="s">
        <v>107</v>
      </c>
      <c r="K367" s="7" t="s">
        <v>108</v>
      </c>
      <c r="L367" s="7" t="n">
        <v>22</v>
      </c>
      <c r="M367" s="10" t="b">
        <f aca="false">FALSE()</f>
        <v>0</v>
      </c>
      <c r="N367" s="7" t="s">
        <v>109</v>
      </c>
      <c r="O367" s="7" t="n">
        <v>-32.720761</v>
      </c>
      <c r="P367" s="7" t="n">
        <v>152.143499</v>
      </c>
    </row>
    <row r="368" customFormat="false" ht="15" hidden="false" customHeight="false" outlineLevel="0" collapsed="false">
      <c r="A368" s="7" t="n">
        <v>367</v>
      </c>
      <c r="B368" s="7"/>
      <c r="C368" s="7" t="s">
        <v>586</v>
      </c>
      <c r="D368" s="7" t="n">
        <v>2869</v>
      </c>
      <c r="E368" s="7" t="s">
        <v>50</v>
      </c>
      <c r="F368" s="10" t="b">
        <f aca="false">FALSE()</f>
        <v>0</v>
      </c>
      <c r="G368" s="7" t="s">
        <v>180</v>
      </c>
      <c r="H368" s="7" t="s">
        <v>239</v>
      </c>
      <c r="I368" s="7" t="n">
        <v>1</v>
      </c>
      <c r="J368" s="7" t="s">
        <v>107</v>
      </c>
      <c r="K368" s="7" t="s">
        <v>108</v>
      </c>
      <c r="L368" s="7" t="n">
        <v>22</v>
      </c>
      <c r="M368" s="10" t="b">
        <f aca="false">FALSE()</f>
        <v>0</v>
      </c>
      <c r="N368" s="7" t="s">
        <v>109</v>
      </c>
      <c r="O368" s="7" t="n">
        <v>-32.721249</v>
      </c>
      <c r="P368" s="7" t="n">
        <v>148.190815</v>
      </c>
    </row>
    <row r="369" customFormat="false" ht="15" hidden="false" customHeight="false" outlineLevel="0" collapsed="false">
      <c r="A369" s="7" t="n">
        <v>368</v>
      </c>
      <c r="B369" s="7"/>
      <c r="C369" s="7" t="s">
        <v>587</v>
      </c>
      <c r="D369" s="7" t="n">
        <v>2546</v>
      </c>
      <c r="E369" s="7" t="s">
        <v>50</v>
      </c>
      <c r="F369" s="10" t="b">
        <f aca="false">FALSE()</f>
        <v>0</v>
      </c>
      <c r="G369" s="7" t="s">
        <v>188</v>
      </c>
      <c r="H369" s="7" t="s">
        <v>239</v>
      </c>
      <c r="I369" s="7" t="n">
        <v>2</v>
      </c>
      <c r="J369" s="7" t="s">
        <v>107</v>
      </c>
      <c r="K369" s="7" t="s">
        <v>588</v>
      </c>
      <c r="L369" s="7" t="n">
        <v>17</v>
      </c>
      <c r="M369" s="10" t="b">
        <f aca="false">FALSE()</f>
        <v>0</v>
      </c>
      <c r="N369" s="7" t="s">
        <v>109</v>
      </c>
      <c r="O369" s="7" t="n">
        <v>-36.425913</v>
      </c>
      <c r="P369" s="7" t="n">
        <v>150.063471</v>
      </c>
    </row>
    <row r="370" customFormat="false" ht="15" hidden="false" customHeight="false" outlineLevel="0" collapsed="false">
      <c r="A370" s="7" t="n">
        <v>369</v>
      </c>
      <c r="B370" s="7"/>
      <c r="C370" s="7" t="s">
        <v>589</v>
      </c>
      <c r="D370" s="7" t="n">
        <v>2481</v>
      </c>
      <c r="E370" s="7" t="s">
        <v>50</v>
      </c>
      <c r="F370" s="10" t="b">
        <f aca="false">FALSE()</f>
        <v>0</v>
      </c>
      <c r="G370" s="7" t="s">
        <v>82</v>
      </c>
      <c r="H370" s="7" t="s">
        <v>239</v>
      </c>
      <c r="I370" s="7" t="n">
        <v>2</v>
      </c>
      <c r="J370" s="7" t="s">
        <v>107</v>
      </c>
      <c r="K370" s="7" t="s">
        <v>277</v>
      </c>
      <c r="L370" s="7" t="n">
        <v>6</v>
      </c>
      <c r="M370" s="10" t="b">
        <f aca="false">FALSE()</f>
        <v>0</v>
      </c>
      <c r="N370" s="7" t="s">
        <v>109</v>
      </c>
      <c r="O370" s="7" t="n">
        <v>-28.641668</v>
      </c>
      <c r="P370" s="7" t="n">
        <v>153.614685</v>
      </c>
    </row>
    <row r="371" customFormat="false" ht="15" hidden="false" customHeight="false" outlineLevel="0" collapsed="false">
      <c r="A371" s="7" t="n">
        <v>370</v>
      </c>
      <c r="B371" s="7"/>
      <c r="C371" s="7" t="s">
        <v>590</v>
      </c>
      <c r="D371" s="7" t="n">
        <v>2073</v>
      </c>
      <c r="E371" s="7" t="s">
        <v>50</v>
      </c>
      <c r="F371" s="10" t="b">
        <f aca="false">FALSE()</f>
        <v>0</v>
      </c>
      <c r="G371" s="7" t="s">
        <v>236</v>
      </c>
      <c r="H371" s="7" t="s">
        <v>237</v>
      </c>
      <c r="I371" s="7" t="n">
        <v>2</v>
      </c>
      <c r="J371" s="7" t="s">
        <v>107</v>
      </c>
      <c r="K371" s="7" t="s">
        <v>277</v>
      </c>
      <c r="L371" s="7" t="n">
        <v>6</v>
      </c>
      <c r="M371" s="10" t="b">
        <f aca="false">FALSE()</f>
        <v>0</v>
      </c>
      <c r="N371" s="7" t="s">
        <v>109</v>
      </c>
      <c r="O371" s="7" t="n">
        <v>-33.750684</v>
      </c>
      <c r="P371" s="7" t="n">
        <v>151.144646</v>
      </c>
    </row>
    <row r="372" customFormat="false" ht="15" hidden="false" customHeight="false" outlineLevel="0" collapsed="false">
      <c r="A372" s="7" t="n">
        <v>371</v>
      </c>
      <c r="B372" s="7"/>
      <c r="C372" s="7" t="s">
        <v>591</v>
      </c>
      <c r="D372" s="7" t="n">
        <v>2291</v>
      </c>
      <c r="E372" s="7" t="s">
        <v>50</v>
      </c>
      <c r="F372" s="10" t="b">
        <f aca="false">FALSE()</f>
        <v>0</v>
      </c>
      <c r="G372" s="7" t="s">
        <v>141</v>
      </c>
      <c r="H372" s="7" t="s">
        <v>302</v>
      </c>
      <c r="I372" s="7" t="n">
        <v>4</v>
      </c>
      <c r="J372" s="7" t="s">
        <v>107</v>
      </c>
      <c r="K372" s="7" t="s">
        <v>485</v>
      </c>
      <c r="L372" s="7" t="n">
        <v>11</v>
      </c>
      <c r="M372" s="10" t="b">
        <f aca="false">FALSE()</f>
        <v>0</v>
      </c>
      <c r="N372" s="7" t="s">
        <v>109</v>
      </c>
      <c r="O372" s="7" t="n">
        <v>-32.944765</v>
      </c>
      <c r="P372" s="7" t="n">
        <v>151.760536</v>
      </c>
    </row>
    <row r="373" customFormat="false" ht="15" hidden="false" customHeight="false" outlineLevel="0" collapsed="false">
      <c r="A373" s="7" t="n">
        <v>372</v>
      </c>
      <c r="B373" s="7"/>
      <c r="C373" s="7" t="s">
        <v>592</v>
      </c>
      <c r="D373" s="7" t="n">
        <v>2761</v>
      </c>
      <c r="E373" s="7" t="s">
        <v>50</v>
      </c>
      <c r="F373" s="10" t="b">
        <f aca="false">FALSE()</f>
        <v>0</v>
      </c>
      <c r="G373" s="7" t="s">
        <v>232</v>
      </c>
      <c r="H373" s="7" t="s">
        <v>237</v>
      </c>
      <c r="I373" s="7" t="n">
        <v>2</v>
      </c>
      <c r="J373" s="7" t="s">
        <v>71</v>
      </c>
      <c r="K373" s="7" t="s">
        <v>407</v>
      </c>
      <c r="L373" s="7" t="n">
        <v>47</v>
      </c>
      <c r="M373" s="10" t="b">
        <f aca="false">FALSE()</f>
        <v>0</v>
      </c>
      <c r="N373" s="7" t="s">
        <v>76</v>
      </c>
      <c r="O373" s="7" t="n">
        <v>-33.750748</v>
      </c>
      <c r="P373" s="7" t="n">
        <v>150.858075</v>
      </c>
    </row>
    <row r="374" customFormat="false" ht="15" hidden="false" customHeight="false" outlineLevel="0" collapsed="false">
      <c r="A374" s="7" t="n">
        <v>373</v>
      </c>
      <c r="B374" s="7"/>
      <c r="C374" s="7" t="s">
        <v>593</v>
      </c>
      <c r="D374" s="7" t="n">
        <v>2444</v>
      </c>
      <c r="E374" s="7" t="s">
        <v>50</v>
      </c>
      <c r="F374" s="10" t="b">
        <f aca="false">FALSE()</f>
        <v>0</v>
      </c>
      <c r="G374" s="7" t="s">
        <v>135</v>
      </c>
      <c r="H374" s="7" t="s">
        <v>239</v>
      </c>
      <c r="I374" s="7" t="n">
        <v>2</v>
      </c>
      <c r="J374" s="7" t="s">
        <v>107</v>
      </c>
      <c r="K374" s="7" t="s">
        <v>108</v>
      </c>
      <c r="L374" s="7" t="n">
        <v>22</v>
      </c>
      <c r="M374" s="10" t="b">
        <f aca="false">FALSE()</f>
        <v>0</v>
      </c>
      <c r="N374" s="7" t="s">
        <v>109</v>
      </c>
      <c r="O374" s="7" t="n">
        <v>-31.427596</v>
      </c>
      <c r="P374" s="7" t="n">
        <v>152.897504</v>
      </c>
    </row>
    <row r="375" customFormat="false" ht="15" hidden="false" customHeight="false" outlineLevel="0" collapsed="false">
      <c r="A375" s="7" t="n">
        <v>374</v>
      </c>
      <c r="B375" s="7"/>
      <c r="C375" s="7" t="s">
        <v>594</v>
      </c>
      <c r="D375" s="7" t="n">
        <v>2066</v>
      </c>
      <c r="E375" s="7" t="s">
        <v>50</v>
      </c>
      <c r="F375" s="10" t="b">
        <f aca="false">FALSE()</f>
        <v>0</v>
      </c>
      <c r="G375" s="7" t="s">
        <v>389</v>
      </c>
      <c r="H375" s="7" t="s">
        <v>260</v>
      </c>
      <c r="I375" s="7" t="n">
        <v>1</v>
      </c>
      <c r="J375" s="7" t="s">
        <v>107</v>
      </c>
      <c r="K375" s="7" t="s">
        <v>108</v>
      </c>
      <c r="L375" s="7" t="n">
        <v>22</v>
      </c>
      <c r="M375" s="10" t="b">
        <f aca="false">FALSE()</f>
        <v>0</v>
      </c>
      <c r="N375" s="7" t="s">
        <v>109</v>
      </c>
      <c r="O375" s="7" t="n">
        <v>-33.813945</v>
      </c>
      <c r="P375" s="7" t="n">
        <v>151.172349</v>
      </c>
    </row>
    <row r="376" customFormat="false" ht="15" hidden="false" customHeight="false" outlineLevel="0" collapsed="false">
      <c r="A376" s="7" t="n">
        <v>375</v>
      </c>
      <c r="B376" s="7"/>
      <c r="C376" s="7" t="s">
        <v>595</v>
      </c>
      <c r="D376" s="7" t="n">
        <v>2204</v>
      </c>
      <c r="E376" s="7" t="s">
        <v>50</v>
      </c>
      <c r="F376" s="10" t="b">
        <f aca="false">FALSE()</f>
        <v>0</v>
      </c>
      <c r="G376" s="7" t="s">
        <v>410</v>
      </c>
      <c r="H376" s="7" t="s">
        <v>244</v>
      </c>
      <c r="I376" s="7" t="n">
        <v>4</v>
      </c>
      <c r="J376" s="7" t="s">
        <v>71</v>
      </c>
      <c r="K376" s="7" t="s">
        <v>72</v>
      </c>
      <c r="L376" s="7" t="n">
        <v>50</v>
      </c>
      <c r="M376" s="10" t="b">
        <f aca="false">FALSE()</f>
        <v>0</v>
      </c>
      <c r="N376" s="7" t="s">
        <v>268</v>
      </c>
      <c r="O376" s="7" t="n">
        <v>-33.907982</v>
      </c>
      <c r="P376" s="7" t="n">
        <v>151.170899</v>
      </c>
    </row>
    <row r="377" customFormat="false" ht="15" hidden="false" customHeight="false" outlineLevel="0" collapsed="false">
      <c r="A377" s="7" t="n">
        <v>376</v>
      </c>
      <c r="B377" s="7"/>
      <c r="C377" s="7" t="s">
        <v>596</v>
      </c>
      <c r="D377" s="7" t="n">
        <v>2142</v>
      </c>
      <c r="E377" s="7" t="s">
        <v>50</v>
      </c>
      <c r="F377" s="10" t="b">
        <f aca="false">FALSE()</f>
        <v>0</v>
      </c>
      <c r="G377" s="7" t="s">
        <v>202</v>
      </c>
      <c r="H377" s="7" t="s">
        <v>239</v>
      </c>
      <c r="I377" s="7" t="n">
        <v>2</v>
      </c>
      <c r="J377" s="7" t="s">
        <v>107</v>
      </c>
      <c r="K377" s="7" t="s">
        <v>240</v>
      </c>
      <c r="L377" s="7" t="n">
        <v>19</v>
      </c>
      <c r="M377" s="10" t="b">
        <f aca="false">FALSE()</f>
        <v>0</v>
      </c>
      <c r="N377" s="7" t="s">
        <v>109</v>
      </c>
      <c r="O377" s="7" t="n">
        <v>-33.832692</v>
      </c>
      <c r="P377" s="7" t="n">
        <v>151.021501</v>
      </c>
    </row>
    <row r="378" customFormat="false" ht="15" hidden="false" customHeight="false" outlineLevel="0" collapsed="false">
      <c r="A378" s="7" t="n">
        <v>377</v>
      </c>
      <c r="B378" s="7"/>
      <c r="C378" s="7" t="s">
        <v>597</v>
      </c>
      <c r="D378" s="7" t="n">
        <v>2500</v>
      </c>
      <c r="E378" s="7" t="s">
        <v>50</v>
      </c>
      <c r="F378" s="10" t="b">
        <f aca="false">FALSE()</f>
        <v>0</v>
      </c>
      <c r="G378" s="7" t="s">
        <v>102</v>
      </c>
      <c r="H378" s="7" t="s">
        <v>244</v>
      </c>
      <c r="I378" s="7" t="n">
        <v>4</v>
      </c>
      <c r="J378" s="7" t="s">
        <v>71</v>
      </c>
      <c r="K378" s="7" t="s">
        <v>72</v>
      </c>
      <c r="L378" s="7" t="n">
        <v>50</v>
      </c>
      <c r="M378" s="10" t="b">
        <f aca="false">FALSE()</f>
        <v>0</v>
      </c>
      <c r="N378" s="7" t="s">
        <v>268</v>
      </c>
      <c r="O378" s="7" t="n">
        <v>-34.423975</v>
      </c>
      <c r="P378" s="7" t="n">
        <v>150.892316</v>
      </c>
    </row>
    <row r="379" customFormat="false" ht="15" hidden="false" customHeight="false" outlineLevel="0" collapsed="false">
      <c r="A379" s="7" t="n">
        <v>378</v>
      </c>
      <c r="B379" s="7"/>
      <c r="C379" s="7" t="s">
        <v>598</v>
      </c>
      <c r="D379" s="7" t="n">
        <v>2560</v>
      </c>
      <c r="E379" s="7" t="s">
        <v>50</v>
      </c>
      <c r="F379" s="10" t="b">
        <f aca="false">FALSE()</f>
        <v>0</v>
      </c>
      <c r="G379" s="7" t="s">
        <v>312</v>
      </c>
      <c r="H379" s="7" t="s">
        <v>239</v>
      </c>
      <c r="I379" s="7" t="n">
        <v>2</v>
      </c>
      <c r="J379" s="7" t="s">
        <v>107</v>
      </c>
      <c r="K379" s="7" t="s">
        <v>108</v>
      </c>
      <c r="L379" s="7" t="n">
        <v>22</v>
      </c>
      <c r="M379" s="10" t="b">
        <f aca="false">FALSE()</f>
        <v>0</v>
      </c>
      <c r="N379" s="7" t="s">
        <v>109</v>
      </c>
      <c r="O379" s="7" t="n">
        <v>-34.07463</v>
      </c>
      <c r="P379" s="7" t="n">
        <v>150.796807</v>
      </c>
    </row>
    <row r="380" customFormat="false" ht="15" hidden="false" customHeight="false" outlineLevel="0" collapsed="false">
      <c r="A380" s="7" t="n">
        <v>379</v>
      </c>
      <c r="B380" s="7"/>
      <c r="C380" s="7" t="s">
        <v>599</v>
      </c>
      <c r="D380" s="7" t="n">
        <v>2576</v>
      </c>
      <c r="E380" s="7" t="s">
        <v>50</v>
      </c>
      <c r="F380" s="10" t="b">
        <f aca="false">FALSE()</f>
        <v>0</v>
      </c>
      <c r="G380" s="7" t="s">
        <v>161</v>
      </c>
      <c r="H380" s="7" t="s">
        <v>239</v>
      </c>
      <c r="I380" s="7" t="n">
        <v>1</v>
      </c>
      <c r="J380" s="7" t="s">
        <v>107</v>
      </c>
      <c r="K380" s="7" t="s">
        <v>254</v>
      </c>
      <c r="L380" s="7" t="n">
        <v>8</v>
      </c>
      <c r="M380" s="10" t="b">
        <f aca="false">FALSE()</f>
        <v>0</v>
      </c>
      <c r="N380" s="7" t="s">
        <v>109</v>
      </c>
      <c r="O380" s="7" t="n">
        <v>-34.499128</v>
      </c>
      <c r="P380" s="7" t="n">
        <v>150.481303</v>
      </c>
    </row>
    <row r="381" customFormat="false" ht="15" hidden="false" customHeight="false" outlineLevel="0" collapsed="false">
      <c r="A381" s="7" t="n">
        <v>380</v>
      </c>
      <c r="B381" s="7"/>
      <c r="C381" s="7" t="s">
        <v>600</v>
      </c>
      <c r="D381" s="7" t="n">
        <v>2430</v>
      </c>
      <c r="E381" s="7" t="s">
        <v>50</v>
      </c>
      <c r="F381" s="10" t="b">
        <f aca="false">FALSE()</f>
        <v>0</v>
      </c>
      <c r="G381" s="7" t="s">
        <v>128</v>
      </c>
      <c r="H381" s="7" t="s">
        <v>244</v>
      </c>
      <c r="I381" s="7" t="n">
        <v>4</v>
      </c>
      <c r="J381" s="7" t="s">
        <v>71</v>
      </c>
      <c r="K381" s="7" t="s">
        <v>234</v>
      </c>
      <c r="L381" s="7" t="n">
        <v>150</v>
      </c>
      <c r="M381" s="10" t="b">
        <f aca="false">FALSE()</f>
        <v>0</v>
      </c>
      <c r="N381" s="7" t="s">
        <v>76</v>
      </c>
      <c r="O381" s="7" t="n">
        <v>-31.943334</v>
      </c>
      <c r="P381" s="7" t="n">
        <v>152.470615</v>
      </c>
    </row>
    <row r="382" customFormat="false" ht="15" hidden="false" customHeight="false" outlineLevel="0" collapsed="false">
      <c r="A382" s="7" t="n">
        <v>381</v>
      </c>
      <c r="B382" s="7"/>
      <c r="C382" s="7" t="s">
        <v>601</v>
      </c>
      <c r="D382" s="7" t="n">
        <v>2580</v>
      </c>
      <c r="E382" s="7" t="s">
        <v>50</v>
      </c>
      <c r="F382" s="10" t="b">
        <f aca="false">FALSE()</f>
        <v>0</v>
      </c>
      <c r="G382" s="7" t="s">
        <v>481</v>
      </c>
      <c r="H382" s="7" t="s">
        <v>239</v>
      </c>
      <c r="I382" s="7" t="n">
        <v>16</v>
      </c>
      <c r="J382" s="7" t="s">
        <v>71</v>
      </c>
      <c r="K382" s="7" t="s">
        <v>242</v>
      </c>
      <c r="L382" s="7" t="n">
        <v>130</v>
      </c>
      <c r="M382" s="10" t="b">
        <f aca="false">FALSE()</f>
        <v>0</v>
      </c>
      <c r="N382" s="7" t="s">
        <v>76</v>
      </c>
      <c r="O382" s="7" t="n">
        <v>-34.755524</v>
      </c>
      <c r="P382" s="7" t="n">
        <v>149.720998</v>
      </c>
    </row>
    <row r="383" customFormat="false" ht="15" hidden="false" customHeight="false" outlineLevel="0" collapsed="false">
      <c r="A383" s="7" t="n">
        <v>382</v>
      </c>
      <c r="B383" s="7"/>
      <c r="C383" s="7" t="s">
        <v>602</v>
      </c>
      <c r="D383" s="7" t="n">
        <v>2000</v>
      </c>
      <c r="E383" s="7" t="s">
        <v>50</v>
      </c>
      <c r="F383" s="10" t="b">
        <f aca="false">FALSE()</f>
        <v>0</v>
      </c>
      <c r="G383" s="7" t="s">
        <v>182</v>
      </c>
      <c r="H383" s="7" t="s">
        <v>237</v>
      </c>
      <c r="I383" s="7" t="n">
        <v>2</v>
      </c>
      <c r="J383" s="7" t="s">
        <v>107</v>
      </c>
      <c r="K383" s="7" t="s">
        <v>108</v>
      </c>
      <c r="L383" s="7" t="n">
        <v>22</v>
      </c>
      <c r="M383" s="10" t="b">
        <f aca="false">FALSE()</f>
        <v>0</v>
      </c>
      <c r="N383" s="7" t="s">
        <v>109</v>
      </c>
      <c r="O383" s="7" t="n">
        <v>-33.871959</v>
      </c>
      <c r="P383" s="7" t="n">
        <v>151.203903</v>
      </c>
    </row>
    <row r="384" customFormat="false" ht="15" hidden="false" customHeight="false" outlineLevel="0" collapsed="false">
      <c r="A384" s="7" t="n">
        <v>383</v>
      </c>
      <c r="B384" s="7"/>
      <c r="C384" s="7" t="s">
        <v>603</v>
      </c>
      <c r="D384" s="7" t="n">
        <v>2560</v>
      </c>
      <c r="E384" s="7" t="s">
        <v>50</v>
      </c>
      <c r="F384" s="10" t="b">
        <f aca="false">FALSE()</f>
        <v>0</v>
      </c>
      <c r="G384" s="7" t="s">
        <v>312</v>
      </c>
      <c r="H384" s="7" t="s">
        <v>239</v>
      </c>
      <c r="I384" s="7" t="n">
        <v>12</v>
      </c>
      <c r="J384" s="7" t="s">
        <v>71</v>
      </c>
      <c r="K384" s="7" t="s">
        <v>117</v>
      </c>
      <c r="L384" s="7" t="n">
        <v>175</v>
      </c>
      <c r="M384" s="10" t="b">
        <f aca="false">FALSE()</f>
        <v>0</v>
      </c>
      <c r="N384" s="7" t="s">
        <v>118</v>
      </c>
      <c r="O384" s="7" t="n">
        <v>-34.072593</v>
      </c>
      <c r="P384" s="7" t="n">
        <v>150.807882</v>
      </c>
    </row>
    <row r="385" customFormat="false" ht="15" hidden="false" customHeight="false" outlineLevel="0" collapsed="false">
      <c r="A385" s="7" t="n">
        <v>384</v>
      </c>
      <c r="B385" s="7"/>
      <c r="C385" s="7" t="s">
        <v>604</v>
      </c>
      <c r="D385" s="7" t="n">
        <v>2011</v>
      </c>
      <c r="E385" s="7" t="s">
        <v>50</v>
      </c>
      <c r="F385" s="10" t="b">
        <f aca="false">FALSE()</f>
        <v>0</v>
      </c>
      <c r="G385" s="7" t="s">
        <v>182</v>
      </c>
      <c r="H385" s="7" t="s">
        <v>239</v>
      </c>
      <c r="I385" s="7" t="n">
        <v>4</v>
      </c>
      <c r="J385" s="7" t="s">
        <v>107</v>
      </c>
      <c r="K385" s="7" t="s">
        <v>277</v>
      </c>
      <c r="L385" s="7" t="n">
        <v>6</v>
      </c>
      <c r="M385" s="10" t="b">
        <f aca="false">FALSE()</f>
        <v>0</v>
      </c>
      <c r="N385" s="7" t="s">
        <v>109</v>
      </c>
      <c r="O385" s="7" t="n">
        <v>-33.874581</v>
      </c>
      <c r="P385" s="7" t="n">
        <v>151.221857</v>
      </c>
    </row>
    <row r="386" customFormat="false" ht="15" hidden="false" customHeight="false" outlineLevel="0" collapsed="false">
      <c r="A386" s="7" t="n">
        <v>385</v>
      </c>
      <c r="B386" s="7"/>
      <c r="C386" s="7" t="s">
        <v>605</v>
      </c>
      <c r="D386" s="7" t="n">
        <v>2174</v>
      </c>
      <c r="E386" s="7" t="s">
        <v>50</v>
      </c>
      <c r="F386" s="10" t="b">
        <f aca="false">FALSE()</f>
        <v>0</v>
      </c>
      <c r="G386" s="7" t="s">
        <v>130</v>
      </c>
      <c r="H386" s="7" t="s">
        <v>260</v>
      </c>
      <c r="I386" s="7" t="n">
        <v>8</v>
      </c>
      <c r="J386" s="7" t="s">
        <v>107</v>
      </c>
      <c r="K386" s="7" t="s">
        <v>108</v>
      </c>
      <c r="L386" s="7" t="n">
        <v>22</v>
      </c>
      <c r="M386" s="10" t="b">
        <f aca="false">FALSE()</f>
        <v>0</v>
      </c>
      <c r="N386" s="7" t="s">
        <v>109</v>
      </c>
      <c r="O386" s="7" t="n">
        <v>-33.955083</v>
      </c>
      <c r="P386" s="7" t="n">
        <v>150.862265</v>
      </c>
    </row>
    <row r="387" customFormat="false" ht="15" hidden="false" customHeight="false" outlineLevel="0" collapsed="false">
      <c r="A387" s="7" t="n">
        <v>386</v>
      </c>
      <c r="B387" s="7"/>
      <c r="C387" s="7" t="s">
        <v>606</v>
      </c>
      <c r="D387" s="7" t="n">
        <v>2337</v>
      </c>
      <c r="E387" s="7" t="s">
        <v>50</v>
      </c>
      <c r="F387" s="10" t="b">
        <f aca="false">FALSE()</f>
        <v>0</v>
      </c>
      <c r="G387" s="7" t="s">
        <v>85</v>
      </c>
      <c r="H387" s="7" t="s">
        <v>239</v>
      </c>
      <c r="I387" s="7" t="n">
        <v>2</v>
      </c>
      <c r="J387" s="7" t="s">
        <v>107</v>
      </c>
      <c r="K387" s="7" t="s">
        <v>108</v>
      </c>
      <c r="L387" s="7" t="n">
        <v>22</v>
      </c>
      <c r="M387" s="10" t="b">
        <f aca="false">FALSE()</f>
        <v>0</v>
      </c>
      <c r="N387" s="7" t="s">
        <v>109</v>
      </c>
      <c r="O387" s="7" t="n">
        <v>-32.051613</v>
      </c>
      <c r="P387" s="7" t="n">
        <v>150.867089</v>
      </c>
    </row>
    <row r="388" customFormat="false" ht="15" hidden="false" customHeight="false" outlineLevel="0" collapsed="false">
      <c r="A388" s="7" t="n">
        <v>387</v>
      </c>
      <c r="B388" s="7"/>
      <c r="C388" s="7" t="s">
        <v>607</v>
      </c>
      <c r="D388" s="7" t="n">
        <v>2575</v>
      </c>
      <c r="E388" s="7" t="s">
        <v>50</v>
      </c>
      <c r="F388" s="10" t="b">
        <f aca="false">FALSE()</f>
        <v>0</v>
      </c>
      <c r="G388" s="7" t="s">
        <v>161</v>
      </c>
      <c r="H388" s="7" t="s">
        <v>244</v>
      </c>
      <c r="I388" s="7" t="n">
        <v>4</v>
      </c>
      <c r="J388" s="7" t="s">
        <v>71</v>
      </c>
      <c r="K388" s="7" t="s">
        <v>234</v>
      </c>
      <c r="L388" s="7" t="n">
        <v>150</v>
      </c>
      <c r="M388" s="10" t="b">
        <f aca="false">FALSE()</f>
        <v>0</v>
      </c>
      <c r="N388" s="7" t="s">
        <v>76</v>
      </c>
      <c r="O388" s="7" t="n">
        <v>-34.446728</v>
      </c>
      <c r="P388" s="7" t="n">
        <v>150.436991</v>
      </c>
    </row>
    <row r="389" customFormat="false" ht="15" hidden="false" customHeight="false" outlineLevel="0" collapsed="false">
      <c r="A389" s="7" t="n">
        <v>388</v>
      </c>
      <c r="B389" s="7"/>
      <c r="C389" s="7" t="s">
        <v>608</v>
      </c>
      <c r="D389" s="7" t="n">
        <v>2020</v>
      </c>
      <c r="E389" s="7" t="s">
        <v>50</v>
      </c>
      <c r="F389" s="10" t="b">
        <f aca="false">FALSE()</f>
        <v>0</v>
      </c>
      <c r="G389" s="7" t="s">
        <v>380</v>
      </c>
      <c r="H389" s="7" t="s">
        <v>239</v>
      </c>
      <c r="I389" s="7" t="n">
        <v>4</v>
      </c>
      <c r="J389" s="7" t="s">
        <v>107</v>
      </c>
      <c r="K389" s="7" t="s">
        <v>108</v>
      </c>
      <c r="L389" s="7" t="n">
        <v>22</v>
      </c>
      <c r="M389" s="10" t="b">
        <f aca="false">FALSE()</f>
        <v>0</v>
      </c>
      <c r="N389" s="7" t="s">
        <v>109</v>
      </c>
      <c r="O389" s="7" t="n">
        <v>-33.927953</v>
      </c>
      <c r="P389" s="7" t="n">
        <v>151.187132</v>
      </c>
    </row>
    <row r="390" customFormat="false" ht="15" hidden="false" customHeight="false" outlineLevel="0" collapsed="false">
      <c r="A390" s="7" t="n">
        <v>389</v>
      </c>
      <c r="B390" s="7"/>
      <c r="C390" s="7" t="s">
        <v>609</v>
      </c>
      <c r="D390" s="7" t="n">
        <v>2174</v>
      </c>
      <c r="E390" s="7" t="s">
        <v>50</v>
      </c>
      <c r="F390" s="10" t="b">
        <f aca="false">FALSE()</f>
        <v>0</v>
      </c>
      <c r="G390" s="7" t="s">
        <v>130</v>
      </c>
      <c r="H390" s="7" t="s">
        <v>330</v>
      </c>
      <c r="I390" s="7" t="n">
        <v>2</v>
      </c>
      <c r="J390" s="7" t="s">
        <v>71</v>
      </c>
      <c r="K390" s="7" t="s">
        <v>213</v>
      </c>
      <c r="L390" s="7" t="n">
        <v>125</v>
      </c>
      <c r="M390" s="10" t="b">
        <f aca="false">FALSE()</f>
        <v>0</v>
      </c>
      <c r="N390" s="7" t="s">
        <v>268</v>
      </c>
      <c r="O390" s="7" t="n">
        <v>-33.955856</v>
      </c>
      <c r="P390" s="7" t="n">
        <v>150.864894</v>
      </c>
    </row>
    <row r="391" customFormat="false" ht="15" hidden="false" customHeight="false" outlineLevel="0" collapsed="false">
      <c r="A391" s="7" t="n">
        <v>390</v>
      </c>
      <c r="B391" s="7"/>
      <c r="C391" s="7" t="s">
        <v>610</v>
      </c>
      <c r="D391" s="7" t="n">
        <v>2400</v>
      </c>
      <c r="E391" s="7" t="s">
        <v>50</v>
      </c>
      <c r="F391" s="10" t="b">
        <f aca="false">FALSE()</f>
        <v>0</v>
      </c>
      <c r="G391" s="7" t="s">
        <v>115</v>
      </c>
      <c r="H391" s="7" t="s">
        <v>239</v>
      </c>
      <c r="I391" s="7" t="n">
        <v>2</v>
      </c>
      <c r="J391" s="7" t="s">
        <v>107</v>
      </c>
      <c r="K391" s="7" t="s">
        <v>240</v>
      </c>
      <c r="L391" s="7" t="n">
        <v>19</v>
      </c>
      <c r="M391" s="10" t="b">
        <f aca="false">FALSE()</f>
        <v>0</v>
      </c>
      <c r="N391" s="7" t="s">
        <v>109</v>
      </c>
      <c r="O391" s="7" t="n">
        <v>-29.470818</v>
      </c>
      <c r="P391" s="7" t="n">
        <v>149.847045</v>
      </c>
    </row>
    <row r="392" customFormat="false" ht="15" hidden="false" customHeight="false" outlineLevel="0" collapsed="false">
      <c r="A392" s="7" t="n">
        <v>391</v>
      </c>
      <c r="B392" s="7"/>
      <c r="C392" s="7" t="s">
        <v>611</v>
      </c>
      <c r="D392" s="7" t="n">
        <v>2304</v>
      </c>
      <c r="E392" s="7" t="s">
        <v>50</v>
      </c>
      <c r="F392" s="10" t="b">
        <f aca="false">FALSE()</f>
        <v>0</v>
      </c>
      <c r="G392" s="7" t="s">
        <v>141</v>
      </c>
      <c r="H392" s="7" t="s">
        <v>230</v>
      </c>
      <c r="I392" s="7" t="n">
        <v>2</v>
      </c>
      <c r="J392" s="7" t="s">
        <v>107</v>
      </c>
      <c r="K392" s="7" t="s">
        <v>352</v>
      </c>
      <c r="L392" s="7" t="n">
        <v>23</v>
      </c>
      <c r="M392" s="10" t="b">
        <f aca="false">FALSE()</f>
        <v>0</v>
      </c>
      <c r="N392" s="7" t="s">
        <v>109</v>
      </c>
      <c r="O392" s="7" t="n">
        <v>-32.876899</v>
      </c>
      <c r="P392" s="7" t="n">
        <v>151.711756</v>
      </c>
    </row>
    <row r="393" customFormat="false" ht="15" hidden="false" customHeight="false" outlineLevel="0" collapsed="false">
      <c r="A393" s="7" t="n">
        <v>392</v>
      </c>
      <c r="B393" s="7"/>
      <c r="C393" s="7" t="s">
        <v>612</v>
      </c>
      <c r="D393" s="7" t="n">
        <v>2112</v>
      </c>
      <c r="E393" s="7" t="s">
        <v>50</v>
      </c>
      <c r="F393" s="10" t="b">
        <f aca="false">FALSE()</f>
        <v>0</v>
      </c>
      <c r="G393" s="7" t="s">
        <v>364</v>
      </c>
      <c r="H393" s="7" t="s">
        <v>260</v>
      </c>
      <c r="I393" s="7" t="n">
        <v>1</v>
      </c>
      <c r="J393" s="7" t="s">
        <v>107</v>
      </c>
      <c r="K393" s="7" t="s">
        <v>108</v>
      </c>
      <c r="L393" s="7" t="n">
        <v>22</v>
      </c>
      <c r="M393" s="10" t="b">
        <f aca="false">FALSE()</f>
        <v>0</v>
      </c>
      <c r="N393" s="7" t="s">
        <v>109</v>
      </c>
      <c r="O393" s="7" t="n">
        <v>-33.814493</v>
      </c>
      <c r="P393" s="7" t="n">
        <v>151.104649</v>
      </c>
    </row>
    <row r="394" customFormat="false" ht="15" hidden="false" customHeight="false" outlineLevel="0" collapsed="false">
      <c r="A394" s="7" t="n">
        <v>393</v>
      </c>
      <c r="B394" s="7"/>
      <c r="C394" s="7" t="s">
        <v>613</v>
      </c>
      <c r="D394" s="7" t="n">
        <v>2652</v>
      </c>
      <c r="E394" s="7" t="s">
        <v>50</v>
      </c>
      <c r="F394" s="10" t="b">
        <f aca="false">FALSE()</f>
        <v>0</v>
      </c>
      <c r="G394" s="7" t="s">
        <v>614</v>
      </c>
      <c r="H394" s="7" t="s">
        <v>260</v>
      </c>
      <c r="I394" s="7" t="n">
        <v>4</v>
      </c>
      <c r="J394" s="7" t="s">
        <v>107</v>
      </c>
      <c r="K394" s="7" t="s">
        <v>108</v>
      </c>
      <c r="L394" s="7" t="n">
        <v>22</v>
      </c>
      <c r="M394" s="10" t="b">
        <f aca="false">FALSE()</f>
        <v>0</v>
      </c>
      <c r="N394" s="7" t="s">
        <v>109</v>
      </c>
      <c r="O394" s="7" t="n">
        <v>-33.979432</v>
      </c>
      <c r="P394" s="7" t="n">
        <v>145.706942</v>
      </c>
    </row>
    <row r="395" customFormat="false" ht="15" hidden="false" customHeight="false" outlineLevel="0" collapsed="false">
      <c r="A395" s="7" t="n">
        <v>394</v>
      </c>
      <c r="B395" s="7"/>
      <c r="C395" s="7" t="s">
        <v>615</v>
      </c>
      <c r="D395" s="7" t="n">
        <v>2640</v>
      </c>
      <c r="E395" s="7" t="s">
        <v>50</v>
      </c>
      <c r="F395" s="10" t="b">
        <f aca="false">FALSE()</f>
        <v>0</v>
      </c>
      <c r="G395" s="7" t="s">
        <v>194</v>
      </c>
      <c r="H395" s="7" t="s">
        <v>260</v>
      </c>
      <c r="I395" s="7" t="n">
        <v>1</v>
      </c>
      <c r="J395" s="7" t="s">
        <v>107</v>
      </c>
      <c r="K395" s="7" t="s">
        <v>108</v>
      </c>
      <c r="L395" s="7" t="n">
        <v>22</v>
      </c>
      <c r="M395" s="10" t="b">
        <f aca="false">FALSE()</f>
        <v>0</v>
      </c>
      <c r="N395" s="7" t="s">
        <v>109</v>
      </c>
      <c r="O395" s="7" t="n">
        <v>-36.064706</v>
      </c>
      <c r="P395" s="7" t="n">
        <v>146.934224</v>
      </c>
    </row>
    <row r="396" customFormat="false" ht="15" hidden="false" customHeight="false" outlineLevel="0" collapsed="false">
      <c r="A396" s="7" t="n">
        <v>395</v>
      </c>
      <c r="B396" s="7"/>
      <c r="C396" s="7" t="s">
        <v>616</v>
      </c>
      <c r="D396" s="7" t="n">
        <v>2455</v>
      </c>
      <c r="E396" s="7" t="s">
        <v>50</v>
      </c>
      <c r="F396" s="10" t="b">
        <f aca="false">FALSE()</f>
        <v>0</v>
      </c>
      <c r="G396" s="7" t="s">
        <v>151</v>
      </c>
      <c r="H396" s="7" t="s">
        <v>302</v>
      </c>
      <c r="I396" s="7" t="n">
        <v>2</v>
      </c>
      <c r="J396" s="7" t="s">
        <v>107</v>
      </c>
      <c r="K396" s="7" t="s">
        <v>108</v>
      </c>
      <c r="L396" s="7" t="n">
        <v>22</v>
      </c>
      <c r="M396" s="10" t="b">
        <f aca="false">FALSE()</f>
        <v>0</v>
      </c>
      <c r="N396" s="7" t="s">
        <v>109</v>
      </c>
      <c r="O396" s="7" t="n">
        <v>-30.49582</v>
      </c>
      <c r="P396" s="7" t="n">
        <v>153.022</v>
      </c>
    </row>
    <row r="397" customFormat="false" ht="15" hidden="false" customHeight="false" outlineLevel="0" collapsed="false">
      <c r="A397" s="7" t="n">
        <v>396</v>
      </c>
      <c r="B397" s="7"/>
      <c r="C397" s="7" t="s">
        <v>617</v>
      </c>
      <c r="D397" s="7" t="n">
        <v>2196</v>
      </c>
      <c r="E397" s="7" t="s">
        <v>50</v>
      </c>
      <c r="F397" s="10" t="b">
        <f aca="false">FALSE()</f>
        <v>0</v>
      </c>
      <c r="G397" s="7" t="s">
        <v>345</v>
      </c>
      <c r="H397" s="7" t="s">
        <v>260</v>
      </c>
      <c r="I397" s="7" t="n">
        <v>2</v>
      </c>
      <c r="J397" s="7" t="s">
        <v>107</v>
      </c>
      <c r="K397" s="7" t="s">
        <v>108</v>
      </c>
      <c r="L397" s="7" t="n">
        <v>22</v>
      </c>
      <c r="M397" s="10" t="b">
        <f aca="false">FALSE()</f>
        <v>0</v>
      </c>
      <c r="N397" s="7" t="s">
        <v>109</v>
      </c>
      <c r="O397" s="7" t="n">
        <v>-33.935471</v>
      </c>
      <c r="P397" s="7" t="n">
        <v>151.071418</v>
      </c>
    </row>
    <row r="398" customFormat="false" ht="15" hidden="false" customHeight="false" outlineLevel="0" collapsed="false">
      <c r="A398" s="7" t="n">
        <v>397</v>
      </c>
      <c r="B398" s="7"/>
      <c r="C398" s="7" t="s">
        <v>618</v>
      </c>
      <c r="D398" s="7" t="n">
        <v>2150</v>
      </c>
      <c r="E398" s="7" t="s">
        <v>50</v>
      </c>
      <c r="F398" s="10" t="b">
        <f aca="false">FALSE()</f>
        <v>0</v>
      </c>
      <c r="G398" s="7" t="s">
        <v>202</v>
      </c>
      <c r="H398" s="7" t="s">
        <v>260</v>
      </c>
      <c r="I398" s="7" t="n">
        <v>6</v>
      </c>
      <c r="J398" s="7" t="s">
        <v>107</v>
      </c>
      <c r="K398" s="7" t="s">
        <v>108</v>
      </c>
      <c r="L398" s="7" t="n">
        <v>22</v>
      </c>
      <c r="M398" s="10" t="b">
        <f aca="false">FALSE()</f>
        <v>0</v>
      </c>
      <c r="N398" s="7" t="s">
        <v>109</v>
      </c>
      <c r="O398" s="7" t="n">
        <v>-33.819216</v>
      </c>
      <c r="P398" s="7" t="n">
        <v>151.004706</v>
      </c>
    </row>
    <row r="399" customFormat="false" ht="15" hidden="false" customHeight="false" outlineLevel="0" collapsed="false">
      <c r="A399" s="7" t="n">
        <v>398</v>
      </c>
      <c r="B399" s="7"/>
      <c r="C399" s="7" t="s">
        <v>619</v>
      </c>
      <c r="D399" s="7" t="n">
        <v>2529</v>
      </c>
      <c r="E399" s="7" t="s">
        <v>50</v>
      </c>
      <c r="F399" s="10" t="b">
        <f aca="false">FALSE()</f>
        <v>0</v>
      </c>
      <c r="G399" s="7" t="s">
        <v>316</v>
      </c>
      <c r="H399" s="7" t="s">
        <v>239</v>
      </c>
      <c r="I399" s="7" t="n">
        <v>4</v>
      </c>
      <c r="J399" s="7" t="s">
        <v>107</v>
      </c>
      <c r="K399" s="7" t="s">
        <v>277</v>
      </c>
      <c r="L399" s="7" t="n">
        <v>6</v>
      </c>
      <c r="M399" s="10" t="b">
        <f aca="false">FALSE()</f>
        <v>0</v>
      </c>
      <c r="N399" s="7" t="s">
        <v>109</v>
      </c>
      <c r="O399" s="7" t="n">
        <v>-34.563905</v>
      </c>
      <c r="P399" s="7" t="n">
        <v>150.838119</v>
      </c>
    </row>
    <row r="400" customFormat="false" ht="15" hidden="false" customHeight="false" outlineLevel="0" collapsed="false">
      <c r="A400" s="7" t="n">
        <v>399</v>
      </c>
      <c r="B400" s="7"/>
      <c r="C400" s="7" t="s">
        <v>619</v>
      </c>
      <c r="D400" s="7" t="n">
        <v>2529</v>
      </c>
      <c r="E400" s="7" t="s">
        <v>50</v>
      </c>
      <c r="F400" s="10" t="b">
        <f aca="false">FALSE()</f>
        <v>0</v>
      </c>
      <c r="G400" s="7" t="s">
        <v>316</v>
      </c>
      <c r="H400" s="7" t="s">
        <v>330</v>
      </c>
      <c r="I400" s="7" t="n">
        <v>10</v>
      </c>
      <c r="J400" s="7" t="s">
        <v>71</v>
      </c>
      <c r="K400" s="7" t="s">
        <v>234</v>
      </c>
      <c r="L400" s="7" t="n">
        <v>150</v>
      </c>
      <c r="M400" s="10" t="b">
        <f aca="false">FALSE()</f>
        <v>0</v>
      </c>
      <c r="N400" s="7" t="s">
        <v>76</v>
      </c>
      <c r="O400" s="7" t="n">
        <v>-34.566399</v>
      </c>
      <c r="P400" s="7" t="n">
        <v>150.839407</v>
      </c>
    </row>
    <row r="401" customFormat="false" ht="15" hidden="false" customHeight="false" outlineLevel="0" collapsed="false">
      <c r="A401" s="7" t="n">
        <v>400</v>
      </c>
      <c r="B401" s="7"/>
      <c r="C401" s="7" t="s">
        <v>620</v>
      </c>
      <c r="D401" s="7" t="n">
        <v>2551</v>
      </c>
      <c r="E401" s="7" t="s">
        <v>50</v>
      </c>
      <c r="F401" s="10" t="b">
        <f aca="false">FALSE()</f>
        <v>0</v>
      </c>
      <c r="G401" s="7" t="s">
        <v>188</v>
      </c>
      <c r="H401" s="7" t="s">
        <v>260</v>
      </c>
      <c r="I401" s="7" t="n">
        <v>1</v>
      </c>
      <c r="J401" s="7" t="s">
        <v>107</v>
      </c>
      <c r="K401" s="7" t="s">
        <v>108</v>
      </c>
      <c r="L401" s="7" t="n">
        <v>22</v>
      </c>
      <c r="M401" s="10" t="b">
        <f aca="false">FALSE()</f>
        <v>0</v>
      </c>
      <c r="N401" s="7" t="s">
        <v>109</v>
      </c>
      <c r="O401" s="7" t="n">
        <v>-37.111463</v>
      </c>
      <c r="P401" s="7" t="n">
        <v>149.880207</v>
      </c>
    </row>
    <row r="402" customFormat="false" ht="15" hidden="false" customHeight="false" outlineLevel="0" collapsed="false">
      <c r="A402" s="7" t="n">
        <v>401</v>
      </c>
      <c r="B402" s="7"/>
      <c r="C402" s="7" t="s">
        <v>621</v>
      </c>
      <c r="D402" s="7" t="n">
        <v>2500</v>
      </c>
      <c r="E402" s="7" t="s">
        <v>50</v>
      </c>
      <c r="F402" s="10" t="b">
        <f aca="false">FALSE()</f>
        <v>0</v>
      </c>
      <c r="G402" s="7" t="s">
        <v>102</v>
      </c>
      <c r="H402" s="7" t="s">
        <v>239</v>
      </c>
      <c r="I402" s="7" t="n">
        <v>4</v>
      </c>
      <c r="J402" s="7" t="s">
        <v>107</v>
      </c>
      <c r="K402" s="7" t="s">
        <v>108</v>
      </c>
      <c r="L402" s="7" t="n">
        <v>22</v>
      </c>
      <c r="M402" s="10" t="b">
        <f aca="false">FALSE()</f>
        <v>0</v>
      </c>
      <c r="N402" s="7" t="s">
        <v>109</v>
      </c>
      <c r="O402" s="7" t="n">
        <v>-34.414584</v>
      </c>
      <c r="P402" s="7" t="n">
        <v>150.900239</v>
      </c>
    </row>
    <row r="403" customFormat="false" ht="15" hidden="false" customHeight="false" outlineLevel="0" collapsed="false">
      <c r="A403" s="7" t="n">
        <v>402</v>
      </c>
      <c r="B403" s="7"/>
      <c r="C403" s="7" t="s">
        <v>622</v>
      </c>
      <c r="D403" s="7" t="n">
        <v>2448</v>
      </c>
      <c r="E403" s="7" t="s">
        <v>50</v>
      </c>
      <c r="F403" s="10" t="b">
        <f aca="false">FALSE()</f>
        <v>0</v>
      </c>
      <c r="G403" s="7" t="s">
        <v>562</v>
      </c>
      <c r="H403" s="7" t="s">
        <v>239</v>
      </c>
      <c r="I403" s="7" t="n">
        <v>2</v>
      </c>
      <c r="J403" s="7" t="s">
        <v>107</v>
      </c>
      <c r="K403" s="7" t="s">
        <v>108</v>
      </c>
      <c r="L403" s="7" t="n">
        <v>22</v>
      </c>
      <c r="M403" s="10" t="b">
        <f aca="false">FALSE()</f>
        <v>0</v>
      </c>
      <c r="N403" s="7" t="s">
        <v>109</v>
      </c>
      <c r="O403" s="7" t="n">
        <v>-30.654316</v>
      </c>
      <c r="P403" s="7" t="n">
        <v>152.986997</v>
      </c>
    </row>
    <row r="404" customFormat="false" ht="15" hidden="false" customHeight="false" outlineLevel="0" collapsed="false">
      <c r="A404" s="7" t="n">
        <v>403</v>
      </c>
      <c r="B404" s="7"/>
      <c r="C404" s="7" t="s">
        <v>623</v>
      </c>
      <c r="D404" s="7" t="n">
        <v>2848</v>
      </c>
      <c r="E404" s="7" t="s">
        <v>50</v>
      </c>
      <c r="F404" s="10" t="b">
        <f aca="false">FALSE()</f>
        <v>0</v>
      </c>
      <c r="G404" s="7" t="s">
        <v>199</v>
      </c>
      <c r="H404" s="7" t="s">
        <v>239</v>
      </c>
      <c r="I404" s="7" t="n">
        <v>1</v>
      </c>
      <c r="J404" s="7" t="s">
        <v>107</v>
      </c>
      <c r="K404" s="7" t="s">
        <v>108</v>
      </c>
      <c r="L404" s="7" t="n">
        <v>22</v>
      </c>
      <c r="M404" s="10" t="b">
        <f aca="false">FALSE()</f>
        <v>0</v>
      </c>
      <c r="N404" s="7" t="s">
        <v>109</v>
      </c>
      <c r="O404" s="7" t="n">
        <v>-32.86006</v>
      </c>
      <c r="P404" s="7" t="n">
        <v>149.973097</v>
      </c>
    </row>
    <row r="405" customFormat="false" ht="15" hidden="false" customHeight="false" outlineLevel="0" collapsed="false">
      <c r="A405" s="7" t="n">
        <v>404</v>
      </c>
      <c r="B405" s="7"/>
      <c r="C405" s="7" t="s">
        <v>624</v>
      </c>
      <c r="D405" s="7" t="n">
        <v>2042</v>
      </c>
      <c r="E405" s="7" t="s">
        <v>50</v>
      </c>
      <c r="F405" s="10" t="b">
        <f aca="false">FALSE()</f>
        <v>0</v>
      </c>
      <c r="G405" s="7" t="s">
        <v>182</v>
      </c>
      <c r="H405" s="7" t="s">
        <v>302</v>
      </c>
      <c r="I405" s="7" t="n">
        <v>2</v>
      </c>
      <c r="J405" s="7" t="s">
        <v>107</v>
      </c>
      <c r="K405" s="7" t="s">
        <v>108</v>
      </c>
      <c r="L405" s="7" t="n">
        <v>22</v>
      </c>
      <c r="M405" s="10" t="b">
        <f aca="false">FALSE()</f>
        <v>0</v>
      </c>
      <c r="N405" s="7" t="s">
        <v>109</v>
      </c>
      <c r="O405" s="7" t="n">
        <v>-33.891232</v>
      </c>
      <c r="P405" s="7" t="n">
        <v>151.186851</v>
      </c>
    </row>
    <row r="406" customFormat="false" ht="15" hidden="false" customHeight="false" outlineLevel="0" collapsed="false">
      <c r="A406" s="7" t="n">
        <v>405</v>
      </c>
      <c r="B406" s="7"/>
      <c r="C406" s="7" t="s">
        <v>625</v>
      </c>
      <c r="D406" s="7" t="n">
        <v>2223</v>
      </c>
      <c r="E406" s="7" t="s">
        <v>50</v>
      </c>
      <c r="F406" s="10" t="b">
        <f aca="false">FALSE()</f>
        <v>0</v>
      </c>
      <c r="G406" s="7" t="s">
        <v>293</v>
      </c>
      <c r="H406" s="7" t="s">
        <v>287</v>
      </c>
      <c r="I406" s="7" t="n">
        <v>2</v>
      </c>
      <c r="J406" s="7" t="s">
        <v>71</v>
      </c>
      <c r="K406" s="7" t="s">
        <v>288</v>
      </c>
      <c r="L406" s="7" t="n">
        <v>25</v>
      </c>
      <c r="M406" s="10" t="b">
        <f aca="false">FALSE()</f>
        <v>0</v>
      </c>
      <c r="N406" s="7" t="s">
        <v>76</v>
      </c>
      <c r="O406" s="7" t="n">
        <v>-33.97015</v>
      </c>
      <c r="P406" s="7" t="n">
        <v>151.080133</v>
      </c>
    </row>
    <row r="407" customFormat="false" ht="15" hidden="false" customHeight="false" outlineLevel="0" collapsed="false">
      <c r="A407" s="7" t="n">
        <v>406</v>
      </c>
      <c r="B407" s="7"/>
      <c r="C407" s="7" t="s">
        <v>626</v>
      </c>
      <c r="D407" s="7" t="n">
        <v>2113</v>
      </c>
      <c r="E407" s="7" t="s">
        <v>50</v>
      </c>
      <c r="F407" s="10" t="b">
        <f aca="false">FALSE()</f>
        <v>0</v>
      </c>
      <c r="G407" s="7" t="s">
        <v>364</v>
      </c>
      <c r="H407" s="7" t="s">
        <v>260</v>
      </c>
      <c r="I407" s="7" t="n">
        <v>1</v>
      </c>
      <c r="J407" s="7" t="s">
        <v>107</v>
      </c>
      <c r="K407" s="7" t="s">
        <v>108</v>
      </c>
      <c r="L407" s="7" t="n">
        <v>22</v>
      </c>
      <c r="M407" s="10" t="b">
        <f aca="false">FALSE()</f>
        <v>0</v>
      </c>
      <c r="N407" s="7" t="s">
        <v>109</v>
      </c>
      <c r="O407" s="7" t="n">
        <v>-33.782992</v>
      </c>
      <c r="P407" s="7" t="n">
        <v>151.122791</v>
      </c>
    </row>
    <row r="408" customFormat="false" ht="15" hidden="false" customHeight="false" outlineLevel="0" collapsed="false">
      <c r="A408" s="7" t="n">
        <v>407</v>
      </c>
      <c r="B408" s="7"/>
      <c r="C408" s="7" t="s">
        <v>627</v>
      </c>
      <c r="D408" s="7" t="n">
        <v>2229</v>
      </c>
      <c r="E408" s="7" t="s">
        <v>50</v>
      </c>
      <c r="F408" s="10" t="b">
        <f aca="false">FALSE()</f>
        <v>0</v>
      </c>
      <c r="G408" s="7" t="s">
        <v>628</v>
      </c>
      <c r="H408" s="7" t="s">
        <v>244</v>
      </c>
      <c r="I408" s="7" t="n">
        <v>4</v>
      </c>
      <c r="J408" s="7" t="s">
        <v>71</v>
      </c>
      <c r="K408" s="7" t="s">
        <v>83</v>
      </c>
      <c r="L408" s="7" t="n">
        <v>75</v>
      </c>
      <c r="M408" s="10" t="b">
        <f aca="false">FALSE()</f>
        <v>0</v>
      </c>
      <c r="N408" s="7" t="s">
        <v>268</v>
      </c>
      <c r="O408" s="7" t="n">
        <v>-34.029273</v>
      </c>
      <c r="P408" s="7" t="n">
        <v>151.122074</v>
      </c>
    </row>
    <row r="409" customFormat="false" ht="15" hidden="false" customHeight="false" outlineLevel="0" collapsed="false">
      <c r="A409" s="7" t="n">
        <v>408</v>
      </c>
      <c r="B409" s="7"/>
      <c r="C409" s="7" t="s">
        <v>629</v>
      </c>
      <c r="D409" s="7" t="n">
        <v>2750</v>
      </c>
      <c r="E409" s="7" t="s">
        <v>50</v>
      </c>
      <c r="F409" s="10" t="b">
        <f aca="false">TRUE()</f>
        <v>1</v>
      </c>
      <c r="G409" s="7" t="s">
        <v>472</v>
      </c>
      <c r="H409" s="7" t="s">
        <v>244</v>
      </c>
      <c r="I409" s="7" t="n">
        <v>4</v>
      </c>
      <c r="J409" s="7" t="s">
        <v>71</v>
      </c>
      <c r="K409" s="7" t="s">
        <v>378</v>
      </c>
      <c r="L409" s="7" t="n">
        <v>350</v>
      </c>
      <c r="M409" s="10" t="b">
        <f aca="false">FALSE()</f>
        <v>0</v>
      </c>
      <c r="N409" s="7" t="s">
        <v>268</v>
      </c>
      <c r="O409" s="7" t="n">
        <v>-33.770295</v>
      </c>
      <c r="P409" s="7" t="n">
        <v>150.673823</v>
      </c>
    </row>
    <row r="410" customFormat="false" ht="15" hidden="false" customHeight="false" outlineLevel="0" collapsed="false">
      <c r="A410" s="7" t="n">
        <v>409</v>
      </c>
      <c r="B410" s="7"/>
      <c r="C410" s="7" t="s">
        <v>630</v>
      </c>
      <c r="D410" s="7" t="n">
        <v>2134</v>
      </c>
      <c r="E410" s="7" t="s">
        <v>50</v>
      </c>
      <c r="F410" s="10" t="b">
        <f aca="false">FALSE()</f>
        <v>0</v>
      </c>
      <c r="G410" s="7" t="s">
        <v>421</v>
      </c>
      <c r="H410" s="7" t="s">
        <v>287</v>
      </c>
      <c r="I410" s="7" t="n">
        <v>2</v>
      </c>
      <c r="J410" s="7" t="s">
        <v>71</v>
      </c>
      <c r="K410" s="7" t="s">
        <v>288</v>
      </c>
      <c r="L410" s="7" t="n">
        <v>25</v>
      </c>
      <c r="M410" s="10" t="b">
        <f aca="false">FALSE()</f>
        <v>0</v>
      </c>
      <c r="N410" s="7" t="s">
        <v>76</v>
      </c>
      <c r="O410" s="7" t="n">
        <v>-33.87385</v>
      </c>
      <c r="P410" s="7" t="n">
        <v>151.101945</v>
      </c>
    </row>
    <row r="411" customFormat="false" ht="15" hidden="false" customHeight="false" outlineLevel="0" collapsed="false">
      <c r="A411" s="7" t="n">
        <v>410</v>
      </c>
      <c r="B411" s="7"/>
      <c r="C411" s="7" t="s">
        <v>631</v>
      </c>
      <c r="D411" s="7" t="n">
        <v>2519</v>
      </c>
      <c r="E411" s="7" t="s">
        <v>50</v>
      </c>
      <c r="F411" s="10" t="b">
        <f aca="false">FALSE()</f>
        <v>0</v>
      </c>
      <c r="G411" s="7" t="s">
        <v>102</v>
      </c>
      <c r="H411" s="7" t="s">
        <v>233</v>
      </c>
      <c r="I411" s="7" t="n">
        <v>2</v>
      </c>
      <c r="J411" s="7" t="s">
        <v>71</v>
      </c>
      <c r="K411" s="7" t="s">
        <v>83</v>
      </c>
      <c r="L411" s="7" t="n">
        <v>75</v>
      </c>
      <c r="M411" s="10" t="b">
        <f aca="false">FALSE()</f>
        <v>0</v>
      </c>
      <c r="N411" s="7" t="s">
        <v>76</v>
      </c>
      <c r="O411" s="7" t="n">
        <v>-34.403325</v>
      </c>
      <c r="P411" s="7" t="n">
        <v>150.891463</v>
      </c>
    </row>
    <row r="412" customFormat="false" ht="15" hidden="false" customHeight="false" outlineLevel="0" collapsed="false">
      <c r="A412" s="7" t="n">
        <v>411</v>
      </c>
      <c r="B412" s="7"/>
      <c r="C412" s="7" t="s">
        <v>632</v>
      </c>
      <c r="D412" s="7" t="n">
        <v>2147</v>
      </c>
      <c r="E412" s="7" t="s">
        <v>50</v>
      </c>
      <c r="F412" s="10" t="b">
        <f aca="false">FALSE()</f>
        <v>0</v>
      </c>
      <c r="G412" s="7" t="s">
        <v>554</v>
      </c>
      <c r="H412" s="7" t="s">
        <v>244</v>
      </c>
      <c r="I412" s="7" t="n">
        <v>4</v>
      </c>
      <c r="J412" s="7" t="s">
        <v>71</v>
      </c>
      <c r="K412" s="7" t="s">
        <v>234</v>
      </c>
      <c r="L412" s="7" t="n">
        <v>150</v>
      </c>
      <c r="M412" s="10" t="b">
        <f aca="false">FALSE()</f>
        <v>0</v>
      </c>
      <c r="N412" s="7" t="s">
        <v>268</v>
      </c>
      <c r="O412" s="7" t="n">
        <v>-33.77579</v>
      </c>
      <c r="P412" s="7" t="n">
        <v>150.933086</v>
      </c>
    </row>
    <row r="413" customFormat="false" ht="15" hidden="false" customHeight="false" outlineLevel="0" collapsed="false">
      <c r="A413" s="7" t="n">
        <v>412</v>
      </c>
      <c r="B413" s="7"/>
      <c r="C413" s="7" t="s">
        <v>633</v>
      </c>
      <c r="D413" s="7" t="n">
        <v>2166</v>
      </c>
      <c r="E413" s="7" t="s">
        <v>50</v>
      </c>
      <c r="F413" s="10" t="b">
        <f aca="false">FALSE()</f>
        <v>0</v>
      </c>
      <c r="G413" s="7" t="s">
        <v>370</v>
      </c>
      <c r="H413" s="7" t="s">
        <v>239</v>
      </c>
      <c r="I413" s="7" t="n">
        <v>2</v>
      </c>
      <c r="J413" s="7" t="s">
        <v>107</v>
      </c>
      <c r="K413" s="7" t="s">
        <v>240</v>
      </c>
      <c r="L413" s="7" t="n">
        <v>19</v>
      </c>
      <c r="M413" s="10" t="b">
        <f aca="false">FALSE()</f>
        <v>0</v>
      </c>
      <c r="N413" s="7" t="s">
        <v>109</v>
      </c>
      <c r="O413" s="7" t="n">
        <v>-33.896701</v>
      </c>
      <c r="P413" s="7" t="n">
        <v>150.938</v>
      </c>
    </row>
    <row r="414" customFormat="false" ht="15" hidden="false" customHeight="false" outlineLevel="0" collapsed="false">
      <c r="A414" s="7" t="n">
        <v>413</v>
      </c>
      <c r="B414" s="7"/>
      <c r="C414" s="7" t="s">
        <v>634</v>
      </c>
      <c r="D414" s="7" t="n">
        <v>2000</v>
      </c>
      <c r="E414" s="7" t="s">
        <v>50</v>
      </c>
      <c r="F414" s="10" t="b">
        <f aca="false">FALSE()</f>
        <v>0</v>
      </c>
      <c r="G414" s="7" t="s">
        <v>182</v>
      </c>
      <c r="H414" s="7" t="s">
        <v>281</v>
      </c>
      <c r="I414" s="7" t="n">
        <v>4</v>
      </c>
      <c r="J414" s="7" t="s">
        <v>107</v>
      </c>
      <c r="K414" s="7" t="s">
        <v>108</v>
      </c>
      <c r="L414" s="7" t="n">
        <v>22</v>
      </c>
      <c r="M414" s="10" t="b">
        <f aca="false">FALSE()</f>
        <v>0</v>
      </c>
      <c r="N414" s="7" t="s">
        <v>109</v>
      </c>
      <c r="O414" s="7" t="n">
        <v>-33.862139</v>
      </c>
      <c r="P414" s="7" t="n">
        <v>151.207299</v>
      </c>
    </row>
    <row r="415" customFormat="false" ht="15" hidden="false" customHeight="false" outlineLevel="0" collapsed="false">
      <c r="A415" s="7" t="n">
        <v>414</v>
      </c>
      <c r="B415" s="7"/>
      <c r="C415" s="7" t="s">
        <v>634</v>
      </c>
      <c r="D415" s="7" t="n">
        <v>2000</v>
      </c>
      <c r="E415" s="7" t="s">
        <v>50</v>
      </c>
      <c r="F415" s="10" t="b">
        <f aca="false">FALSE()</f>
        <v>0</v>
      </c>
      <c r="G415" s="7" t="s">
        <v>182</v>
      </c>
      <c r="H415" s="7" t="s">
        <v>304</v>
      </c>
      <c r="I415" s="7" t="n">
        <v>4</v>
      </c>
      <c r="J415" s="7" t="s">
        <v>107</v>
      </c>
      <c r="K415" s="7" t="s">
        <v>108</v>
      </c>
      <c r="L415" s="7" t="n">
        <v>22</v>
      </c>
      <c r="M415" s="10" t="b">
        <f aca="false">FALSE()</f>
        <v>0</v>
      </c>
      <c r="N415" s="7" t="s">
        <v>109</v>
      </c>
      <c r="O415" s="7" t="n">
        <v>-33.862629</v>
      </c>
      <c r="P415" s="7" t="n">
        <v>151.207236</v>
      </c>
    </row>
    <row r="416" customFormat="false" ht="15" hidden="false" customHeight="false" outlineLevel="0" collapsed="false">
      <c r="A416" s="7" t="n">
        <v>415</v>
      </c>
      <c r="B416" s="7"/>
      <c r="C416" s="7" t="s">
        <v>635</v>
      </c>
      <c r="D416" s="7" t="n">
        <v>2170</v>
      </c>
      <c r="E416" s="7" t="s">
        <v>50</v>
      </c>
      <c r="F416" s="10" t="b">
        <f aca="false">FALSE()</f>
        <v>0</v>
      </c>
      <c r="G416" s="7" t="s">
        <v>130</v>
      </c>
      <c r="H416" s="7" t="s">
        <v>287</v>
      </c>
      <c r="I416" s="7" t="n">
        <v>2</v>
      </c>
      <c r="J416" s="7" t="s">
        <v>71</v>
      </c>
      <c r="K416" s="7" t="s">
        <v>288</v>
      </c>
      <c r="L416" s="7" t="n">
        <v>25</v>
      </c>
      <c r="M416" s="10" t="b">
        <f aca="false">FALSE()</f>
        <v>0</v>
      </c>
      <c r="N416" s="7" t="s">
        <v>76</v>
      </c>
      <c r="O416" s="7" t="n">
        <v>-33.958006</v>
      </c>
      <c r="P416" s="7" t="n">
        <v>150.886463</v>
      </c>
    </row>
    <row r="417" customFormat="false" ht="15" hidden="false" customHeight="false" outlineLevel="0" collapsed="false">
      <c r="A417" s="7" t="n">
        <v>416</v>
      </c>
      <c r="B417" s="7"/>
      <c r="C417" s="7" t="s">
        <v>635</v>
      </c>
      <c r="D417" s="7" t="n">
        <v>2170</v>
      </c>
      <c r="E417" s="7" t="s">
        <v>50</v>
      </c>
      <c r="F417" s="10" t="b">
        <f aca="false">FALSE()</f>
        <v>0</v>
      </c>
      <c r="G417" s="7" t="s">
        <v>130</v>
      </c>
      <c r="H417" s="7" t="s">
        <v>287</v>
      </c>
      <c r="I417" s="7" t="n">
        <v>2</v>
      </c>
      <c r="J417" s="7" t="s">
        <v>71</v>
      </c>
      <c r="K417" s="7" t="s">
        <v>288</v>
      </c>
      <c r="L417" s="7" t="n">
        <v>25</v>
      </c>
      <c r="M417" s="10" t="b">
        <f aca="false">FALSE()</f>
        <v>0</v>
      </c>
      <c r="N417" s="7" t="s">
        <v>76</v>
      </c>
      <c r="O417" s="7" t="n">
        <v>-33.958155</v>
      </c>
      <c r="P417" s="7" t="n">
        <v>150.88663</v>
      </c>
    </row>
    <row r="418" customFormat="false" ht="15" hidden="false" customHeight="false" outlineLevel="0" collapsed="false">
      <c r="A418" s="7" t="n">
        <v>417</v>
      </c>
      <c r="B418" s="7"/>
      <c r="C418" s="7" t="s">
        <v>636</v>
      </c>
      <c r="D418" s="7" t="n">
        <v>2762</v>
      </c>
      <c r="E418" s="7" t="s">
        <v>50</v>
      </c>
      <c r="F418" s="10" t="b">
        <f aca="false">FALSE()</f>
        <v>0</v>
      </c>
      <c r="G418" s="7" t="s">
        <v>232</v>
      </c>
      <c r="H418" s="7" t="s">
        <v>244</v>
      </c>
      <c r="I418" s="7" t="n">
        <v>4</v>
      </c>
      <c r="J418" s="7" t="s">
        <v>71</v>
      </c>
      <c r="K418" s="7" t="s">
        <v>72</v>
      </c>
      <c r="L418" s="7" t="n">
        <v>50</v>
      </c>
      <c r="M418" s="10" t="b">
        <f aca="false">FALSE()</f>
        <v>0</v>
      </c>
      <c r="N418" s="7" t="s">
        <v>268</v>
      </c>
      <c r="O418" s="7" t="n">
        <v>-33.705677</v>
      </c>
      <c r="P418" s="7" t="n">
        <v>150.876075</v>
      </c>
    </row>
    <row r="419" customFormat="false" ht="15" hidden="false" customHeight="false" outlineLevel="0" collapsed="false">
      <c r="A419" s="7" t="n">
        <v>418</v>
      </c>
      <c r="B419" s="7"/>
      <c r="C419" s="7" t="s">
        <v>637</v>
      </c>
      <c r="D419" s="7" t="n">
        <v>2281</v>
      </c>
      <c r="E419" s="7" t="s">
        <v>50</v>
      </c>
      <c r="F419" s="10" t="b">
        <f aca="false">FALSE()</f>
        <v>0</v>
      </c>
      <c r="G419" s="7" t="s">
        <v>377</v>
      </c>
      <c r="H419" s="7" t="s">
        <v>252</v>
      </c>
      <c r="I419" s="7" t="n">
        <v>2</v>
      </c>
      <c r="J419" s="7" t="s">
        <v>71</v>
      </c>
      <c r="K419" s="7" t="s">
        <v>288</v>
      </c>
      <c r="L419" s="7" t="n">
        <v>25</v>
      </c>
      <c r="M419" s="10" t="b">
        <f aca="false">FALSE()</f>
        <v>0</v>
      </c>
      <c r="N419" s="7" t="s">
        <v>76</v>
      </c>
      <c r="O419" s="7" t="n">
        <v>-33.091766</v>
      </c>
      <c r="P419" s="7" t="n">
        <v>151.637421</v>
      </c>
    </row>
    <row r="420" customFormat="false" ht="15" hidden="false" customHeight="false" outlineLevel="0" collapsed="false">
      <c r="A420" s="7" t="n">
        <v>419</v>
      </c>
      <c r="B420" s="7"/>
      <c r="C420" s="7" t="s">
        <v>638</v>
      </c>
      <c r="D420" s="7" t="n">
        <v>2324</v>
      </c>
      <c r="E420" s="7" t="s">
        <v>50</v>
      </c>
      <c r="F420" s="10" t="b">
        <f aca="false">FALSE()</f>
        <v>0</v>
      </c>
      <c r="G420" s="7" t="s">
        <v>309</v>
      </c>
      <c r="H420" s="7" t="s">
        <v>239</v>
      </c>
      <c r="I420" s="7" t="n">
        <v>12</v>
      </c>
      <c r="J420" s="7" t="s">
        <v>71</v>
      </c>
      <c r="K420" s="7" t="s">
        <v>242</v>
      </c>
      <c r="L420" s="7" t="n">
        <v>130</v>
      </c>
      <c r="M420" s="10" t="b">
        <f aca="false">FALSE()</f>
        <v>0</v>
      </c>
      <c r="N420" s="7" t="s">
        <v>76</v>
      </c>
      <c r="O420" s="7" t="n">
        <v>-32.787294</v>
      </c>
      <c r="P420" s="7" t="n">
        <v>151.728353</v>
      </c>
    </row>
    <row r="421" customFormat="false" ht="15" hidden="false" customHeight="false" outlineLevel="0" collapsed="false">
      <c r="A421" s="7" t="n">
        <v>420</v>
      </c>
      <c r="B421" s="7"/>
      <c r="C421" s="7" t="s">
        <v>639</v>
      </c>
      <c r="D421" s="7" t="n">
        <v>2031</v>
      </c>
      <c r="E421" s="7" t="s">
        <v>50</v>
      </c>
      <c r="F421" s="10" t="b">
        <f aca="false">FALSE()</f>
        <v>0</v>
      </c>
      <c r="G421" s="7" t="s">
        <v>355</v>
      </c>
      <c r="H421" s="7" t="s">
        <v>260</v>
      </c>
      <c r="I421" s="7" t="n">
        <v>1</v>
      </c>
      <c r="J421" s="7" t="s">
        <v>107</v>
      </c>
      <c r="K421" s="7" t="s">
        <v>108</v>
      </c>
      <c r="L421" s="7" t="n">
        <v>22</v>
      </c>
      <c r="M421" s="10" t="b">
        <f aca="false">FALSE()</f>
        <v>0</v>
      </c>
      <c r="N421" s="7" t="s">
        <v>109</v>
      </c>
      <c r="O421" s="7" t="n">
        <v>-33.903637</v>
      </c>
      <c r="P421" s="7" t="n">
        <v>151.242633</v>
      </c>
    </row>
    <row r="422" customFormat="false" ht="15" hidden="false" customHeight="false" outlineLevel="0" collapsed="false">
      <c r="A422" s="7" t="n">
        <v>421</v>
      </c>
      <c r="B422" s="7"/>
      <c r="C422" s="7" t="s">
        <v>640</v>
      </c>
      <c r="D422" s="7" t="n">
        <v>2135</v>
      </c>
      <c r="E422" s="7" t="s">
        <v>50</v>
      </c>
      <c r="F422" s="10" t="b">
        <f aca="false">FALSE()</f>
        <v>0</v>
      </c>
      <c r="G422" s="7" t="s">
        <v>421</v>
      </c>
      <c r="H422" s="7" t="s">
        <v>260</v>
      </c>
      <c r="I422" s="7" t="n">
        <v>1</v>
      </c>
      <c r="J422" s="7" t="s">
        <v>107</v>
      </c>
      <c r="K422" s="7" t="s">
        <v>277</v>
      </c>
      <c r="L422" s="7" t="n">
        <v>6</v>
      </c>
      <c r="M422" s="10" t="b">
        <f aca="false">FALSE()</f>
        <v>0</v>
      </c>
      <c r="N422" s="7" t="s">
        <v>109</v>
      </c>
      <c r="O422" s="7" t="n">
        <v>-33.874708</v>
      </c>
      <c r="P422" s="7" t="n">
        <v>151.09495</v>
      </c>
    </row>
    <row r="423" customFormat="false" ht="15" hidden="false" customHeight="false" outlineLevel="0" collapsed="false">
      <c r="A423" s="7" t="n">
        <v>422</v>
      </c>
      <c r="B423" s="7"/>
      <c r="C423" s="7" t="s">
        <v>641</v>
      </c>
      <c r="D423" s="7" t="n">
        <v>2033</v>
      </c>
      <c r="E423" s="7" t="s">
        <v>50</v>
      </c>
      <c r="F423" s="10" t="b">
        <f aca="false">FALSE()</f>
        <v>0</v>
      </c>
      <c r="G423" s="7" t="s">
        <v>355</v>
      </c>
      <c r="H423" s="7" t="s">
        <v>260</v>
      </c>
      <c r="I423" s="7" t="n">
        <v>1</v>
      </c>
      <c r="J423" s="7" t="s">
        <v>107</v>
      </c>
      <c r="K423" s="7" t="s">
        <v>108</v>
      </c>
      <c r="L423" s="7" t="n">
        <v>22</v>
      </c>
      <c r="M423" s="10" t="b">
        <f aca="false">FALSE()</f>
        <v>0</v>
      </c>
      <c r="N423" s="7" t="s">
        <v>109</v>
      </c>
      <c r="O423" s="7" t="n">
        <v>-33.913714</v>
      </c>
      <c r="P423" s="7" t="n">
        <v>151.224291</v>
      </c>
    </row>
    <row r="424" customFormat="false" ht="15" hidden="false" customHeight="false" outlineLevel="0" collapsed="false">
      <c r="A424" s="7" t="n">
        <v>423</v>
      </c>
      <c r="B424" s="7"/>
      <c r="C424" s="7" t="s">
        <v>642</v>
      </c>
      <c r="D424" s="7" t="n">
        <v>2034</v>
      </c>
      <c r="E424" s="7" t="s">
        <v>50</v>
      </c>
      <c r="F424" s="10" t="b">
        <f aca="false">FALSE()</f>
        <v>0</v>
      </c>
      <c r="G424" s="7" t="s">
        <v>355</v>
      </c>
      <c r="H424" s="7" t="s">
        <v>287</v>
      </c>
      <c r="I424" s="7" t="n">
        <v>2</v>
      </c>
      <c r="J424" s="7" t="s">
        <v>71</v>
      </c>
      <c r="K424" s="7" t="s">
        <v>72</v>
      </c>
      <c r="L424" s="7" t="n">
        <v>50</v>
      </c>
      <c r="M424" s="10" t="b">
        <f aca="false">FALSE()</f>
        <v>0</v>
      </c>
      <c r="N424" s="7" t="s">
        <v>76</v>
      </c>
      <c r="O424" s="7" t="n">
        <v>-33.921595</v>
      </c>
      <c r="P424" s="7" t="n">
        <v>151.256557</v>
      </c>
    </row>
    <row r="425" customFormat="false" ht="15" hidden="false" customHeight="false" outlineLevel="0" collapsed="false">
      <c r="A425" s="7" t="n">
        <v>424</v>
      </c>
      <c r="B425" s="7"/>
      <c r="C425" s="7" t="s">
        <v>643</v>
      </c>
      <c r="D425" s="7" t="n">
        <v>2430</v>
      </c>
      <c r="E425" s="7" t="s">
        <v>50</v>
      </c>
      <c r="F425" s="10" t="b">
        <f aca="false">FALSE()</f>
        <v>0</v>
      </c>
      <c r="G425" s="7" t="s">
        <v>128</v>
      </c>
      <c r="H425" s="7" t="s">
        <v>239</v>
      </c>
      <c r="I425" s="7" t="n">
        <v>2</v>
      </c>
      <c r="J425" s="7" t="s">
        <v>107</v>
      </c>
      <c r="K425" s="7" t="s">
        <v>108</v>
      </c>
      <c r="L425" s="7" t="n">
        <v>22</v>
      </c>
      <c r="M425" s="10" t="b">
        <f aca="false">FALSE()</f>
        <v>0</v>
      </c>
      <c r="N425" s="7" t="s">
        <v>109</v>
      </c>
      <c r="O425" s="7" t="n">
        <v>-31.902892</v>
      </c>
      <c r="P425" s="7" t="n">
        <v>152.477371</v>
      </c>
    </row>
    <row r="426" customFormat="false" ht="15" hidden="false" customHeight="false" outlineLevel="0" collapsed="false">
      <c r="A426" s="7" t="n">
        <v>425</v>
      </c>
      <c r="B426" s="7"/>
      <c r="C426" s="7" t="s">
        <v>644</v>
      </c>
      <c r="D426" s="7" t="n">
        <v>2300</v>
      </c>
      <c r="E426" s="7" t="s">
        <v>50</v>
      </c>
      <c r="F426" s="10" t="b">
        <f aca="false">FALSE()</f>
        <v>0</v>
      </c>
      <c r="G426" s="7" t="s">
        <v>141</v>
      </c>
      <c r="H426" s="7" t="s">
        <v>237</v>
      </c>
      <c r="I426" s="7" t="n">
        <v>4</v>
      </c>
      <c r="J426" s="7" t="s">
        <v>107</v>
      </c>
      <c r="K426" s="7" t="s">
        <v>108</v>
      </c>
      <c r="L426" s="7" t="n">
        <v>22</v>
      </c>
      <c r="M426" s="10" t="b">
        <f aca="false">FALSE()</f>
        <v>0</v>
      </c>
      <c r="N426" s="7" t="s">
        <v>109</v>
      </c>
      <c r="O426" s="7" t="n">
        <v>-32.925909</v>
      </c>
      <c r="P426" s="7" t="n">
        <v>151.778968</v>
      </c>
    </row>
    <row r="427" customFormat="false" ht="15" hidden="false" customHeight="false" outlineLevel="0" collapsed="false">
      <c r="A427" s="7" t="n">
        <v>426</v>
      </c>
      <c r="B427" s="7"/>
      <c r="C427" s="7" t="s">
        <v>645</v>
      </c>
      <c r="D427" s="7" t="n">
        <v>2537</v>
      </c>
      <c r="E427" s="7" t="s">
        <v>50</v>
      </c>
      <c r="F427" s="10" t="b">
        <f aca="false">FALSE()</f>
        <v>0</v>
      </c>
      <c r="G427" s="7" t="s">
        <v>123</v>
      </c>
      <c r="H427" s="7" t="s">
        <v>239</v>
      </c>
      <c r="I427" s="7" t="n">
        <v>1</v>
      </c>
      <c r="J427" s="7" t="s">
        <v>107</v>
      </c>
      <c r="K427" s="7" t="s">
        <v>108</v>
      </c>
      <c r="L427" s="7" t="n">
        <v>22</v>
      </c>
      <c r="M427" s="10" t="b">
        <f aca="false">FALSE()</f>
        <v>0</v>
      </c>
      <c r="N427" s="7" t="s">
        <v>109</v>
      </c>
      <c r="O427" s="7" t="n">
        <v>-35.842653</v>
      </c>
      <c r="P427" s="7" t="n">
        <v>150.167026</v>
      </c>
    </row>
    <row r="428" customFormat="false" ht="15" hidden="false" customHeight="false" outlineLevel="0" collapsed="false">
      <c r="A428" s="7" t="n">
        <v>427</v>
      </c>
      <c r="B428" s="7"/>
      <c r="C428" s="7" t="s">
        <v>646</v>
      </c>
      <c r="D428" s="7" t="n">
        <v>2027</v>
      </c>
      <c r="E428" s="7" t="s">
        <v>50</v>
      </c>
      <c r="F428" s="10" t="b">
        <f aca="false">FALSE()</f>
        <v>0</v>
      </c>
      <c r="G428" s="7" t="s">
        <v>272</v>
      </c>
      <c r="H428" s="7" t="s">
        <v>260</v>
      </c>
      <c r="I428" s="7" t="n">
        <v>4</v>
      </c>
      <c r="J428" s="7" t="s">
        <v>107</v>
      </c>
      <c r="K428" s="7" t="s">
        <v>277</v>
      </c>
      <c r="L428" s="7" t="n">
        <v>6</v>
      </c>
      <c r="M428" s="10" t="b">
        <f aca="false">FALSE()</f>
        <v>0</v>
      </c>
      <c r="N428" s="7" t="s">
        <v>109</v>
      </c>
      <c r="O428" s="7" t="n">
        <v>-33.879532</v>
      </c>
      <c r="P428" s="7" t="n">
        <v>151.236486</v>
      </c>
    </row>
    <row r="429" customFormat="false" ht="15" hidden="false" customHeight="false" outlineLevel="0" collapsed="false">
      <c r="A429" s="7" t="n">
        <v>428</v>
      </c>
      <c r="B429" s="7"/>
      <c r="C429" s="7" t="s">
        <v>647</v>
      </c>
      <c r="D429" s="7" t="n">
        <v>2324</v>
      </c>
      <c r="E429" s="7" t="s">
        <v>50</v>
      </c>
      <c r="F429" s="10" t="b">
        <f aca="false">FALSE()</f>
        <v>0</v>
      </c>
      <c r="G429" s="7" t="s">
        <v>309</v>
      </c>
      <c r="H429" s="7" t="s">
        <v>233</v>
      </c>
      <c r="I429" s="7" t="n">
        <v>2</v>
      </c>
      <c r="J429" s="7" t="s">
        <v>71</v>
      </c>
      <c r="K429" s="7" t="s">
        <v>83</v>
      </c>
      <c r="L429" s="7" t="n">
        <v>75</v>
      </c>
      <c r="M429" s="10" t="b">
        <f aca="false">FALSE()</f>
        <v>0</v>
      </c>
      <c r="N429" s="7" t="s">
        <v>76</v>
      </c>
      <c r="O429" s="7" t="n">
        <v>-32.783341</v>
      </c>
      <c r="P429" s="7" t="n">
        <v>151.737059</v>
      </c>
    </row>
    <row r="430" customFormat="false" ht="15" hidden="false" customHeight="false" outlineLevel="0" collapsed="false">
      <c r="A430" s="7" t="n">
        <v>429</v>
      </c>
      <c r="B430" s="7"/>
      <c r="C430" s="7" t="s">
        <v>648</v>
      </c>
      <c r="D430" s="7" t="n">
        <v>2021</v>
      </c>
      <c r="E430" s="7" t="s">
        <v>50</v>
      </c>
      <c r="F430" s="10" t="b">
        <f aca="false">FALSE()</f>
        <v>0</v>
      </c>
      <c r="G430" s="7" t="s">
        <v>272</v>
      </c>
      <c r="H430" s="7" t="s">
        <v>260</v>
      </c>
      <c r="I430" s="7" t="n">
        <v>1</v>
      </c>
      <c r="J430" s="7" t="s">
        <v>107</v>
      </c>
      <c r="K430" s="7" t="s">
        <v>108</v>
      </c>
      <c r="L430" s="7" t="n">
        <v>22</v>
      </c>
      <c r="M430" s="10" t="b">
        <f aca="false">FALSE()</f>
        <v>0</v>
      </c>
      <c r="N430" s="7" t="s">
        <v>109</v>
      </c>
      <c r="O430" s="7" t="n">
        <v>-33.881783</v>
      </c>
      <c r="P430" s="7" t="n">
        <v>151.233328</v>
      </c>
    </row>
    <row r="431" customFormat="false" ht="15" hidden="false" customHeight="false" outlineLevel="0" collapsed="false">
      <c r="A431" s="7" t="n">
        <v>430</v>
      </c>
      <c r="B431" s="7"/>
      <c r="C431" s="7" t="s">
        <v>649</v>
      </c>
      <c r="D431" s="7" t="n">
        <v>2447</v>
      </c>
      <c r="E431" s="7" t="s">
        <v>50</v>
      </c>
      <c r="F431" s="10" t="b">
        <f aca="false">FALSE()</f>
        <v>0</v>
      </c>
      <c r="G431" s="7" t="s">
        <v>562</v>
      </c>
      <c r="H431" s="7" t="s">
        <v>244</v>
      </c>
      <c r="I431" s="7" t="n">
        <v>4</v>
      </c>
      <c r="J431" s="7" t="s">
        <v>71</v>
      </c>
      <c r="K431" s="7" t="s">
        <v>378</v>
      </c>
      <c r="L431" s="7" t="n">
        <v>350</v>
      </c>
      <c r="M431" s="10" t="b">
        <f aca="false">FALSE()</f>
        <v>0</v>
      </c>
      <c r="N431" s="7" t="s">
        <v>76</v>
      </c>
      <c r="O431" s="7" t="n">
        <v>-30.71023</v>
      </c>
      <c r="P431" s="7" t="n">
        <v>152.91977</v>
      </c>
    </row>
    <row r="432" customFormat="false" ht="15" hidden="false" customHeight="false" outlineLevel="0" collapsed="false">
      <c r="A432" s="7" t="n">
        <v>431</v>
      </c>
      <c r="B432" s="7"/>
      <c r="C432" s="7" t="s">
        <v>650</v>
      </c>
      <c r="D432" s="7" t="n">
        <v>2502</v>
      </c>
      <c r="E432" s="7" t="s">
        <v>50</v>
      </c>
      <c r="F432" s="10" t="b">
        <f aca="false">FALSE()</f>
        <v>0</v>
      </c>
      <c r="G432" s="7" t="s">
        <v>102</v>
      </c>
      <c r="H432" s="7" t="s">
        <v>260</v>
      </c>
      <c r="I432" s="7" t="n">
        <v>4</v>
      </c>
      <c r="J432" s="7" t="s">
        <v>107</v>
      </c>
      <c r="K432" s="7" t="s">
        <v>108</v>
      </c>
      <c r="L432" s="7" t="n">
        <v>22</v>
      </c>
      <c r="M432" s="10" t="b">
        <f aca="false">FALSE()</f>
        <v>0</v>
      </c>
      <c r="N432" s="7" t="s">
        <v>109</v>
      </c>
      <c r="O432" s="7" t="n">
        <v>-34.507834</v>
      </c>
      <c r="P432" s="7" t="n">
        <v>150.878241</v>
      </c>
    </row>
    <row r="433" customFormat="false" ht="15" hidden="false" customHeight="false" outlineLevel="0" collapsed="false">
      <c r="A433" s="7" t="n">
        <v>432</v>
      </c>
      <c r="B433" s="7"/>
      <c r="C433" s="7" t="s">
        <v>651</v>
      </c>
      <c r="D433" s="7" t="n">
        <v>2539</v>
      </c>
      <c r="E433" s="7" t="s">
        <v>50</v>
      </c>
      <c r="F433" s="10" t="b">
        <f aca="false">FALSE()</f>
        <v>0</v>
      </c>
      <c r="G433" s="7" t="s">
        <v>92</v>
      </c>
      <c r="H433" s="7" t="s">
        <v>239</v>
      </c>
      <c r="I433" s="7" t="n">
        <v>2</v>
      </c>
      <c r="J433" s="7" t="s">
        <v>107</v>
      </c>
      <c r="K433" s="7" t="s">
        <v>588</v>
      </c>
      <c r="L433" s="7" t="n">
        <v>17</v>
      </c>
      <c r="M433" s="10" t="b">
        <f aca="false">FALSE()</f>
        <v>0</v>
      </c>
      <c r="N433" s="7" t="s">
        <v>109</v>
      </c>
      <c r="O433" s="7" t="n">
        <v>-35.346201</v>
      </c>
      <c r="P433" s="7" t="n">
        <v>150.470222</v>
      </c>
    </row>
    <row r="434" customFormat="false" ht="15" hidden="false" customHeight="false" outlineLevel="0" collapsed="false">
      <c r="A434" s="7" t="n">
        <v>433</v>
      </c>
      <c r="B434" s="7"/>
      <c r="C434" s="7" t="s">
        <v>652</v>
      </c>
      <c r="D434" s="7" t="n">
        <v>2579</v>
      </c>
      <c r="E434" s="7" t="s">
        <v>50</v>
      </c>
      <c r="F434" s="10" t="b">
        <f aca="false">FALSE()</f>
        <v>0</v>
      </c>
      <c r="G434" s="7" t="s">
        <v>161</v>
      </c>
      <c r="H434" s="7" t="s">
        <v>239</v>
      </c>
      <c r="I434" s="7" t="n">
        <v>6</v>
      </c>
      <c r="J434" s="7" t="s">
        <v>71</v>
      </c>
      <c r="K434" s="7" t="s">
        <v>250</v>
      </c>
      <c r="L434" s="7" t="n">
        <v>250</v>
      </c>
      <c r="M434" s="10" t="b">
        <f aca="false">FALSE()</f>
        <v>0</v>
      </c>
      <c r="N434" s="7" t="s">
        <v>76</v>
      </c>
      <c r="O434" s="7" t="n">
        <v>-34.609292</v>
      </c>
      <c r="P434" s="7" t="n">
        <v>150.229769</v>
      </c>
    </row>
    <row r="435" customFormat="false" ht="15" hidden="false" customHeight="false" outlineLevel="0" collapsed="false">
      <c r="A435" s="7" t="n">
        <v>434</v>
      </c>
      <c r="B435" s="7"/>
      <c r="C435" s="7" t="s">
        <v>653</v>
      </c>
      <c r="D435" s="7" t="n">
        <v>2282</v>
      </c>
      <c r="E435" s="7" t="s">
        <v>50</v>
      </c>
      <c r="F435" s="10" t="b">
        <f aca="false">FALSE()</f>
        <v>0</v>
      </c>
      <c r="G435" s="7" t="s">
        <v>377</v>
      </c>
      <c r="H435" s="7" t="s">
        <v>244</v>
      </c>
      <c r="I435" s="7" t="n">
        <v>4</v>
      </c>
      <c r="J435" s="7" t="s">
        <v>71</v>
      </c>
      <c r="K435" s="7" t="s">
        <v>234</v>
      </c>
      <c r="L435" s="7" t="n">
        <v>150</v>
      </c>
      <c r="M435" s="10" t="b">
        <f aca="false">FALSE()</f>
        <v>0</v>
      </c>
      <c r="N435" s="7" t="s">
        <v>268</v>
      </c>
      <c r="O435" s="7" t="n">
        <v>-32.963545</v>
      </c>
      <c r="P435" s="7" t="n">
        <v>151.661741</v>
      </c>
    </row>
    <row r="436" customFormat="false" ht="15" hidden="false" customHeight="false" outlineLevel="0" collapsed="false">
      <c r="A436" s="7" t="n">
        <v>435</v>
      </c>
      <c r="B436" s="7"/>
      <c r="C436" s="7" t="s">
        <v>654</v>
      </c>
      <c r="D436" s="7" t="n">
        <v>2480</v>
      </c>
      <c r="E436" s="7" t="s">
        <v>50</v>
      </c>
      <c r="F436" s="10" t="b">
        <f aca="false">FALSE()</f>
        <v>0</v>
      </c>
      <c r="G436" s="7" t="s">
        <v>655</v>
      </c>
      <c r="H436" s="7" t="s">
        <v>239</v>
      </c>
      <c r="I436" s="7" t="n">
        <v>2</v>
      </c>
      <c r="J436" s="7" t="s">
        <v>107</v>
      </c>
      <c r="K436" s="7" t="s">
        <v>485</v>
      </c>
      <c r="L436" s="7" t="n">
        <v>11</v>
      </c>
      <c r="M436" s="10" t="b">
        <f aca="false">FALSE()</f>
        <v>0</v>
      </c>
      <c r="N436" s="7" t="s">
        <v>109</v>
      </c>
      <c r="O436" s="7" t="n">
        <v>-28.813238</v>
      </c>
      <c r="P436" s="7" t="n">
        <v>153.275475</v>
      </c>
    </row>
    <row r="437" customFormat="false" ht="15" hidden="false" customHeight="false" outlineLevel="0" collapsed="false">
      <c r="A437" s="7" t="n">
        <v>436</v>
      </c>
      <c r="B437" s="7"/>
      <c r="C437" s="7" t="s">
        <v>656</v>
      </c>
      <c r="D437" s="7" t="n">
        <v>2567</v>
      </c>
      <c r="E437" s="7" t="s">
        <v>50</v>
      </c>
      <c r="F437" s="10" t="b">
        <f aca="false">FALSE()</f>
        <v>0</v>
      </c>
      <c r="G437" s="7" t="s">
        <v>338</v>
      </c>
      <c r="H437" s="7" t="s">
        <v>657</v>
      </c>
      <c r="I437" s="7" t="n">
        <v>4</v>
      </c>
      <c r="J437" s="7" t="s">
        <v>71</v>
      </c>
      <c r="K437" s="7" t="s">
        <v>117</v>
      </c>
      <c r="L437" s="7" t="n">
        <v>175</v>
      </c>
      <c r="M437" s="10" t="b">
        <f aca="false">FALSE()</f>
        <v>0</v>
      </c>
      <c r="N437" s="7" t="s">
        <v>658</v>
      </c>
      <c r="O437" s="7" t="n">
        <v>-34.049425</v>
      </c>
      <c r="P437" s="7" t="n">
        <v>150.760338</v>
      </c>
    </row>
    <row r="438" customFormat="false" ht="15" hidden="false" customHeight="false" outlineLevel="0" collapsed="false">
      <c r="A438" s="7" t="n">
        <v>437</v>
      </c>
      <c r="B438" s="7"/>
      <c r="C438" s="7" t="s">
        <v>659</v>
      </c>
      <c r="D438" s="7" t="n">
        <v>2034</v>
      </c>
      <c r="E438" s="7" t="s">
        <v>50</v>
      </c>
      <c r="F438" s="10" t="b">
        <f aca="false">FALSE()</f>
        <v>0</v>
      </c>
      <c r="G438" s="7" t="s">
        <v>355</v>
      </c>
      <c r="H438" s="7" t="s">
        <v>239</v>
      </c>
      <c r="I438" s="7" t="n">
        <v>2</v>
      </c>
      <c r="J438" s="7" t="s">
        <v>107</v>
      </c>
      <c r="K438" s="7" t="s">
        <v>108</v>
      </c>
      <c r="L438" s="7" t="n">
        <v>22</v>
      </c>
      <c r="M438" s="10" t="b">
        <f aca="false">FALSE()</f>
        <v>0</v>
      </c>
      <c r="N438" s="7" t="s">
        <v>109</v>
      </c>
      <c r="O438" s="7" t="n">
        <v>-33.922194</v>
      </c>
      <c r="P438" s="7" t="n">
        <v>151.255878</v>
      </c>
    </row>
    <row r="439" customFormat="false" ht="15" hidden="false" customHeight="false" outlineLevel="0" collapsed="false">
      <c r="A439" s="7" t="n">
        <v>438</v>
      </c>
      <c r="B439" s="7"/>
      <c r="C439" s="7" t="s">
        <v>660</v>
      </c>
      <c r="D439" s="7" t="n">
        <v>2066</v>
      </c>
      <c r="E439" s="7" t="s">
        <v>50</v>
      </c>
      <c r="F439" s="10" t="b">
        <f aca="false">FALSE()</f>
        <v>0</v>
      </c>
      <c r="G439" s="7" t="s">
        <v>389</v>
      </c>
      <c r="H439" s="7" t="s">
        <v>260</v>
      </c>
      <c r="I439" s="7" t="n">
        <v>4</v>
      </c>
      <c r="J439" s="7" t="s">
        <v>107</v>
      </c>
      <c r="K439" s="7" t="s">
        <v>277</v>
      </c>
      <c r="L439" s="7" t="n">
        <v>6</v>
      </c>
      <c r="M439" s="10" t="b">
        <f aca="false">FALSE()</f>
        <v>0</v>
      </c>
      <c r="N439" s="7" t="s">
        <v>109</v>
      </c>
      <c r="O439" s="7" t="n">
        <v>-33.815245</v>
      </c>
      <c r="P439" s="7" t="n">
        <v>151.16918</v>
      </c>
    </row>
    <row r="440" customFormat="false" ht="15" hidden="false" customHeight="false" outlineLevel="0" collapsed="false">
      <c r="A440" s="7" t="n">
        <v>439</v>
      </c>
      <c r="B440" s="7"/>
      <c r="C440" s="7" t="s">
        <v>661</v>
      </c>
      <c r="D440" s="7" t="n">
        <v>2010</v>
      </c>
      <c r="E440" s="7" t="s">
        <v>50</v>
      </c>
      <c r="F440" s="10" t="b">
        <f aca="false">FALSE()</f>
        <v>0</v>
      </c>
      <c r="G440" s="7" t="s">
        <v>182</v>
      </c>
      <c r="H440" s="7" t="s">
        <v>304</v>
      </c>
      <c r="I440" s="7" t="n">
        <v>2</v>
      </c>
      <c r="J440" s="7" t="s">
        <v>107</v>
      </c>
      <c r="K440" s="7" t="s">
        <v>485</v>
      </c>
      <c r="L440" s="7" t="n">
        <v>11</v>
      </c>
      <c r="M440" s="10" t="b">
        <f aca="false">FALSE()</f>
        <v>0</v>
      </c>
      <c r="N440" s="7" t="s">
        <v>109</v>
      </c>
      <c r="O440" s="7" t="n">
        <v>-33.877524</v>
      </c>
      <c r="P440" s="7" t="n">
        <v>151.215113</v>
      </c>
    </row>
    <row r="441" customFormat="false" ht="15" hidden="false" customHeight="false" outlineLevel="0" collapsed="false">
      <c r="A441" s="7" t="n">
        <v>440</v>
      </c>
      <c r="B441" s="7"/>
      <c r="C441" s="7" t="s">
        <v>662</v>
      </c>
      <c r="D441" s="7" t="n">
        <v>2195</v>
      </c>
      <c r="E441" s="7" t="s">
        <v>50</v>
      </c>
      <c r="F441" s="10" t="b">
        <f aca="false">FALSE()</f>
        <v>0</v>
      </c>
      <c r="G441" s="7" t="s">
        <v>345</v>
      </c>
      <c r="H441" s="7" t="s">
        <v>233</v>
      </c>
      <c r="I441" s="7" t="n">
        <v>2</v>
      </c>
      <c r="J441" s="7" t="s">
        <v>71</v>
      </c>
      <c r="K441" s="7" t="s">
        <v>83</v>
      </c>
      <c r="L441" s="7" t="n">
        <v>75</v>
      </c>
      <c r="M441" s="10" t="b">
        <f aca="false">FALSE()</f>
        <v>0</v>
      </c>
      <c r="N441" s="7" t="s">
        <v>76</v>
      </c>
      <c r="O441" s="7" t="n">
        <v>-33.919601</v>
      </c>
      <c r="P441" s="7" t="n">
        <v>151.066852</v>
      </c>
    </row>
    <row r="442" customFormat="false" ht="15" hidden="false" customHeight="false" outlineLevel="0" collapsed="false">
      <c r="A442" s="7" t="n">
        <v>441</v>
      </c>
      <c r="B442" s="7"/>
      <c r="C442" s="7" t="s">
        <v>663</v>
      </c>
      <c r="D442" s="7" t="n">
        <v>2320</v>
      </c>
      <c r="E442" s="7" t="s">
        <v>50</v>
      </c>
      <c r="F442" s="10" t="b">
        <f aca="false">FALSE()</f>
        <v>0</v>
      </c>
      <c r="G442" s="7" t="s">
        <v>111</v>
      </c>
      <c r="H442" s="7" t="s">
        <v>239</v>
      </c>
      <c r="I442" s="7" t="n">
        <v>1</v>
      </c>
      <c r="J442" s="7" t="s">
        <v>107</v>
      </c>
      <c r="K442" s="7" t="s">
        <v>108</v>
      </c>
      <c r="L442" s="7" t="n">
        <v>22</v>
      </c>
      <c r="M442" s="10" t="b">
        <f aca="false">FALSE()</f>
        <v>0</v>
      </c>
      <c r="N442" s="7" t="s">
        <v>109</v>
      </c>
      <c r="O442" s="7" t="n">
        <v>-32.77576</v>
      </c>
      <c r="P442" s="7" t="n">
        <v>151.338283</v>
      </c>
    </row>
    <row r="443" customFormat="false" ht="15" hidden="false" customHeight="false" outlineLevel="0" collapsed="false">
      <c r="A443" s="7" t="n">
        <v>442</v>
      </c>
      <c r="B443" s="7"/>
      <c r="C443" s="7" t="s">
        <v>664</v>
      </c>
      <c r="D443" s="7" t="n">
        <v>2210</v>
      </c>
      <c r="E443" s="7" t="s">
        <v>50</v>
      </c>
      <c r="F443" s="10" t="b">
        <f aca="false">FALSE()</f>
        <v>0</v>
      </c>
      <c r="G443" s="7" t="s">
        <v>293</v>
      </c>
      <c r="H443" s="7" t="s">
        <v>244</v>
      </c>
      <c r="I443" s="7" t="n">
        <v>4</v>
      </c>
      <c r="J443" s="7" t="s">
        <v>71</v>
      </c>
      <c r="K443" s="7" t="s">
        <v>83</v>
      </c>
      <c r="L443" s="7" t="n">
        <v>75</v>
      </c>
      <c r="M443" s="10" t="b">
        <f aca="false">FALSE()</f>
        <v>0</v>
      </c>
      <c r="N443" s="7" t="s">
        <v>268</v>
      </c>
      <c r="O443" s="7" t="n">
        <v>-33.952562</v>
      </c>
      <c r="P443" s="7" t="n">
        <v>151.05103</v>
      </c>
    </row>
    <row r="444" customFormat="false" ht="15" hidden="false" customHeight="false" outlineLevel="0" collapsed="false">
      <c r="A444" s="7" t="n">
        <v>443</v>
      </c>
      <c r="B444" s="7"/>
      <c r="C444" s="7" t="s">
        <v>665</v>
      </c>
      <c r="D444" s="7" t="n">
        <v>2095</v>
      </c>
      <c r="E444" s="7" t="s">
        <v>50</v>
      </c>
      <c r="F444" s="10" t="b">
        <f aca="false">FALSE()</f>
        <v>0</v>
      </c>
      <c r="G444" s="7" t="s">
        <v>286</v>
      </c>
      <c r="H444" s="7" t="s">
        <v>260</v>
      </c>
      <c r="I444" s="7" t="n">
        <v>1</v>
      </c>
      <c r="J444" s="7" t="s">
        <v>107</v>
      </c>
      <c r="K444" s="7" t="s">
        <v>108</v>
      </c>
      <c r="L444" s="7" t="n">
        <v>22</v>
      </c>
      <c r="M444" s="10" t="b">
        <f aca="false">FALSE()</f>
        <v>0</v>
      </c>
      <c r="N444" s="7" t="s">
        <v>109</v>
      </c>
      <c r="O444" s="7" t="n">
        <v>-33.80041</v>
      </c>
      <c r="P444" s="7" t="n">
        <v>151.28886</v>
      </c>
    </row>
    <row r="445" customFormat="false" ht="15" hidden="false" customHeight="false" outlineLevel="0" collapsed="false">
      <c r="A445" s="7" t="n">
        <v>444</v>
      </c>
      <c r="B445" s="7"/>
      <c r="C445" s="7" t="s">
        <v>666</v>
      </c>
      <c r="D445" s="7" t="n">
        <v>2481</v>
      </c>
      <c r="E445" s="7" t="s">
        <v>50</v>
      </c>
      <c r="F445" s="10" t="b">
        <f aca="false">FALSE()</f>
        <v>0</v>
      </c>
      <c r="G445" s="7" t="s">
        <v>82</v>
      </c>
      <c r="H445" s="7" t="s">
        <v>302</v>
      </c>
      <c r="I445" s="7" t="n">
        <v>2</v>
      </c>
      <c r="J445" s="7" t="s">
        <v>107</v>
      </c>
      <c r="K445" s="7" t="s">
        <v>108</v>
      </c>
      <c r="L445" s="7" t="n">
        <v>22</v>
      </c>
      <c r="M445" s="10" t="b">
        <f aca="false">FALSE()</f>
        <v>0</v>
      </c>
      <c r="N445" s="7" t="s">
        <v>109</v>
      </c>
      <c r="O445" s="7" t="n">
        <v>-28.6343</v>
      </c>
      <c r="P445" s="7" t="n">
        <v>153.598952</v>
      </c>
    </row>
    <row r="446" customFormat="false" ht="15" hidden="false" customHeight="false" outlineLevel="0" collapsed="false">
      <c r="A446" s="7" t="n">
        <v>445</v>
      </c>
      <c r="B446" s="7"/>
      <c r="C446" s="7" t="s">
        <v>667</v>
      </c>
      <c r="D446" s="7" t="n">
        <v>2086</v>
      </c>
      <c r="E446" s="7" t="s">
        <v>50</v>
      </c>
      <c r="F446" s="10" t="b">
        <f aca="false">FALSE()</f>
        <v>0</v>
      </c>
      <c r="G446" s="7" t="s">
        <v>286</v>
      </c>
      <c r="H446" s="7" t="s">
        <v>244</v>
      </c>
      <c r="I446" s="7" t="n">
        <v>4</v>
      </c>
      <c r="J446" s="7" t="s">
        <v>71</v>
      </c>
      <c r="K446" s="7" t="s">
        <v>234</v>
      </c>
      <c r="L446" s="7" t="n">
        <v>150</v>
      </c>
      <c r="M446" s="10" t="b">
        <f aca="false">FALSE()</f>
        <v>0</v>
      </c>
      <c r="N446" s="7" t="s">
        <v>268</v>
      </c>
      <c r="O446" s="7" t="n">
        <v>-33.751337</v>
      </c>
      <c r="P446" s="7" t="n">
        <v>151.243469</v>
      </c>
    </row>
    <row r="447" customFormat="false" ht="15" hidden="false" customHeight="false" outlineLevel="0" collapsed="false">
      <c r="A447" s="7" t="n">
        <v>446</v>
      </c>
      <c r="B447" s="7"/>
      <c r="C447" s="7" t="s">
        <v>668</v>
      </c>
      <c r="D447" s="7" t="n">
        <v>2582</v>
      </c>
      <c r="E447" s="7" t="s">
        <v>50</v>
      </c>
      <c r="F447" s="10" t="b">
        <f aca="false">FALSE()</f>
        <v>0</v>
      </c>
      <c r="G447" s="7" t="s">
        <v>153</v>
      </c>
      <c r="H447" s="7" t="s">
        <v>237</v>
      </c>
      <c r="I447" s="7" t="n">
        <v>4</v>
      </c>
      <c r="J447" s="7" t="s">
        <v>71</v>
      </c>
      <c r="K447" s="7" t="s">
        <v>407</v>
      </c>
      <c r="L447" s="7" t="n">
        <v>47</v>
      </c>
      <c r="M447" s="10" t="b">
        <f aca="false">FALSE()</f>
        <v>0</v>
      </c>
      <c r="N447" s="7" t="s">
        <v>76</v>
      </c>
      <c r="O447" s="7" t="n">
        <v>-34.845511</v>
      </c>
      <c r="P447" s="7" t="n">
        <v>148.915189</v>
      </c>
    </row>
    <row r="448" customFormat="false" ht="15" hidden="false" customHeight="false" outlineLevel="0" collapsed="false">
      <c r="A448" s="7" t="n">
        <v>447</v>
      </c>
      <c r="B448" s="7"/>
      <c r="C448" s="7" t="s">
        <v>669</v>
      </c>
      <c r="D448" s="7" t="n">
        <v>2140</v>
      </c>
      <c r="E448" s="7" t="s">
        <v>50</v>
      </c>
      <c r="F448" s="10" t="b">
        <f aca="false">FALSE()</f>
        <v>0</v>
      </c>
      <c r="G448" s="7" t="s">
        <v>670</v>
      </c>
      <c r="H448" s="7" t="s">
        <v>239</v>
      </c>
      <c r="I448" s="7" t="n">
        <v>2</v>
      </c>
      <c r="J448" s="7" t="s">
        <v>107</v>
      </c>
      <c r="K448" s="7" t="s">
        <v>108</v>
      </c>
      <c r="L448" s="7" t="n">
        <v>22</v>
      </c>
      <c r="M448" s="10" t="b">
        <f aca="false">FALSE()</f>
        <v>0</v>
      </c>
      <c r="N448" s="7" t="s">
        <v>109</v>
      </c>
      <c r="O448" s="7" t="n">
        <v>-33.861384</v>
      </c>
      <c r="P448" s="7" t="n">
        <v>151.069551</v>
      </c>
    </row>
    <row r="449" customFormat="false" ht="15" hidden="false" customHeight="false" outlineLevel="0" collapsed="false">
      <c r="A449" s="7" t="n">
        <v>448</v>
      </c>
      <c r="B449" s="7"/>
      <c r="C449" s="7" t="s">
        <v>671</v>
      </c>
      <c r="D449" s="7" t="n">
        <v>2025</v>
      </c>
      <c r="E449" s="7" t="s">
        <v>50</v>
      </c>
      <c r="F449" s="10" t="b">
        <f aca="false">FALSE()</f>
        <v>0</v>
      </c>
      <c r="G449" s="7" t="s">
        <v>272</v>
      </c>
      <c r="H449" s="7" t="s">
        <v>302</v>
      </c>
      <c r="I449" s="7" t="n">
        <v>2</v>
      </c>
      <c r="J449" s="7" t="s">
        <v>107</v>
      </c>
      <c r="K449" s="7" t="s">
        <v>108</v>
      </c>
      <c r="L449" s="7" t="n">
        <v>22</v>
      </c>
      <c r="M449" s="10" t="b">
        <f aca="false">FALSE()</f>
        <v>0</v>
      </c>
      <c r="N449" s="7" t="s">
        <v>557</v>
      </c>
      <c r="O449" s="7" t="n">
        <v>-33.888574</v>
      </c>
      <c r="P449" s="7" t="n">
        <v>151.24441</v>
      </c>
    </row>
    <row r="450" customFormat="false" ht="15" hidden="false" customHeight="false" outlineLevel="0" collapsed="false">
      <c r="A450" s="7" t="n">
        <v>449</v>
      </c>
      <c r="B450" s="7"/>
      <c r="C450" s="7" t="s">
        <v>672</v>
      </c>
      <c r="D450" s="7" t="n">
        <v>2576</v>
      </c>
      <c r="E450" s="7" t="s">
        <v>50</v>
      </c>
      <c r="F450" s="10" t="b">
        <f aca="false">FALSE()</f>
        <v>0</v>
      </c>
      <c r="G450" s="7" t="s">
        <v>161</v>
      </c>
      <c r="H450" s="7" t="s">
        <v>239</v>
      </c>
      <c r="I450" s="7" t="n">
        <v>4</v>
      </c>
      <c r="J450" s="7" t="s">
        <v>107</v>
      </c>
      <c r="K450" s="7" t="s">
        <v>277</v>
      </c>
      <c r="L450" s="7" t="n">
        <v>6</v>
      </c>
      <c r="M450" s="10" t="b">
        <f aca="false">FALSE()</f>
        <v>0</v>
      </c>
      <c r="N450" s="7" t="s">
        <v>109</v>
      </c>
      <c r="O450" s="7" t="n">
        <v>-34.463038</v>
      </c>
      <c r="P450" s="7" t="n">
        <v>150.401489</v>
      </c>
    </row>
    <row r="451" customFormat="false" ht="15" hidden="false" customHeight="false" outlineLevel="0" collapsed="false">
      <c r="A451" s="7" t="n">
        <v>450</v>
      </c>
      <c r="B451" s="7"/>
      <c r="C451" s="7" t="s">
        <v>673</v>
      </c>
      <c r="D451" s="7" t="n">
        <v>2450</v>
      </c>
      <c r="E451" s="7" t="s">
        <v>50</v>
      </c>
      <c r="F451" s="10" t="b">
        <f aca="false">FALSE()</f>
        <v>0</v>
      </c>
      <c r="G451" s="7" t="s">
        <v>360</v>
      </c>
      <c r="H451" s="7" t="s">
        <v>239</v>
      </c>
      <c r="I451" s="7" t="n">
        <v>12</v>
      </c>
      <c r="J451" s="7" t="s">
        <v>71</v>
      </c>
      <c r="K451" s="7" t="s">
        <v>242</v>
      </c>
      <c r="L451" s="7" t="n">
        <v>130</v>
      </c>
      <c r="M451" s="10" t="b">
        <f aca="false">FALSE()</f>
        <v>0</v>
      </c>
      <c r="N451" s="7" t="s">
        <v>76</v>
      </c>
      <c r="O451" s="7" t="n">
        <v>-30.281439</v>
      </c>
      <c r="P451" s="7" t="n">
        <v>153.131667</v>
      </c>
    </row>
    <row r="452" customFormat="false" ht="15" hidden="false" customHeight="false" outlineLevel="0" collapsed="false">
      <c r="A452" s="7" t="n">
        <v>451</v>
      </c>
      <c r="B452" s="7"/>
      <c r="C452" s="7" t="s">
        <v>674</v>
      </c>
      <c r="D452" s="7" t="n">
        <v>2101</v>
      </c>
      <c r="E452" s="7" t="s">
        <v>50</v>
      </c>
      <c r="F452" s="10" t="b">
        <f aca="false">FALSE()</f>
        <v>0</v>
      </c>
      <c r="G452" s="7" t="s">
        <v>286</v>
      </c>
      <c r="H452" s="7" t="s">
        <v>287</v>
      </c>
      <c r="I452" s="7" t="n">
        <v>2</v>
      </c>
      <c r="J452" s="7" t="s">
        <v>71</v>
      </c>
      <c r="K452" s="7" t="s">
        <v>288</v>
      </c>
      <c r="L452" s="7" t="n">
        <v>25</v>
      </c>
      <c r="M452" s="10" t="b">
        <f aca="false">FALSE()</f>
        <v>0</v>
      </c>
      <c r="N452" s="7" t="s">
        <v>76</v>
      </c>
      <c r="O452" s="7" t="n">
        <v>-33.719434</v>
      </c>
      <c r="P452" s="7" t="n">
        <v>151.298662</v>
      </c>
    </row>
    <row r="453" customFormat="false" ht="15" hidden="false" customHeight="false" outlineLevel="0" collapsed="false">
      <c r="A453" s="7" t="n">
        <v>452</v>
      </c>
      <c r="B453" s="7"/>
      <c r="C453" s="7" t="s">
        <v>675</v>
      </c>
      <c r="D453" s="7" t="n">
        <v>2000</v>
      </c>
      <c r="E453" s="7" t="s">
        <v>50</v>
      </c>
      <c r="F453" s="10" t="b">
        <f aca="false">FALSE()</f>
        <v>0</v>
      </c>
      <c r="G453" s="7" t="s">
        <v>182</v>
      </c>
      <c r="H453" s="7" t="s">
        <v>239</v>
      </c>
      <c r="I453" s="7" t="n">
        <v>4</v>
      </c>
      <c r="J453" s="7" t="s">
        <v>107</v>
      </c>
      <c r="K453" s="7" t="s">
        <v>108</v>
      </c>
      <c r="L453" s="7" t="n">
        <v>22</v>
      </c>
      <c r="M453" s="10" t="b">
        <f aca="false">FALSE()</f>
        <v>0</v>
      </c>
      <c r="N453" s="7" t="s">
        <v>109</v>
      </c>
      <c r="O453" s="7" t="n">
        <v>-33.871961</v>
      </c>
      <c r="P453" s="7" t="n">
        <v>151.208024</v>
      </c>
    </row>
    <row r="454" customFormat="false" ht="15" hidden="false" customHeight="false" outlineLevel="0" collapsed="false">
      <c r="A454" s="7" t="n">
        <v>453</v>
      </c>
      <c r="B454" s="7"/>
      <c r="C454" s="7" t="s">
        <v>676</v>
      </c>
      <c r="D454" s="7" t="n">
        <v>2450</v>
      </c>
      <c r="E454" s="7" t="s">
        <v>50</v>
      </c>
      <c r="F454" s="10" t="b">
        <f aca="false">FALSE()</f>
        <v>0</v>
      </c>
      <c r="G454" s="7" t="s">
        <v>360</v>
      </c>
      <c r="H454" s="7" t="s">
        <v>239</v>
      </c>
      <c r="I454" s="7" t="n">
        <v>4</v>
      </c>
      <c r="J454" s="7" t="s">
        <v>71</v>
      </c>
      <c r="K454" s="7" t="s">
        <v>190</v>
      </c>
      <c r="L454" s="7" t="n">
        <v>60</v>
      </c>
      <c r="M454" s="10" t="b">
        <f aca="false">FALSE()</f>
        <v>0</v>
      </c>
      <c r="N454" s="7" t="s">
        <v>76</v>
      </c>
      <c r="O454" s="7" t="n">
        <v>-30.275222</v>
      </c>
      <c r="P454" s="7" t="n">
        <v>153.131939</v>
      </c>
    </row>
    <row r="455" customFormat="false" ht="15" hidden="false" customHeight="false" outlineLevel="0" collapsed="false">
      <c r="A455" s="7" t="n">
        <v>454</v>
      </c>
      <c r="B455" s="7"/>
      <c r="C455" s="7" t="s">
        <v>677</v>
      </c>
      <c r="D455" s="7" t="n">
        <v>2137</v>
      </c>
      <c r="E455" s="7" t="s">
        <v>50</v>
      </c>
      <c r="F455" s="10" t="b">
        <f aca="false">FALSE()</f>
        <v>0</v>
      </c>
      <c r="G455" s="7" t="s">
        <v>297</v>
      </c>
      <c r="H455" s="7" t="s">
        <v>244</v>
      </c>
      <c r="I455" s="7" t="n">
        <v>2</v>
      </c>
      <c r="J455" s="7" t="s">
        <v>71</v>
      </c>
      <c r="K455" s="7" t="s">
        <v>83</v>
      </c>
      <c r="L455" s="7" t="n">
        <v>75</v>
      </c>
      <c r="M455" s="10" t="b">
        <f aca="false">FALSE()</f>
        <v>0</v>
      </c>
      <c r="N455" s="7" t="s">
        <v>76</v>
      </c>
      <c r="O455" s="7" t="n">
        <v>-33.854378</v>
      </c>
      <c r="P455" s="7" t="n">
        <v>151.103997</v>
      </c>
    </row>
    <row r="456" customFormat="false" ht="15" hidden="false" customHeight="false" outlineLevel="0" collapsed="false">
      <c r="A456" s="7" t="n">
        <v>455</v>
      </c>
      <c r="B456" s="7"/>
      <c r="C456" s="7" t="s">
        <v>678</v>
      </c>
      <c r="D456" s="7" t="n">
        <v>2041</v>
      </c>
      <c r="E456" s="7" t="s">
        <v>50</v>
      </c>
      <c r="F456" s="10" t="b">
        <f aca="false">FALSE()</f>
        <v>0</v>
      </c>
      <c r="G456" s="7" t="s">
        <v>410</v>
      </c>
      <c r="H456" s="7" t="s">
        <v>302</v>
      </c>
      <c r="I456" s="7" t="n">
        <v>2</v>
      </c>
      <c r="J456" s="7" t="s">
        <v>107</v>
      </c>
      <c r="K456" s="7" t="s">
        <v>108</v>
      </c>
      <c r="L456" s="7" t="n">
        <v>22</v>
      </c>
      <c r="M456" s="10" t="b">
        <f aca="false">FALSE()</f>
        <v>0</v>
      </c>
      <c r="N456" s="7" t="s">
        <v>109</v>
      </c>
      <c r="O456" s="7" t="n">
        <v>-33.857838</v>
      </c>
      <c r="P456" s="7" t="n">
        <v>151.171049</v>
      </c>
    </row>
    <row r="457" customFormat="false" ht="15" hidden="false" customHeight="false" outlineLevel="0" collapsed="false">
      <c r="A457" s="7" t="n">
        <v>456</v>
      </c>
      <c r="B457" s="7"/>
      <c r="C457" s="7" t="s">
        <v>679</v>
      </c>
      <c r="D457" s="7" t="n">
        <v>2304</v>
      </c>
      <c r="E457" s="7" t="s">
        <v>50</v>
      </c>
      <c r="F457" s="10" t="b">
        <f aca="false">FALSE()</f>
        <v>0</v>
      </c>
      <c r="G457" s="7" t="s">
        <v>141</v>
      </c>
      <c r="H457" s="7" t="s">
        <v>239</v>
      </c>
      <c r="I457" s="7" t="n">
        <v>3</v>
      </c>
      <c r="J457" s="7" t="s">
        <v>107</v>
      </c>
      <c r="K457" s="7" t="s">
        <v>108</v>
      </c>
      <c r="L457" s="7" t="n">
        <v>22</v>
      </c>
      <c r="M457" s="10" t="b">
        <f aca="false">FALSE()</f>
        <v>0</v>
      </c>
      <c r="N457" s="7" t="s">
        <v>109</v>
      </c>
      <c r="O457" s="7" t="n">
        <v>-32.891822</v>
      </c>
      <c r="P457" s="7" t="n">
        <v>151.744469</v>
      </c>
    </row>
    <row r="458" customFormat="false" ht="15" hidden="false" customHeight="false" outlineLevel="0" collapsed="false">
      <c r="A458" s="7" t="n">
        <v>457</v>
      </c>
      <c r="B458" s="7"/>
      <c r="C458" s="7" t="s">
        <v>680</v>
      </c>
      <c r="D458" s="7" t="n">
        <v>2325</v>
      </c>
      <c r="E458" s="7" t="s">
        <v>50</v>
      </c>
      <c r="F458" s="10" t="b">
        <f aca="false">FALSE()</f>
        <v>0</v>
      </c>
      <c r="G458" s="7" t="s">
        <v>111</v>
      </c>
      <c r="H458" s="7" t="s">
        <v>239</v>
      </c>
      <c r="I458" s="7" t="n">
        <v>2</v>
      </c>
      <c r="J458" s="7" t="s">
        <v>107</v>
      </c>
      <c r="K458" s="7" t="s">
        <v>277</v>
      </c>
      <c r="L458" s="7" t="n">
        <v>6</v>
      </c>
      <c r="M458" s="10" t="b">
        <f aca="false">FALSE()</f>
        <v>0</v>
      </c>
      <c r="N458" s="7" t="s">
        <v>109</v>
      </c>
      <c r="O458" s="7" t="n">
        <v>-32.950658</v>
      </c>
      <c r="P458" s="7" t="n">
        <v>151.177976</v>
      </c>
    </row>
    <row r="459" customFormat="false" ht="15" hidden="false" customHeight="false" outlineLevel="0" collapsed="false">
      <c r="A459" s="7" t="n">
        <v>458</v>
      </c>
      <c r="B459" s="7"/>
      <c r="C459" s="7" t="s">
        <v>681</v>
      </c>
      <c r="D459" s="7" t="n">
        <v>2761</v>
      </c>
      <c r="E459" s="7" t="s">
        <v>50</v>
      </c>
      <c r="F459" s="10" t="b">
        <f aca="false">FALSE()</f>
        <v>0</v>
      </c>
      <c r="G459" s="7" t="s">
        <v>232</v>
      </c>
      <c r="H459" s="7" t="s">
        <v>244</v>
      </c>
      <c r="I459" s="7" t="n">
        <v>4</v>
      </c>
      <c r="J459" s="7" t="s">
        <v>71</v>
      </c>
      <c r="K459" s="7" t="s">
        <v>83</v>
      </c>
      <c r="L459" s="7" t="n">
        <v>75</v>
      </c>
      <c r="M459" s="10" t="b">
        <f aca="false">FALSE()</f>
        <v>0</v>
      </c>
      <c r="N459" s="7" t="s">
        <v>268</v>
      </c>
      <c r="O459" s="7" t="n">
        <v>-33.745983</v>
      </c>
      <c r="P459" s="7" t="n">
        <v>150.83573</v>
      </c>
    </row>
    <row r="460" customFormat="false" ht="15" hidden="false" customHeight="false" outlineLevel="0" collapsed="false">
      <c r="A460" s="7" t="n">
        <v>459</v>
      </c>
      <c r="B460" s="7"/>
      <c r="C460" s="7" t="s">
        <v>682</v>
      </c>
      <c r="D460" s="7" t="n">
        <v>2131</v>
      </c>
      <c r="E460" s="7" t="s">
        <v>50</v>
      </c>
      <c r="F460" s="10" t="b">
        <f aca="false">FALSE()</f>
        <v>0</v>
      </c>
      <c r="G460" s="7" t="s">
        <v>410</v>
      </c>
      <c r="H460" s="7" t="s">
        <v>244</v>
      </c>
      <c r="I460" s="7" t="n">
        <v>4</v>
      </c>
      <c r="J460" s="7" t="s">
        <v>71</v>
      </c>
      <c r="K460" s="7" t="s">
        <v>72</v>
      </c>
      <c r="L460" s="7" t="n">
        <v>50</v>
      </c>
      <c r="M460" s="10" t="b">
        <f aca="false">FALSE()</f>
        <v>0</v>
      </c>
      <c r="N460" s="7" t="s">
        <v>268</v>
      </c>
      <c r="O460" s="7" t="n">
        <v>-33.889564</v>
      </c>
      <c r="P460" s="7" t="n">
        <v>151.123599</v>
      </c>
    </row>
    <row r="461" customFormat="false" ht="15" hidden="false" customHeight="false" outlineLevel="0" collapsed="false">
      <c r="A461" s="7" t="n">
        <v>460</v>
      </c>
      <c r="B461" s="7"/>
      <c r="C461" s="7" t="s">
        <v>683</v>
      </c>
      <c r="D461" s="7" t="n">
        <v>2204</v>
      </c>
      <c r="E461" s="7" t="s">
        <v>50</v>
      </c>
      <c r="F461" s="10" t="b">
        <f aca="false">FALSE()</f>
        <v>0</v>
      </c>
      <c r="G461" s="7" t="s">
        <v>410</v>
      </c>
      <c r="H461" s="7" t="s">
        <v>260</v>
      </c>
      <c r="I461" s="7" t="n">
        <v>2</v>
      </c>
      <c r="J461" s="7" t="s">
        <v>107</v>
      </c>
      <c r="K461" s="7" t="s">
        <v>108</v>
      </c>
      <c r="L461" s="7" t="n">
        <v>22</v>
      </c>
      <c r="M461" s="10" t="b">
        <f aca="false">FALSE()</f>
        <v>0</v>
      </c>
      <c r="N461" s="7" t="s">
        <v>109</v>
      </c>
      <c r="O461" s="7" t="n">
        <v>-33.912016</v>
      </c>
      <c r="P461" s="7" t="n">
        <v>151.142744</v>
      </c>
    </row>
    <row r="462" customFormat="false" ht="15" hidden="false" customHeight="false" outlineLevel="0" collapsed="false">
      <c r="A462" s="7" t="n">
        <v>461</v>
      </c>
      <c r="B462" s="7"/>
      <c r="C462" s="7" t="s">
        <v>684</v>
      </c>
      <c r="D462" s="7" t="n">
        <v>2710</v>
      </c>
      <c r="E462" s="7" t="s">
        <v>50</v>
      </c>
      <c r="F462" s="10" t="b">
        <f aca="false">FALSE()</f>
        <v>0</v>
      </c>
      <c r="G462" s="7" t="s">
        <v>262</v>
      </c>
      <c r="H462" s="7" t="s">
        <v>260</v>
      </c>
      <c r="I462" s="7" t="n">
        <v>4</v>
      </c>
      <c r="J462" s="7" t="s">
        <v>107</v>
      </c>
      <c r="K462" s="7" t="s">
        <v>277</v>
      </c>
      <c r="L462" s="7" t="n">
        <v>6</v>
      </c>
      <c r="M462" s="10" t="b">
        <f aca="false">FALSE()</f>
        <v>0</v>
      </c>
      <c r="N462" s="7" t="s">
        <v>109</v>
      </c>
      <c r="O462" s="7" t="n">
        <v>-35.531446</v>
      </c>
      <c r="P462" s="7" t="n">
        <v>144.964769</v>
      </c>
    </row>
    <row r="463" customFormat="false" ht="15" hidden="false" customHeight="false" outlineLevel="0" collapsed="false">
      <c r="A463" s="7" t="n">
        <v>462</v>
      </c>
      <c r="B463" s="7"/>
      <c r="C463" s="7" t="s">
        <v>685</v>
      </c>
      <c r="D463" s="7" t="n">
        <v>2577</v>
      </c>
      <c r="E463" s="7" t="s">
        <v>50</v>
      </c>
      <c r="F463" s="10" t="b">
        <f aca="false">FALSE()</f>
        <v>0</v>
      </c>
      <c r="G463" s="7" t="s">
        <v>161</v>
      </c>
      <c r="H463" s="7" t="s">
        <v>239</v>
      </c>
      <c r="I463" s="7" t="n">
        <v>1</v>
      </c>
      <c r="J463" s="7" t="s">
        <v>107</v>
      </c>
      <c r="K463" s="7" t="s">
        <v>277</v>
      </c>
      <c r="L463" s="7" t="n">
        <v>6</v>
      </c>
      <c r="M463" s="10" t="b">
        <f aca="false">FALSE()</f>
        <v>0</v>
      </c>
      <c r="N463" s="7" t="s">
        <v>109</v>
      </c>
      <c r="O463" s="7" t="n">
        <v>-34.554131</v>
      </c>
      <c r="P463" s="7" t="n">
        <v>150.371843</v>
      </c>
    </row>
    <row r="464" customFormat="false" ht="15" hidden="false" customHeight="false" outlineLevel="0" collapsed="false">
      <c r="A464" s="7" t="n">
        <v>463</v>
      </c>
      <c r="B464" s="7"/>
      <c r="C464" s="7" t="s">
        <v>686</v>
      </c>
      <c r="D464" s="7" t="n">
        <v>2021</v>
      </c>
      <c r="E464" s="7" t="s">
        <v>50</v>
      </c>
      <c r="F464" s="10" t="b">
        <f aca="false">FALSE()</f>
        <v>0</v>
      </c>
      <c r="G464" s="7" t="s">
        <v>272</v>
      </c>
      <c r="H464" s="7" t="s">
        <v>260</v>
      </c>
      <c r="I464" s="7" t="n">
        <v>1</v>
      </c>
      <c r="J464" s="7" t="s">
        <v>107</v>
      </c>
      <c r="K464" s="7" t="s">
        <v>108</v>
      </c>
      <c r="L464" s="7" t="n">
        <v>22</v>
      </c>
      <c r="M464" s="10" t="b">
        <f aca="false">FALSE()</f>
        <v>0</v>
      </c>
      <c r="N464" s="7" t="s">
        <v>109</v>
      </c>
      <c r="O464" s="7" t="n">
        <v>-33.881035</v>
      </c>
      <c r="P464" s="7" t="n">
        <v>151.222798</v>
      </c>
    </row>
    <row r="465" customFormat="false" ht="15" hidden="false" customHeight="false" outlineLevel="0" collapsed="false">
      <c r="A465" s="7" t="n">
        <v>464</v>
      </c>
      <c r="B465" s="7"/>
      <c r="C465" s="7" t="s">
        <v>687</v>
      </c>
      <c r="D465" s="7" t="n">
        <v>2460</v>
      </c>
      <c r="E465" s="7" t="s">
        <v>50</v>
      </c>
      <c r="F465" s="10" t="b">
        <f aca="false">FALSE()</f>
        <v>0</v>
      </c>
      <c r="G465" s="7" t="s">
        <v>87</v>
      </c>
      <c r="H465" s="7" t="s">
        <v>239</v>
      </c>
      <c r="I465" s="7" t="n">
        <v>2</v>
      </c>
      <c r="J465" s="7" t="s">
        <v>107</v>
      </c>
      <c r="K465" s="7" t="s">
        <v>108</v>
      </c>
      <c r="L465" s="7" t="n">
        <v>22</v>
      </c>
      <c r="M465" s="10" t="b">
        <f aca="false">FALSE()</f>
        <v>0</v>
      </c>
      <c r="N465" s="7" t="s">
        <v>109</v>
      </c>
      <c r="O465" s="7" t="n">
        <v>-29.694221</v>
      </c>
      <c r="P465" s="7" t="n">
        <v>152.937854</v>
      </c>
    </row>
    <row r="466" customFormat="false" ht="15" hidden="false" customHeight="false" outlineLevel="0" collapsed="false">
      <c r="A466" s="7" t="n">
        <v>465</v>
      </c>
      <c r="B466" s="7"/>
      <c r="C466" s="7" t="s">
        <v>688</v>
      </c>
      <c r="D466" s="7" t="n">
        <v>2031</v>
      </c>
      <c r="E466" s="7" t="s">
        <v>50</v>
      </c>
      <c r="F466" s="10" t="b">
        <f aca="false">FALSE()</f>
        <v>0</v>
      </c>
      <c r="G466" s="7" t="s">
        <v>355</v>
      </c>
      <c r="H466" s="7" t="s">
        <v>237</v>
      </c>
      <c r="I466" s="7" t="n">
        <v>2</v>
      </c>
      <c r="J466" s="7" t="s">
        <v>107</v>
      </c>
      <c r="K466" s="7" t="s">
        <v>277</v>
      </c>
      <c r="L466" s="7" t="n">
        <v>6</v>
      </c>
      <c r="M466" s="10" t="b">
        <f aca="false">FALSE()</f>
        <v>0</v>
      </c>
      <c r="N466" s="7" t="s">
        <v>109</v>
      </c>
      <c r="O466" s="7" t="n">
        <v>-33.930625</v>
      </c>
      <c r="P466" s="7" t="n">
        <v>151.246469</v>
      </c>
    </row>
    <row r="467" customFormat="false" ht="15" hidden="false" customHeight="false" outlineLevel="0" collapsed="false">
      <c r="A467" s="7" t="n">
        <v>466</v>
      </c>
      <c r="B467" s="7"/>
      <c r="C467" s="7" t="s">
        <v>689</v>
      </c>
      <c r="D467" s="7" t="n">
        <v>2264</v>
      </c>
      <c r="E467" s="7" t="s">
        <v>50</v>
      </c>
      <c r="F467" s="10" t="b">
        <f aca="false">FALSE()</f>
        <v>0</v>
      </c>
      <c r="G467" s="7" t="s">
        <v>377</v>
      </c>
      <c r="H467" s="7" t="s">
        <v>260</v>
      </c>
      <c r="I467" s="7" t="n">
        <v>2</v>
      </c>
      <c r="J467" s="7" t="s">
        <v>107</v>
      </c>
      <c r="K467" s="7" t="s">
        <v>108</v>
      </c>
      <c r="L467" s="7" t="n">
        <v>22</v>
      </c>
      <c r="M467" s="10" t="b">
        <f aca="false">FALSE()</f>
        <v>0</v>
      </c>
      <c r="N467" s="7" t="s">
        <v>109</v>
      </c>
      <c r="O467" s="7" t="n">
        <v>-33.123307</v>
      </c>
      <c r="P467" s="7" t="n">
        <v>151.477949</v>
      </c>
    </row>
    <row r="468" customFormat="false" ht="15" hidden="false" customHeight="false" outlineLevel="0" collapsed="false">
      <c r="A468" s="7" t="n">
        <v>467</v>
      </c>
      <c r="B468" s="7"/>
      <c r="C468" s="7" t="s">
        <v>690</v>
      </c>
      <c r="D468" s="7" t="n">
        <v>2099</v>
      </c>
      <c r="E468" s="7" t="s">
        <v>50</v>
      </c>
      <c r="F468" s="10" t="b">
        <f aca="false">FALSE()</f>
        <v>0</v>
      </c>
      <c r="G468" s="7" t="s">
        <v>286</v>
      </c>
      <c r="H468" s="7" t="s">
        <v>244</v>
      </c>
      <c r="I468" s="7" t="n">
        <v>4</v>
      </c>
      <c r="J468" s="7" t="s">
        <v>71</v>
      </c>
      <c r="K468" s="7" t="s">
        <v>234</v>
      </c>
      <c r="L468" s="7" t="n">
        <v>150</v>
      </c>
      <c r="M468" s="10" t="b">
        <f aca="false">FALSE()</f>
        <v>0</v>
      </c>
      <c r="N468" s="7" t="s">
        <v>268</v>
      </c>
      <c r="O468" s="7" t="n">
        <v>-33.754421</v>
      </c>
      <c r="P468" s="7" t="n">
        <v>151.287333</v>
      </c>
    </row>
    <row r="469" customFormat="false" ht="15" hidden="false" customHeight="false" outlineLevel="0" collapsed="false">
      <c r="A469" s="7" t="n">
        <v>468</v>
      </c>
      <c r="B469" s="7"/>
      <c r="C469" s="7" t="s">
        <v>691</v>
      </c>
      <c r="D469" s="7" t="n">
        <v>2010</v>
      </c>
      <c r="E469" s="7" t="s">
        <v>50</v>
      </c>
      <c r="F469" s="10" t="b">
        <f aca="false">FALSE()</f>
        <v>0</v>
      </c>
      <c r="G469" s="7" t="s">
        <v>182</v>
      </c>
      <c r="H469" s="7" t="s">
        <v>260</v>
      </c>
      <c r="I469" s="7" t="n">
        <v>2</v>
      </c>
      <c r="J469" s="7" t="s">
        <v>107</v>
      </c>
      <c r="K469" s="7" t="s">
        <v>277</v>
      </c>
      <c r="L469" s="7" t="n">
        <v>6</v>
      </c>
      <c r="M469" s="10" t="b">
        <f aca="false">FALSE()</f>
        <v>0</v>
      </c>
      <c r="N469" s="7" t="s">
        <v>109</v>
      </c>
      <c r="O469" s="7" t="n">
        <v>-33.881921</v>
      </c>
      <c r="P469" s="7" t="n">
        <v>151.209762</v>
      </c>
    </row>
    <row r="470" customFormat="false" ht="15" hidden="false" customHeight="false" outlineLevel="0" collapsed="false">
      <c r="A470" s="7" t="n">
        <v>469</v>
      </c>
      <c r="B470" s="7"/>
      <c r="C470" s="7" t="s">
        <v>692</v>
      </c>
      <c r="D470" s="7" t="n">
        <v>2299</v>
      </c>
      <c r="E470" s="7" t="s">
        <v>50</v>
      </c>
      <c r="F470" s="10" t="b">
        <f aca="false">FALSE()</f>
        <v>0</v>
      </c>
      <c r="G470" s="7" t="s">
        <v>141</v>
      </c>
      <c r="H470" s="7" t="s">
        <v>239</v>
      </c>
      <c r="I470" s="7" t="n">
        <v>1</v>
      </c>
      <c r="J470" s="7" t="s">
        <v>107</v>
      </c>
      <c r="K470" s="7" t="s">
        <v>277</v>
      </c>
      <c r="L470" s="7" t="n">
        <v>6</v>
      </c>
      <c r="M470" s="10" t="b">
        <f aca="false">FALSE()</f>
        <v>0</v>
      </c>
      <c r="N470" s="7" t="s">
        <v>109</v>
      </c>
      <c r="O470" s="7" t="n">
        <v>-32.902965</v>
      </c>
      <c r="P470" s="7" t="n">
        <v>151.689852</v>
      </c>
    </row>
    <row r="471" customFormat="false" ht="15" hidden="false" customHeight="false" outlineLevel="0" collapsed="false">
      <c r="A471" s="7" t="n">
        <v>470</v>
      </c>
      <c r="B471" s="7"/>
      <c r="C471" s="7" t="s">
        <v>693</v>
      </c>
      <c r="D471" s="7" t="n">
        <v>2481</v>
      </c>
      <c r="E471" s="7" t="s">
        <v>50</v>
      </c>
      <c r="F471" s="10" t="b">
        <f aca="false">FALSE()</f>
        <v>0</v>
      </c>
      <c r="G471" s="7" t="s">
        <v>82</v>
      </c>
      <c r="H471" s="7" t="s">
        <v>230</v>
      </c>
      <c r="I471" s="7" t="n">
        <v>2</v>
      </c>
      <c r="J471" s="7" t="s">
        <v>71</v>
      </c>
      <c r="K471" s="7" t="s">
        <v>694</v>
      </c>
      <c r="L471" s="7" t="n">
        <v>100</v>
      </c>
      <c r="M471" s="10" t="b">
        <f aca="false">FALSE()</f>
        <v>0</v>
      </c>
      <c r="N471" s="7" t="s">
        <v>76</v>
      </c>
      <c r="O471" s="7" t="n">
        <v>-28.643274</v>
      </c>
      <c r="P471" s="7" t="n">
        <v>153.615875</v>
      </c>
    </row>
    <row r="472" customFormat="false" ht="15" hidden="false" customHeight="false" outlineLevel="0" collapsed="false">
      <c r="A472" s="7" t="n">
        <v>471</v>
      </c>
      <c r="B472" s="7"/>
      <c r="C472" s="7" t="s">
        <v>695</v>
      </c>
      <c r="D472" s="7" t="n">
        <v>2320</v>
      </c>
      <c r="E472" s="7" t="s">
        <v>50</v>
      </c>
      <c r="F472" s="10" t="b">
        <f aca="false">FALSE()</f>
        <v>0</v>
      </c>
      <c r="G472" s="7" t="s">
        <v>111</v>
      </c>
      <c r="H472" s="7" t="s">
        <v>239</v>
      </c>
      <c r="I472" s="7" t="n">
        <v>2</v>
      </c>
      <c r="J472" s="7" t="s">
        <v>107</v>
      </c>
      <c r="K472" s="7" t="s">
        <v>696</v>
      </c>
      <c r="L472" s="7" t="n">
        <v>3</v>
      </c>
      <c r="M472" s="10" t="b">
        <f aca="false">FALSE()</f>
        <v>0</v>
      </c>
      <c r="N472" s="7" t="s">
        <v>109</v>
      </c>
      <c r="O472" s="7" t="n">
        <v>-32.73733</v>
      </c>
      <c r="P472" s="7" t="n">
        <v>151.317818</v>
      </c>
    </row>
    <row r="473" customFormat="false" ht="15" hidden="false" customHeight="false" outlineLevel="0" collapsed="false">
      <c r="A473" s="7" t="n">
        <v>472</v>
      </c>
      <c r="B473" s="7"/>
      <c r="C473" s="7" t="s">
        <v>697</v>
      </c>
      <c r="D473" s="7" t="n">
        <v>2074</v>
      </c>
      <c r="E473" s="7" t="s">
        <v>50</v>
      </c>
      <c r="F473" s="10" t="b">
        <f aca="false">FALSE()</f>
        <v>0</v>
      </c>
      <c r="G473" s="7" t="s">
        <v>236</v>
      </c>
      <c r="H473" s="7" t="s">
        <v>244</v>
      </c>
      <c r="I473" s="7" t="n">
        <v>4</v>
      </c>
      <c r="J473" s="7" t="s">
        <v>71</v>
      </c>
      <c r="K473" s="7" t="s">
        <v>83</v>
      </c>
      <c r="L473" s="7" t="n">
        <v>75</v>
      </c>
      <c r="M473" s="10" t="b">
        <f aca="false">FALSE()</f>
        <v>0</v>
      </c>
      <c r="N473" s="7" t="s">
        <v>76</v>
      </c>
      <c r="O473" s="7" t="n">
        <v>-33.732351</v>
      </c>
      <c r="P473" s="7" t="n">
        <v>151.13071</v>
      </c>
    </row>
    <row r="474" customFormat="false" ht="15" hidden="false" customHeight="false" outlineLevel="0" collapsed="false">
      <c r="A474" s="7" t="n">
        <v>473</v>
      </c>
      <c r="B474" s="7"/>
      <c r="C474" s="7" t="s">
        <v>698</v>
      </c>
      <c r="D474" s="7" t="n">
        <v>2540</v>
      </c>
      <c r="E474" s="7" t="s">
        <v>50</v>
      </c>
      <c r="F474" s="10" t="b">
        <f aca="false">FALSE()</f>
        <v>0</v>
      </c>
      <c r="G474" s="7" t="s">
        <v>92</v>
      </c>
      <c r="H474" s="7" t="s">
        <v>260</v>
      </c>
      <c r="I474" s="7" t="n">
        <v>1</v>
      </c>
      <c r="J474" s="7" t="s">
        <v>107</v>
      </c>
      <c r="K474" s="7" t="s">
        <v>108</v>
      </c>
      <c r="L474" s="7" t="n">
        <v>22</v>
      </c>
      <c r="M474" s="10" t="b">
        <f aca="false">FALSE()</f>
        <v>0</v>
      </c>
      <c r="N474" s="7" t="s">
        <v>109</v>
      </c>
      <c r="O474" s="7" t="n">
        <v>-35.04138</v>
      </c>
      <c r="P474" s="7" t="n">
        <v>150.672272</v>
      </c>
    </row>
    <row r="475" customFormat="false" ht="15" hidden="false" customHeight="false" outlineLevel="0" collapsed="false">
      <c r="A475" s="7" t="n">
        <v>474</v>
      </c>
      <c r="B475" s="7"/>
      <c r="C475" s="7" t="s">
        <v>699</v>
      </c>
      <c r="D475" s="7" t="n">
        <v>2140</v>
      </c>
      <c r="E475" s="7" t="s">
        <v>50</v>
      </c>
      <c r="F475" s="10" t="b">
        <f aca="false">FALSE()</f>
        <v>0</v>
      </c>
      <c r="G475" s="7" t="s">
        <v>670</v>
      </c>
      <c r="H475" s="7" t="s">
        <v>237</v>
      </c>
      <c r="I475" s="7" t="n">
        <v>3</v>
      </c>
      <c r="J475" s="7" t="s">
        <v>107</v>
      </c>
      <c r="K475" s="7" t="s">
        <v>108</v>
      </c>
      <c r="L475" s="7" t="n">
        <v>22</v>
      </c>
      <c r="M475" s="10" t="b">
        <f aca="false">FALSE()</f>
        <v>0</v>
      </c>
      <c r="N475" s="7" t="s">
        <v>109</v>
      </c>
      <c r="O475" s="7" t="n">
        <v>-33.86413</v>
      </c>
      <c r="P475" s="7" t="n">
        <v>151.084538</v>
      </c>
    </row>
    <row r="476" customFormat="false" ht="15" hidden="false" customHeight="false" outlineLevel="0" collapsed="false">
      <c r="A476" s="7" t="n">
        <v>475</v>
      </c>
      <c r="B476" s="7"/>
      <c r="C476" s="7" t="s">
        <v>700</v>
      </c>
      <c r="D476" s="7" t="n">
        <v>2464</v>
      </c>
      <c r="E476" s="7" t="s">
        <v>50</v>
      </c>
      <c r="F476" s="10" t="b">
        <f aca="false">FALSE()</f>
        <v>0</v>
      </c>
      <c r="G476" s="7" t="s">
        <v>87</v>
      </c>
      <c r="H476" s="7" t="s">
        <v>244</v>
      </c>
      <c r="I476" s="7" t="n">
        <v>4</v>
      </c>
      <c r="J476" s="7" t="s">
        <v>71</v>
      </c>
      <c r="K476" s="7" t="s">
        <v>378</v>
      </c>
      <c r="L476" s="7" t="n">
        <v>350</v>
      </c>
      <c r="M476" s="10" t="b">
        <f aca="false">FALSE()</f>
        <v>0</v>
      </c>
      <c r="N476" s="7" t="s">
        <v>76</v>
      </c>
      <c r="O476" s="7" t="n">
        <v>-29.561229</v>
      </c>
      <c r="P476" s="7" t="n">
        <v>153.149277</v>
      </c>
    </row>
    <row r="477" customFormat="false" ht="15" hidden="false" customHeight="false" outlineLevel="0" collapsed="false">
      <c r="A477" s="7" t="n">
        <v>476</v>
      </c>
      <c r="B477" s="7"/>
      <c r="C477" s="7" t="s">
        <v>701</v>
      </c>
      <c r="D477" s="7" t="n">
        <v>2158</v>
      </c>
      <c r="E477" s="7" t="s">
        <v>50</v>
      </c>
      <c r="F477" s="10" t="b">
        <f aca="false">FALSE()</f>
        <v>0</v>
      </c>
      <c r="G477" s="7" t="s">
        <v>340</v>
      </c>
      <c r="H477" s="7" t="s">
        <v>237</v>
      </c>
      <c r="I477" s="7" t="n">
        <v>2</v>
      </c>
      <c r="J477" s="7" t="s">
        <v>107</v>
      </c>
      <c r="K477" s="7" t="s">
        <v>277</v>
      </c>
      <c r="L477" s="7" t="n">
        <v>6</v>
      </c>
      <c r="M477" s="10" t="b">
        <f aca="false">FALSE()</f>
        <v>0</v>
      </c>
      <c r="N477" s="7" t="s">
        <v>109</v>
      </c>
      <c r="O477" s="7" t="n">
        <v>-33.69571</v>
      </c>
      <c r="P477" s="7" t="n">
        <v>151.031465</v>
      </c>
    </row>
    <row r="478" customFormat="false" ht="15" hidden="false" customHeight="false" outlineLevel="0" collapsed="false">
      <c r="A478" s="7" t="n">
        <v>477</v>
      </c>
      <c r="B478" s="7"/>
      <c r="C478" s="7" t="s">
        <v>702</v>
      </c>
      <c r="D478" s="7" t="n">
        <v>2084</v>
      </c>
      <c r="E478" s="7" t="s">
        <v>50</v>
      </c>
      <c r="F478" s="10" t="b">
        <f aca="false">FALSE()</f>
        <v>0</v>
      </c>
      <c r="G478" s="7" t="s">
        <v>286</v>
      </c>
      <c r="H478" s="7" t="s">
        <v>239</v>
      </c>
      <c r="I478" s="7" t="n">
        <v>2</v>
      </c>
      <c r="J478" s="7" t="s">
        <v>107</v>
      </c>
      <c r="K478" s="7" t="s">
        <v>108</v>
      </c>
      <c r="L478" s="7" t="n">
        <v>22</v>
      </c>
      <c r="M478" s="10" t="b">
        <f aca="false">FALSE()</f>
        <v>0</v>
      </c>
      <c r="N478" s="7" t="s">
        <v>109</v>
      </c>
      <c r="O478" s="7" t="n">
        <v>-33.689115</v>
      </c>
      <c r="P478" s="7" t="n">
        <v>151.223974</v>
      </c>
    </row>
    <row r="479" customFormat="false" ht="15" hidden="false" customHeight="false" outlineLevel="0" collapsed="false">
      <c r="A479" s="7" t="n">
        <v>478</v>
      </c>
      <c r="B479" s="7"/>
      <c r="C479" s="7" t="s">
        <v>703</v>
      </c>
      <c r="D479" s="7" t="n">
        <v>2155</v>
      </c>
      <c r="E479" s="7" t="s">
        <v>50</v>
      </c>
      <c r="F479" s="10" t="b">
        <f aca="false">FALSE()</f>
        <v>0</v>
      </c>
      <c r="G479" s="7" t="s">
        <v>299</v>
      </c>
      <c r="H479" s="7" t="s">
        <v>287</v>
      </c>
      <c r="I479" s="7" t="n">
        <v>2</v>
      </c>
      <c r="J479" s="7" t="s">
        <v>71</v>
      </c>
      <c r="K479" s="7" t="s">
        <v>288</v>
      </c>
      <c r="L479" s="7" t="n">
        <v>25</v>
      </c>
      <c r="M479" s="10" t="b">
        <f aca="false">FALSE()</f>
        <v>0</v>
      </c>
      <c r="N479" s="7" t="s">
        <v>76</v>
      </c>
      <c r="O479" s="7" t="n">
        <v>-33.712525</v>
      </c>
      <c r="P479" s="7" t="n">
        <v>150.958341</v>
      </c>
    </row>
    <row r="480" customFormat="false" ht="15" hidden="false" customHeight="false" outlineLevel="0" collapsed="false">
      <c r="A480" s="7" t="n">
        <v>479</v>
      </c>
      <c r="B480" s="7"/>
      <c r="C480" s="7" t="s">
        <v>704</v>
      </c>
      <c r="D480" s="7" t="n">
        <v>2290</v>
      </c>
      <c r="E480" s="7" t="s">
        <v>50</v>
      </c>
      <c r="F480" s="10" t="b">
        <f aca="false">FALSE()</f>
        <v>0</v>
      </c>
      <c r="G480" s="7" t="s">
        <v>377</v>
      </c>
      <c r="H480" s="7" t="s">
        <v>239</v>
      </c>
      <c r="I480" s="7" t="n">
        <v>2</v>
      </c>
      <c r="J480" s="7" t="s">
        <v>107</v>
      </c>
      <c r="K480" s="7" t="s">
        <v>277</v>
      </c>
      <c r="L480" s="7" t="n">
        <v>6</v>
      </c>
      <c r="M480" s="10" t="b">
        <f aca="false">FALSE()</f>
        <v>0</v>
      </c>
      <c r="N480" s="7" t="s">
        <v>109</v>
      </c>
      <c r="O480" s="7" t="n">
        <v>-32.956943</v>
      </c>
      <c r="P480" s="7" t="n">
        <v>151.701021</v>
      </c>
    </row>
    <row r="481" customFormat="false" ht="15" hidden="false" customHeight="false" outlineLevel="0" collapsed="false">
      <c r="A481" s="7" t="n">
        <v>480</v>
      </c>
      <c r="B481" s="7"/>
      <c r="C481" s="7" t="s">
        <v>705</v>
      </c>
      <c r="D481" s="7" t="n">
        <v>2300</v>
      </c>
      <c r="E481" s="7" t="s">
        <v>50</v>
      </c>
      <c r="F481" s="10" t="b">
        <f aca="false">FALSE()</f>
        <v>0</v>
      </c>
      <c r="G481" s="7" t="s">
        <v>141</v>
      </c>
      <c r="H481" s="7" t="s">
        <v>529</v>
      </c>
      <c r="I481" s="7" t="n">
        <v>4</v>
      </c>
      <c r="J481" s="7" t="s">
        <v>107</v>
      </c>
      <c r="K481" s="7" t="s">
        <v>108</v>
      </c>
      <c r="L481" s="7" t="n">
        <v>22</v>
      </c>
      <c r="M481" s="10" t="b">
        <f aca="false">FALSE()</f>
        <v>0</v>
      </c>
      <c r="N481" s="7" t="s">
        <v>109</v>
      </c>
      <c r="O481" s="7" t="n">
        <v>-32.928821</v>
      </c>
      <c r="P481" s="7" t="n">
        <v>151.76801</v>
      </c>
    </row>
    <row r="482" customFormat="false" ht="15" hidden="false" customHeight="false" outlineLevel="0" collapsed="false">
      <c r="A482" s="7" t="n">
        <v>481</v>
      </c>
      <c r="B482" s="7"/>
      <c r="C482" s="7" t="s">
        <v>706</v>
      </c>
      <c r="D482" s="7" t="n">
        <v>2210</v>
      </c>
      <c r="E482" s="7" t="s">
        <v>50</v>
      </c>
      <c r="F482" s="10" t="b">
        <f aca="false">FALSE()</f>
        <v>0</v>
      </c>
      <c r="G482" s="7" t="s">
        <v>293</v>
      </c>
      <c r="H482" s="7" t="s">
        <v>287</v>
      </c>
      <c r="I482" s="7" t="n">
        <v>2</v>
      </c>
      <c r="J482" s="7" t="s">
        <v>71</v>
      </c>
      <c r="K482" s="7" t="s">
        <v>288</v>
      </c>
      <c r="L482" s="7" t="n">
        <v>25</v>
      </c>
      <c r="M482" s="10" t="b">
        <f aca="false">FALSE()</f>
        <v>0</v>
      </c>
      <c r="N482" s="7" t="s">
        <v>76</v>
      </c>
      <c r="O482" s="7" t="n">
        <v>-33.950772</v>
      </c>
      <c r="P482" s="7" t="n">
        <v>151.051971</v>
      </c>
    </row>
    <row r="483" customFormat="false" ht="15" hidden="false" customHeight="false" outlineLevel="0" collapsed="false">
      <c r="A483" s="7" t="n">
        <v>482</v>
      </c>
      <c r="B483" s="7"/>
      <c r="C483" s="7" t="s">
        <v>707</v>
      </c>
      <c r="D483" s="7" t="n">
        <v>2800</v>
      </c>
      <c r="E483" s="7" t="s">
        <v>50</v>
      </c>
      <c r="F483" s="10" t="b">
        <f aca="false">FALSE()</f>
        <v>0</v>
      </c>
      <c r="G483" s="7" t="s">
        <v>185</v>
      </c>
      <c r="H483" s="7" t="s">
        <v>239</v>
      </c>
      <c r="I483" s="7" t="n">
        <v>2</v>
      </c>
      <c r="J483" s="7" t="s">
        <v>107</v>
      </c>
      <c r="K483" s="7" t="s">
        <v>108</v>
      </c>
      <c r="L483" s="7" t="n">
        <v>22</v>
      </c>
      <c r="M483" s="10" t="b">
        <f aca="false">FALSE()</f>
        <v>0</v>
      </c>
      <c r="N483" s="7" t="s">
        <v>109</v>
      </c>
      <c r="O483" s="7" t="n">
        <v>-33.30906</v>
      </c>
      <c r="P483" s="7" t="n">
        <v>149.019651</v>
      </c>
    </row>
    <row r="484" customFormat="false" ht="15" hidden="false" customHeight="false" outlineLevel="0" collapsed="false">
      <c r="A484" s="7" t="n">
        <v>483</v>
      </c>
      <c r="B484" s="7"/>
      <c r="C484" s="7" t="s">
        <v>707</v>
      </c>
      <c r="D484" s="7" t="n">
        <v>2800</v>
      </c>
      <c r="E484" s="7" t="s">
        <v>50</v>
      </c>
      <c r="F484" s="10" t="b">
        <f aca="false">FALSE()</f>
        <v>0</v>
      </c>
      <c r="G484" s="7" t="s">
        <v>185</v>
      </c>
      <c r="H484" s="7" t="s">
        <v>239</v>
      </c>
      <c r="I484" s="7" t="n">
        <v>1</v>
      </c>
      <c r="J484" s="7" t="s">
        <v>107</v>
      </c>
      <c r="K484" s="7" t="s">
        <v>108</v>
      </c>
      <c r="L484" s="7" t="n">
        <v>22</v>
      </c>
      <c r="M484" s="10" t="b">
        <f aca="false">FALSE()</f>
        <v>0</v>
      </c>
      <c r="N484" s="7" t="s">
        <v>109</v>
      </c>
      <c r="O484" s="7" t="n">
        <v>-33.311782</v>
      </c>
      <c r="P484" s="7" t="n">
        <v>149.021359</v>
      </c>
    </row>
    <row r="485" customFormat="false" ht="15" hidden="false" customHeight="false" outlineLevel="0" collapsed="false">
      <c r="A485" s="7" t="n">
        <v>484</v>
      </c>
      <c r="B485" s="7"/>
      <c r="C485" s="7" t="s">
        <v>708</v>
      </c>
      <c r="D485" s="7" t="n">
        <v>2029</v>
      </c>
      <c r="E485" s="7" t="s">
        <v>50</v>
      </c>
      <c r="F485" s="10" t="b">
        <f aca="false">FALSE()</f>
        <v>0</v>
      </c>
      <c r="G485" s="7" t="s">
        <v>272</v>
      </c>
      <c r="H485" s="7" t="s">
        <v>237</v>
      </c>
      <c r="I485" s="7" t="n">
        <v>2</v>
      </c>
      <c r="J485" s="7" t="s">
        <v>107</v>
      </c>
      <c r="K485" s="7" t="s">
        <v>108</v>
      </c>
      <c r="L485" s="7" t="n">
        <v>22</v>
      </c>
      <c r="M485" s="10" t="b">
        <f aca="false">FALSE()</f>
        <v>0</v>
      </c>
      <c r="N485" s="7" t="s">
        <v>109</v>
      </c>
      <c r="O485" s="7" t="n">
        <v>-33.871623</v>
      </c>
      <c r="P485" s="7" t="n">
        <v>151.268174</v>
      </c>
    </row>
    <row r="486" customFormat="false" ht="15" hidden="false" customHeight="false" outlineLevel="0" collapsed="false">
      <c r="A486" s="7" t="n">
        <v>485</v>
      </c>
      <c r="B486" s="7"/>
      <c r="C486" s="7" t="s">
        <v>709</v>
      </c>
      <c r="D486" s="7" t="n">
        <v>2033</v>
      </c>
      <c r="E486" s="7" t="s">
        <v>50</v>
      </c>
      <c r="F486" s="10" t="b">
        <f aca="false">FALSE()</f>
        <v>0</v>
      </c>
      <c r="G486" s="7" t="s">
        <v>182</v>
      </c>
      <c r="H486" s="7" t="s">
        <v>239</v>
      </c>
      <c r="I486" s="7" t="n">
        <v>1</v>
      </c>
      <c r="J486" s="7" t="s">
        <v>107</v>
      </c>
      <c r="K486" s="7" t="s">
        <v>108</v>
      </c>
      <c r="L486" s="7" t="n">
        <v>22</v>
      </c>
      <c r="M486" s="10" t="b">
        <f aca="false">FALSE()</f>
        <v>0</v>
      </c>
      <c r="N486" s="7" t="s">
        <v>109</v>
      </c>
      <c r="O486" s="7" t="n">
        <v>-33.903437</v>
      </c>
      <c r="P486" s="7" t="n">
        <v>151.214948</v>
      </c>
    </row>
    <row r="487" customFormat="false" ht="15" hidden="false" customHeight="false" outlineLevel="0" collapsed="false">
      <c r="A487" s="7" t="n">
        <v>486</v>
      </c>
      <c r="B487" s="7" t="s">
        <v>710</v>
      </c>
      <c r="C487" s="7" t="s">
        <v>711</v>
      </c>
      <c r="D487" s="7" t="n">
        <v>2322</v>
      </c>
      <c r="E487" s="7" t="s">
        <v>50</v>
      </c>
      <c r="F487" s="10" t="b">
        <f aca="false">FALSE()</f>
        <v>0</v>
      </c>
      <c r="G487" s="7" t="s">
        <v>141</v>
      </c>
      <c r="H487" s="7" t="s">
        <v>398</v>
      </c>
      <c r="I487" s="7" t="n">
        <v>3</v>
      </c>
      <c r="J487" s="7" t="s">
        <v>107</v>
      </c>
      <c r="K487" s="7" t="s">
        <v>107</v>
      </c>
      <c r="L487" s="7"/>
      <c r="M487" s="10" t="b">
        <f aca="false">FALSE()</f>
        <v>0</v>
      </c>
      <c r="N487" s="7" t="s">
        <v>399</v>
      </c>
      <c r="O487" s="7" t="n">
        <v>-32.802623</v>
      </c>
      <c r="P487" s="7" t="n">
        <v>151.63329</v>
      </c>
    </row>
    <row r="488" customFormat="false" ht="15" hidden="false" customHeight="false" outlineLevel="0" collapsed="false">
      <c r="A488" s="7" t="n">
        <v>487</v>
      </c>
      <c r="B488" s="7"/>
      <c r="C488" s="7" t="s">
        <v>712</v>
      </c>
      <c r="D488" s="7" t="n">
        <v>2042</v>
      </c>
      <c r="E488" s="7" t="s">
        <v>50</v>
      </c>
      <c r="F488" s="10" t="b">
        <f aca="false">FALSE()</f>
        <v>0</v>
      </c>
      <c r="G488" s="7" t="s">
        <v>182</v>
      </c>
      <c r="H488" s="7" t="s">
        <v>302</v>
      </c>
      <c r="I488" s="7" t="n">
        <v>2</v>
      </c>
      <c r="J488" s="7" t="s">
        <v>107</v>
      </c>
      <c r="K488" s="7" t="s">
        <v>108</v>
      </c>
      <c r="L488" s="7" t="n">
        <v>22</v>
      </c>
      <c r="M488" s="10" t="b">
        <f aca="false">FALSE()</f>
        <v>0</v>
      </c>
      <c r="N488" s="7" t="s">
        <v>109</v>
      </c>
      <c r="O488" s="7" t="n">
        <v>-33.895295</v>
      </c>
      <c r="P488" s="7" t="n">
        <v>151.182614</v>
      </c>
    </row>
    <row r="489" customFormat="false" ht="15" hidden="false" customHeight="false" outlineLevel="0" collapsed="false">
      <c r="A489" s="7" t="n">
        <v>488</v>
      </c>
      <c r="B489" s="7"/>
      <c r="C489" s="7" t="s">
        <v>713</v>
      </c>
      <c r="D489" s="7" t="n">
        <v>2620</v>
      </c>
      <c r="E489" s="7" t="s">
        <v>50</v>
      </c>
      <c r="F489" s="10" t="b">
        <f aca="false">FALSE()</f>
        <v>0</v>
      </c>
      <c r="G489" s="7" t="s">
        <v>94</v>
      </c>
      <c r="H489" s="7" t="s">
        <v>244</v>
      </c>
      <c r="I489" s="7" t="n">
        <v>4</v>
      </c>
      <c r="J489" s="7" t="s">
        <v>71</v>
      </c>
      <c r="K489" s="7" t="s">
        <v>83</v>
      </c>
      <c r="L489" s="7" t="n">
        <v>75</v>
      </c>
      <c r="M489" s="10" t="b">
        <f aca="false">FALSE()</f>
        <v>0</v>
      </c>
      <c r="N489" s="7" t="s">
        <v>268</v>
      </c>
      <c r="O489" s="7" t="n">
        <v>-35.347397</v>
      </c>
      <c r="P489" s="7" t="n">
        <v>149.245403</v>
      </c>
    </row>
    <row r="490" customFormat="false" ht="15" hidden="false" customHeight="false" outlineLevel="0" collapsed="false">
      <c r="A490" s="7" t="n">
        <v>489</v>
      </c>
      <c r="B490" s="7"/>
      <c r="C490" s="7" t="s">
        <v>714</v>
      </c>
      <c r="D490" s="7" t="n">
        <v>2481</v>
      </c>
      <c r="E490" s="7" t="s">
        <v>50</v>
      </c>
      <c r="F490" s="10" t="b">
        <f aca="false">FALSE()</f>
        <v>0</v>
      </c>
      <c r="G490" s="7" t="s">
        <v>82</v>
      </c>
      <c r="H490" s="7" t="s">
        <v>239</v>
      </c>
      <c r="I490" s="7" t="n">
        <v>2</v>
      </c>
      <c r="J490" s="7" t="s">
        <v>107</v>
      </c>
      <c r="K490" s="7" t="s">
        <v>277</v>
      </c>
      <c r="L490" s="7" t="n">
        <v>6</v>
      </c>
      <c r="M490" s="10" t="b">
        <f aca="false">FALSE()</f>
        <v>0</v>
      </c>
      <c r="N490" s="7" t="s">
        <v>109</v>
      </c>
      <c r="O490" s="7" t="n">
        <v>-28.639639</v>
      </c>
      <c r="P490" s="7" t="n">
        <v>153.607712</v>
      </c>
    </row>
    <row r="491" customFormat="false" ht="15" hidden="false" customHeight="false" outlineLevel="0" collapsed="false">
      <c r="A491" s="7" t="n">
        <v>490</v>
      </c>
      <c r="B491" s="7"/>
      <c r="C491" s="7" t="s">
        <v>715</v>
      </c>
      <c r="D491" s="7" t="n">
        <v>2153</v>
      </c>
      <c r="E491" s="7" t="s">
        <v>50</v>
      </c>
      <c r="F491" s="10" t="b">
        <f aca="false">FALSE()</f>
        <v>0</v>
      </c>
      <c r="G491" s="7" t="s">
        <v>299</v>
      </c>
      <c r="H491" s="7" t="s">
        <v>260</v>
      </c>
      <c r="I491" s="7" t="n">
        <v>4</v>
      </c>
      <c r="J491" s="7" t="s">
        <v>107</v>
      </c>
      <c r="K491" s="7" t="s">
        <v>108</v>
      </c>
      <c r="L491" s="7" t="n">
        <v>22</v>
      </c>
      <c r="M491" s="10" t="b">
        <f aca="false">FALSE()</f>
        <v>0</v>
      </c>
      <c r="N491" s="7" t="s">
        <v>109</v>
      </c>
      <c r="O491" s="7" t="n">
        <v>-33.730529</v>
      </c>
      <c r="P491" s="7" t="n">
        <v>150.971738</v>
      </c>
    </row>
    <row r="492" customFormat="false" ht="15" hidden="false" customHeight="false" outlineLevel="0" collapsed="false">
      <c r="A492" s="7" t="n">
        <v>491</v>
      </c>
      <c r="B492" s="7"/>
      <c r="C492" s="7" t="s">
        <v>716</v>
      </c>
      <c r="D492" s="7" t="n">
        <v>2550</v>
      </c>
      <c r="E492" s="7" t="s">
        <v>50</v>
      </c>
      <c r="F492" s="10" t="b">
        <f aca="false">FALSE()</f>
        <v>0</v>
      </c>
      <c r="G492" s="7" t="s">
        <v>188</v>
      </c>
      <c r="H492" s="7" t="s">
        <v>237</v>
      </c>
      <c r="I492" s="7" t="n">
        <v>2</v>
      </c>
      <c r="J492" s="7" t="s">
        <v>71</v>
      </c>
      <c r="K492" s="7" t="s">
        <v>515</v>
      </c>
      <c r="L492" s="7" t="n">
        <v>42</v>
      </c>
      <c r="M492" s="10" t="b">
        <f aca="false">FALSE()</f>
        <v>0</v>
      </c>
      <c r="N492" s="7" t="s">
        <v>76</v>
      </c>
      <c r="O492" s="7" t="n">
        <v>-36.697259</v>
      </c>
      <c r="P492" s="7" t="n">
        <v>149.841863</v>
      </c>
    </row>
    <row r="493" customFormat="false" ht="15" hidden="false" customHeight="false" outlineLevel="0" collapsed="false">
      <c r="A493" s="7" t="n">
        <v>492</v>
      </c>
      <c r="B493" s="7"/>
      <c r="C493" s="7" t="s">
        <v>717</v>
      </c>
      <c r="D493" s="7" t="n">
        <v>2570</v>
      </c>
      <c r="E493" s="7" t="s">
        <v>50</v>
      </c>
      <c r="F493" s="10" t="b">
        <f aca="false">FALSE()</f>
        <v>0</v>
      </c>
      <c r="G493" s="7" t="s">
        <v>338</v>
      </c>
      <c r="H493" s="7" t="s">
        <v>260</v>
      </c>
      <c r="I493" s="7" t="n">
        <v>4</v>
      </c>
      <c r="J493" s="7" t="s">
        <v>107</v>
      </c>
      <c r="K493" s="7" t="s">
        <v>277</v>
      </c>
      <c r="L493" s="7" t="n">
        <v>6</v>
      </c>
      <c r="M493" s="10" t="b">
        <f aca="false">FALSE()</f>
        <v>0</v>
      </c>
      <c r="N493" s="7" t="s">
        <v>109</v>
      </c>
      <c r="O493" s="7" t="n">
        <v>-34.000188</v>
      </c>
      <c r="P493" s="7" t="n">
        <v>150.738844</v>
      </c>
    </row>
    <row r="494" customFormat="false" ht="15" hidden="false" customHeight="false" outlineLevel="0" collapsed="false">
      <c r="A494" s="7" t="n">
        <v>493</v>
      </c>
      <c r="B494" s="7"/>
      <c r="C494" s="7" t="s">
        <v>718</v>
      </c>
      <c r="D494" s="7" t="n">
        <v>2137</v>
      </c>
      <c r="E494" s="7" t="s">
        <v>50</v>
      </c>
      <c r="F494" s="10" t="b">
        <f aca="false">FALSE()</f>
        <v>0</v>
      </c>
      <c r="G494" s="7" t="s">
        <v>670</v>
      </c>
      <c r="H494" s="7" t="s">
        <v>244</v>
      </c>
      <c r="I494" s="7" t="n">
        <v>4</v>
      </c>
      <c r="J494" s="7" t="s">
        <v>71</v>
      </c>
      <c r="K494" s="7" t="s">
        <v>83</v>
      </c>
      <c r="L494" s="7" t="n">
        <v>75</v>
      </c>
      <c r="M494" s="10" t="b">
        <f aca="false">FALSE()</f>
        <v>0</v>
      </c>
      <c r="N494" s="7" t="s">
        <v>268</v>
      </c>
      <c r="O494" s="7" t="n">
        <v>-33.863902</v>
      </c>
      <c r="P494" s="7" t="n">
        <v>151.089452</v>
      </c>
    </row>
    <row r="495" customFormat="false" ht="15" hidden="false" customHeight="false" outlineLevel="0" collapsed="false">
      <c r="A495" s="7" t="n">
        <v>494</v>
      </c>
      <c r="B495" s="7"/>
      <c r="C495" s="7" t="s">
        <v>719</v>
      </c>
      <c r="D495" s="7" t="n">
        <v>2315</v>
      </c>
      <c r="E495" s="7" t="s">
        <v>50</v>
      </c>
      <c r="F495" s="10" t="b">
        <f aca="false">FALSE()</f>
        <v>0</v>
      </c>
      <c r="G495" s="7" t="s">
        <v>309</v>
      </c>
      <c r="H495" s="7" t="s">
        <v>239</v>
      </c>
      <c r="I495" s="7" t="n">
        <v>2</v>
      </c>
      <c r="J495" s="7" t="s">
        <v>107</v>
      </c>
      <c r="K495" s="7" t="s">
        <v>277</v>
      </c>
      <c r="L495" s="7" t="n">
        <v>6</v>
      </c>
      <c r="M495" s="10" t="b">
        <f aca="false">FALSE()</f>
        <v>0</v>
      </c>
      <c r="N495" s="7" t="s">
        <v>109</v>
      </c>
      <c r="O495" s="7" t="n">
        <v>-32.720738</v>
      </c>
      <c r="P495" s="7" t="n">
        <v>152.142984</v>
      </c>
    </row>
    <row r="496" customFormat="false" ht="15" hidden="false" customHeight="false" outlineLevel="0" collapsed="false">
      <c r="A496" s="7" t="n">
        <v>495</v>
      </c>
      <c r="B496" s="7"/>
      <c r="C496" s="7" t="s">
        <v>720</v>
      </c>
      <c r="D496" s="7" t="n">
        <v>2094</v>
      </c>
      <c r="E496" s="7" t="s">
        <v>50</v>
      </c>
      <c r="F496" s="10" t="b">
        <f aca="false">FALSE()</f>
        <v>0</v>
      </c>
      <c r="G496" s="7" t="s">
        <v>286</v>
      </c>
      <c r="H496" s="7" t="s">
        <v>302</v>
      </c>
      <c r="I496" s="7" t="n">
        <v>2</v>
      </c>
      <c r="J496" s="7" t="s">
        <v>107</v>
      </c>
      <c r="K496" s="7" t="s">
        <v>108</v>
      </c>
      <c r="L496" s="7" t="n">
        <v>22</v>
      </c>
      <c r="M496" s="10" t="b">
        <f aca="false">FALSE()</f>
        <v>0</v>
      </c>
      <c r="N496" s="7" t="s">
        <v>557</v>
      </c>
      <c r="O496" s="7" t="n">
        <v>-33.796084</v>
      </c>
      <c r="P496" s="7" t="n">
        <v>151.275595</v>
      </c>
    </row>
    <row r="497" customFormat="false" ht="15" hidden="false" customHeight="false" outlineLevel="0" collapsed="false">
      <c r="A497" s="7" t="n">
        <v>496</v>
      </c>
      <c r="B497" s="7"/>
      <c r="C497" s="7" t="s">
        <v>721</v>
      </c>
      <c r="D497" s="7" t="n">
        <v>2486</v>
      </c>
      <c r="E497" s="7" t="s">
        <v>50</v>
      </c>
      <c r="F497" s="10" t="b">
        <f aca="false">FALSE()</f>
        <v>0</v>
      </c>
      <c r="G497" s="7" t="s">
        <v>164</v>
      </c>
      <c r="H497" s="7" t="s">
        <v>244</v>
      </c>
      <c r="I497" s="7" t="n">
        <v>4</v>
      </c>
      <c r="J497" s="7" t="s">
        <v>71</v>
      </c>
      <c r="K497" s="7" t="s">
        <v>83</v>
      </c>
      <c r="L497" s="7" t="n">
        <v>75</v>
      </c>
      <c r="M497" s="10" t="b">
        <f aca="false">FALSE()</f>
        <v>0</v>
      </c>
      <c r="N497" s="7" t="s">
        <v>76</v>
      </c>
      <c r="O497" s="7" t="n">
        <v>-28.215101</v>
      </c>
      <c r="P497" s="7" t="n">
        <v>153.540438</v>
      </c>
    </row>
    <row r="498" customFormat="false" ht="15" hidden="false" customHeight="false" outlineLevel="0" collapsed="false">
      <c r="A498" s="7" t="n">
        <v>497</v>
      </c>
      <c r="B498" s="7"/>
      <c r="C498" s="7" t="s">
        <v>722</v>
      </c>
      <c r="D498" s="7" t="n">
        <v>2537</v>
      </c>
      <c r="E498" s="7" t="s">
        <v>50</v>
      </c>
      <c r="F498" s="10" t="b">
        <f aca="false">FALSE()</f>
        <v>0</v>
      </c>
      <c r="G498" s="7" t="s">
        <v>123</v>
      </c>
      <c r="H498" s="7" t="s">
        <v>358</v>
      </c>
      <c r="I498" s="7" t="n">
        <v>4</v>
      </c>
      <c r="J498" s="7" t="s">
        <v>107</v>
      </c>
      <c r="K498" s="7" t="s">
        <v>108</v>
      </c>
      <c r="L498" s="7" t="n">
        <v>22</v>
      </c>
      <c r="M498" s="10" t="b">
        <f aca="false">FALSE()</f>
        <v>0</v>
      </c>
      <c r="N498" s="7" t="s">
        <v>109</v>
      </c>
      <c r="O498" s="7" t="n">
        <v>-35.85679</v>
      </c>
      <c r="P498" s="7" t="n">
        <v>150.174882</v>
      </c>
    </row>
    <row r="499" customFormat="false" ht="15" hidden="false" customHeight="false" outlineLevel="0" collapsed="false">
      <c r="A499" s="7" t="n">
        <v>498</v>
      </c>
      <c r="B499" s="7"/>
      <c r="C499" s="7" t="s">
        <v>723</v>
      </c>
      <c r="D499" s="7" t="n">
        <v>2135</v>
      </c>
      <c r="E499" s="7" t="s">
        <v>50</v>
      </c>
      <c r="F499" s="10" t="b">
        <f aca="false">FALSE()</f>
        <v>0</v>
      </c>
      <c r="G499" s="7" t="s">
        <v>670</v>
      </c>
      <c r="H499" s="7" t="s">
        <v>260</v>
      </c>
      <c r="I499" s="7" t="n">
        <v>4</v>
      </c>
      <c r="J499" s="7" t="s">
        <v>107</v>
      </c>
      <c r="K499" s="7" t="s">
        <v>277</v>
      </c>
      <c r="L499" s="7" t="n">
        <v>6</v>
      </c>
      <c r="M499" s="10" t="b">
        <f aca="false">FALSE()</f>
        <v>0</v>
      </c>
      <c r="N499" s="7" t="s">
        <v>109</v>
      </c>
      <c r="O499" s="7" t="n">
        <v>-33.874248</v>
      </c>
      <c r="P499" s="7" t="n">
        <v>151.092115</v>
      </c>
    </row>
    <row r="500" customFormat="false" ht="15" hidden="false" customHeight="false" outlineLevel="0" collapsed="false">
      <c r="A500" s="7" t="n">
        <v>499</v>
      </c>
      <c r="B500" s="7"/>
      <c r="C500" s="7" t="s">
        <v>724</v>
      </c>
      <c r="D500" s="7" t="n">
        <v>2739</v>
      </c>
      <c r="E500" s="7" t="s">
        <v>50</v>
      </c>
      <c r="F500" s="10" t="b">
        <f aca="false">FALSE()</f>
        <v>0</v>
      </c>
      <c r="G500" s="7" t="s">
        <v>280</v>
      </c>
      <c r="H500" s="7" t="s">
        <v>237</v>
      </c>
      <c r="I500" s="7" t="n">
        <v>2</v>
      </c>
      <c r="J500" s="7" t="s">
        <v>107</v>
      </c>
      <c r="K500" s="7" t="s">
        <v>108</v>
      </c>
      <c r="L500" s="7" t="n">
        <v>22</v>
      </c>
      <c r="M500" s="10" t="b">
        <f aca="false">FALSE()</f>
        <v>0</v>
      </c>
      <c r="N500" s="7" t="s">
        <v>109</v>
      </c>
      <c r="O500" s="7" t="n">
        <v>-34.174398</v>
      </c>
      <c r="P500" s="7" t="n">
        <v>142.198676</v>
      </c>
    </row>
    <row r="501" customFormat="false" ht="15" hidden="false" customHeight="false" outlineLevel="0" collapsed="false">
      <c r="A501" s="7" t="n">
        <v>500</v>
      </c>
      <c r="B501" s="7"/>
      <c r="C501" s="7" t="s">
        <v>725</v>
      </c>
      <c r="D501" s="7" t="n">
        <v>2431</v>
      </c>
      <c r="E501" s="7" t="s">
        <v>50</v>
      </c>
      <c r="F501" s="10" t="b">
        <f aca="false">FALSE()</f>
        <v>0</v>
      </c>
      <c r="G501" s="7" t="s">
        <v>533</v>
      </c>
      <c r="H501" s="7" t="s">
        <v>302</v>
      </c>
      <c r="I501" s="7" t="n">
        <v>2</v>
      </c>
      <c r="J501" s="7" t="s">
        <v>107</v>
      </c>
      <c r="K501" s="7" t="s">
        <v>108</v>
      </c>
      <c r="L501" s="7" t="n">
        <v>22</v>
      </c>
      <c r="M501" s="10" t="b">
        <f aca="false">FALSE()</f>
        <v>0</v>
      </c>
      <c r="N501" s="7" t="s">
        <v>109</v>
      </c>
      <c r="O501" s="7" t="n">
        <v>-30.885472</v>
      </c>
      <c r="P501" s="7" t="n">
        <v>153.039447</v>
      </c>
    </row>
    <row r="502" customFormat="false" ht="15" hidden="false" customHeight="false" outlineLevel="0" collapsed="false">
      <c r="A502" s="7" t="n">
        <v>501</v>
      </c>
      <c r="B502" s="7"/>
      <c r="C502" s="7" t="s">
        <v>726</v>
      </c>
      <c r="D502" s="7" t="n">
        <v>2113</v>
      </c>
      <c r="E502" s="7" t="s">
        <v>50</v>
      </c>
      <c r="F502" s="10" t="b">
        <f aca="false">FALSE()</f>
        <v>0</v>
      </c>
      <c r="G502" s="7" t="s">
        <v>364</v>
      </c>
      <c r="H502" s="7" t="s">
        <v>260</v>
      </c>
      <c r="I502" s="7" t="n">
        <v>4</v>
      </c>
      <c r="J502" s="7" t="s">
        <v>107</v>
      </c>
      <c r="K502" s="7" t="s">
        <v>277</v>
      </c>
      <c r="L502" s="7" t="n">
        <v>6</v>
      </c>
      <c r="M502" s="10" t="b">
        <f aca="false">FALSE()</f>
        <v>0</v>
      </c>
      <c r="N502" s="7" t="s">
        <v>109</v>
      </c>
      <c r="O502" s="7" t="n">
        <v>-33.787448</v>
      </c>
      <c r="P502" s="7" t="n">
        <v>151.128701</v>
      </c>
    </row>
    <row r="503" customFormat="false" ht="15" hidden="false" customHeight="false" outlineLevel="0" collapsed="false">
      <c r="A503" s="7" t="n">
        <v>502</v>
      </c>
      <c r="B503" s="7"/>
      <c r="C503" s="7" t="s">
        <v>727</v>
      </c>
      <c r="D503" s="7" t="n">
        <v>2096</v>
      </c>
      <c r="E503" s="7" t="s">
        <v>50</v>
      </c>
      <c r="F503" s="10" t="b">
        <f aca="false">FALSE()</f>
        <v>0</v>
      </c>
      <c r="G503" s="7" t="s">
        <v>286</v>
      </c>
      <c r="H503" s="7" t="s">
        <v>287</v>
      </c>
      <c r="I503" s="7" t="n">
        <v>2</v>
      </c>
      <c r="J503" s="7" t="s">
        <v>71</v>
      </c>
      <c r="K503" s="7" t="s">
        <v>288</v>
      </c>
      <c r="L503" s="7" t="n">
        <v>25</v>
      </c>
      <c r="M503" s="10" t="b">
        <f aca="false">FALSE()</f>
        <v>0</v>
      </c>
      <c r="N503" s="7" t="s">
        <v>76</v>
      </c>
      <c r="O503" s="7" t="n">
        <v>-33.778977</v>
      </c>
      <c r="P503" s="7" t="n">
        <v>151.28389</v>
      </c>
    </row>
    <row r="504" customFormat="false" ht="15" hidden="false" customHeight="false" outlineLevel="0" collapsed="false">
      <c r="A504" s="7" t="n">
        <v>503</v>
      </c>
      <c r="B504" s="7"/>
      <c r="C504" s="7" t="s">
        <v>728</v>
      </c>
      <c r="D504" s="7" t="n">
        <v>2535</v>
      </c>
      <c r="E504" s="7" t="s">
        <v>50</v>
      </c>
      <c r="F504" s="10" t="b">
        <f aca="false">FALSE()</f>
        <v>0</v>
      </c>
      <c r="G504" s="7" t="s">
        <v>92</v>
      </c>
      <c r="H504" s="7" t="s">
        <v>239</v>
      </c>
      <c r="I504" s="7" t="n">
        <v>2</v>
      </c>
      <c r="J504" s="7" t="s">
        <v>107</v>
      </c>
      <c r="K504" s="7" t="s">
        <v>108</v>
      </c>
      <c r="L504" s="7" t="n">
        <v>22</v>
      </c>
      <c r="M504" s="10" t="b">
        <f aca="false">FALSE()</f>
        <v>0</v>
      </c>
      <c r="N504" s="7" t="s">
        <v>109</v>
      </c>
      <c r="O504" s="7" t="n">
        <v>-34.850155</v>
      </c>
      <c r="P504" s="7" t="n">
        <v>150.747815</v>
      </c>
    </row>
    <row r="505" customFormat="false" ht="15" hidden="false" customHeight="false" outlineLevel="0" collapsed="false">
      <c r="A505" s="7" t="n">
        <v>504</v>
      </c>
      <c r="B505" s="7"/>
      <c r="C505" s="7" t="s">
        <v>729</v>
      </c>
      <c r="D505" s="7" t="n">
        <v>2134</v>
      </c>
      <c r="E505" s="7" t="s">
        <v>50</v>
      </c>
      <c r="F505" s="10" t="b">
        <f aca="false">FALSE()</f>
        <v>0</v>
      </c>
      <c r="G505" s="7" t="s">
        <v>421</v>
      </c>
      <c r="H505" s="7" t="s">
        <v>287</v>
      </c>
      <c r="I505" s="7" t="n">
        <v>2</v>
      </c>
      <c r="J505" s="7" t="s">
        <v>71</v>
      </c>
      <c r="K505" s="7" t="s">
        <v>288</v>
      </c>
      <c r="L505" s="7" t="n">
        <v>25</v>
      </c>
      <c r="M505" s="10" t="b">
        <f aca="false">FALSE()</f>
        <v>0</v>
      </c>
      <c r="N505" s="7" t="s">
        <v>76</v>
      </c>
      <c r="O505" s="7" t="n">
        <v>-33.869422</v>
      </c>
      <c r="P505" s="7" t="n">
        <v>151.108024</v>
      </c>
    </row>
    <row r="506" customFormat="false" ht="15" hidden="false" customHeight="false" outlineLevel="0" collapsed="false">
      <c r="A506" s="7" t="n">
        <v>505</v>
      </c>
      <c r="B506" s="7"/>
      <c r="C506" s="7" t="s">
        <v>730</v>
      </c>
      <c r="D506" s="7" t="n">
        <v>2250</v>
      </c>
      <c r="E506" s="7" t="s">
        <v>50</v>
      </c>
      <c r="F506" s="10" t="b">
        <f aca="false">FALSE()</f>
        <v>0</v>
      </c>
      <c r="G506" s="7" t="s">
        <v>276</v>
      </c>
      <c r="H506" s="7" t="s">
        <v>237</v>
      </c>
      <c r="I506" s="7" t="n">
        <v>2</v>
      </c>
      <c r="J506" s="7" t="s">
        <v>71</v>
      </c>
      <c r="K506" s="7" t="s">
        <v>190</v>
      </c>
      <c r="L506" s="7" t="n">
        <v>60</v>
      </c>
      <c r="M506" s="10" t="b">
        <f aca="false">FALSE()</f>
        <v>0</v>
      </c>
      <c r="N506" s="7" t="s">
        <v>76</v>
      </c>
      <c r="O506" s="7" t="n">
        <v>-33.409413</v>
      </c>
      <c r="P506" s="7" t="n">
        <v>151.350745</v>
      </c>
    </row>
    <row r="507" customFormat="false" ht="15" hidden="false" customHeight="false" outlineLevel="0" collapsed="false">
      <c r="A507" s="7" t="n">
        <v>506</v>
      </c>
      <c r="B507" s="7"/>
      <c r="C507" s="7" t="s">
        <v>731</v>
      </c>
      <c r="D507" s="7" t="n">
        <v>2427</v>
      </c>
      <c r="E507" s="7" t="s">
        <v>50</v>
      </c>
      <c r="F507" s="10" t="b">
        <f aca="false">FALSE()</f>
        <v>0</v>
      </c>
      <c r="G507" s="7" t="s">
        <v>128</v>
      </c>
      <c r="H507" s="7" t="s">
        <v>237</v>
      </c>
      <c r="I507" s="7" t="n">
        <v>2</v>
      </c>
      <c r="J507" s="7" t="s">
        <v>107</v>
      </c>
      <c r="K507" s="7" t="s">
        <v>108</v>
      </c>
      <c r="L507" s="7" t="n">
        <v>22</v>
      </c>
      <c r="M507" s="10" t="b">
        <f aca="false">FALSE()</f>
        <v>0</v>
      </c>
      <c r="N507" s="7" t="s">
        <v>109</v>
      </c>
      <c r="O507" s="7" t="n">
        <v>-31.871278</v>
      </c>
      <c r="P507" s="7" t="n">
        <v>152.68597</v>
      </c>
    </row>
    <row r="508" customFormat="false" ht="15" hidden="false" customHeight="false" outlineLevel="0" collapsed="false">
      <c r="A508" s="7" t="n">
        <v>507</v>
      </c>
      <c r="B508" s="7"/>
      <c r="C508" s="7" t="s">
        <v>732</v>
      </c>
      <c r="D508" s="7" t="n">
        <v>2450</v>
      </c>
      <c r="E508" s="7" t="s">
        <v>50</v>
      </c>
      <c r="F508" s="10" t="b">
        <f aca="false">FALSE()</f>
        <v>0</v>
      </c>
      <c r="G508" s="7" t="s">
        <v>360</v>
      </c>
      <c r="H508" s="7" t="s">
        <v>239</v>
      </c>
      <c r="I508" s="7" t="n">
        <v>2</v>
      </c>
      <c r="J508" s="7" t="s">
        <v>107</v>
      </c>
      <c r="K508" s="7" t="s">
        <v>277</v>
      </c>
      <c r="L508" s="7" t="n">
        <v>6</v>
      </c>
      <c r="M508" s="10" t="b">
        <f aca="false">FALSE()</f>
        <v>0</v>
      </c>
      <c r="N508" s="7" t="s">
        <v>109</v>
      </c>
      <c r="O508" s="7" t="n">
        <v>-30.306104</v>
      </c>
      <c r="P508" s="7" t="n">
        <v>153.137202</v>
      </c>
    </row>
    <row r="509" customFormat="false" ht="15" hidden="false" customHeight="false" outlineLevel="0" collapsed="false">
      <c r="A509" s="7" t="n">
        <v>508</v>
      </c>
      <c r="B509" s="7"/>
      <c r="C509" s="7" t="s">
        <v>733</v>
      </c>
      <c r="D509" s="7" t="n">
        <v>2630</v>
      </c>
      <c r="E509" s="7" t="s">
        <v>50</v>
      </c>
      <c r="F509" s="10" t="b">
        <f aca="false">FALSE()</f>
        <v>0</v>
      </c>
      <c r="G509" s="7" t="s">
        <v>177</v>
      </c>
      <c r="H509" s="7" t="s">
        <v>239</v>
      </c>
      <c r="I509" s="7" t="n">
        <v>10</v>
      </c>
      <c r="J509" s="7" t="s">
        <v>71</v>
      </c>
      <c r="K509" s="7" t="s">
        <v>250</v>
      </c>
      <c r="L509" s="7" t="n">
        <v>250</v>
      </c>
      <c r="M509" s="10" t="b">
        <f aca="false">FALSE()</f>
        <v>0</v>
      </c>
      <c r="N509" s="7" t="s">
        <v>76</v>
      </c>
      <c r="O509" s="7" t="n">
        <v>-36.232941</v>
      </c>
      <c r="P509" s="7" t="n">
        <v>149.13229</v>
      </c>
    </row>
    <row r="510" customFormat="false" ht="15" hidden="false" customHeight="false" outlineLevel="0" collapsed="false">
      <c r="A510" s="7" t="n">
        <v>509</v>
      </c>
      <c r="B510" s="7"/>
      <c r="C510" s="7" t="s">
        <v>734</v>
      </c>
      <c r="D510" s="7" t="n">
        <v>2113</v>
      </c>
      <c r="E510" s="7" t="s">
        <v>50</v>
      </c>
      <c r="F510" s="10" t="b">
        <f aca="false">FALSE()</f>
        <v>0</v>
      </c>
      <c r="G510" s="7" t="s">
        <v>364</v>
      </c>
      <c r="H510" s="7" t="s">
        <v>239</v>
      </c>
      <c r="I510" s="7" t="n">
        <v>2</v>
      </c>
      <c r="J510" s="7" t="s">
        <v>107</v>
      </c>
      <c r="K510" s="7" t="s">
        <v>277</v>
      </c>
      <c r="L510" s="7" t="n">
        <v>6</v>
      </c>
      <c r="M510" s="10" t="b">
        <f aca="false">FALSE()</f>
        <v>0</v>
      </c>
      <c r="N510" s="7" t="s">
        <v>109</v>
      </c>
      <c r="O510" s="7" t="n">
        <v>-33.780807</v>
      </c>
      <c r="P510" s="7" t="n">
        <v>151.133811</v>
      </c>
    </row>
    <row r="511" customFormat="false" ht="15" hidden="false" customHeight="false" outlineLevel="0" collapsed="false">
      <c r="A511" s="7" t="n">
        <v>510</v>
      </c>
      <c r="B511" s="7"/>
      <c r="C511" s="7" t="s">
        <v>735</v>
      </c>
      <c r="D511" s="7" t="n">
        <v>2208</v>
      </c>
      <c r="E511" s="7" t="s">
        <v>50</v>
      </c>
      <c r="F511" s="10" t="b">
        <f aca="false">FALSE()</f>
        <v>0</v>
      </c>
      <c r="G511" s="7" t="s">
        <v>345</v>
      </c>
      <c r="H511" s="7" t="s">
        <v>260</v>
      </c>
      <c r="I511" s="7" t="n">
        <v>2</v>
      </c>
      <c r="J511" s="7" t="s">
        <v>71</v>
      </c>
      <c r="K511" s="7" t="s">
        <v>438</v>
      </c>
      <c r="L511" s="7" t="n">
        <v>120</v>
      </c>
      <c r="M511" s="10" t="b">
        <f aca="false">FALSE()</f>
        <v>0</v>
      </c>
      <c r="N511" s="7" t="s">
        <v>76</v>
      </c>
      <c r="O511" s="7" t="n">
        <v>-33.93524</v>
      </c>
      <c r="P511" s="7" t="n">
        <v>151.098672</v>
      </c>
    </row>
    <row r="512" customFormat="false" ht="15" hidden="false" customHeight="false" outlineLevel="0" collapsed="false">
      <c r="A512" s="7" t="n">
        <v>511</v>
      </c>
      <c r="B512" s="7"/>
      <c r="C512" s="7" t="s">
        <v>736</v>
      </c>
      <c r="D512" s="7" t="n">
        <v>2540</v>
      </c>
      <c r="E512" s="7" t="s">
        <v>50</v>
      </c>
      <c r="F512" s="10" t="b">
        <f aca="false">FALSE()</f>
        <v>0</v>
      </c>
      <c r="G512" s="7" t="s">
        <v>92</v>
      </c>
      <c r="H512" s="7" t="s">
        <v>239</v>
      </c>
      <c r="I512" s="7" t="n">
        <v>2</v>
      </c>
      <c r="J512" s="7" t="s">
        <v>107</v>
      </c>
      <c r="K512" s="7" t="s">
        <v>108</v>
      </c>
      <c r="L512" s="7" t="n">
        <v>22</v>
      </c>
      <c r="M512" s="10" t="b">
        <f aca="false">FALSE()</f>
        <v>0</v>
      </c>
      <c r="N512" s="7" t="s">
        <v>109</v>
      </c>
      <c r="O512" s="7" t="n">
        <v>-35.209025</v>
      </c>
      <c r="P512" s="7" t="n">
        <v>150.548962</v>
      </c>
    </row>
    <row r="513" customFormat="false" ht="15" hidden="false" customHeight="false" outlineLevel="0" collapsed="false">
      <c r="A513" s="7" t="n">
        <v>512</v>
      </c>
      <c r="B513" s="7"/>
      <c r="C513" s="7" t="s">
        <v>737</v>
      </c>
      <c r="D513" s="7" t="n">
        <v>2350</v>
      </c>
      <c r="E513" s="7" t="s">
        <v>50</v>
      </c>
      <c r="F513" s="10" t="b">
        <f aca="false">FALSE()</f>
        <v>0</v>
      </c>
      <c r="G513" s="7" t="s">
        <v>155</v>
      </c>
      <c r="H513" s="7" t="s">
        <v>239</v>
      </c>
      <c r="I513" s="7" t="n">
        <v>2</v>
      </c>
      <c r="J513" s="7" t="s">
        <v>107</v>
      </c>
      <c r="K513" s="7" t="s">
        <v>108</v>
      </c>
      <c r="L513" s="7" t="n">
        <v>22</v>
      </c>
      <c r="M513" s="10" t="b">
        <f aca="false">FALSE()</f>
        <v>0</v>
      </c>
      <c r="N513" s="7" t="s">
        <v>109</v>
      </c>
      <c r="O513" s="7" t="n">
        <v>-30.506223</v>
      </c>
      <c r="P513" s="7" t="n">
        <v>151.672875</v>
      </c>
    </row>
    <row r="514" customFormat="false" ht="15" hidden="false" customHeight="false" outlineLevel="0" collapsed="false">
      <c r="A514" s="7" t="n">
        <v>513</v>
      </c>
      <c r="B514" s="7"/>
      <c r="C514" s="7" t="s">
        <v>738</v>
      </c>
      <c r="D514" s="7" t="n">
        <v>2508</v>
      </c>
      <c r="E514" s="7" t="s">
        <v>50</v>
      </c>
      <c r="F514" s="10" t="b">
        <f aca="false">FALSE()</f>
        <v>0</v>
      </c>
      <c r="G514" s="7" t="s">
        <v>102</v>
      </c>
      <c r="H514" s="7" t="s">
        <v>239</v>
      </c>
      <c r="I514" s="7" t="n">
        <v>2</v>
      </c>
      <c r="J514" s="7" t="s">
        <v>107</v>
      </c>
      <c r="K514" s="7" t="s">
        <v>108</v>
      </c>
      <c r="L514" s="7" t="n">
        <v>22</v>
      </c>
      <c r="M514" s="10" t="b">
        <f aca="false">FALSE()</f>
        <v>0</v>
      </c>
      <c r="N514" s="7" t="s">
        <v>109</v>
      </c>
      <c r="O514" s="7" t="n">
        <v>-34.221246</v>
      </c>
      <c r="P514" s="7" t="n">
        <v>150.978867</v>
      </c>
    </row>
    <row r="515" customFormat="false" ht="15" hidden="false" customHeight="false" outlineLevel="0" collapsed="false">
      <c r="A515" s="7" t="n">
        <v>514</v>
      </c>
      <c r="B515" s="7"/>
      <c r="C515" s="7" t="s">
        <v>739</v>
      </c>
      <c r="D515" s="7" t="n">
        <v>2220</v>
      </c>
      <c r="E515" s="7" t="s">
        <v>50</v>
      </c>
      <c r="F515" s="10" t="b">
        <f aca="false">FALSE()</f>
        <v>0</v>
      </c>
      <c r="G515" s="7" t="s">
        <v>293</v>
      </c>
      <c r="H515" s="7" t="s">
        <v>287</v>
      </c>
      <c r="I515" s="7" t="n">
        <v>2</v>
      </c>
      <c r="J515" s="7" t="s">
        <v>71</v>
      </c>
      <c r="K515" s="7" t="s">
        <v>288</v>
      </c>
      <c r="L515" s="7" t="n">
        <v>25</v>
      </c>
      <c r="M515" s="10" t="b">
        <f aca="false">FALSE()</f>
        <v>0</v>
      </c>
      <c r="N515" s="7" t="s">
        <v>76</v>
      </c>
      <c r="O515" s="7" t="n">
        <v>-33.967862</v>
      </c>
      <c r="P515" s="7" t="n">
        <v>151.106056</v>
      </c>
    </row>
    <row r="516" customFormat="false" ht="15" hidden="false" customHeight="false" outlineLevel="0" collapsed="false">
      <c r="A516" s="7" t="n">
        <v>515</v>
      </c>
      <c r="B516" s="7"/>
      <c r="C516" s="7" t="s">
        <v>740</v>
      </c>
      <c r="D516" s="7" t="n">
        <v>2795</v>
      </c>
      <c r="E516" s="7" t="s">
        <v>50</v>
      </c>
      <c r="F516" s="10" t="b">
        <f aca="false">FALSE()</f>
        <v>0</v>
      </c>
      <c r="G516" s="7" t="s">
        <v>75</v>
      </c>
      <c r="H516" s="7" t="s">
        <v>239</v>
      </c>
      <c r="I516" s="7" t="n">
        <v>2</v>
      </c>
      <c r="J516" s="7" t="s">
        <v>107</v>
      </c>
      <c r="K516" s="7" t="s">
        <v>108</v>
      </c>
      <c r="L516" s="7" t="n">
        <v>22</v>
      </c>
      <c r="M516" s="10" t="b">
        <f aca="false">FALSE()</f>
        <v>0</v>
      </c>
      <c r="N516" s="7" t="s">
        <v>109</v>
      </c>
      <c r="O516" s="7" t="n">
        <v>-33.39229</v>
      </c>
      <c r="P516" s="7" t="n">
        <v>149.517674</v>
      </c>
    </row>
    <row r="517" customFormat="false" ht="15" hidden="false" customHeight="false" outlineLevel="0" collapsed="false">
      <c r="A517" s="7" t="n">
        <v>516</v>
      </c>
      <c r="B517" s="7"/>
      <c r="C517" s="7" t="s">
        <v>741</v>
      </c>
      <c r="D517" s="7" t="n">
        <v>2340</v>
      </c>
      <c r="E517" s="7" t="s">
        <v>50</v>
      </c>
      <c r="F517" s="10" t="b">
        <f aca="false">FALSE()</f>
        <v>0</v>
      </c>
      <c r="G517" s="7" t="s">
        <v>192</v>
      </c>
      <c r="H517" s="7" t="s">
        <v>237</v>
      </c>
      <c r="I517" s="7" t="n">
        <v>2</v>
      </c>
      <c r="J517" s="7" t="s">
        <v>107</v>
      </c>
      <c r="K517" s="7" t="s">
        <v>108</v>
      </c>
      <c r="L517" s="7" t="n">
        <v>22</v>
      </c>
      <c r="M517" s="10" t="b">
        <f aca="false">FALSE()</f>
        <v>0</v>
      </c>
      <c r="N517" s="7" t="s">
        <v>109</v>
      </c>
      <c r="O517" s="7" t="n">
        <v>-31.098718</v>
      </c>
      <c r="P517" s="7" t="n">
        <v>150.939448</v>
      </c>
    </row>
    <row r="518" customFormat="false" ht="15" hidden="false" customHeight="false" outlineLevel="0" collapsed="false">
      <c r="A518" s="7" t="n">
        <v>517</v>
      </c>
      <c r="B518" s="7"/>
      <c r="C518" s="7" t="s">
        <v>742</v>
      </c>
      <c r="D518" s="7" t="n">
        <v>2325</v>
      </c>
      <c r="E518" s="7" t="s">
        <v>50</v>
      </c>
      <c r="F518" s="10" t="b">
        <f aca="false">FALSE()</f>
        <v>0</v>
      </c>
      <c r="G518" s="7" t="s">
        <v>111</v>
      </c>
      <c r="H518" s="7" t="s">
        <v>239</v>
      </c>
      <c r="I518" s="7" t="n">
        <v>1</v>
      </c>
      <c r="J518" s="7" t="s">
        <v>107</v>
      </c>
      <c r="K518" s="7" t="s">
        <v>277</v>
      </c>
      <c r="L518" s="7" t="n">
        <v>6</v>
      </c>
      <c r="M518" s="10" t="b">
        <f aca="false">FALSE()</f>
        <v>0</v>
      </c>
      <c r="N518" s="7" t="s">
        <v>109</v>
      </c>
      <c r="O518" s="7" t="n">
        <v>-32.830888</v>
      </c>
      <c r="P518" s="7" t="n">
        <v>151.320833</v>
      </c>
    </row>
    <row r="519" customFormat="false" ht="15" hidden="false" customHeight="false" outlineLevel="0" collapsed="false">
      <c r="A519" s="7" t="n">
        <v>518</v>
      </c>
      <c r="B519" s="7"/>
      <c r="C519" s="7" t="s">
        <v>743</v>
      </c>
      <c r="D519" s="7" t="n">
        <v>2150</v>
      </c>
      <c r="E519" s="7" t="s">
        <v>50</v>
      </c>
      <c r="F519" s="10" t="b">
        <f aca="false">FALSE()</f>
        <v>0</v>
      </c>
      <c r="G519" s="7" t="s">
        <v>202</v>
      </c>
      <c r="H519" s="7" t="s">
        <v>358</v>
      </c>
      <c r="I519" s="7" t="n">
        <v>2</v>
      </c>
      <c r="J519" s="7" t="s">
        <v>107</v>
      </c>
      <c r="K519" s="7" t="s">
        <v>696</v>
      </c>
      <c r="L519" s="7" t="n">
        <v>3</v>
      </c>
      <c r="M519" s="10" t="b">
        <f aca="false">FALSE()</f>
        <v>0</v>
      </c>
      <c r="N519" s="7" t="s">
        <v>109</v>
      </c>
      <c r="O519" s="7" t="n">
        <v>-33.814361</v>
      </c>
      <c r="P519" s="7" t="n">
        <v>151.000606</v>
      </c>
    </row>
    <row r="520" customFormat="false" ht="15" hidden="false" customHeight="false" outlineLevel="0" collapsed="false">
      <c r="A520" s="7" t="n">
        <v>519</v>
      </c>
      <c r="B520" s="7"/>
      <c r="C520" s="7" t="s">
        <v>744</v>
      </c>
      <c r="D520" s="7" t="n">
        <v>2142</v>
      </c>
      <c r="E520" s="7" t="s">
        <v>50</v>
      </c>
      <c r="F520" s="10" t="b">
        <f aca="false">FALSE()</f>
        <v>0</v>
      </c>
      <c r="G520" s="7" t="s">
        <v>202</v>
      </c>
      <c r="H520" s="7" t="s">
        <v>358</v>
      </c>
      <c r="I520" s="7" t="n">
        <v>1</v>
      </c>
      <c r="J520" s="7" t="s">
        <v>107</v>
      </c>
      <c r="K520" s="7" t="s">
        <v>696</v>
      </c>
      <c r="L520" s="7" t="n">
        <v>3</v>
      </c>
      <c r="M520" s="10" t="b">
        <f aca="false">FALSE()</f>
        <v>0</v>
      </c>
      <c r="N520" s="7" t="s">
        <v>109</v>
      </c>
      <c r="O520" s="7" t="n">
        <v>-33.825575</v>
      </c>
      <c r="P520" s="7" t="n">
        <v>151.005106</v>
      </c>
    </row>
    <row r="521" customFormat="false" ht="15" hidden="false" customHeight="false" outlineLevel="0" collapsed="false">
      <c r="A521" s="7" t="n">
        <v>520</v>
      </c>
      <c r="B521" s="7"/>
      <c r="C521" s="7" t="s">
        <v>745</v>
      </c>
      <c r="D521" s="7" t="n">
        <v>2261</v>
      </c>
      <c r="E521" s="7" t="s">
        <v>50</v>
      </c>
      <c r="F521" s="10" t="b">
        <f aca="false">FALSE()</f>
        <v>0</v>
      </c>
      <c r="G521" s="7" t="s">
        <v>276</v>
      </c>
      <c r="H521" s="7" t="s">
        <v>239</v>
      </c>
      <c r="I521" s="7" t="n">
        <v>1</v>
      </c>
      <c r="J521" s="7" t="s">
        <v>107</v>
      </c>
      <c r="K521" s="7" t="s">
        <v>108</v>
      </c>
      <c r="L521" s="7" t="n">
        <v>22</v>
      </c>
      <c r="M521" s="10" t="b">
        <f aca="false">FALSE()</f>
        <v>0</v>
      </c>
      <c r="N521" s="7" t="s">
        <v>109</v>
      </c>
      <c r="O521" s="7" t="n">
        <v>-33.352469</v>
      </c>
      <c r="P521" s="7" t="n">
        <v>151.488968</v>
      </c>
    </row>
    <row r="522" customFormat="false" ht="15" hidden="false" customHeight="false" outlineLevel="0" collapsed="false">
      <c r="A522" s="7" t="n">
        <v>521</v>
      </c>
      <c r="B522" s="7"/>
      <c r="C522" s="7" t="s">
        <v>746</v>
      </c>
      <c r="D522" s="7" t="n">
        <v>2116</v>
      </c>
      <c r="E522" s="7" t="s">
        <v>50</v>
      </c>
      <c r="F522" s="10" t="b">
        <f aca="false">FALSE()</f>
        <v>0</v>
      </c>
      <c r="G522" s="7" t="s">
        <v>202</v>
      </c>
      <c r="H522" s="7" t="s">
        <v>260</v>
      </c>
      <c r="I522" s="7" t="n">
        <v>2</v>
      </c>
      <c r="J522" s="7" t="s">
        <v>71</v>
      </c>
      <c r="K522" s="7" t="s">
        <v>438</v>
      </c>
      <c r="L522" s="7" t="n">
        <v>120</v>
      </c>
      <c r="M522" s="10" t="b">
        <f aca="false">FALSE()</f>
        <v>0</v>
      </c>
      <c r="N522" s="7" t="s">
        <v>76</v>
      </c>
      <c r="O522" s="7" t="n">
        <v>-33.81024</v>
      </c>
      <c r="P522" s="7" t="n">
        <v>151.03424</v>
      </c>
    </row>
    <row r="523" customFormat="false" ht="15" hidden="false" customHeight="false" outlineLevel="0" collapsed="false">
      <c r="A523" s="7" t="n">
        <v>522</v>
      </c>
      <c r="B523" s="7"/>
      <c r="C523" s="7" t="s">
        <v>747</v>
      </c>
      <c r="D523" s="7" t="n">
        <v>2010</v>
      </c>
      <c r="E523" s="7" t="s">
        <v>50</v>
      </c>
      <c r="F523" s="10" t="b">
        <f aca="false">FALSE()</f>
        <v>0</v>
      </c>
      <c r="G523" s="7" t="s">
        <v>182</v>
      </c>
      <c r="H523" s="7" t="s">
        <v>302</v>
      </c>
      <c r="I523" s="7" t="n">
        <v>2</v>
      </c>
      <c r="J523" s="7" t="s">
        <v>107</v>
      </c>
      <c r="K523" s="7" t="s">
        <v>108</v>
      </c>
      <c r="L523" s="7" t="n">
        <v>22</v>
      </c>
      <c r="M523" s="10" t="b">
        <f aca="false">FALSE()</f>
        <v>0</v>
      </c>
      <c r="N523" s="7" t="s">
        <v>109</v>
      </c>
      <c r="O523" s="7" t="n">
        <v>-33.874948</v>
      </c>
      <c r="P523" s="7" t="n">
        <v>151.214184</v>
      </c>
    </row>
    <row r="524" customFormat="false" ht="15" hidden="false" customHeight="false" outlineLevel="0" collapsed="false">
      <c r="A524" s="7" t="n">
        <v>523</v>
      </c>
      <c r="B524" s="7"/>
      <c r="C524" s="7" t="s">
        <v>748</v>
      </c>
      <c r="D524" s="7" t="n">
        <v>2148</v>
      </c>
      <c r="E524" s="7" t="s">
        <v>50</v>
      </c>
      <c r="F524" s="10" t="b">
        <f aca="false">FALSE()</f>
        <v>0</v>
      </c>
      <c r="G524" s="7" t="s">
        <v>232</v>
      </c>
      <c r="H524" s="7" t="s">
        <v>239</v>
      </c>
      <c r="I524" s="7" t="n">
        <v>1</v>
      </c>
      <c r="J524" s="7" t="s">
        <v>107</v>
      </c>
      <c r="K524" s="7" t="s">
        <v>108</v>
      </c>
      <c r="L524" s="7" t="n">
        <v>22</v>
      </c>
      <c r="M524" s="10" t="b">
        <f aca="false">FALSE()</f>
        <v>0</v>
      </c>
      <c r="N524" s="7" t="s">
        <v>109</v>
      </c>
      <c r="O524" s="7" t="n">
        <v>-33.806295</v>
      </c>
      <c r="P524" s="7" t="n">
        <v>150.902934</v>
      </c>
    </row>
    <row r="525" customFormat="false" ht="15" hidden="false" customHeight="false" outlineLevel="0" collapsed="false">
      <c r="A525" s="7" t="n">
        <v>524</v>
      </c>
      <c r="B525" s="7"/>
      <c r="C525" s="7" t="s">
        <v>749</v>
      </c>
      <c r="D525" s="7" t="n">
        <v>2026</v>
      </c>
      <c r="E525" s="7" t="s">
        <v>50</v>
      </c>
      <c r="F525" s="10" t="b">
        <f aca="false">FALSE()</f>
        <v>0</v>
      </c>
      <c r="G525" s="7" t="s">
        <v>295</v>
      </c>
      <c r="H525" s="7" t="s">
        <v>302</v>
      </c>
      <c r="I525" s="7" t="n">
        <v>2</v>
      </c>
      <c r="J525" s="7" t="s">
        <v>107</v>
      </c>
      <c r="K525" s="7" t="s">
        <v>108</v>
      </c>
      <c r="L525" s="7" t="n">
        <v>22</v>
      </c>
      <c r="M525" s="10" t="b">
        <f aca="false">FALSE()</f>
        <v>0</v>
      </c>
      <c r="N525" s="7" t="s">
        <v>109</v>
      </c>
      <c r="O525" s="7" t="n">
        <v>-33.885563</v>
      </c>
      <c r="P525" s="7" t="n">
        <v>151.284044</v>
      </c>
    </row>
    <row r="526" customFormat="false" ht="15" hidden="false" customHeight="false" outlineLevel="0" collapsed="false">
      <c r="A526" s="7" t="n">
        <v>525</v>
      </c>
      <c r="B526" s="7"/>
      <c r="C526" s="7" t="s">
        <v>750</v>
      </c>
      <c r="D526" s="7" t="n">
        <v>2652</v>
      </c>
      <c r="E526" s="7" t="s">
        <v>50</v>
      </c>
      <c r="F526" s="10" t="b">
        <f aca="false">FALSE()</f>
        <v>0</v>
      </c>
      <c r="G526" s="7" t="s">
        <v>147</v>
      </c>
      <c r="H526" s="7" t="s">
        <v>244</v>
      </c>
      <c r="I526" s="7" t="n">
        <v>4</v>
      </c>
      <c r="J526" s="7" t="s">
        <v>71</v>
      </c>
      <c r="K526" s="7" t="s">
        <v>378</v>
      </c>
      <c r="L526" s="7" t="n">
        <v>350</v>
      </c>
      <c r="M526" s="10" t="b">
        <f aca="false">FALSE()</f>
        <v>0</v>
      </c>
      <c r="N526" s="7" t="s">
        <v>76</v>
      </c>
      <c r="O526" s="7" t="n">
        <v>-35.277151</v>
      </c>
      <c r="P526" s="7" t="n">
        <v>147.736088</v>
      </c>
    </row>
    <row r="527" customFormat="false" ht="15" hidden="false" customHeight="false" outlineLevel="0" collapsed="false">
      <c r="A527" s="7" t="n">
        <v>526</v>
      </c>
      <c r="B527" s="7"/>
      <c r="C527" s="7" t="s">
        <v>751</v>
      </c>
      <c r="D527" s="7" t="n">
        <v>2541</v>
      </c>
      <c r="E527" s="7" t="s">
        <v>50</v>
      </c>
      <c r="F527" s="10" t="b">
        <f aca="false">FALSE()</f>
        <v>0</v>
      </c>
      <c r="G527" s="7" t="s">
        <v>92</v>
      </c>
      <c r="H527" s="7" t="s">
        <v>237</v>
      </c>
      <c r="I527" s="7" t="n">
        <v>4</v>
      </c>
      <c r="J527" s="7" t="s">
        <v>71</v>
      </c>
      <c r="K527" s="7" t="s">
        <v>407</v>
      </c>
      <c r="L527" s="7" t="n">
        <v>47</v>
      </c>
      <c r="M527" s="10" t="b">
        <f aca="false">FALSE()</f>
        <v>0</v>
      </c>
      <c r="N527" s="7" t="s">
        <v>76</v>
      </c>
      <c r="O527" s="7" t="n">
        <v>-34.843569</v>
      </c>
      <c r="P527" s="7" t="n">
        <v>150.595537</v>
      </c>
    </row>
    <row r="528" customFormat="false" ht="15" hidden="false" customHeight="false" outlineLevel="0" collapsed="false">
      <c r="A528" s="7" t="n">
        <v>527</v>
      </c>
      <c r="B528" s="7"/>
      <c r="C528" s="7" t="s">
        <v>752</v>
      </c>
      <c r="D528" s="7" t="n">
        <v>2161</v>
      </c>
      <c r="E528" s="7" t="s">
        <v>50</v>
      </c>
      <c r="F528" s="10" t="b">
        <f aca="false">FALSE()</f>
        <v>0</v>
      </c>
      <c r="G528" s="7" t="s">
        <v>554</v>
      </c>
      <c r="H528" s="7" t="s">
        <v>244</v>
      </c>
      <c r="I528" s="7" t="n">
        <v>4</v>
      </c>
      <c r="J528" s="7" t="s">
        <v>71</v>
      </c>
      <c r="K528" s="7" t="s">
        <v>72</v>
      </c>
      <c r="L528" s="7" t="n">
        <v>50</v>
      </c>
      <c r="M528" s="10" t="b">
        <f aca="false">FALSE()</f>
        <v>0</v>
      </c>
      <c r="N528" s="7" t="s">
        <v>268</v>
      </c>
      <c r="O528" s="7" t="n">
        <v>-33.852103</v>
      </c>
      <c r="P528" s="7" t="n">
        <v>150.995584</v>
      </c>
    </row>
    <row r="529" customFormat="false" ht="15" hidden="false" customHeight="false" outlineLevel="0" collapsed="false">
      <c r="A529" s="7" t="n">
        <v>528</v>
      </c>
      <c r="B529" s="7"/>
      <c r="C529" s="7" t="s">
        <v>753</v>
      </c>
      <c r="D529" s="7" t="n">
        <v>2729</v>
      </c>
      <c r="E529" s="7" t="s">
        <v>50</v>
      </c>
      <c r="F529" s="10" t="b">
        <f aca="false">FALSE()</f>
        <v>0</v>
      </c>
      <c r="G529" s="7" t="s">
        <v>454</v>
      </c>
      <c r="H529" s="7" t="s">
        <v>239</v>
      </c>
      <c r="I529" s="7" t="n">
        <v>2</v>
      </c>
      <c r="J529" s="7" t="s">
        <v>107</v>
      </c>
      <c r="K529" s="7" t="s">
        <v>108</v>
      </c>
      <c r="L529" s="7" t="n">
        <v>22</v>
      </c>
      <c r="M529" s="10" t="b">
        <f aca="false">FALSE()</f>
        <v>0</v>
      </c>
      <c r="N529" s="7" t="s">
        <v>109</v>
      </c>
      <c r="O529" s="7" t="n">
        <v>-35.197012</v>
      </c>
      <c r="P529" s="7" t="n">
        <v>147.821999</v>
      </c>
    </row>
    <row r="530" customFormat="false" ht="15" hidden="false" customHeight="false" outlineLevel="0" collapsed="false">
      <c r="A530" s="7" t="n">
        <v>529</v>
      </c>
      <c r="B530" s="7"/>
      <c r="C530" s="7" t="s">
        <v>754</v>
      </c>
      <c r="D530" s="7" t="n">
        <v>2285</v>
      </c>
      <c r="E530" s="7" t="s">
        <v>50</v>
      </c>
      <c r="F530" s="10" t="b">
        <f aca="false">FALSE()</f>
        <v>0</v>
      </c>
      <c r="G530" s="7" t="s">
        <v>377</v>
      </c>
      <c r="H530" s="7" t="s">
        <v>233</v>
      </c>
      <c r="I530" s="7" t="n">
        <v>4</v>
      </c>
      <c r="J530" s="7" t="s">
        <v>71</v>
      </c>
      <c r="K530" s="7" t="s">
        <v>234</v>
      </c>
      <c r="L530" s="7" t="n">
        <v>150</v>
      </c>
      <c r="M530" s="10" t="b">
        <f aca="false">FALSE()</f>
        <v>0</v>
      </c>
      <c r="N530" s="7" t="s">
        <v>76</v>
      </c>
      <c r="O530" s="7" t="n">
        <v>-32.93783</v>
      </c>
      <c r="P530" s="7" t="n">
        <v>151.656737</v>
      </c>
    </row>
    <row r="531" customFormat="false" ht="15" hidden="false" customHeight="false" outlineLevel="0" collapsed="false">
      <c r="A531" s="7" t="n">
        <v>530</v>
      </c>
      <c r="B531" s="7"/>
      <c r="C531" s="7" t="s">
        <v>755</v>
      </c>
      <c r="D531" s="7" t="n">
        <v>2850</v>
      </c>
      <c r="E531" s="7" t="s">
        <v>50</v>
      </c>
      <c r="F531" s="10" t="b">
        <f aca="false">FALSE()</f>
        <v>0</v>
      </c>
      <c r="G531" s="7" t="s">
        <v>199</v>
      </c>
      <c r="H531" s="7" t="s">
        <v>239</v>
      </c>
      <c r="I531" s="7" t="n">
        <v>2</v>
      </c>
      <c r="J531" s="7" t="s">
        <v>107</v>
      </c>
      <c r="K531" s="7" t="s">
        <v>108</v>
      </c>
      <c r="L531" s="7" t="n">
        <v>22</v>
      </c>
      <c r="M531" s="10" t="b">
        <f aca="false">FALSE()</f>
        <v>0</v>
      </c>
      <c r="N531" s="7" t="s">
        <v>109</v>
      </c>
      <c r="O531" s="7" t="n">
        <v>-32.535941</v>
      </c>
      <c r="P531" s="7" t="n">
        <v>149.584216</v>
      </c>
    </row>
    <row r="532" customFormat="false" ht="15" hidden="false" customHeight="false" outlineLevel="0" collapsed="false">
      <c r="A532" s="7" t="n">
        <v>531</v>
      </c>
      <c r="B532" s="7"/>
      <c r="C532" s="7" t="s">
        <v>756</v>
      </c>
      <c r="D532" s="7" t="n">
        <v>2044</v>
      </c>
      <c r="E532" s="7" t="s">
        <v>50</v>
      </c>
      <c r="F532" s="10" t="b">
        <f aca="false">FALSE()</f>
        <v>0</v>
      </c>
      <c r="G532" s="7" t="s">
        <v>410</v>
      </c>
      <c r="H532" s="7" t="s">
        <v>233</v>
      </c>
      <c r="I532" s="7" t="n">
        <v>2</v>
      </c>
      <c r="J532" s="7" t="s">
        <v>71</v>
      </c>
      <c r="K532" s="7" t="s">
        <v>83</v>
      </c>
      <c r="L532" s="7" t="n">
        <v>75</v>
      </c>
      <c r="M532" s="10" t="b">
        <f aca="false">FALSE()</f>
        <v>0</v>
      </c>
      <c r="N532" s="7" t="s">
        <v>76</v>
      </c>
      <c r="O532" s="7" t="n">
        <v>-33.916115</v>
      </c>
      <c r="P532" s="7" t="n">
        <v>151.172894</v>
      </c>
    </row>
    <row r="533" customFormat="false" ht="15" hidden="false" customHeight="false" outlineLevel="0" collapsed="false">
      <c r="A533" s="7" t="n">
        <v>532</v>
      </c>
      <c r="B533" s="7"/>
      <c r="C533" s="7" t="s">
        <v>757</v>
      </c>
      <c r="D533" s="7" t="n">
        <v>2028</v>
      </c>
      <c r="E533" s="7" t="s">
        <v>50</v>
      </c>
      <c r="F533" s="10" t="b">
        <f aca="false">FALSE()</f>
        <v>0</v>
      </c>
      <c r="G533" s="7" t="s">
        <v>272</v>
      </c>
      <c r="H533" s="7" t="s">
        <v>758</v>
      </c>
      <c r="I533" s="7" t="n">
        <v>2</v>
      </c>
      <c r="J533" s="7" t="s">
        <v>107</v>
      </c>
      <c r="K533" s="7" t="s">
        <v>485</v>
      </c>
      <c r="L533" s="7" t="n">
        <v>11</v>
      </c>
      <c r="M533" s="10" t="b">
        <f aca="false">FALSE()</f>
        <v>0</v>
      </c>
      <c r="N533" s="7" t="s">
        <v>109</v>
      </c>
      <c r="O533" s="7" t="n">
        <v>-33.87601</v>
      </c>
      <c r="P533" s="7" t="n">
        <v>151.24327</v>
      </c>
    </row>
    <row r="534" customFormat="false" ht="15" hidden="false" customHeight="false" outlineLevel="0" collapsed="false">
      <c r="A534" s="7" t="n">
        <v>533</v>
      </c>
      <c r="B534" s="7"/>
      <c r="C534" s="7" t="s">
        <v>759</v>
      </c>
      <c r="D534" s="7" t="n">
        <v>2298</v>
      </c>
      <c r="E534" s="7" t="s">
        <v>50</v>
      </c>
      <c r="F534" s="10" t="b">
        <f aca="false">FALSE()</f>
        <v>0</v>
      </c>
      <c r="G534" s="7" t="s">
        <v>141</v>
      </c>
      <c r="H534" s="7" t="s">
        <v>237</v>
      </c>
      <c r="I534" s="7" t="n">
        <v>2</v>
      </c>
      <c r="J534" s="7" t="s">
        <v>71</v>
      </c>
      <c r="K534" s="7" t="s">
        <v>190</v>
      </c>
      <c r="L534" s="7" t="n">
        <v>60</v>
      </c>
      <c r="M534" s="10" t="b">
        <f aca="false">FALSE()</f>
        <v>0</v>
      </c>
      <c r="N534" s="7" t="s">
        <v>76</v>
      </c>
      <c r="O534" s="7" t="n">
        <v>-32.908704</v>
      </c>
      <c r="P534" s="7" t="n">
        <v>151.730465</v>
      </c>
    </row>
    <row r="535" customFormat="false" ht="15" hidden="false" customHeight="false" outlineLevel="0" collapsed="false">
      <c r="A535" s="7" t="n">
        <v>534</v>
      </c>
      <c r="B535" s="7"/>
      <c r="C535" s="7" t="s">
        <v>760</v>
      </c>
      <c r="D535" s="7" t="n">
        <v>2290</v>
      </c>
      <c r="E535" s="7" t="s">
        <v>50</v>
      </c>
      <c r="F535" s="10" t="b">
        <f aca="false">FALSE()</f>
        <v>0</v>
      </c>
      <c r="G535" s="7" t="s">
        <v>377</v>
      </c>
      <c r="H535" s="7" t="s">
        <v>260</v>
      </c>
      <c r="I535" s="7" t="n">
        <v>1</v>
      </c>
      <c r="J535" s="7" t="s">
        <v>107</v>
      </c>
      <c r="K535" s="7" t="s">
        <v>108</v>
      </c>
      <c r="L535" s="7" t="n">
        <v>22</v>
      </c>
      <c r="M535" s="10" t="b">
        <f aca="false">FALSE()</f>
        <v>0</v>
      </c>
      <c r="N535" s="7" t="s">
        <v>109</v>
      </c>
      <c r="O535" s="7" t="n">
        <v>-32.965476</v>
      </c>
      <c r="P535" s="7" t="n">
        <v>151.696171</v>
      </c>
    </row>
    <row r="536" customFormat="false" ht="15" hidden="false" customHeight="false" outlineLevel="0" collapsed="false">
      <c r="A536" s="7" t="n">
        <v>535</v>
      </c>
      <c r="B536" s="7"/>
      <c r="C536" s="7" t="s">
        <v>761</v>
      </c>
      <c r="D536" s="7" t="n">
        <v>2036</v>
      </c>
      <c r="E536" s="7" t="s">
        <v>50</v>
      </c>
      <c r="F536" s="10" t="b">
        <f aca="false">FALSE()</f>
        <v>0</v>
      </c>
      <c r="G536" s="7" t="s">
        <v>380</v>
      </c>
      <c r="H536" s="7" t="s">
        <v>260</v>
      </c>
      <c r="I536" s="7" t="n">
        <v>1</v>
      </c>
      <c r="J536" s="7" t="s">
        <v>107</v>
      </c>
      <c r="K536" s="7" t="s">
        <v>108</v>
      </c>
      <c r="L536" s="7" t="n">
        <v>22</v>
      </c>
      <c r="M536" s="10" t="b">
        <f aca="false">FALSE()</f>
        <v>0</v>
      </c>
      <c r="N536" s="7" t="s">
        <v>109</v>
      </c>
      <c r="O536" s="7" t="n">
        <v>-33.948564</v>
      </c>
      <c r="P536" s="7" t="n">
        <v>151.225322</v>
      </c>
    </row>
    <row r="537" customFormat="false" ht="15" hidden="false" customHeight="false" outlineLevel="0" collapsed="false">
      <c r="A537" s="7" t="n">
        <v>536</v>
      </c>
      <c r="B537" s="7"/>
      <c r="C537" s="7" t="s">
        <v>762</v>
      </c>
      <c r="D537" s="7" t="n">
        <v>2120</v>
      </c>
      <c r="E537" s="7" t="s">
        <v>50</v>
      </c>
      <c r="F537" s="10" t="b">
        <f aca="false">FALSE()</f>
        <v>0</v>
      </c>
      <c r="G537" s="7" t="s">
        <v>340</v>
      </c>
      <c r="H537" s="7" t="s">
        <v>244</v>
      </c>
      <c r="I537" s="7" t="n">
        <v>2</v>
      </c>
      <c r="J537" s="7" t="s">
        <v>71</v>
      </c>
      <c r="K537" s="7" t="s">
        <v>72</v>
      </c>
      <c r="L537" s="7" t="n">
        <v>50</v>
      </c>
      <c r="M537" s="10" t="b">
        <f aca="false">FALSE()</f>
        <v>0</v>
      </c>
      <c r="N537" s="7" t="s">
        <v>268</v>
      </c>
      <c r="O537" s="7" t="n">
        <v>-33.736621</v>
      </c>
      <c r="P537" s="7" t="n">
        <v>151.074339</v>
      </c>
    </row>
    <row r="538" customFormat="false" ht="15" hidden="false" customHeight="false" outlineLevel="0" collapsed="false">
      <c r="A538" s="7" t="n">
        <v>537</v>
      </c>
      <c r="B538" s="7"/>
      <c r="C538" s="7" t="s">
        <v>763</v>
      </c>
      <c r="D538" s="7" t="n">
        <v>2320</v>
      </c>
      <c r="E538" s="7" t="s">
        <v>50</v>
      </c>
      <c r="F538" s="10" t="b">
        <f aca="false">FALSE()</f>
        <v>0</v>
      </c>
      <c r="G538" s="7" t="s">
        <v>111</v>
      </c>
      <c r="H538" s="7" t="s">
        <v>239</v>
      </c>
      <c r="I538" s="7" t="n">
        <v>2</v>
      </c>
      <c r="J538" s="7" t="s">
        <v>107</v>
      </c>
      <c r="K538" s="7" t="s">
        <v>277</v>
      </c>
      <c r="L538" s="7" t="n">
        <v>6</v>
      </c>
      <c r="M538" s="10" t="b">
        <f aca="false">FALSE()</f>
        <v>0</v>
      </c>
      <c r="N538" s="7" t="s">
        <v>109</v>
      </c>
      <c r="O538" s="7" t="n">
        <v>-32.808812</v>
      </c>
      <c r="P538" s="7" t="n">
        <v>151.306416</v>
      </c>
    </row>
    <row r="539" customFormat="false" ht="15" hidden="false" customHeight="false" outlineLevel="0" collapsed="false">
      <c r="A539" s="7" t="n">
        <v>538</v>
      </c>
      <c r="B539" s="7"/>
      <c r="C539" s="7" t="s">
        <v>764</v>
      </c>
      <c r="D539" s="7" t="n">
        <v>2020</v>
      </c>
      <c r="E539" s="7" t="s">
        <v>50</v>
      </c>
      <c r="F539" s="10" t="b">
        <f aca="false">FALSE()</f>
        <v>0</v>
      </c>
      <c r="G539" s="7" t="s">
        <v>380</v>
      </c>
      <c r="H539" s="7" t="s">
        <v>239</v>
      </c>
      <c r="I539" s="7" t="n">
        <v>2</v>
      </c>
      <c r="J539" s="7" t="s">
        <v>107</v>
      </c>
      <c r="K539" s="7" t="s">
        <v>108</v>
      </c>
      <c r="L539" s="7" t="n">
        <v>22</v>
      </c>
      <c r="M539" s="10" t="b">
        <f aca="false">FALSE()</f>
        <v>0</v>
      </c>
      <c r="N539" s="7" t="s">
        <v>109</v>
      </c>
      <c r="O539" s="7" t="n">
        <v>-33.928476</v>
      </c>
      <c r="P539" s="7" t="n">
        <v>151.186268</v>
      </c>
    </row>
    <row r="540" customFormat="false" ht="15" hidden="false" customHeight="false" outlineLevel="0" collapsed="false">
      <c r="A540" s="7" t="n">
        <v>539</v>
      </c>
      <c r="B540" s="7"/>
      <c r="C540" s="7" t="s">
        <v>765</v>
      </c>
      <c r="D540" s="7" t="n">
        <v>2400</v>
      </c>
      <c r="E540" s="7" t="s">
        <v>50</v>
      </c>
      <c r="F540" s="10" t="b">
        <f aca="false">FALSE()</f>
        <v>0</v>
      </c>
      <c r="G540" s="7" t="s">
        <v>115</v>
      </c>
      <c r="H540" s="7" t="s">
        <v>239</v>
      </c>
      <c r="I540" s="7" t="n">
        <v>1</v>
      </c>
      <c r="J540" s="7" t="s">
        <v>107</v>
      </c>
      <c r="K540" s="7" t="s">
        <v>254</v>
      </c>
      <c r="L540" s="7" t="n">
        <v>8</v>
      </c>
      <c r="M540" s="10" t="b">
        <f aca="false">FALSE()</f>
        <v>0</v>
      </c>
      <c r="N540" s="7" t="s">
        <v>109</v>
      </c>
      <c r="O540" s="7" t="n">
        <v>-29.475303</v>
      </c>
      <c r="P540" s="7" t="n">
        <v>149.84564</v>
      </c>
    </row>
    <row r="541" customFormat="false" ht="15" hidden="false" customHeight="false" outlineLevel="0" collapsed="false">
      <c r="A541" s="7" t="n">
        <v>540</v>
      </c>
      <c r="B541" s="7"/>
      <c r="C541" s="7" t="s">
        <v>766</v>
      </c>
      <c r="D541" s="7" t="n">
        <v>2722</v>
      </c>
      <c r="E541" s="7" t="s">
        <v>50</v>
      </c>
      <c r="F541" s="10" t="b">
        <f aca="false">FALSE()</f>
        <v>0</v>
      </c>
      <c r="G541" s="7" t="s">
        <v>454</v>
      </c>
      <c r="H541" s="7" t="s">
        <v>239</v>
      </c>
      <c r="I541" s="7" t="n">
        <v>12</v>
      </c>
      <c r="J541" s="7" t="s">
        <v>71</v>
      </c>
      <c r="K541" s="7" t="s">
        <v>242</v>
      </c>
      <c r="L541" s="7" t="n">
        <v>130</v>
      </c>
      <c r="M541" s="10" t="b">
        <f aca="false">FALSE()</f>
        <v>0</v>
      </c>
      <c r="N541" s="7" t="s">
        <v>76</v>
      </c>
      <c r="O541" s="7" t="n">
        <v>-35.002121</v>
      </c>
      <c r="P541" s="7" t="n">
        <v>148.109855</v>
      </c>
    </row>
    <row r="542" customFormat="false" ht="15" hidden="false" customHeight="false" outlineLevel="0" collapsed="false">
      <c r="A542" s="7" t="n">
        <v>541</v>
      </c>
      <c r="B542" s="7"/>
      <c r="C542" s="7" t="s">
        <v>767</v>
      </c>
      <c r="D542" s="7" t="n">
        <v>2780</v>
      </c>
      <c r="E542" s="7" t="s">
        <v>50</v>
      </c>
      <c r="F542" s="10" t="b">
        <f aca="false">FALSE()</f>
        <v>0</v>
      </c>
      <c r="G542" s="7" t="s">
        <v>306</v>
      </c>
      <c r="H542" s="7" t="s">
        <v>252</v>
      </c>
      <c r="I542" s="7" t="n">
        <v>2</v>
      </c>
      <c r="J542" s="7" t="s">
        <v>107</v>
      </c>
      <c r="K542" s="7" t="s">
        <v>108</v>
      </c>
      <c r="L542" s="7" t="n">
        <v>22</v>
      </c>
      <c r="M542" s="10" t="b">
        <f aca="false">FALSE()</f>
        <v>0</v>
      </c>
      <c r="N542" s="7" t="s">
        <v>109</v>
      </c>
      <c r="O542" s="7" t="n">
        <v>-33.730812</v>
      </c>
      <c r="P542" s="7" t="n">
        <v>150.312221</v>
      </c>
    </row>
    <row r="543" customFormat="false" ht="15" hidden="false" customHeight="false" outlineLevel="0" collapsed="false">
      <c r="A543" s="7" t="n">
        <v>542</v>
      </c>
      <c r="B543" s="7"/>
      <c r="C543" s="7" t="s">
        <v>768</v>
      </c>
      <c r="D543" s="7" t="n">
        <v>2582</v>
      </c>
      <c r="E543" s="7" t="s">
        <v>50</v>
      </c>
      <c r="F543" s="10" t="b">
        <f aca="false">FALSE()</f>
        <v>0</v>
      </c>
      <c r="G543" s="7" t="s">
        <v>153</v>
      </c>
      <c r="H543" s="7" t="s">
        <v>239</v>
      </c>
      <c r="I543" s="7" t="n">
        <v>2</v>
      </c>
      <c r="J543" s="7" t="s">
        <v>107</v>
      </c>
      <c r="K543" s="7" t="s">
        <v>108</v>
      </c>
      <c r="L543" s="7" t="n">
        <v>22</v>
      </c>
      <c r="M543" s="10" t="b">
        <f aca="false">FALSE()</f>
        <v>0</v>
      </c>
      <c r="N543" s="7" t="s">
        <v>109</v>
      </c>
      <c r="O543" s="7" t="n">
        <v>-34.977848</v>
      </c>
      <c r="P543" s="7" t="n">
        <v>149.007929</v>
      </c>
    </row>
    <row r="544" customFormat="false" ht="15" hidden="false" customHeight="false" outlineLevel="0" collapsed="false">
      <c r="A544" s="7" t="n">
        <v>543</v>
      </c>
      <c r="B544" s="7"/>
      <c r="C544" s="7" t="s">
        <v>769</v>
      </c>
      <c r="D544" s="7" t="n">
        <v>2024</v>
      </c>
      <c r="E544" s="7" t="s">
        <v>50</v>
      </c>
      <c r="F544" s="10" t="b">
        <f aca="false">FALSE()</f>
        <v>0</v>
      </c>
      <c r="G544" s="7" t="s">
        <v>295</v>
      </c>
      <c r="H544" s="7" t="s">
        <v>260</v>
      </c>
      <c r="I544" s="7" t="n">
        <v>1</v>
      </c>
      <c r="J544" s="7" t="s">
        <v>107</v>
      </c>
      <c r="K544" s="7" t="s">
        <v>108</v>
      </c>
      <c r="L544" s="7" t="n">
        <v>22</v>
      </c>
      <c r="M544" s="10" t="b">
        <f aca="false">FALSE()</f>
        <v>0</v>
      </c>
      <c r="N544" s="7" t="s">
        <v>109</v>
      </c>
      <c r="O544" s="7" t="n">
        <v>-33.905402</v>
      </c>
      <c r="P544" s="7" t="n">
        <v>151.257962</v>
      </c>
    </row>
    <row r="545" customFormat="false" ht="15" hidden="false" customHeight="false" outlineLevel="0" collapsed="false">
      <c r="A545" s="7" t="n">
        <v>544</v>
      </c>
      <c r="B545" s="7"/>
      <c r="C545" s="7" t="s">
        <v>770</v>
      </c>
      <c r="D545" s="7" t="n">
        <v>2018</v>
      </c>
      <c r="E545" s="7" t="s">
        <v>50</v>
      </c>
      <c r="F545" s="10" t="b">
        <f aca="false">FALSE()</f>
        <v>0</v>
      </c>
      <c r="G545" s="7" t="s">
        <v>182</v>
      </c>
      <c r="H545" s="7" t="s">
        <v>302</v>
      </c>
      <c r="I545" s="7" t="n">
        <v>2</v>
      </c>
      <c r="J545" s="7" t="s">
        <v>107</v>
      </c>
      <c r="K545" s="7" t="s">
        <v>108</v>
      </c>
      <c r="L545" s="7" t="n">
        <v>22</v>
      </c>
      <c r="M545" s="10" t="b">
        <f aca="false">FALSE()</f>
        <v>0</v>
      </c>
      <c r="N545" s="7" t="s">
        <v>109</v>
      </c>
      <c r="O545" s="7" t="n">
        <v>-33.915981</v>
      </c>
      <c r="P545" s="7" t="n">
        <v>151.203186</v>
      </c>
    </row>
    <row r="546" customFormat="false" ht="15" hidden="false" customHeight="false" outlineLevel="0" collapsed="false">
      <c r="A546" s="7" t="n">
        <v>545</v>
      </c>
      <c r="B546" s="7"/>
      <c r="C546" s="7" t="s">
        <v>771</v>
      </c>
      <c r="D546" s="7" t="n">
        <v>2380</v>
      </c>
      <c r="E546" s="7" t="s">
        <v>50</v>
      </c>
      <c r="F546" s="10" t="b">
        <f aca="false">FALSE()</f>
        <v>0</v>
      </c>
      <c r="G546" s="7" t="s">
        <v>149</v>
      </c>
      <c r="H546" s="7" t="s">
        <v>239</v>
      </c>
      <c r="I546" s="7" t="n">
        <v>2</v>
      </c>
      <c r="J546" s="7" t="s">
        <v>107</v>
      </c>
      <c r="K546" s="7" t="s">
        <v>588</v>
      </c>
      <c r="L546" s="7" t="n">
        <v>17</v>
      </c>
      <c r="M546" s="10" t="b">
        <f aca="false">FALSE()</f>
        <v>0</v>
      </c>
      <c r="N546" s="7" t="s">
        <v>109</v>
      </c>
      <c r="O546" s="7" t="n">
        <v>-30.980048</v>
      </c>
      <c r="P546" s="7" t="n">
        <v>150.25766</v>
      </c>
    </row>
    <row r="547" customFormat="false" ht="15" hidden="false" customHeight="false" outlineLevel="0" collapsed="false">
      <c r="A547" s="7" t="n">
        <v>546</v>
      </c>
      <c r="B547" s="7"/>
      <c r="C547" s="7" t="s">
        <v>772</v>
      </c>
      <c r="D547" s="7" t="n">
        <v>2530</v>
      </c>
      <c r="E547" s="7" t="s">
        <v>50</v>
      </c>
      <c r="F547" s="10" t="b">
        <f aca="false">FALSE()</f>
        <v>0</v>
      </c>
      <c r="G547" s="7" t="s">
        <v>102</v>
      </c>
      <c r="H547" s="7" t="s">
        <v>330</v>
      </c>
      <c r="I547" s="7" t="n">
        <v>2</v>
      </c>
      <c r="J547" s="7" t="s">
        <v>71</v>
      </c>
      <c r="K547" s="7" t="s">
        <v>213</v>
      </c>
      <c r="L547" s="7" t="n">
        <v>125</v>
      </c>
      <c r="M547" s="10" t="b">
        <f aca="false">FALSE()</f>
        <v>0</v>
      </c>
      <c r="N547" s="7" t="s">
        <v>268</v>
      </c>
      <c r="O547" s="7" t="n">
        <v>-34.485966</v>
      </c>
      <c r="P547" s="7" t="n">
        <v>150.806459</v>
      </c>
    </row>
    <row r="548" customFormat="false" ht="15" hidden="false" customHeight="false" outlineLevel="0" collapsed="false">
      <c r="A548" s="7" t="n">
        <v>547</v>
      </c>
      <c r="B548" s="7"/>
      <c r="C548" s="7" t="s">
        <v>773</v>
      </c>
      <c r="D548" s="7" t="n">
        <v>2350</v>
      </c>
      <c r="E548" s="7" t="s">
        <v>50</v>
      </c>
      <c r="F548" s="10" t="b">
        <f aca="false">FALSE()</f>
        <v>0</v>
      </c>
      <c r="G548" s="7" t="s">
        <v>155</v>
      </c>
      <c r="H548" s="7" t="s">
        <v>239</v>
      </c>
      <c r="I548" s="7" t="n">
        <v>1</v>
      </c>
      <c r="J548" s="7" t="s">
        <v>107</v>
      </c>
      <c r="K548" s="7" t="s">
        <v>277</v>
      </c>
      <c r="L548" s="7" t="n">
        <v>6</v>
      </c>
      <c r="M548" s="10" t="b">
        <f aca="false">FALSE()</f>
        <v>0</v>
      </c>
      <c r="N548" s="7" t="s">
        <v>109</v>
      </c>
      <c r="O548" s="7" t="n">
        <v>-30.555325</v>
      </c>
      <c r="P548" s="7" t="n">
        <v>151.682655</v>
      </c>
    </row>
    <row r="549" customFormat="false" ht="15" hidden="false" customHeight="false" outlineLevel="0" collapsed="false">
      <c r="A549" s="7" t="n">
        <v>548</v>
      </c>
      <c r="B549" s="7"/>
      <c r="C549" s="7" t="s">
        <v>774</v>
      </c>
      <c r="D549" s="7" t="n">
        <v>2515</v>
      </c>
      <c r="E549" s="7" t="s">
        <v>50</v>
      </c>
      <c r="F549" s="10" t="b">
        <f aca="false">FALSE()</f>
        <v>0</v>
      </c>
      <c r="G549" s="7" t="s">
        <v>102</v>
      </c>
      <c r="H549" s="7" t="s">
        <v>302</v>
      </c>
      <c r="I549" s="7" t="n">
        <v>2</v>
      </c>
      <c r="J549" s="7" t="s">
        <v>107</v>
      </c>
      <c r="K549" s="7" t="s">
        <v>108</v>
      </c>
      <c r="L549" s="7" t="n">
        <v>22</v>
      </c>
      <c r="M549" s="10" t="b">
        <f aca="false">FALSE()</f>
        <v>0</v>
      </c>
      <c r="N549" s="7" t="s">
        <v>109</v>
      </c>
      <c r="O549" s="7" t="n">
        <v>-34.317593</v>
      </c>
      <c r="P549" s="7" t="n">
        <v>150.918481</v>
      </c>
    </row>
    <row r="550" customFormat="false" ht="15" hidden="false" customHeight="false" outlineLevel="0" collapsed="false">
      <c r="A550" s="7" t="n">
        <v>549</v>
      </c>
      <c r="B550" s="7"/>
      <c r="C550" s="7" t="s">
        <v>775</v>
      </c>
      <c r="D550" s="7" t="n">
        <v>2067</v>
      </c>
      <c r="E550" s="7" t="s">
        <v>50</v>
      </c>
      <c r="F550" s="10" t="b">
        <f aca="false">FALSE()</f>
        <v>0</v>
      </c>
      <c r="G550" s="7" t="s">
        <v>258</v>
      </c>
      <c r="H550" s="7" t="s">
        <v>372</v>
      </c>
      <c r="I550" s="7" t="n">
        <v>2</v>
      </c>
      <c r="J550" s="7" t="s">
        <v>71</v>
      </c>
      <c r="K550" s="7" t="s">
        <v>234</v>
      </c>
      <c r="L550" s="7" t="n">
        <v>150</v>
      </c>
      <c r="M550" s="10" t="b">
        <f aca="false">FALSE()</f>
        <v>0</v>
      </c>
      <c r="N550" s="7" t="s">
        <v>268</v>
      </c>
      <c r="O550" s="7" t="n">
        <v>-33.794565</v>
      </c>
      <c r="P550" s="7" t="n">
        <v>151.18613</v>
      </c>
    </row>
    <row r="551" customFormat="false" ht="15" hidden="false" customHeight="false" outlineLevel="0" collapsed="false">
      <c r="A551" s="7" t="n">
        <v>550</v>
      </c>
      <c r="B551" s="7"/>
      <c r="C551" s="7" t="s">
        <v>776</v>
      </c>
      <c r="D551" s="7" t="n">
        <v>2067</v>
      </c>
      <c r="E551" s="7" t="s">
        <v>50</v>
      </c>
      <c r="F551" s="10" t="b">
        <f aca="false">FALSE()</f>
        <v>0</v>
      </c>
      <c r="G551" s="7" t="s">
        <v>258</v>
      </c>
      <c r="H551" s="7" t="s">
        <v>237</v>
      </c>
      <c r="I551" s="7" t="n">
        <v>2</v>
      </c>
      <c r="J551" s="7" t="s">
        <v>107</v>
      </c>
      <c r="K551" s="7" t="s">
        <v>277</v>
      </c>
      <c r="L551" s="7" t="n">
        <v>6</v>
      </c>
      <c r="M551" s="10" t="b">
        <f aca="false">FALSE()</f>
        <v>0</v>
      </c>
      <c r="N551" s="7" t="s">
        <v>109</v>
      </c>
      <c r="O551" s="7" t="n">
        <v>-33.794565</v>
      </c>
      <c r="P551" s="7" t="n">
        <v>151.18613</v>
      </c>
    </row>
    <row r="552" customFormat="false" ht="15" hidden="false" customHeight="false" outlineLevel="0" collapsed="false">
      <c r="A552" s="7" t="n">
        <v>551</v>
      </c>
      <c r="B552" s="7"/>
      <c r="C552" s="7" t="s">
        <v>776</v>
      </c>
      <c r="D552" s="7" t="n">
        <v>2067</v>
      </c>
      <c r="E552" s="7" t="s">
        <v>50</v>
      </c>
      <c r="F552" s="10" t="b">
        <f aca="false">FALSE()</f>
        <v>0</v>
      </c>
      <c r="G552" s="7" t="s">
        <v>258</v>
      </c>
      <c r="H552" s="7" t="s">
        <v>237</v>
      </c>
      <c r="I552" s="7" t="n">
        <v>2</v>
      </c>
      <c r="J552" s="7" t="s">
        <v>71</v>
      </c>
      <c r="K552" s="7" t="s">
        <v>234</v>
      </c>
      <c r="L552" s="7" t="n">
        <v>150</v>
      </c>
      <c r="M552" s="10" t="b">
        <f aca="false">FALSE()</f>
        <v>0</v>
      </c>
      <c r="N552" s="7" t="s">
        <v>76</v>
      </c>
      <c r="O552" s="7" t="n">
        <v>-33.793043</v>
      </c>
      <c r="P552" s="7" t="n">
        <v>151.186558</v>
      </c>
    </row>
    <row r="553" customFormat="false" ht="15" hidden="false" customHeight="false" outlineLevel="0" collapsed="false">
      <c r="A553" s="7" t="n">
        <v>552</v>
      </c>
      <c r="B553" s="7"/>
      <c r="C553" s="7" t="s">
        <v>777</v>
      </c>
      <c r="D553" s="7" t="n">
        <v>2330</v>
      </c>
      <c r="E553" s="7" t="s">
        <v>50</v>
      </c>
      <c r="F553" s="10" t="b">
        <f aca="false">FALSE()</f>
        <v>0</v>
      </c>
      <c r="G553" s="7" t="s">
        <v>229</v>
      </c>
      <c r="H553" s="7" t="s">
        <v>239</v>
      </c>
      <c r="I553" s="7" t="n">
        <v>12</v>
      </c>
      <c r="J553" s="7" t="s">
        <v>71</v>
      </c>
      <c r="K553" s="7" t="s">
        <v>242</v>
      </c>
      <c r="L553" s="7" t="n">
        <v>130</v>
      </c>
      <c r="M553" s="10" t="b">
        <f aca="false">FALSE()</f>
        <v>0</v>
      </c>
      <c r="N553" s="7" t="s">
        <v>76</v>
      </c>
      <c r="O553" s="7" t="n">
        <v>-32.448062</v>
      </c>
      <c r="P553" s="7" t="n">
        <v>150.831663</v>
      </c>
    </row>
    <row r="554" customFormat="false" ht="15" hidden="false" customHeight="false" outlineLevel="0" collapsed="false">
      <c r="A554" s="7" t="n">
        <v>553</v>
      </c>
      <c r="B554" s="7"/>
      <c r="C554" s="7" t="s">
        <v>778</v>
      </c>
      <c r="D554" s="7" t="n">
        <v>2850</v>
      </c>
      <c r="E554" s="7" t="s">
        <v>50</v>
      </c>
      <c r="F554" s="10" t="b">
        <f aca="false">FALSE()</f>
        <v>0</v>
      </c>
      <c r="G554" s="7" t="s">
        <v>199</v>
      </c>
      <c r="H554" s="7" t="s">
        <v>529</v>
      </c>
      <c r="I554" s="7" t="n">
        <v>4</v>
      </c>
      <c r="J554" s="7" t="s">
        <v>107</v>
      </c>
      <c r="K554" s="7" t="s">
        <v>108</v>
      </c>
      <c r="L554" s="7" t="n">
        <v>22</v>
      </c>
      <c r="M554" s="10" t="b">
        <f aca="false">FALSE()</f>
        <v>0</v>
      </c>
      <c r="N554" s="7" t="s">
        <v>109</v>
      </c>
      <c r="O554" s="7" t="n">
        <v>-32.59411</v>
      </c>
      <c r="P554" s="7" t="n">
        <v>149.585921</v>
      </c>
    </row>
    <row r="555" customFormat="false" ht="15" hidden="false" customHeight="false" outlineLevel="0" collapsed="false">
      <c r="A555" s="7" t="n">
        <v>554</v>
      </c>
      <c r="B555" s="7"/>
      <c r="C555" s="7" t="s">
        <v>779</v>
      </c>
      <c r="D555" s="7" t="n">
        <v>2140</v>
      </c>
      <c r="E555" s="7" t="s">
        <v>50</v>
      </c>
      <c r="F555" s="10" t="b">
        <f aca="false">FALSE()</f>
        <v>0</v>
      </c>
      <c r="G555" s="7" t="s">
        <v>670</v>
      </c>
      <c r="H555" s="7" t="s">
        <v>372</v>
      </c>
      <c r="I555" s="7" t="n">
        <v>2</v>
      </c>
      <c r="J555" s="7" t="s">
        <v>71</v>
      </c>
      <c r="K555" s="7" t="s">
        <v>234</v>
      </c>
      <c r="L555" s="7" t="n">
        <v>150</v>
      </c>
      <c r="M555" s="10" t="b">
        <f aca="false">FALSE()</f>
        <v>0</v>
      </c>
      <c r="N555" s="7" t="s">
        <v>268</v>
      </c>
      <c r="O555" s="7" t="n">
        <v>-33.855622</v>
      </c>
      <c r="P555" s="7" t="n">
        <v>151.076795</v>
      </c>
    </row>
    <row r="556" customFormat="false" ht="15" hidden="false" customHeight="false" outlineLevel="0" collapsed="false">
      <c r="A556" s="7" t="n">
        <v>555</v>
      </c>
      <c r="B556" s="7"/>
      <c r="C556" s="7" t="s">
        <v>780</v>
      </c>
      <c r="D556" s="7" t="n">
        <v>2140</v>
      </c>
      <c r="E556" s="7" t="s">
        <v>50</v>
      </c>
      <c r="F556" s="10" t="b">
        <f aca="false">FALSE()</f>
        <v>0</v>
      </c>
      <c r="G556" s="7" t="s">
        <v>670</v>
      </c>
      <c r="H556" s="7" t="s">
        <v>237</v>
      </c>
      <c r="I556" s="7" t="n">
        <v>2</v>
      </c>
      <c r="J556" s="7" t="s">
        <v>107</v>
      </c>
      <c r="K556" s="7" t="s">
        <v>108</v>
      </c>
      <c r="L556" s="7" t="n">
        <v>22</v>
      </c>
      <c r="M556" s="10" t="b">
        <f aca="false">FALSE()</f>
        <v>0</v>
      </c>
      <c r="N556" s="7" t="s">
        <v>109</v>
      </c>
      <c r="O556" s="7" t="n">
        <v>-33.855622</v>
      </c>
      <c r="P556" s="7" t="n">
        <v>151.076797</v>
      </c>
    </row>
    <row r="557" customFormat="false" ht="15" hidden="false" customHeight="false" outlineLevel="0" collapsed="false">
      <c r="A557" s="7" t="n">
        <v>556</v>
      </c>
      <c r="B557" s="7"/>
      <c r="C557" s="7" t="s">
        <v>781</v>
      </c>
      <c r="D557" s="7" t="n">
        <v>2473</v>
      </c>
      <c r="E557" s="7" t="s">
        <v>50</v>
      </c>
      <c r="F557" s="10" t="b">
        <f aca="false">FALSE()</f>
        <v>0</v>
      </c>
      <c r="G557" s="7" t="s">
        <v>78</v>
      </c>
      <c r="H557" s="7" t="s">
        <v>302</v>
      </c>
      <c r="I557" s="7" t="n">
        <v>2</v>
      </c>
      <c r="J557" s="7" t="s">
        <v>107</v>
      </c>
      <c r="K557" s="7" t="s">
        <v>108</v>
      </c>
      <c r="L557" s="7" t="n">
        <v>22</v>
      </c>
      <c r="M557" s="10" t="b">
        <f aca="false">FALSE()</f>
        <v>0</v>
      </c>
      <c r="N557" s="7" t="s">
        <v>109</v>
      </c>
      <c r="O557" s="7" t="n">
        <v>-29.117605</v>
      </c>
      <c r="P557" s="7" t="n">
        <v>153.430397</v>
      </c>
    </row>
    <row r="558" customFormat="false" ht="15" hidden="false" customHeight="false" outlineLevel="0" collapsed="false">
      <c r="A558" s="7" t="n">
        <v>557</v>
      </c>
      <c r="B558" s="7"/>
      <c r="C558" s="7" t="s">
        <v>782</v>
      </c>
      <c r="D558" s="7" t="n">
        <v>2150</v>
      </c>
      <c r="E558" s="7" t="s">
        <v>50</v>
      </c>
      <c r="F558" s="10" t="b">
        <f aca="false">FALSE()</f>
        <v>0</v>
      </c>
      <c r="G558" s="7" t="s">
        <v>202</v>
      </c>
      <c r="H558" s="7" t="s">
        <v>239</v>
      </c>
      <c r="I558" s="7" t="n">
        <v>4</v>
      </c>
      <c r="J558" s="7" t="s">
        <v>107</v>
      </c>
      <c r="K558" s="7" t="s">
        <v>108</v>
      </c>
      <c r="L558" s="7" t="n">
        <v>22</v>
      </c>
      <c r="M558" s="10" t="b">
        <f aca="false">FALSE()</f>
        <v>0</v>
      </c>
      <c r="N558" s="7" t="s">
        <v>109</v>
      </c>
      <c r="O558" s="7" t="n">
        <v>-33.810274</v>
      </c>
      <c r="P558" s="7" t="n">
        <v>151.005548</v>
      </c>
    </row>
    <row r="559" customFormat="false" ht="15" hidden="false" customHeight="false" outlineLevel="0" collapsed="false">
      <c r="A559" s="7" t="n">
        <v>558</v>
      </c>
      <c r="B559" s="7"/>
      <c r="C559" s="7" t="s">
        <v>783</v>
      </c>
      <c r="D559" s="7" t="n">
        <v>2570</v>
      </c>
      <c r="E559" s="7" t="s">
        <v>50</v>
      </c>
      <c r="F559" s="10" t="b">
        <f aca="false">FALSE()</f>
        <v>0</v>
      </c>
      <c r="G559" s="7" t="s">
        <v>338</v>
      </c>
      <c r="H559" s="7" t="s">
        <v>260</v>
      </c>
      <c r="I559" s="7" t="n">
        <v>20</v>
      </c>
      <c r="J559" s="7" t="s">
        <v>107</v>
      </c>
      <c r="K559" s="7" t="s">
        <v>108</v>
      </c>
      <c r="L559" s="7" t="n">
        <v>22</v>
      </c>
      <c r="M559" s="10" t="b">
        <f aca="false">FALSE()</f>
        <v>0</v>
      </c>
      <c r="N559" s="7" t="s">
        <v>109</v>
      </c>
      <c r="O559" s="7" t="n">
        <v>-34.000462</v>
      </c>
      <c r="P559" s="7" t="n">
        <v>150.740593</v>
      </c>
    </row>
    <row r="560" customFormat="false" ht="15" hidden="false" customHeight="false" outlineLevel="0" collapsed="false">
      <c r="A560" s="7" t="n">
        <v>559</v>
      </c>
      <c r="B560" s="7"/>
      <c r="C560" s="7" t="s">
        <v>784</v>
      </c>
      <c r="D560" s="7" t="n">
        <v>2444</v>
      </c>
      <c r="E560" s="7" t="s">
        <v>50</v>
      </c>
      <c r="F560" s="10" t="b">
        <f aca="false">FALSE()</f>
        <v>0</v>
      </c>
      <c r="G560" s="7" t="s">
        <v>135</v>
      </c>
      <c r="H560" s="7" t="s">
        <v>237</v>
      </c>
      <c r="I560" s="7" t="n">
        <v>4</v>
      </c>
      <c r="J560" s="7" t="s">
        <v>107</v>
      </c>
      <c r="K560" s="7" t="s">
        <v>108</v>
      </c>
      <c r="L560" s="7" t="n">
        <v>22</v>
      </c>
      <c r="M560" s="10" t="b">
        <f aca="false">FALSE()</f>
        <v>0</v>
      </c>
      <c r="N560" s="7" t="s">
        <v>109</v>
      </c>
      <c r="O560" s="7" t="n">
        <v>-31.434418</v>
      </c>
      <c r="P560" s="7" t="n">
        <v>152.917188</v>
      </c>
    </row>
    <row r="561" customFormat="false" ht="15" hidden="false" customHeight="false" outlineLevel="0" collapsed="false">
      <c r="A561" s="7" t="n">
        <v>560</v>
      </c>
      <c r="B561" s="7"/>
      <c r="C561" s="7" t="s">
        <v>785</v>
      </c>
      <c r="D561" s="7" t="n">
        <v>2060</v>
      </c>
      <c r="E561" s="7" t="s">
        <v>50</v>
      </c>
      <c r="F561" s="10" t="b">
        <f aca="false">FALSE()</f>
        <v>0</v>
      </c>
      <c r="G561" s="7" t="s">
        <v>382</v>
      </c>
      <c r="H561" s="7" t="s">
        <v>237</v>
      </c>
      <c r="I561" s="7" t="n">
        <v>3</v>
      </c>
      <c r="J561" s="7" t="s">
        <v>107</v>
      </c>
      <c r="K561" s="7" t="s">
        <v>108</v>
      </c>
      <c r="L561" s="7" t="n">
        <v>22</v>
      </c>
      <c r="M561" s="10" t="b">
        <f aca="false">FALSE()</f>
        <v>0</v>
      </c>
      <c r="N561" s="7" t="s">
        <v>109</v>
      </c>
      <c r="O561" s="7" t="n">
        <v>-33.840314</v>
      </c>
      <c r="P561" s="7" t="n">
        <v>151.207023</v>
      </c>
    </row>
    <row r="562" customFormat="false" ht="15" hidden="false" customHeight="false" outlineLevel="0" collapsed="false">
      <c r="A562" s="7" t="n">
        <v>561</v>
      </c>
      <c r="B562" s="7"/>
      <c r="C562" s="7" t="s">
        <v>785</v>
      </c>
      <c r="D562" s="7" t="n">
        <v>2060</v>
      </c>
      <c r="E562" s="7" t="s">
        <v>50</v>
      </c>
      <c r="F562" s="10" t="b">
        <f aca="false">FALSE()</f>
        <v>0</v>
      </c>
      <c r="G562" s="7" t="s">
        <v>382</v>
      </c>
      <c r="H562" s="7" t="s">
        <v>239</v>
      </c>
      <c r="I562" s="7" t="n">
        <v>3</v>
      </c>
      <c r="J562" s="7" t="s">
        <v>107</v>
      </c>
      <c r="K562" s="7" t="s">
        <v>108</v>
      </c>
      <c r="L562" s="7" t="n">
        <v>22</v>
      </c>
      <c r="M562" s="10" t="b">
        <f aca="false">FALSE()</f>
        <v>0</v>
      </c>
      <c r="N562" s="7" t="s">
        <v>109</v>
      </c>
      <c r="O562" s="7" t="n">
        <v>-33.840844</v>
      </c>
      <c r="P562" s="7" t="n">
        <v>151.207258</v>
      </c>
    </row>
    <row r="563" customFormat="false" ht="15" hidden="false" customHeight="false" outlineLevel="0" collapsed="false">
      <c r="A563" s="7" t="n">
        <v>562</v>
      </c>
      <c r="B563" s="7"/>
      <c r="C563" s="7" t="s">
        <v>786</v>
      </c>
      <c r="D563" s="7" t="n">
        <v>2010</v>
      </c>
      <c r="E563" s="7" t="s">
        <v>50</v>
      </c>
      <c r="F563" s="10" t="b">
        <f aca="false">FALSE()</f>
        <v>0</v>
      </c>
      <c r="G563" s="7" t="s">
        <v>182</v>
      </c>
      <c r="H563" s="7" t="s">
        <v>239</v>
      </c>
      <c r="I563" s="7" t="n">
        <v>2</v>
      </c>
      <c r="J563" s="7" t="s">
        <v>107</v>
      </c>
      <c r="K563" s="7" t="s">
        <v>277</v>
      </c>
      <c r="L563" s="7" t="n">
        <v>6</v>
      </c>
      <c r="M563" s="10" t="b">
        <f aca="false">FALSE()</f>
        <v>0</v>
      </c>
      <c r="N563" s="7" t="s">
        <v>109</v>
      </c>
      <c r="O563" s="7" t="n">
        <v>-33.875975</v>
      </c>
      <c r="P563" s="7" t="n">
        <v>151.212679</v>
      </c>
    </row>
    <row r="564" customFormat="false" ht="15" hidden="false" customHeight="false" outlineLevel="0" collapsed="false">
      <c r="A564" s="7" t="n">
        <v>563</v>
      </c>
      <c r="B564" s="7"/>
      <c r="C564" s="7" t="s">
        <v>787</v>
      </c>
      <c r="D564" s="7" t="n">
        <v>2200</v>
      </c>
      <c r="E564" s="7" t="s">
        <v>50</v>
      </c>
      <c r="F564" s="10" t="b">
        <f aca="false">FALSE()</f>
        <v>0</v>
      </c>
      <c r="G564" s="7" t="s">
        <v>345</v>
      </c>
      <c r="H564" s="7" t="s">
        <v>237</v>
      </c>
      <c r="I564" s="7" t="n">
        <v>6</v>
      </c>
      <c r="J564" s="7" t="s">
        <v>107</v>
      </c>
      <c r="K564" s="7" t="s">
        <v>108</v>
      </c>
      <c r="L564" s="7" t="n">
        <v>22</v>
      </c>
      <c r="M564" s="10" t="b">
        <f aca="false">FALSE()</f>
        <v>0</v>
      </c>
      <c r="N564" s="7" t="s">
        <v>109</v>
      </c>
      <c r="O564" s="7" t="n">
        <v>-33.928392</v>
      </c>
      <c r="P564" s="7" t="n">
        <v>150.99028</v>
      </c>
    </row>
    <row r="565" customFormat="false" ht="15" hidden="false" customHeight="false" outlineLevel="0" collapsed="false">
      <c r="A565" s="7" t="n">
        <v>564</v>
      </c>
      <c r="B565" s="7"/>
      <c r="C565" s="7" t="s">
        <v>788</v>
      </c>
      <c r="D565" s="7" t="n">
        <v>2074</v>
      </c>
      <c r="E565" s="7" t="s">
        <v>50</v>
      </c>
      <c r="F565" s="10" t="b">
        <f aca="false">FALSE()</f>
        <v>0</v>
      </c>
      <c r="G565" s="7" t="s">
        <v>236</v>
      </c>
      <c r="H565" s="7" t="s">
        <v>260</v>
      </c>
      <c r="I565" s="7" t="n">
        <v>2</v>
      </c>
      <c r="J565" s="7" t="s">
        <v>107</v>
      </c>
      <c r="K565" s="7" t="s">
        <v>108</v>
      </c>
      <c r="L565" s="7" t="n">
        <v>22</v>
      </c>
      <c r="M565" s="10" t="b">
        <f aca="false">FALSE()</f>
        <v>0</v>
      </c>
      <c r="N565" s="7" t="s">
        <v>109</v>
      </c>
      <c r="O565" s="7" t="n">
        <v>-33.702504</v>
      </c>
      <c r="P565" s="7" t="n">
        <v>151.148728</v>
      </c>
    </row>
    <row r="566" customFormat="false" ht="15" hidden="false" customHeight="false" outlineLevel="0" collapsed="false">
      <c r="A566" s="7" t="n">
        <v>565</v>
      </c>
      <c r="B566" s="7"/>
      <c r="C566" s="7" t="s">
        <v>789</v>
      </c>
      <c r="D566" s="7" t="n">
        <v>2032</v>
      </c>
      <c r="E566" s="7" t="s">
        <v>50</v>
      </c>
      <c r="F566" s="10" t="b">
        <f aca="false">FALSE()</f>
        <v>0</v>
      </c>
      <c r="G566" s="7" t="s">
        <v>355</v>
      </c>
      <c r="H566" s="7" t="s">
        <v>233</v>
      </c>
      <c r="I566" s="7" t="n">
        <v>2</v>
      </c>
      <c r="J566" s="7" t="s">
        <v>71</v>
      </c>
      <c r="K566" s="7" t="s">
        <v>83</v>
      </c>
      <c r="L566" s="7" t="n">
        <v>75</v>
      </c>
      <c r="M566" s="10" t="b">
        <f aca="false">FALSE()</f>
        <v>0</v>
      </c>
      <c r="N566" s="7" t="s">
        <v>76</v>
      </c>
      <c r="O566" s="7" t="n">
        <v>-33.919836</v>
      </c>
      <c r="P566" s="7" t="n">
        <v>151.226974</v>
      </c>
    </row>
    <row r="567" customFormat="false" ht="15" hidden="false" customHeight="false" outlineLevel="0" collapsed="false">
      <c r="A567" s="7" t="n">
        <v>566</v>
      </c>
      <c r="B567" s="7"/>
      <c r="C567" s="7" t="s">
        <v>790</v>
      </c>
      <c r="D567" s="7" t="n">
        <v>2036</v>
      </c>
      <c r="E567" s="7" t="s">
        <v>50</v>
      </c>
      <c r="F567" s="10" t="b">
        <f aca="false">FALSE()</f>
        <v>0</v>
      </c>
      <c r="G567" s="7" t="s">
        <v>355</v>
      </c>
      <c r="H567" s="7" t="s">
        <v>237</v>
      </c>
      <c r="I567" s="7" t="n">
        <v>2</v>
      </c>
      <c r="J567" s="7" t="s">
        <v>107</v>
      </c>
      <c r="K567" s="7" t="s">
        <v>108</v>
      </c>
      <c r="L567" s="7" t="n">
        <v>22</v>
      </c>
      <c r="M567" s="10" t="b">
        <f aca="false">FALSE()</f>
        <v>0</v>
      </c>
      <c r="N567" s="7" t="s">
        <v>109</v>
      </c>
      <c r="O567" s="7" t="n">
        <v>-33.957982</v>
      </c>
      <c r="P567" s="7" t="n">
        <v>151.230103</v>
      </c>
    </row>
    <row r="568" customFormat="false" ht="15" hidden="false" customHeight="false" outlineLevel="0" collapsed="false">
      <c r="A568" s="7" t="n">
        <v>567</v>
      </c>
      <c r="B568" s="7"/>
      <c r="C568" s="7" t="s">
        <v>791</v>
      </c>
      <c r="D568" s="7" t="n">
        <v>2026</v>
      </c>
      <c r="E568" s="7" t="s">
        <v>50</v>
      </c>
      <c r="F568" s="10" t="b">
        <f aca="false">FALSE()</f>
        <v>0</v>
      </c>
      <c r="G568" s="7" t="s">
        <v>295</v>
      </c>
      <c r="H568" s="7" t="s">
        <v>260</v>
      </c>
      <c r="I568" s="7" t="n">
        <v>1</v>
      </c>
      <c r="J568" s="7" t="s">
        <v>107</v>
      </c>
      <c r="K568" s="7" t="s">
        <v>108</v>
      </c>
      <c r="L568" s="7" t="n">
        <v>22</v>
      </c>
      <c r="M568" s="10" t="b">
        <f aca="false">FALSE()</f>
        <v>0</v>
      </c>
      <c r="N568" s="7" t="s">
        <v>109</v>
      </c>
      <c r="O568" s="7" t="n">
        <v>-33.884156</v>
      </c>
      <c r="P568" s="7" t="n">
        <v>151.281944</v>
      </c>
    </row>
    <row r="569" customFormat="false" ht="15" hidden="false" customHeight="false" outlineLevel="0" collapsed="false">
      <c r="A569" s="7" t="n">
        <v>568</v>
      </c>
      <c r="B569" s="7"/>
      <c r="C569" s="7" t="s">
        <v>792</v>
      </c>
      <c r="D569" s="7" t="n">
        <v>2153</v>
      </c>
      <c r="E569" s="7" t="s">
        <v>50</v>
      </c>
      <c r="F569" s="10" t="b">
        <f aca="false">FALSE()</f>
        <v>0</v>
      </c>
      <c r="G569" s="7" t="s">
        <v>299</v>
      </c>
      <c r="H569" s="7" t="s">
        <v>239</v>
      </c>
      <c r="I569" s="7" t="n">
        <v>1</v>
      </c>
      <c r="J569" s="7" t="s">
        <v>107</v>
      </c>
      <c r="K569" s="7" t="s">
        <v>108</v>
      </c>
      <c r="L569" s="7" t="n">
        <v>22</v>
      </c>
      <c r="M569" s="10" t="b">
        <f aca="false">FALSE()</f>
        <v>0</v>
      </c>
      <c r="N569" s="7" t="s">
        <v>109</v>
      </c>
      <c r="O569" s="7" t="n">
        <v>-33.758966</v>
      </c>
      <c r="P569" s="7" t="n">
        <v>150.991587</v>
      </c>
    </row>
    <row r="570" customFormat="false" ht="15" hidden="false" customHeight="false" outlineLevel="0" collapsed="false">
      <c r="A570" s="7" t="n">
        <v>569</v>
      </c>
      <c r="B570" s="7"/>
      <c r="C570" s="7" t="s">
        <v>792</v>
      </c>
      <c r="D570" s="7" t="n">
        <v>2153</v>
      </c>
      <c r="E570" s="7" t="s">
        <v>50</v>
      </c>
      <c r="F570" s="10" t="b">
        <f aca="false">FALSE()</f>
        <v>0</v>
      </c>
      <c r="G570" s="7" t="s">
        <v>299</v>
      </c>
      <c r="H570" s="7" t="s">
        <v>239</v>
      </c>
      <c r="I570" s="7" t="n">
        <v>4</v>
      </c>
      <c r="J570" s="7" t="s">
        <v>71</v>
      </c>
      <c r="K570" s="7" t="s">
        <v>250</v>
      </c>
      <c r="L570" s="7" t="n">
        <v>250</v>
      </c>
      <c r="M570" s="10" t="b">
        <f aca="false">FALSE()</f>
        <v>0</v>
      </c>
      <c r="N570" s="7" t="s">
        <v>76</v>
      </c>
      <c r="O570" s="7" t="n">
        <v>-33.758691</v>
      </c>
      <c r="P570" s="7" t="n">
        <v>150.99147</v>
      </c>
    </row>
    <row r="571" customFormat="false" ht="15" hidden="false" customHeight="false" outlineLevel="0" collapsed="false">
      <c r="A571" s="7" t="n">
        <v>570</v>
      </c>
      <c r="B571" s="7"/>
      <c r="C571" s="7" t="s">
        <v>793</v>
      </c>
      <c r="D571" s="7" t="n">
        <v>2147</v>
      </c>
      <c r="E571" s="7" t="s">
        <v>50</v>
      </c>
      <c r="F571" s="10" t="b">
        <f aca="false">FALSE()</f>
        <v>0</v>
      </c>
      <c r="G571" s="7" t="s">
        <v>232</v>
      </c>
      <c r="H571" s="7" t="s">
        <v>330</v>
      </c>
      <c r="I571" s="7" t="n">
        <v>2</v>
      </c>
      <c r="J571" s="7" t="s">
        <v>71</v>
      </c>
      <c r="K571" s="7" t="s">
        <v>213</v>
      </c>
      <c r="L571" s="7" t="n">
        <v>125</v>
      </c>
      <c r="M571" s="10" t="b">
        <f aca="false">FALSE()</f>
        <v>0</v>
      </c>
      <c r="N571" s="7" t="s">
        <v>268</v>
      </c>
      <c r="O571" s="7" t="n">
        <v>-33.766812</v>
      </c>
      <c r="P571" s="7" t="n">
        <v>150.954966</v>
      </c>
    </row>
    <row r="572" customFormat="false" ht="15" hidden="false" customHeight="false" outlineLevel="0" collapsed="false">
      <c r="A572" s="7" t="n">
        <v>571</v>
      </c>
      <c r="B572" s="7"/>
      <c r="C572" s="7" t="s">
        <v>794</v>
      </c>
      <c r="D572" s="7" t="n">
        <v>2232</v>
      </c>
      <c r="E572" s="7" t="s">
        <v>50</v>
      </c>
      <c r="F572" s="10" t="b">
        <f aca="false">FALSE()</f>
        <v>0</v>
      </c>
      <c r="G572" s="7" t="s">
        <v>628</v>
      </c>
      <c r="H572" s="7" t="s">
        <v>237</v>
      </c>
      <c r="I572" s="7" t="n">
        <v>4</v>
      </c>
      <c r="J572" s="7" t="s">
        <v>71</v>
      </c>
      <c r="K572" s="7" t="s">
        <v>407</v>
      </c>
      <c r="L572" s="7" t="n">
        <v>47</v>
      </c>
      <c r="M572" s="10" t="b">
        <f aca="false">FALSE()</f>
        <v>0</v>
      </c>
      <c r="N572" s="7" t="s">
        <v>76</v>
      </c>
      <c r="O572" s="7" t="n">
        <v>-34.03434</v>
      </c>
      <c r="P572" s="7" t="n">
        <v>151.072652</v>
      </c>
    </row>
    <row r="573" customFormat="false" ht="15" hidden="false" customHeight="false" outlineLevel="0" collapsed="false">
      <c r="A573" s="7" t="n">
        <v>572</v>
      </c>
      <c r="B573" s="7"/>
      <c r="C573" s="7" t="s">
        <v>795</v>
      </c>
      <c r="D573" s="7" t="n">
        <v>2644</v>
      </c>
      <c r="E573" s="7" t="s">
        <v>50</v>
      </c>
      <c r="F573" s="10" t="b">
        <f aca="false">FALSE()</f>
        <v>0</v>
      </c>
      <c r="G573" s="7" t="s">
        <v>173</v>
      </c>
      <c r="H573" s="7" t="s">
        <v>239</v>
      </c>
      <c r="I573" s="7" t="n">
        <v>9</v>
      </c>
      <c r="J573" s="7" t="s">
        <v>71</v>
      </c>
      <c r="K573" s="7" t="s">
        <v>250</v>
      </c>
      <c r="L573" s="7" t="n">
        <v>250</v>
      </c>
      <c r="M573" s="10" t="b">
        <f aca="false">FALSE()</f>
        <v>0</v>
      </c>
      <c r="N573" s="7" t="s">
        <v>76</v>
      </c>
      <c r="O573" s="7" t="n">
        <v>-35.722548</v>
      </c>
      <c r="P573" s="7" t="n">
        <v>147.317511</v>
      </c>
    </row>
    <row r="574" customFormat="false" ht="15" hidden="false" customHeight="false" outlineLevel="0" collapsed="false">
      <c r="A574" s="7" t="n">
        <v>573</v>
      </c>
      <c r="B574" s="7"/>
      <c r="C574" s="7" t="s">
        <v>796</v>
      </c>
      <c r="D574" s="7" t="n">
        <v>2285</v>
      </c>
      <c r="E574" s="7" t="s">
        <v>50</v>
      </c>
      <c r="F574" s="10" t="b">
        <f aca="false">FALSE()</f>
        <v>0</v>
      </c>
      <c r="G574" s="7" t="s">
        <v>377</v>
      </c>
      <c r="H574" s="7" t="s">
        <v>239</v>
      </c>
      <c r="I574" s="7" t="n">
        <v>2</v>
      </c>
      <c r="J574" s="7" t="s">
        <v>107</v>
      </c>
      <c r="K574" s="7" t="s">
        <v>108</v>
      </c>
      <c r="L574" s="7" t="n">
        <v>22</v>
      </c>
      <c r="M574" s="10" t="b">
        <f aca="false">FALSE()</f>
        <v>0</v>
      </c>
      <c r="N574" s="7" t="s">
        <v>109</v>
      </c>
      <c r="O574" s="7" t="n">
        <v>-32.931745</v>
      </c>
      <c r="P574" s="7" t="n">
        <v>151.639671</v>
      </c>
    </row>
    <row r="575" customFormat="false" ht="15" hidden="false" customHeight="false" outlineLevel="0" collapsed="false">
      <c r="A575" s="7" t="n">
        <v>574</v>
      </c>
      <c r="B575" s="7"/>
      <c r="C575" s="7" t="s">
        <v>797</v>
      </c>
      <c r="D575" s="7" t="n">
        <v>2285</v>
      </c>
      <c r="E575" s="7" t="s">
        <v>50</v>
      </c>
      <c r="F575" s="10" t="b">
        <f aca="false">FALSE()</f>
        <v>0</v>
      </c>
      <c r="G575" s="7" t="s">
        <v>377</v>
      </c>
      <c r="H575" s="7" t="s">
        <v>237</v>
      </c>
      <c r="I575" s="7" t="n">
        <v>1</v>
      </c>
      <c r="J575" s="7" t="s">
        <v>107</v>
      </c>
      <c r="K575" s="7" t="s">
        <v>277</v>
      </c>
      <c r="L575" s="7" t="n">
        <v>6</v>
      </c>
      <c r="M575" s="10" t="b">
        <f aca="false">FALSE()</f>
        <v>0</v>
      </c>
      <c r="N575" s="7" t="s">
        <v>109</v>
      </c>
      <c r="O575" s="7" t="n">
        <v>-32.935556</v>
      </c>
      <c r="P575" s="7" t="n">
        <v>151.644366</v>
      </c>
    </row>
    <row r="576" customFormat="false" ht="15" hidden="false" customHeight="false" outlineLevel="0" collapsed="false">
      <c r="A576" s="7" t="n">
        <v>575</v>
      </c>
      <c r="B576" s="7"/>
      <c r="C576" s="7" t="s">
        <v>798</v>
      </c>
      <c r="D576" s="7" t="n">
        <v>2025</v>
      </c>
      <c r="E576" s="7" t="s">
        <v>50</v>
      </c>
      <c r="F576" s="10" t="b">
        <f aca="false">FALSE()</f>
        <v>0</v>
      </c>
      <c r="G576" s="7" t="s">
        <v>272</v>
      </c>
      <c r="H576" s="7" t="s">
        <v>260</v>
      </c>
      <c r="I576" s="7" t="n">
        <v>1</v>
      </c>
      <c r="J576" s="7" t="s">
        <v>107</v>
      </c>
      <c r="K576" s="7" t="s">
        <v>108</v>
      </c>
      <c r="L576" s="7" t="n">
        <v>22</v>
      </c>
      <c r="M576" s="10" t="b">
        <f aca="false">FALSE()</f>
        <v>0</v>
      </c>
      <c r="N576" s="7" t="s">
        <v>109</v>
      </c>
      <c r="O576" s="7" t="n">
        <v>-33.883209</v>
      </c>
      <c r="P576" s="7" t="n">
        <v>151.242053</v>
      </c>
    </row>
    <row r="577" customFormat="false" ht="15" hidden="false" customHeight="false" outlineLevel="0" collapsed="false">
      <c r="A577" s="7" t="n">
        <v>576</v>
      </c>
      <c r="B577" s="7"/>
      <c r="C577" s="7" t="s">
        <v>799</v>
      </c>
      <c r="D577" s="7" t="n">
        <v>2000</v>
      </c>
      <c r="E577" s="7" t="s">
        <v>50</v>
      </c>
      <c r="F577" s="10" t="b">
        <f aca="false">FALSE()</f>
        <v>0</v>
      </c>
      <c r="G577" s="7" t="s">
        <v>182</v>
      </c>
      <c r="H577" s="7" t="s">
        <v>260</v>
      </c>
      <c r="I577" s="7" t="n">
        <v>2</v>
      </c>
      <c r="J577" s="7" t="s">
        <v>107</v>
      </c>
      <c r="K577" s="7" t="s">
        <v>277</v>
      </c>
      <c r="L577" s="7" t="n">
        <v>6</v>
      </c>
      <c r="M577" s="10" t="b">
        <f aca="false">FALSE()</f>
        <v>0</v>
      </c>
      <c r="N577" s="7" t="s">
        <v>109</v>
      </c>
      <c r="O577" s="7" t="n">
        <v>-33.876965</v>
      </c>
      <c r="P577" s="7" t="n">
        <v>151.207495</v>
      </c>
    </row>
    <row r="578" customFormat="false" ht="15" hidden="false" customHeight="false" outlineLevel="0" collapsed="false">
      <c r="A578" s="7" t="n">
        <v>577</v>
      </c>
      <c r="B578" s="7"/>
      <c r="C578" s="7" t="s">
        <v>800</v>
      </c>
      <c r="D578" s="7" t="n">
        <v>2469</v>
      </c>
      <c r="E578" s="7" t="s">
        <v>50</v>
      </c>
      <c r="F578" s="10" t="b">
        <f aca="false">FALSE()</f>
        <v>0</v>
      </c>
      <c r="G578" s="7" t="s">
        <v>801</v>
      </c>
      <c r="H578" s="7" t="s">
        <v>260</v>
      </c>
      <c r="I578" s="7" t="n">
        <v>2</v>
      </c>
      <c r="J578" s="7" t="s">
        <v>107</v>
      </c>
      <c r="K578" s="7" t="s">
        <v>108</v>
      </c>
      <c r="L578" s="7" t="n">
        <v>22</v>
      </c>
      <c r="M578" s="10" t="b">
        <f aca="false">FALSE()</f>
        <v>0</v>
      </c>
      <c r="N578" s="7" t="s">
        <v>109</v>
      </c>
      <c r="O578" s="7" t="n">
        <v>-28.89041</v>
      </c>
      <c r="P578" s="7" t="n">
        <v>152.566598</v>
      </c>
    </row>
    <row r="579" customFormat="false" ht="15" hidden="false" customHeight="false" outlineLevel="0" collapsed="false">
      <c r="A579" s="7" t="n">
        <v>578</v>
      </c>
      <c r="B579" s="7"/>
      <c r="C579" s="7" t="s">
        <v>802</v>
      </c>
      <c r="D579" s="7" t="n">
        <v>2095</v>
      </c>
      <c r="E579" s="7" t="s">
        <v>50</v>
      </c>
      <c r="F579" s="10" t="b">
        <f aca="false">FALSE()</f>
        <v>0</v>
      </c>
      <c r="G579" s="7" t="s">
        <v>286</v>
      </c>
      <c r="H579" s="7" t="s">
        <v>803</v>
      </c>
      <c r="I579" s="7" t="n">
        <v>1</v>
      </c>
      <c r="J579" s="7" t="s">
        <v>107</v>
      </c>
      <c r="K579" s="7" t="s">
        <v>485</v>
      </c>
      <c r="L579" s="7" t="n">
        <v>11</v>
      </c>
      <c r="M579" s="10" t="b">
        <f aca="false">FALSE()</f>
        <v>0</v>
      </c>
      <c r="N579" s="7" t="s">
        <v>109</v>
      </c>
      <c r="O579" s="7" t="n">
        <v>-33.799834</v>
      </c>
      <c r="P579" s="7" t="n">
        <v>151.286</v>
      </c>
    </row>
    <row r="580" customFormat="false" ht="15" hidden="false" customHeight="false" outlineLevel="0" collapsed="false">
      <c r="A580" s="7" t="n">
        <v>579</v>
      </c>
      <c r="B580" s="7"/>
      <c r="C580" s="7" t="s">
        <v>804</v>
      </c>
      <c r="D580" s="7" t="n">
        <v>2663</v>
      </c>
      <c r="E580" s="7" t="s">
        <v>50</v>
      </c>
      <c r="F580" s="10" t="b">
        <f aca="false">FALSE()</f>
        <v>0</v>
      </c>
      <c r="G580" s="7" t="s">
        <v>805</v>
      </c>
      <c r="H580" s="7" t="s">
        <v>239</v>
      </c>
      <c r="I580" s="7" t="n">
        <v>2</v>
      </c>
      <c r="J580" s="7" t="s">
        <v>107</v>
      </c>
      <c r="K580" s="7" t="s">
        <v>108</v>
      </c>
      <c r="L580" s="7" t="n">
        <v>22</v>
      </c>
      <c r="M580" s="10" t="b">
        <f aca="false">FALSE()</f>
        <v>0</v>
      </c>
      <c r="N580" s="7" t="s">
        <v>109</v>
      </c>
      <c r="O580" s="7" t="n">
        <v>-34.871014</v>
      </c>
      <c r="P580" s="7" t="n">
        <v>147.582542</v>
      </c>
    </row>
    <row r="581" customFormat="false" ht="15" hidden="false" customHeight="false" outlineLevel="0" collapsed="false">
      <c r="A581" s="7" t="n">
        <v>580</v>
      </c>
      <c r="B581" s="7"/>
      <c r="C581" s="7" t="s">
        <v>806</v>
      </c>
      <c r="D581" s="7" t="n">
        <v>2111</v>
      </c>
      <c r="E581" s="7" t="s">
        <v>50</v>
      </c>
      <c r="F581" s="10" t="b">
        <f aca="false">FALSE()</f>
        <v>0</v>
      </c>
      <c r="G581" s="7" t="s">
        <v>807</v>
      </c>
      <c r="H581" s="7" t="s">
        <v>244</v>
      </c>
      <c r="I581" s="7" t="n">
        <v>2</v>
      </c>
      <c r="J581" s="7" t="s">
        <v>71</v>
      </c>
      <c r="K581" s="7" t="s">
        <v>83</v>
      </c>
      <c r="L581" s="7" t="n">
        <v>75</v>
      </c>
      <c r="M581" s="10" t="b">
        <f aca="false">FALSE()</f>
        <v>0</v>
      </c>
      <c r="N581" s="7" t="s">
        <v>76</v>
      </c>
      <c r="O581" s="7" t="n">
        <v>-33.832813</v>
      </c>
      <c r="P581" s="7" t="n">
        <v>151.127792</v>
      </c>
    </row>
    <row r="582" customFormat="false" ht="15" hidden="false" customHeight="false" outlineLevel="0" collapsed="false">
      <c r="A582" s="7" t="n">
        <v>581</v>
      </c>
      <c r="B582" s="7"/>
      <c r="C582" s="7" t="s">
        <v>808</v>
      </c>
      <c r="D582" s="7" t="n">
        <v>2017</v>
      </c>
      <c r="E582" s="7" t="s">
        <v>50</v>
      </c>
      <c r="F582" s="10" t="b">
        <f aca="false">FALSE()</f>
        <v>0</v>
      </c>
      <c r="G582" s="7" t="s">
        <v>182</v>
      </c>
      <c r="H582" s="7" t="s">
        <v>239</v>
      </c>
      <c r="I582" s="7" t="n">
        <v>3</v>
      </c>
      <c r="J582" s="7" t="s">
        <v>107</v>
      </c>
      <c r="K582" s="7" t="s">
        <v>108</v>
      </c>
      <c r="L582" s="7" t="n">
        <v>22</v>
      </c>
      <c r="M582" s="10" t="b">
        <f aca="false">FALSE()</f>
        <v>0</v>
      </c>
      <c r="N582" s="7" t="s">
        <v>109</v>
      </c>
      <c r="O582" s="7" t="n">
        <v>-33.904839</v>
      </c>
      <c r="P582" s="7" t="n">
        <v>151.212997</v>
      </c>
    </row>
    <row r="583" customFormat="false" ht="15" hidden="false" customHeight="false" outlineLevel="0" collapsed="false">
      <c r="A583" s="7" t="n">
        <v>582</v>
      </c>
      <c r="B583" s="7"/>
      <c r="C583" s="7" t="s">
        <v>808</v>
      </c>
      <c r="D583" s="7" t="n">
        <v>2017</v>
      </c>
      <c r="E583" s="7" t="s">
        <v>50</v>
      </c>
      <c r="F583" s="10" t="b">
        <f aca="false">FALSE()</f>
        <v>0</v>
      </c>
      <c r="G583" s="7" t="s">
        <v>182</v>
      </c>
      <c r="H583" s="7" t="s">
        <v>330</v>
      </c>
      <c r="I583" s="7" t="n">
        <v>6</v>
      </c>
      <c r="J583" s="7" t="s">
        <v>71</v>
      </c>
      <c r="K583" s="7" t="s">
        <v>234</v>
      </c>
      <c r="L583" s="7" t="n">
        <v>150</v>
      </c>
      <c r="M583" s="10" t="b">
        <f aca="false">FALSE()</f>
        <v>0</v>
      </c>
      <c r="N583" s="7" t="s">
        <v>76</v>
      </c>
      <c r="O583" s="7" t="n">
        <v>-33.905561</v>
      </c>
      <c r="P583" s="7" t="n">
        <v>151.212681</v>
      </c>
    </row>
    <row r="584" customFormat="false" ht="15" hidden="false" customHeight="false" outlineLevel="0" collapsed="false">
      <c r="A584" s="7" t="n">
        <v>583</v>
      </c>
      <c r="B584" s="7"/>
      <c r="C584" s="7" t="s">
        <v>809</v>
      </c>
      <c r="D584" s="7" t="n">
        <v>2036</v>
      </c>
      <c r="E584" s="7" t="s">
        <v>50</v>
      </c>
      <c r="F584" s="10" t="b">
        <f aca="false">FALSE()</f>
        <v>0</v>
      </c>
      <c r="G584" s="7" t="s">
        <v>380</v>
      </c>
      <c r="H584" s="7" t="s">
        <v>237</v>
      </c>
      <c r="I584" s="7" t="n">
        <v>1</v>
      </c>
      <c r="J584" s="7" t="s">
        <v>107</v>
      </c>
      <c r="K584" s="7" t="s">
        <v>108</v>
      </c>
      <c r="L584" s="7" t="n">
        <v>22</v>
      </c>
      <c r="M584" s="10" t="b">
        <f aca="false">FALSE()</f>
        <v>0</v>
      </c>
      <c r="N584" s="7" t="s">
        <v>109</v>
      </c>
      <c r="O584" s="7" t="n">
        <v>-33.939986</v>
      </c>
      <c r="P584" s="7" t="n">
        <v>151.225431</v>
      </c>
    </row>
    <row r="585" customFormat="false" ht="15" hidden="false" customHeight="false" outlineLevel="0" collapsed="false">
      <c r="A585" s="7" t="n">
        <v>584</v>
      </c>
      <c r="B585" s="7"/>
      <c r="C585" s="7" t="s">
        <v>810</v>
      </c>
      <c r="D585" s="7" t="n">
        <v>2287</v>
      </c>
      <c r="E585" s="7" t="s">
        <v>50</v>
      </c>
      <c r="F585" s="10" t="b">
        <f aca="false">FALSE()</f>
        <v>0</v>
      </c>
      <c r="G585" s="7" t="s">
        <v>141</v>
      </c>
      <c r="H585" s="7" t="s">
        <v>237</v>
      </c>
      <c r="I585" s="7" t="n">
        <v>2</v>
      </c>
      <c r="J585" s="7" t="s">
        <v>107</v>
      </c>
      <c r="K585" s="7" t="s">
        <v>108</v>
      </c>
      <c r="L585" s="7" t="n">
        <v>22</v>
      </c>
      <c r="M585" s="10" t="b">
        <f aca="false">FALSE()</f>
        <v>0</v>
      </c>
      <c r="N585" s="7" t="s">
        <v>109</v>
      </c>
      <c r="O585" s="7" t="n">
        <v>-32.900171</v>
      </c>
      <c r="P585" s="7" t="n">
        <v>151.669459</v>
      </c>
    </row>
    <row r="586" customFormat="false" ht="15" hidden="false" customHeight="false" outlineLevel="0" collapsed="false">
      <c r="A586" s="7" t="n">
        <v>585</v>
      </c>
      <c r="B586" s="7"/>
      <c r="C586" s="7" t="s">
        <v>811</v>
      </c>
      <c r="D586" s="7" t="n">
        <v>2066</v>
      </c>
      <c r="E586" s="7" t="s">
        <v>50</v>
      </c>
      <c r="F586" s="10" t="b">
        <f aca="false">FALSE()</f>
        <v>0</v>
      </c>
      <c r="G586" s="7" t="s">
        <v>389</v>
      </c>
      <c r="H586" s="7" t="s">
        <v>260</v>
      </c>
      <c r="I586" s="7" t="n">
        <v>1</v>
      </c>
      <c r="J586" s="7" t="s">
        <v>107</v>
      </c>
      <c r="K586" s="7" t="s">
        <v>108</v>
      </c>
      <c r="L586" s="7" t="n">
        <v>22</v>
      </c>
      <c r="M586" s="10" t="b">
        <f aca="false">FALSE()</f>
        <v>0</v>
      </c>
      <c r="N586" s="7" t="s">
        <v>109</v>
      </c>
      <c r="O586" s="7" t="n">
        <v>-33.805688</v>
      </c>
      <c r="P586" s="7" t="n">
        <v>151.156033</v>
      </c>
    </row>
    <row r="587" customFormat="false" ht="15" hidden="false" customHeight="false" outlineLevel="0" collapsed="false">
      <c r="A587" s="7" t="n">
        <v>586</v>
      </c>
      <c r="B587" s="7"/>
      <c r="C587" s="7" t="s">
        <v>812</v>
      </c>
      <c r="D587" s="7" t="n">
        <v>2560</v>
      </c>
      <c r="E587" s="7" t="s">
        <v>50</v>
      </c>
      <c r="F587" s="10" t="b">
        <f aca="false">FALSE()</f>
        <v>0</v>
      </c>
      <c r="G587" s="7" t="s">
        <v>312</v>
      </c>
      <c r="H587" s="7" t="s">
        <v>244</v>
      </c>
      <c r="I587" s="7" t="n">
        <v>4</v>
      </c>
      <c r="J587" s="7" t="s">
        <v>71</v>
      </c>
      <c r="K587" s="7" t="s">
        <v>234</v>
      </c>
      <c r="L587" s="7" t="n">
        <v>150</v>
      </c>
      <c r="M587" s="10" t="b">
        <f aca="false">FALSE()</f>
        <v>0</v>
      </c>
      <c r="N587" s="7" t="s">
        <v>76</v>
      </c>
      <c r="O587" s="7" t="n">
        <v>-34.072063</v>
      </c>
      <c r="P587" s="7" t="n">
        <v>150.805126</v>
      </c>
    </row>
    <row r="588" customFormat="false" ht="15" hidden="false" customHeight="false" outlineLevel="0" collapsed="false">
      <c r="A588" s="7" t="n">
        <v>587</v>
      </c>
      <c r="B588" s="7"/>
      <c r="C588" s="7" t="s">
        <v>813</v>
      </c>
      <c r="D588" s="7" t="n">
        <v>2086</v>
      </c>
      <c r="E588" s="7" t="s">
        <v>50</v>
      </c>
      <c r="F588" s="10" t="b">
        <f aca="false">FALSE()</f>
        <v>0</v>
      </c>
      <c r="G588" s="7" t="s">
        <v>286</v>
      </c>
      <c r="H588" s="7" t="s">
        <v>260</v>
      </c>
      <c r="I588" s="7" t="n">
        <v>1</v>
      </c>
      <c r="J588" s="7" t="s">
        <v>107</v>
      </c>
      <c r="K588" s="7" t="s">
        <v>108</v>
      </c>
      <c r="L588" s="7" t="n">
        <v>22</v>
      </c>
      <c r="M588" s="10" t="b">
        <f aca="false">FALSE()</f>
        <v>0</v>
      </c>
      <c r="N588" s="7" t="s">
        <v>109</v>
      </c>
      <c r="O588" s="7" t="n">
        <v>-33.741831</v>
      </c>
      <c r="P588" s="7" t="n">
        <v>151.213784</v>
      </c>
    </row>
    <row r="589" customFormat="false" ht="15" hidden="false" customHeight="false" outlineLevel="0" collapsed="false">
      <c r="A589" s="7" t="n">
        <v>588</v>
      </c>
      <c r="B589" s="7"/>
      <c r="C589" s="7" t="s">
        <v>814</v>
      </c>
      <c r="D589" s="7" t="n">
        <v>2088</v>
      </c>
      <c r="E589" s="7" t="s">
        <v>50</v>
      </c>
      <c r="F589" s="10" t="b">
        <f aca="false">FALSE()</f>
        <v>0</v>
      </c>
      <c r="G589" s="7" t="s">
        <v>246</v>
      </c>
      <c r="H589" s="7" t="s">
        <v>244</v>
      </c>
      <c r="I589" s="7" t="n">
        <v>2</v>
      </c>
      <c r="J589" s="7" t="s">
        <v>71</v>
      </c>
      <c r="K589" s="7" t="s">
        <v>83</v>
      </c>
      <c r="L589" s="7" t="n">
        <v>75</v>
      </c>
      <c r="M589" s="10" t="b">
        <f aca="false">FALSE()</f>
        <v>0</v>
      </c>
      <c r="N589" s="7" t="s">
        <v>76</v>
      </c>
      <c r="O589" s="7" t="n">
        <v>-33.828075</v>
      </c>
      <c r="P589" s="7" t="n">
        <v>151.243445</v>
      </c>
    </row>
    <row r="590" customFormat="false" ht="15" hidden="false" customHeight="false" outlineLevel="0" collapsed="false">
      <c r="A590" s="7" t="n">
        <v>589</v>
      </c>
      <c r="B590" s="7"/>
      <c r="C590" s="7" t="s">
        <v>815</v>
      </c>
      <c r="D590" s="7" t="n">
        <v>2770</v>
      </c>
      <c r="E590" s="7" t="s">
        <v>50</v>
      </c>
      <c r="F590" s="10" t="b">
        <f aca="false">FALSE()</f>
        <v>0</v>
      </c>
      <c r="G590" s="7" t="s">
        <v>232</v>
      </c>
      <c r="H590" s="7" t="s">
        <v>237</v>
      </c>
      <c r="I590" s="7" t="n">
        <v>2</v>
      </c>
      <c r="J590" s="7" t="s">
        <v>71</v>
      </c>
      <c r="K590" s="7" t="s">
        <v>100</v>
      </c>
      <c r="L590" s="7" t="n">
        <v>160</v>
      </c>
      <c r="M590" s="10" t="b">
        <f aca="false">FALSE()</f>
        <v>0</v>
      </c>
      <c r="N590" s="7" t="s">
        <v>76</v>
      </c>
      <c r="O590" s="7" t="n">
        <v>-33.743766</v>
      </c>
      <c r="P590" s="7" t="n">
        <v>150.809028</v>
      </c>
    </row>
    <row r="591" customFormat="false" ht="15" hidden="false" customHeight="false" outlineLevel="0" collapsed="false">
      <c r="A591" s="7" t="n">
        <v>590</v>
      </c>
      <c r="B591" s="7"/>
      <c r="C591" s="7" t="s">
        <v>816</v>
      </c>
      <c r="D591" s="7" t="n">
        <v>2099</v>
      </c>
      <c r="E591" s="7" t="s">
        <v>50</v>
      </c>
      <c r="F591" s="10" t="b">
        <f aca="false">FALSE()</f>
        <v>0</v>
      </c>
      <c r="G591" s="7" t="s">
        <v>286</v>
      </c>
      <c r="H591" s="7" t="s">
        <v>239</v>
      </c>
      <c r="I591" s="7" t="n">
        <v>1</v>
      </c>
      <c r="J591" s="7" t="s">
        <v>107</v>
      </c>
      <c r="K591" s="7" t="s">
        <v>108</v>
      </c>
      <c r="L591" s="7" t="n">
        <v>22</v>
      </c>
      <c r="M591" s="10" t="b">
        <f aca="false">FALSE()</f>
        <v>0</v>
      </c>
      <c r="N591" s="7" t="s">
        <v>109</v>
      </c>
      <c r="O591" s="7" t="n">
        <v>-33.750313</v>
      </c>
      <c r="P591" s="7" t="n">
        <v>151.286312</v>
      </c>
    </row>
    <row r="592" customFormat="false" ht="15" hidden="false" customHeight="false" outlineLevel="0" collapsed="false">
      <c r="A592" s="7" t="n">
        <v>591</v>
      </c>
      <c r="B592" s="7"/>
      <c r="C592" s="7" t="s">
        <v>817</v>
      </c>
      <c r="D592" s="7" t="n">
        <v>2024</v>
      </c>
      <c r="E592" s="7" t="s">
        <v>50</v>
      </c>
      <c r="F592" s="10" t="b">
        <f aca="false">FALSE()</f>
        <v>0</v>
      </c>
      <c r="G592" s="7" t="s">
        <v>295</v>
      </c>
      <c r="H592" s="7" t="s">
        <v>304</v>
      </c>
      <c r="I592" s="7" t="n">
        <v>5</v>
      </c>
      <c r="J592" s="7" t="s">
        <v>107</v>
      </c>
      <c r="K592" s="7" t="s">
        <v>108</v>
      </c>
      <c r="L592" s="7" t="n">
        <v>22</v>
      </c>
      <c r="M592" s="10" t="b">
        <f aca="false">FALSE()</f>
        <v>0</v>
      </c>
      <c r="N592" s="7" t="s">
        <v>109</v>
      </c>
      <c r="O592" s="7" t="n">
        <v>-33.897822</v>
      </c>
      <c r="P592" s="7" t="n">
        <v>151.258885</v>
      </c>
    </row>
    <row r="593" customFormat="false" ht="15" hidden="false" customHeight="false" outlineLevel="0" collapsed="false">
      <c r="A593" s="7" t="n">
        <v>592</v>
      </c>
      <c r="B593" s="7"/>
      <c r="C593" s="7" t="s">
        <v>818</v>
      </c>
      <c r="D593" s="7" t="n">
        <v>2570</v>
      </c>
      <c r="E593" s="7" t="s">
        <v>50</v>
      </c>
      <c r="F593" s="10" t="b">
        <f aca="false">FALSE()</f>
        <v>0</v>
      </c>
      <c r="G593" s="7" t="s">
        <v>338</v>
      </c>
      <c r="H593" s="7" t="s">
        <v>260</v>
      </c>
      <c r="I593" s="7" t="n">
        <v>2</v>
      </c>
      <c r="J593" s="7" t="s">
        <v>107</v>
      </c>
      <c r="K593" s="7" t="s">
        <v>108</v>
      </c>
      <c r="L593" s="7" t="n">
        <v>22</v>
      </c>
      <c r="M593" s="10" t="b">
        <f aca="false">FALSE()</f>
        <v>0</v>
      </c>
      <c r="N593" s="7" t="s">
        <v>109</v>
      </c>
      <c r="O593" s="7" t="n">
        <v>-34.054247</v>
      </c>
      <c r="P593" s="7" t="n">
        <v>150.694669</v>
      </c>
    </row>
    <row r="594" customFormat="false" ht="15" hidden="false" customHeight="false" outlineLevel="0" collapsed="false">
      <c r="A594" s="7" t="n">
        <v>593</v>
      </c>
      <c r="B594" s="7"/>
      <c r="C594" s="7" t="s">
        <v>819</v>
      </c>
      <c r="D594" s="7" t="n">
        <v>2155</v>
      </c>
      <c r="E594" s="7" t="s">
        <v>50</v>
      </c>
      <c r="F594" s="10" t="b">
        <f aca="false">FALSE()</f>
        <v>0</v>
      </c>
      <c r="G594" s="7" t="s">
        <v>299</v>
      </c>
      <c r="H594" s="7" t="s">
        <v>287</v>
      </c>
      <c r="I594" s="7" t="n">
        <v>2</v>
      </c>
      <c r="J594" s="7" t="s">
        <v>71</v>
      </c>
      <c r="K594" s="7" t="s">
        <v>288</v>
      </c>
      <c r="L594" s="7" t="n">
        <v>25</v>
      </c>
      <c r="M594" s="10" t="b">
        <f aca="false">FALSE()</f>
        <v>0</v>
      </c>
      <c r="N594" s="7" t="s">
        <v>76</v>
      </c>
      <c r="O594" s="7" t="n">
        <v>-33.68328</v>
      </c>
      <c r="P594" s="7" t="n">
        <v>150.916586</v>
      </c>
    </row>
    <row r="595" customFormat="false" ht="15" hidden="false" customHeight="false" outlineLevel="0" collapsed="false">
      <c r="A595" s="7" t="n">
        <v>594</v>
      </c>
      <c r="B595" s="7"/>
      <c r="C595" s="7" t="s">
        <v>820</v>
      </c>
      <c r="D595" s="7" t="n">
        <v>2300</v>
      </c>
      <c r="E595" s="7" t="s">
        <v>50</v>
      </c>
      <c r="F595" s="10" t="b">
        <f aca="false">FALSE()</f>
        <v>0</v>
      </c>
      <c r="G595" s="7" t="s">
        <v>141</v>
      </c>
      <c r="H595" s="7" t="s">
        <v>237</v>
      </c>
      <c r="I595" s="7" t="n">
        <v>8</v>
      </c>
      <c r="J595" s="7" t="s">
        <v>107</v>
      </c>
      <c r="K595" s="7" t="s">
        <v>277</v>
      </c>
      <c r="L595" s="7" t="n">
        <v>6</v>
      </c>
      <c r="M595" s="10" t="b">
        <f aca="false">FALSE()</f>
        <v>0</v>
      </c>
      <c r="N595" s="7" t="s">
        <v>109</v>
      </c>
      <c r="O595" s="7" t="n">
        <v>-32.924723</v>
      </c>
      <c r="P595" s="7" t="n">
        <v>151.788306</v>
      </c>
    </row>
    <row r="596" customFormat="false" ht="15" hidden="false" customHeight="false" outlineLevel="0" collapsed="false">
      <c r="A596" s="7" t="n">
        <v>595</v>
      </c>
      <c r="B596" s="7"/>
      <c r="C596" s="7" t="s">
        <v>821</v>
      </c>
      <c r="D596" s="7" t="n">
        <v>2444</v>
      </c>
      <c r="E596" s="7" t="s">
        <v>50</v>
      </c>
      <c r="F596" s="10" t="b">
        <f aca="false">FALSE()</f>
        <v>0</v>
      </c>
      <c r="G596" s="7" t="s">
        <v>135</v>
      </c>
      <c r="H596" s="7" t="s">
        <v>239</v>
      </c>
      <c r="I596" s="7" t="n">
        <v>2</v>
      </c>
      <c r="J596" s="7" t="s">
        <v>107</v>
      </c>
      <c r="K596" s="7" t="s">
        <v>277</v>
      </c>
      <c r="L596" s="7" t="n">
        <v>6</v>
      </c>
      <c r="M596" s="10" t="b">
        <f aca="false">FALSE()</f>
        <v>0</v>
      </c>
      <c r="N596" s="7" t="s">
        <v>109</v>
      </c>
      <c r="O596" s="7" t="n">
        <v>-31.43106</v>
      </c>
      <c r="P596" s="7" t="n">
        <v>152.919069</v>
      </c>
    </row>
    <row r="597" customFormat="false" ht="15" hidden="false" customHeight="false" outlineLevel="0" collapsed="false">
      <c r="A597" s="7" t="n">
        <v>596</v>
      </c>
      <c r="B597" s="7"/>
      <c r="C597" s="7" t="s">
        <v>822</v>
      </c>
      <c r="D597" s="7" t="n">
        <v>2795</v>
      </c>
      <c r="E597" s="7" t="s">
        <v>50</v>
      </c>
      <c r="F597" s="10" t="b">
        <f aca="false">FALSE()</f>
        <v>0</v>
      </c>
      <c r="G597" s="7" t="s">
        <v>75</v>
      </c>
      <c r="H597" s="7" t="s">
        <v>260</v>
      </c>
      <c r="I597" s="7" t="n">
        <v>2</v>
      </c>
      <c r="J597" s="7" t="s">
        <v>107</v>
      </c>
      <c r="K597" s="7" t="s">
        <v>162</v>
      </c>
      <c r="L597" s="7" t="n">
        <v>20</v>
      </c>
      <c r="M597" s="10" t="b">
        <f aca="false">FALSE()</f>
        <v>0</v>
      </c>
      <c r="N597" s="7" t="s">
        <v>109</v>
      </c>
      <c r="O597" s="7" t="n">
        <v>-33.440074</v>
      </c>
      <c r="P597" s="7" t="n">
        <v>149.562035</v>
      </c>
    </row>
    <row r="598" customFormat="false" ht="15" hidden="false" customHeight="false" outlineLevel="0" collapsed="false">
      <c r="A598" s="7" t="n">
        <v>597</v>
      </c>
      <c r="B598" s="7"/>
      <c r="C598" s="7" t="s">
        <v>823</v>
      </c>
      <c r="D598" s="7" t="n">
        <v>2166</v>
      </c>
      <c r="E598" s="7" t="s">
        <v>50</v>
      </c>
      <c r="F598" s="10" t="b">
        <f aca="false">FALSE()</f>
        <v>0</v>
      </c>
      <c r="G598" s="7" t="s">
        <v>370</v>
      </c>
      <c r="H598" s="7" t="s">
        <v>244</v>
      </c>
      <c r="I598" s="7" t="n">
        <v>4</v>
      </c>
      <c r="J598" s="7" t="s">
        <v>71</v>
      </c>
      <c r="K598" s="7" t="s">
        <v>72</v>
      </c>
      <c r="L598" s="7" t="n">
        <v>50</v>
      </c>
      <c r="M598" s="10" t="b">
        <f aca="false">FALSE()</f>
        <v>0</v>
      </c>
      <c r="N598" s="7" t="s">
        <v>268</v>
      </c>
      <c r="O598" s="7" t="n">
        <v>-33.898778</v>
      </c>
      <c r="P598" s="7" t="n">
        <v>150.919791</v>
      </c>
    </row>
    <row r="599" customFormat="false" ht="15" hidden="false" customHeight="false" outlineLevel="0" collapsed="false">
      <c r="A599" s="7" t="n">
        <v>598</v>
      </c>
      <c r="B599" s="7"/>
      <c r="C599" s="7" t="s">
        <v>824</v>
      </c>
      <c r="D599" s="7" t="n">
        <v>2324</v>
      </c>
      <c r="E599" s="7" t="s">
        <v>50</v>
      </c>
      <c r="F599" s="10" t="b">
        <f aca="false">FALSE()</f>
        <v>0</v>
      </c>
      <c r="G599" s="7" t="s">
        <v>309</v>
      </c>
      <c r="H599" s="7" t="s">
        <v>237</v>
      </c>
      <c r="I599" s="7" t="n">
        <v>6</v>
      </c>
      <c r="J599" s="7" t="s">
        <v>71</v>
      </c>
      <c r="K599" s="7" t="s">
        <v>825</v>
      </c>
      <c r="L599" s="7" t="n">
        <v>185</v>
      </c>
      <c r="M599" s="10" t="b">
        <f aca="false">FALSE()</f>
        <v>0</v>
      </c>
      <c r="N599" s="7" t="s">
        <v>76</v>
      </c>
      <c r="O599" s="7" t="n">
        <v>-32.653851</v>
      </c>
      <c r="P599" s="7" t="n">
        <v>151.962581</v>
      </c>
    </row>
    <row r="600" customFormat="false" ht="15" hidden="false" customHeight="false" outlineLevel="0" collapsed="false">
      <c r="A600" s="7" t="n">
        <v>599</v>
      </c>
      <c r="B600" s="7"/>
      <c r="C600" s="7" t="s">
        <v>826</v>
      </c>
      <c r="D600" s="7" t="n">
        <v>2064</v>
      </c>
      <c r="E600" s="7" t="s">
        <v>50</v>
      </c>
      <c r="F600" s="10" t="b">
        <f aca="false">FALSE()</f>
        <v>0</v>
      </c>
      <c r="G600" s="7" t="s">
        <v>258</v>
      </c>
      <c r="H600" s="7" t="s">
        <v>237</v>
      </c>
      <c r="I600" s="7" t="n">
        <v>2</v>
      </c>
      <c r="J600" s="7" t="s">
        <v>71</v>
      </c>
      <c r="K600" s="7" t="s">
        <v>72</v>
      </c>
      <c r="L600" s="7" t="n">
        <v>50</v>
      </c>
      <c r="M600" s="10" t="b">
        <f aca="false">FALSE()</f>
        <v>0</v>
      </c>
      <c r="N600" s="7" t="s">
        <v>76</v>
      </c>
      <c r="O600" s="7" t="n">
        <v>-33.813914</v>
      </c>
      <c r="P600" s="7" t="n">
        <v>151.177703</v>
      </c>
    </row>
    <row r="601" customFormat="false" ht="15" hidden="false" customHeight="false" outlineLevel="0" collapsed="false">
      <c r="A601" s="7" t="n">
        <v>600</v>
      </c>
      <c r="B601" s="7" t="s">
        <v>89</v>
      </c>
      <c r="C601" s="7" t="s">
        <v>827</v>
      </c>
      <c r="D601" s="7" t="n">
        <v>2711</v>
      </c>
      <c r="E601" s="7" t="s">
        <v>50</v>
      </c>
      <c r="F601" s="10" t="b">
        <f aca="false">FALSE()</f>
        <v>0</v>
      </c>
      <c r="G601" s="7" t="s">
        <v>89</v>
      </c>
      <c r="H601" s="7" t="s">
        <v>260</v>
      </c>
      <c r="I601" s="7" t="n">
        <v>4</v>
      </c>
      <c r="J601" s="7" t="s">
        <v>107</v>
      </c>
      <c r="K601" s="7" t="s">
        <v>107</v>
      </c>
      <c r="L601" s="7"/>
      <c r="M601" s="10" t="b">
        <f aca="false">FALSE()</f>
        <v>0</v>
      </c>
      <c r="N601" s="7" t="s">
        <v>374</v>
      </c>
      <c r="O601" s="7" t="n">
        <v>-34.508956</v>
      </c>
      <c r="P601" s="7" t="n">
        <v>144.842843</v>
      </c>
    </row>
    <row r="602" customFormat="false" ht="15" hidden="false" customHeight="false" outlineLevel="0" collapsed="false">
      <c r="A602" s="7" t="n">
        <v>601</v>
      </c>
      <c r="B602" s="7"/>
      <c r="C602" s="7" t="s">
        <v>828</v>
      </c>
      <c r="D602" s="7" t="n">
        <v>2478</v>
      </c>
      <c r="E602" s="7" t="s">
        <v>50</v>
      </c>
      <c r="F602" s="10" t="b">
        <f aca="false">FALSE()</f>
        <v>0</v>
      </c>
      <c r="G602" s="7" t="s">
        <v>495</v>
      </c>
      <c r="H602" s="7" t="s">
        <v>233</v>
      </c>
      <c r="I602" s="7" t="n">
        <v>2</v>
      </c>
      <c r="J602" s="7" t="s">
        <v>71</v>
      </c>
      <c r="K602" s="7" t="s">
        <v>83</v>
      </c>
      <c r="L602" s="7" t="n">
        <v>75</v>
      </c>
      <c r="M602" s="10" t="b">
        <f aca="false">FALSE()</f>
        <v>0</v>
      </c>
      <c r="N602" s="7" t="s">
        <v>76</v>
      </c>
      <c r="O602" s="7" t="n">
        <v>-28.861617</v>
      </c>
      <c r="P602" s="7" t="n">
        <v>153.516907</v>
      </c>
    </row>
    <row r="603" customFormat="false" ht="15" hidden="false" customHeight="false" outlineLevel="0" collapsed="false">
      <c r="A603" s="7" t="n">
        <v>602</v>
      </c>
      <c r="B603" s="7"/>
      <c r="C603" s="7" t="s">
        <v>829</v>
      </c>
      <c r="D603" s="7" t="n">
        <v>2036</v>
      </c>
      <c r="E603" s="7" t="s">
        <v>50</v>
      </c>
      <c r="F603" s="10" t="b">
        <f aca="false">FALSE()</f>
        <v>0</v>
      </c>
      <c r="G603" s="7" t="s">
        <v>355</v>
      </c>
      <c r="H603" s="7" t="s">
        <v>237</v>
      </c>
      <c r="I603" s="7" t="n">
        <v>2</v>
      </c>
      <c r="J603" s="7" t="s">
        <v>107</v>
      </c>
      <c r="K603" s="7" t="s">
        <v>108</v>
      </c>
      <c r="L603" s="7" t="n">
        <v>22</v>
      </c>
      <c r="M603" s="10" t="b">
        <f aca="false">FALSE()</f>
        <v>0</v>
      </c>
      <c r="N603" s="7" t="s">
        <v>109</v>
      </c>
      <c r="O603" s="7" t="n">
        <v>-33.987069</v>
      </c>
      <c r="P603" s="7" t="n">
        <v>151.232167</v>
      </c>
    </row>
    <row r="604" customFormat="false" ht="15" hidden="false" customHeight="false" outlineLevel="0" collapsed="false">
      <c r="A604" s="7" t="n">
        <v>603</v>
      </c>
      <c r="B604" s="7"/>
      <c r="C604" s="7" t="s">
        <v>830</v>
      </c>
      <c r="D604" s="7" t="n">
        <v>2780</v>
      </c>
      <c r="E604" s="7" t="s">
        <v>50</v>
      </c>
      <c r="F604" s="10" t="b">
        <f aca="false">FALSE()</f>
        <v>0</v>
      </c>
      <c r="G604" s="7" t="s">
        <v>306</v>
      </c>
      <c r="H604" s="7" t="s">
        <v>260</v>
      </c>
      <c r="I604" s="7" t="n">
        <v>4</v>
      </c>
      <c r="J604" s="7" t="s">
        <v>107</v>
      </c>
      <c r="K604" s="7" t="s">
        <v>108</v>
      </c>
      <c r="L604" s="7" t="n">
        <v>22</v>
      </c>
      <c r="M604" s="10" t="b">
        <f aca="false">FALSE()</f>
        <v>0</v>
      </c>
      <c r="N604" s="7" t="s">
        <v>109</v>
      </c>
      <c r="O604" s="7" t="n">
        <v>-33.728013</v>
      </c>
      <c r="P604" s="7" t="n">
        <v>150.300792</v>
      </c>
    </row>
    <row r="605" customFormat="false" ht="15" hidden="false" customHeight="false" outlineLevel="0" collapsed="false">
      <c r="A605" s="7" t="n">
        <v>604</v>
      </c>
      <c r="B605" s="7"/>
      <c r="C605" s="7" t="s">
        <v>831</v>
      </c>
      <c r="D605" s="7" t="n">
        <v>2264</v>
      </c>
      <c r="E605" s="7" t="s">
        <v>50</v>
      </c>
      <c r="F605" s="10" t="b">
        <f aca="false">FALSE()</f>
        <v>0</v>
      </c>
      <c r="G605" s="7" t="s">
        <v>377</v>
      </c>
      <c r="H605" s="7" t="s">
        <v>260</v>
      </c>
      <c r="I605" s="7" t="n">
        <v>1</v>
      </c>
      <c r="J605" s="7" t="s">
        <v>107</v>
      </c>
      <c r="K605" s="7" t="s">
        <v>108</v>
      </c>
      <c r="L605" s="7" t="n">
        <v>22</v>
      </c>
      <c r="M605" s="10" t="b">
        <f aca="false">FALSE()</f>
        <v>0</v>
      </c>
      <c r="N605" s="7" t="s">
        <v>109</v>
      </c>
      <c r="O605" s="7" t="n">
        <v>-33.107395</v>
      </c>
      <c r="P605" s="7" t="n">
        <v>151.487048</v>
      </c>
    </row>
    <row r="606" customFormat="false" ht="15" hidden="false" customHeight="false" outlineLevel="0" collapsed="false">
      <c r="A606" s="7" t="n">
        <v>605</v>
      </c>
      <c r="B606" s="7"/>
      <c r="C606" s="7" t="s">
        <v>832</v>
      </c>
      <c r="D606" s="7" t="n">
        <v>2754</v>
      </c>
      <c r="E606" s="7" t="s">
        <v>50</v>
      </c>
      <c r="F606" s="10" t="b">
        <f aca="false">FALSE()</f>
        <v>0</v>
      </c>
      <c r="G606" s="7" t="s">
        <v>566</v>
      </c>
      <c r="H606" s="7" t="s">
        <v>260</v>
      </c>
      <c r="I606" s="7" t="n">
        <v>2</v>
      </c>
      <c r="J606" s="7" t="s">
        <v>71</v>
      </c>
      <c r="K606" s="7" t="s">
        <v>90</v>
      </c>
      <c r="L606" s="7" t="n">
        <v>180</v>
      </c>
      <c r="M606" s="10" t="b">
        <f aca="false">FALSE()</f>
        <v>0</v>
      </c>
      <c r="N606" s="7" t="s">
        <v>76</v>
      </c>
      <c r="O606" s="7" t="n">
        <v>-33.583286</v>
      </c>
      <c r="P606" s="7" t="n">
        <v>150.700924</v>
      </c>
    </row>
    <row r="607" customFormat="false" ht="15" hidden="false" customHeight="false" outlineLevel="0" collapsed="false">
      <c r="A607" s="7" t="n">
        <v>606</v>
      </c>
      <c r="B607" s="7"/>
      <c r="C607" s="7" t="s">
        <v>833</v>
      </c>
      <c r="D607" s="7" t="n">
        <v>2120</v>
      </c>
      <c r="E607" s="7" t="s">
        <v>50</v>
      </c>
      <c r="F607" s="10" t="b">
        <f aca="false">FALSE()</f>
        <v>0</v>
      </c>
      <c r="G607" s="7" t="s">
        <v>340</v>
      </c>
      <c r="H607" s="7" t="s">
        <v>260</v>
      </c>
      <c r="I607" s="7" t="n">
        <v>2</v>
      </c>
      <c r="J607" s="7" t="s">
        <v>107</v>
      </c>
      <c r="K607" s="7" t="s">
        <v>485</v>
      </c>
      <c r="L607" s="7" t="n">
        <v>11</v>
      </c>
      <c r="M607" s="10" t="b">
        <f aca="false">FALSE()</f>
        <v>0</v>
      </c>
      <c r="N607" s="7" t="s">
        <v>109</v>
      </c>
      <c r="O607" s="7" t="n">
        <v>-33.73726</v>
      </c>
      <c r="P607" s="7" t="n">
        <v>151.071037</v>
      </c>
    </row>
    <row r="608" customFormat="false" ht="15" hidden="false" customHeight="false" outlineLevel="0" collapsed="false">
      <c r="A608" s="7" t="n">
        <v>607</v>
      </c>
      <c r="B608" s="7"/>
      <c r="C608" s="7" t="s">
        <v>834</v>
      </c>
      <c r="D608" s="7" t="n">
        <v>2126</v>
      </c>
      <c r="E608" s="7" t="s">
        <v>50</v>
      </c>
      <c r="F608" s="10" t="b">
        <f aca="false">FALSE()</f>
        <v>0</v>
      </c>
      <c r="G608" s="7" t="s">
        <v>340</v>
      </c>
      <c r="H608" s="7" t="s">
        <v>239</v>
      </c>
      <c r="I608" s="7" t="n">
        <v>2</v>
      </c>
      <c r="J608" s="7" t="s">
        <v>107</v>
      </c>
      <c r="K608" s="7" t="s">
        <v>108</v>
      </c>
      <c r="L608" s="7" t="n">
        <v>22</v>
      </c>
      <c r="M608" s="10" t="b">
        <f aca="false">FALSE()</f>
        <v>0</v>
      </c>
      <c r="N608" s="7" t="s">
        <v>109</v>
      </c>
      <c r="O608" s="7" t="n">
        <v>-33.721145</v>
      </c>
      <c r="P608" s="7" t="n">
        <v>151.04445</v>
      </c>
    </row>
    <row r="609" customFormat="false" ht="15" hidden="false" customHeight="false" outlineLevel="0" collapsed="false">
      <c r="A609" s="7" t="n">
        <v>608</v>
      </c>
      <c r="B609" s="7"/>
      <c r="C609" s="7" t="s">
        <v>835</v>
      </c>
      <c r="D609" s="7" t="n">
        <v>2479</v>
      </c>
      <c r="E609" s="7" t="s">
        <v>50</v>
      </c>
      <c r="F609" s="10" t="b">
        <f aca="false">FALSE()</f>
        <v>0</v>
      </c>
      <c r="G609" s="7" t="s">
        <v>495</v>
      </c>
      <c r="H609" s="7" t="s">
        <v>358</v>
      </c>
      <c r="I609" s="7" t="n">
        <v>2</v>
      </c>
      <c r="J609" s="7" t="s">
        <v>107</v>
      </c>
      <c r="K609" s="7" t="s">
        <v>696</v>
      </c>
      <c r="L609" s="7" t="n">
        <v>3</v>
      </c>
      <c r="M609" s="10" t="b">
        <f aca="false">FALSE()</f>
        <v>0</v>
      </c>
      <c r="N609" s="7" t="s">
        <v>109</v>
      </c>
      <c r="O609" s="7" t="n">
        <v>-28.749797</v>
      </c>
      <c r="P609" s="7" t="n">
        <v>153.534318</v>
      </c>
    </row>
    <row r="610" customFormat="false" ht="15" hidden="false" customHeight="false" outlineLevel="0" collapsed="false">
      <c r="A610" s="7" t="n">
        <v>609</v>
      </c>
      <c r="B610" s="7"/>
      <c r="C610" s="7" t="s">
        <v>836</v>
      </c>
      <c r="D610" s="7" t="n">
        <v>2035</v>
      </c>
      <c r="E610" s="7" t="s">
        <v>50</v>
      </c>
      <c r="F610" s="10" t="b">
        <f aca="false">FALSE()</f>
        <v>0</v>
      </c>
      <c r="G610" s="7" t="s">
        <v>355</v>
      </c>
      <c r="H610" s="7" t="s">
        <v>237</v>
      </c>
      <c r="I610" s="7" t="n">
        <v>8</v>
      </c>
      <c r="J610" s="7" t="s">
        <v>71</v>
      </c>
      <c r="K610" s="7" t="s">
        <v>288</v>
      </c>
      <c r="L610" s="7" t="n">
        <v>25</v>
      </c>
      <c r="M610" s="10" t="b">
        <f aca="false">FALSE()</f>
        <v>0</v>
      </c>
      <c r="N610" s="7" t="s">
        <v>76</v>
      </c>
      <c r="O610" s="7" t="n">
        <v>-33.951396</v>
      </c>
      <c r="P610" s="7" t="n">
        <v>151.232049</v>
      </c>
    </row>
    <row r="611" customFormat="false" ht="15" hidden="false" customHeight="false" outlineLevel="0" collapsed="false">
      <c r="A611" s="7" t="n">
        <v>610</v>
      </c>
      <c r="B611" s="7"/>
      <c r="C611" s="7" t="s">
        <v>837</v>
      </c>
      <c r="D611" s="7" t="n">
        <v>2620</v>
      </c>
      <c r="E611" s="7" t="s">
        <v>50</v>
      </c>
      <c r="F611" s="10" t="b">
        <f aca="false">FALSE()</f>
        <v>0</v>
      </c>
      <c r="G611" s="7" t="s">
        <v>94</v>
      </c>
      <c r="H611" s="7" t="s">
        <v>239</v>
      </c>
      <c r="I611" s="7" t="n">
        <v>1</v>
      </c>
      <c r="J611" s="7" t="s">
        <v>107</v>
      </c>
      <c r="K611" s="7" t="s">
        <v>696</v>
      </c>
      <c r="L611" s="7" t="n">
        <v>3</v>
      </c>
      <c r="M611" s="10" t="b">
        <f aca="false">FALSE()</f>
        <v>0</v>
      </c>
      <c r="N611" s="7" t="s">
        <v>109</v>
      </c>
      <c r="O611" s="7" t="n">
        <v>-35.35578</v>
      </c>
      <c r="P611" s="7" t="n">
        <v>149.304442</v>
      </c>
    </row>
    <row r="612" customFormat="false" ht="15" hidden="false" customHeight="false" outlineLevel="0" collapsed="false">
      <c r="A612" s="7" t="n">
        <v>611</v>
      </c>
      <c r="B612" s="7"/>
      <c r="C612" s="7" t="s">
        <v>838</v>
      </c>
      <c r="D612" s="7" t="n">
        <v>2560</v>
      </c>
      <c r="E612" s="7" t="s">
        <v>50</v>
      </c>
      <c r="F612" s="10" t="b">
        <f aca="false">FALSE()</f>
        <v>0</v>
      </c>
      <c r="G612" s="7" t="s">
        <v>312</v>
      </c>
      <c r="H612" s="7" t="s">
        <v>237</v>
      </c>
      <c r="I612" s="7" t="n">
        <v>4</v>
      </c>
      <c r="J612" s="7" t="s">
        <v>71</v>
      </c>
      <c r="K612" s="7" t="s">
        <v>839</v>
      </c>
      <c r="L612" s="7" t="n">
        <v>200</v>
      </c>
      <c r="M612" s="10" t="b">
        <f aca="false">FALSE()</f>
        <v>0</v>
      </c>
      <c r="N612" s="7" t="s">
        <v>76</v>
      </c>
      <c r="O612" s="7" t="n">
        <v>-34.071617</v>
      </c>
      <c r="P612" s="7" t="n">
        <v>150.805929</v>
      </c>
    </row>
    <row r="613" customFormat="false" ht="15" hidden="false" customHeight="false" outlineLevel="0" collapsed="false">
      <c r="A613" s="7" t="n">
        <v>612</v>
      </c>
      <c r="B613" s="7"/>
      <c r="C613" s="7" t="s">
        <v>840</v>
      </c>
      <c r="D613" s="7" t="n">
        <v>2594</v>
      </c>
      <c r="E613" s="7" t="s">
        <v>50</v>
      </c>
      <c r="F613" s="10" t="b">
        <f aca="false">FALSE()</f>
        <v>0</v>
      </c>
      <c r="G613" s="7" t="s">
        <v>206</v>
      </c>
      <c r="H613" s="7" t="s">
        <v>237</v>
      </c>
      <c r="I613" s="7" t="n">
        <v>4</v>
      </c>
      <c r="J613" s="7" t="s">
        <v>107</v>
      </c>
      <c r="K613" s="7" t="s">
        <v>108</v>
      </c>
      <c r="L613" s="7" t="n">
        <v>22</v>
      </c>
      <c r="M613" s="10" t="b">
        <f aca="false">FALSE()</f>
        <v>0</v>
      </c>
      <c r="N613" s="7" t="s">
        <v>109</v>
      </c>
      <c r="O613" s="7" t="n">
        <v>-34.314604</v>
      </c>
      <c r="P613" s="7" t="n">
        <v>148.296271</v>
      </c>
    </row>
    <row r="614" customFormat="false" ht="15" hidden="false" customHeight="false" outlineLevel="0" collapsed="false">
      <c r="A614" s="7" t="n">
        <v>613</v>
      </c>
      <c r="B614" s="7"/>
      <c r="C614" s="7" t="s">
        <v>841</v>
      </c>
      <c r="D614" s="7" t="n">
        <v>2800</v>
      </c>
      <c r="E614" s="7" t="s">
        <v>50</v>
      </c>
      <c r="F614" s="10" t="b">
        <f aca="false">FALSE()</f>
        <v>0</v>
      </c>
      <c r="G614" s="7" t="s">
        <v>185</v>
      </c>
      <c r="H614" s="7" t="s">
        <v>260</v>
      </c>
      <c r="I614" s="7" t="n">
        <v>1</v>
      </c>
      <c r="J614" s="7" t="s">
        <v>107</v>
      </c>
      <c r="K614" s="7" t="s">
        <v>108</v>
      </c>
      <c r="L614" s="7" t="n">
        <v>22</v>
      </c>
      <c r="M614" s="10" t="b">
        <f aca="false">FALSE()</f>
        <v>0</v>
      </c>
      <c r="N614" s="7" t="s">
        <v>109</v>
      </c>
      <c r="O614" s="7" t="n">
        <v>-33.299077</v>
      </c>
      <c r="P614" s="7" t="n">
        <v>149.019387</v>
      </c>
    </row>
    <row r="615" customFormat="false" ht="15" hidden="false" customHeight="false" outlineLevel="0" collapsed="false">
      <c r="A615" s="7" t="n">
        <v>614</v>
      </c>
      <c r="B615" s="7"/>
      <c r="C615" s="7" t="s">
        <v>842</v>
      </c>
      <c r="D615" s="7" t="n">
        <v>2204</v>
      </c>
      <c r="E615" s="7" t="s">
        <v>50</v>
      </c>
      <c r="F615" s="10" t="b">
        <f aca="false">FALSE()</f>
        <v>0</v>
      </c>
      <c r="G615" s="7" t="s">
        <v>410</v>
      </c>
      <c r="H615" s="7" t="s">
        <v>260</v>
      </c>
      <c r="I615" s="7" t="n">
        <v>2</v>
      </c>
      <c r="J615" s="7" t="s">
        <v>107</v>
      </c>
      <c r="K615" s="7" t="s">
        <v>108</v>
      </c>
      <c r="L615" s="7" t="n">
        <v>22</v>
      </c>
      <c r="M615" s="10" t="b">
        <f aca="false">FALSE()</f>
        <v>0</v>
      </c>
      <c r="N615" s="7" t="s">
        <v>109</v>
      </c>
      <c r="O615" s="7" t="n">
        <v>-33.907996</v>
      </c>
      <c r="P615" s="7" t="n">
        <v>151.156717</v>
      </c>
    </row>
    <row r="616" customFormat="false" ht="15" hidden="false" customHeight="false" outlineLevel="0" collapsed="false">
      <c r="A616" s="7" t="n">
        <v>615</v>
      </c>
      <c r="B616" s="7"/>
      <c r="C616" s="7" t="s">
        <v>843</v>
      </c>
      <c r="D616" s="7" t="n">
        <v>2320</v>
      </c>
      <c r="E616" s="7" t="s">
        <v>50</v>
      </c>
      <c r="F616" s="10" t="b">
        <f aca="false">FALSE()</f>
        <v>0</v>
      </c>
      <c r="G616" s="7" t="s">
        <v>111</v>
      </c>
      <c r="H616" s="7" t="s">
        <v>239</v>
      </c>
      <c r="I616" s="7" t="n">
        <v>2</v>
      </c>
      <c r="J616" s="7" t="s">
        <v>107</v>
      </c>
      <c r="K616" s="7" t="s">
        <v>108</v>
      </c>
      <c r="L616" s="7" t="n">
        <v>22</v>
      </c>
      <c r="M616" s="10" t="b">
        <f aca="false">FALSE()</f>
        <v>0</v>
      </c>
      <c r="N616" s="7" t="s">
        <v>109</v>
      </c>
      <c r="O616" s="7" t="n">
        <v>-32.775648</v>
      </c>
      <c r="P616" s="7" t="n">
        <v>151.299943</v>
      </c>
    </row>
    <row r="617" customFormat="false" ht="15" hidden="false" customHeight="false" outlineLevel="0" collapsed="false">
      <c r="A617" s="7" t="n">
        <v>616</v>
      </c>
      <c r="B617" s="7"/>
      <c r="C617" s="7" t="s">
        <v>844</v>
      </c>
      <c r="D617" s="7" t="n">
        <v>2293</v>
      </c>
      <c r="E617" s="7" t="s">
        <v>50</v>
      </c>
      <c r="F617" s="10" t="b">
        <f aca="false">FALSE()</f>
        <v>0</v>
      </c>
      <c r="G617" s="7" t="s">
        <v>141</v>
      </c>
      <c r="H617" s="7" t="s">
        <v>237</v>
      </c>
      <c r="I617" s="7" t="n">
        <v>2</v>
      </c>
      <c r="J617" s="7" t="s">
        <v>107</v>
      </c>
      <c r="K617" s="7" t="s">
        <v>108</v>
      </c>
      <c r="L617" s="7" t="n">
        <v>22</v>
      </c>
      <c r="M617" s="10" t="b">
        <f aca="false">FALSE()</f>
        <v>0</v>
      </c>
      <c r="N617" s="7" t="s">
        <v>109</v>
      </c>
      <c r="O617" s="7" t="n">
        <v>-32.923022</v>
      </c>
      <c r="P617" s="7" t="n">
        <v>151.757234</v>
      </c>
    </row>
    <row r="618" customFormat="false" ht="15" hidden="false" customHeight="false" outlineLevel="0" collapsed="false">
      <c r="A618" s="7" t="n">
        <v>617</v>
      </c>
      <c r="B618" s="7"/>
      <c r="C618" s="7" t="s">
        <v>845</v>
      </c>
      <c r="D618" s="7" t="n">
        <v>2200</v>
      </c>
      <c r="E618" s="7" t="s">
        <v>50</v>
      </c>
      <c r="F618" s="10" t="b">
        <f aca="false">FALSE()</f>
        <v>0</v>
      </c>
      <c r="G618" s="7" t="s">
        <v>345</v>
      </c>
      <c r="H618" s="7" t="s">
        <v>237</v>
      </c>
      <c r="I618" s="7" t="n">
        <v>4</v>
      </c>
      <c r="J618" s="7" t="s">
        <v>107</v>
      </c>
      <c r="K618" s="7" t="s">
        <v>108</v>
      </c>
      <c r="L618" s="7" t="n">
        <v>22</v>
      </c>
      <c r="M618" s="10" t="b">
        <f aca="false">FALSE()</f>
        <v>0</v>
      </c>
      <c r="N618" s="7" t="s">
        <v>109</v>
      </c>
      <c r="O618" s="7" t="n">
        <v>-33.915106</v>
      </c>
      <c r="P618" s="7" t="n">
        <v>150.993718</v>
      </c>
    </row>
    <row r="619" customFormat="false" ht="15" hidden="false" customHeight="false" outlineLevel="0" collapsed="false">
      <c r="A619" s="7" t="n">
        <v>618</v>
      </c>
      <c r="B619" s="7"/>
      <c r="C619" s="7" t="s">
        <v>846</v>
      </c>
      <c r="D619" s="7" t="n">
        <v>2325</v>
      </c>
      <c r="E619" s="7" t="s">
        <v>50</v>
      </c>
      <c r="F619" s="10" t="b">
        <f aca="false">FALSE()</f>
        <v>0</v>
      </c>
      <c r="G619" s="7" t="s">
        <v>111</v>
      </c>
      <c r="H619" s="7" t="s">
        <v>260</v>
      </c>
      <c r="I619" s="7" t="n">
        <v>5</v>
      </c>
      <c r="J619" s="7" t="s">
        <v>107</v>
      </c>
      <c r="K619" s="7" t="s">
        <v>108</v>
      </c>
      <c r="L619" s="7" t="n">
        <v>22</v>
      </c>
      <c r="M619" s="10" t="b">
        <f aca="false">FALSE()</f>
        <v>0</v>
      </c>
      <c r="N619" s="7" t="s">
        <v>109</v>
      </c>
      <c r="O619" s="7" t="n">
        <v>-32.781576</v>
      </c>
      <c r="P619" s="7" t="n">
        <v>151.349095</v>
      </c>
    </row>
    <row r="620" customFormat="false" ht="15" hidden="false" customHeight="false" outlineLevel="0" collapsed="false">
      <c r="A620" s="7" t="n">
        <v>619</v>
      </c>
      <c r="B620" s="7"/>
      <c r="C620" s="7" t="s">
        <v>847</v>
      </c>
      <c r="D620" s="7" t="n">
        <v>2850</v>
      </c>
      <c r="E620" s="7" t="s">
        <v>50</v>
      </c>
      <c r="F620" s="10" t="b">
        <f aca="false">FALSE()</f>
        <v>0</v>
      </c>
      <c r="G620" s="7" t="s">
        <v>199</v>
      </c>
      <c r="H620" s="7" t="s">
        <v>239</v>
      </c>
      <c r="I620" s="7" t="n">
        <v>1</v>
      </c>
      <c r="J620" s="7" t="s">
        <v>107</v>
      </c>
      <c r="K620" s="7" t="s">
        <v>108</v>
      </c>
      <c r="L620" s="7" t="n">
        <v>22</v>
      </c>
      <c r="M620" s="10" t="b">
        <f aca="false">FALSE()</f>
        <v>0</v>
      </c>
      <c r="N620" s="7" t="s">
        <v>109</v>
      </c>
      <c r="O620" s="7" t="n">
        <v>-32.563097</v>
      </c>
      <c r="P620" s="7" t="n">
        <v>149.620316</v>
      </c>
    </row>
    <row r="621" customFormat="false" ht="15" hidden="false" customHeight="false" outlineLevel="0" collapsed="false">
      <c r="A621" s="7" t="n">
        <v>620</v>
      </c>
      <c r="B621" s="7"/>
      <c r="C621" s="7" t="s">
        <v>848</v>
      </c>
      <c r="D621" s="7" t="n">
        <v>2478</v>
      </c>
      <c r="E621" s="7" t="s">
        <v>50</v>
      </c>
      <c r="F621" s="10" t="b">
        <f aca="false">FALSE()</f>
        <v>0</v>
      </c>
      <c r="G621" s="7" t="s">
        <v>495</v>
      </c>
      <c r="H621" s="7" t="s">
        <v>237</v>
      </c>
      <c r="I621" s="7" t="n">
        <v>4</v>
      </c>
      <c r="J621" s="7" t="s">
        <v>71</v>
      </c>
      <c r="K621" s="7" t="s">
        <v>438</v>
      </c>
      <c r="L621" s="7" t="n">
        <v>120</v>
      </c>
      <c r="M621" s="10" t="b">
        <f aca="false">FALSE()</f>
        <v>0</v>
      </c>
      <c r="N621" s="7" t="s">
        <v>76</v>
      </c>
      <c r="O621" s="7" t="n">
        <v>-28.857439</v>
      </c>
      <c r="P621" s="7" t="n">
        <v>153.561405</v>
      </c>
    </row>
    <row r="622" customFormat="false" ht="15" hidden="false" customHeight="false" outlineLevel="0" collapsed="false">
      <c r="A622" s="7" t="n">
        <v>621</v>
      </c>
      <c r="B622" s="7"/>
      <c r="C622" s="7" t="s">
        <v>849</v>
      </c>
      <c r="D622" s="7" t="n">
        <v>2209</v>
      </c>
      <c r="E622" s="7" t="s">
        <v>50</v>
      </c>
      <c r="F622" s="10" t="b">
        <f aca="false">FALSE()</f>
        <v>0</v>
      </c>
      <c r="G622" s="7" t="s">
        <v>293</v>
      </c>
      <c r="H622" s="7" t="s">
        <v>287</v>
      </c>
      <c r="I622" s="7" t="n">
        <v>2</v>
      </c>
      <c r="J622" s="7" t="s">
        <v>71</v>
      </c>
      <c r="K622" s="7" t="s">
        <v>288</v>
      </c>
      <c r="L622" s="7" t="n">
        <v>25</v>
      </c>
      <c r="M622" s="10" t="b">
        <f aca="false">FALSE()</f>
        <v>0</v>
      </c>
      <c r="N622" s="7" t="s">
        <v>76</v>
      </c>
      <c r="O622" s="7" t="n">
        <v>-33.948417</v>
      </c>
      <c r="P622" s="7" t="n">
        <v>151.071083</v>
      </c>
    </row>
    <row r="623" customFormat="false" ht="15" hidden="false" customHeight="false" outlineLevel="0" collapsed="false">
      <c r="A623" s="7" t="n">
        <v>622</v>
      </c>
      <c r="B623" s="7"/>
      <c r="C623" s="7" t="s">
        <v>850</v>
      </c>
      <c r="D623" s="7" t="n">
        <v>2478</v>
      </c>
      <c r="E623" s="7" t="s">
        <v>50</v>
      </c>
      <c r="F623" s="10" t="b">
        <f aca="false">FALSE()</f>
        <v>0</v>
      </c>
      <c r="G623" s="7" t="s">
        <v>495</v>
      </c>
      <c r="H623" s="7" t="s">
        <v>302</v>
      </c>
      <c r="I623" s="7" t="n">
        <v>2</v>
      </c>
      <c r="J623" s="7" t="s">
        <v>107</v>
      </c>
      <c r="K623" s="7" t="s">
        <v>108</v>
      </c>
      <c r="L623" s="7" t="n">
        <v>22</v>
      </c>
      <c r="M623" s="10" t="b">
        <f aca="false">FALSE()</f>
        <v>0</v>
      </c>
      <c r="N623" s="7" t="s">
        <v>109</v>
      </c>
      <c r="O623" s="7" t="n">
        <v>-28.868951</v>
      </c>
      <c r="P623" s="7" t="n">
        <v>153.562225</v>
      </c>
    </row>
    <row r="624" customFormat="false" ht="15" hidden="false" customHeight="false" outlineLevel="0" collapsed="false">
      <c r="A624" s="7" t="n">
        <v>623</v>
      </c>
      <c r="B624" s="7"/>
      <c r="C624" s="7" t="s">
        <v>851</v>
      </c>
      <c r="D624" s="7" t="n">
        <v>2153</v>
      </c>
      <c r="E624" s="7" t="s">
        <v>50</v>
      </c>
      <c r="F624" s="10" t="b">
        <f aca="false">FALSE()</f>
        <v>0</v>
      </c>
      <c r="G624" s="7" t="s">
        <v>299</v>
      </c>
      <c r="H624" s="7" t="s">
        <v>260</v>
      </c>
      <c r="I624" s="7" t="n">
        <v>2</v>
      </c>
      <c r="J624" s="7" t="s">
        <v>107</v>
      </c>
      <c r="K624" s="7" t="s">
        <v>277</v>
      </c>
      <c r="L624" s="7" t="n">
        <v>6</v>
      </c>
      <c r="M624" s="10" t="b">
        <f aca="false">FALSE()</f>
        <v>0</v>
      </c>
      <c r="N624" s="7" t="s">
        <v>109</v>
      </c>
      <c r="O624" s="7" t="n">
        <v>-33.744769</v>
      </c>
      <c r="P624" s="7" t="n">
        <v>150.991539</v>
      </c>
    </row>
    <row r="625" customFormat="false" ht="15" hidden="false" customHeight="false" outlineLevel="0" collapsed="false">
      <c r="A625" s="7" t="n">
        <v>624</v>
      </c>
      <c r="B625" s="7"/>
      <c r="C625" s="7" t="s">
        <v>852</v>
      </c>
      <c r="D625" s="7" t="n">
        <v>2480</v>
      </c>
      <c r="E625" s="7" t="s">
        <v>50</v>
      </c>
      <c r="F625" s="10" t="b">
        <f aca="false">FALSE()</f>
        <v>0</v>
      </c>
      <c r="G625" s="7" t="s">
        <v>655</v>
      </c>
      <c r="H625" s="7" t="s">
        <v>237</v>
      </c>
      <c r="I625" s="7" t="n">
        <v>2</v>
      </c>
      <c r="J625" s="7" t="s">
        <v>71</v>
      </c>
      <c r="K625" s="7" t="s">
        <v>83</v>
      </c>
      <c r="L625" s="7" t="n">
        <v>75</v>
      </c>
      <c r="M625" s="10" t="b">
        <f aca="false">FALSE()</f>
        <v>0</v>
      </c>
      <c r="N625" s="7" t="s">
        <v>76</v>
      </c>
      <c r="O625" s="7" t="n">
        <v>-28.806549</v>
      </c>
      <c r="P625" s="7" t="n">
        <v>153.278638</v>
      </c>
    </row>
    <row r="626" customFormat="false" ht="15" hidden="false" customHeight="false" outlineLevel="0" collapsed="false">
      <c r="A626" s="7" t="n">
        <v>625</v>
      </c>
      <c r="B626" s="7"/>
      <c r="C626" s="7" t="s">
        <v>853</v>
      </c>
      <c r="D626" s="7" t="n">
        <v>2293</v>
      </c>
      <c r="E626" s="7" t="s">
        <v>50</v>
      </c>
      <c r="F626" s="10" t="b">
        <f aca="false">FALSE()</f>
        <v>0</v>
      </c>
      <c r="G626" s="7" t="s">
        <v>141</v>
      </c>
      <c r="H626" s="7" t="s">
        <v>237</v>
      </c>
      <c r="I626" s="7" t="n">
        <v>2</v>
      </c>
      <c r="J626" s="7" t="s">
        <v>107</v>
      </c>
      <c r="K626" s="7" t="s">
        <v>108</v>
      </c>
      <c r="L626" s="7" t="n">
        <v>22</v>
      </c>
      <c r="M626" s="10" t="b">
        <f aca="false">FALSE()</f>
        <v>0</v>
      </c>
      <c r="N626" s="7" t="s">
        <v>557</v>
      </c>
      <c r="O626" s="7" t="n">
        <v>-32.923023</v>
      </c>
      <c r="P626" s="7" t="n">
        <v>151.757234</v>
      </c>
    </row>
    <row r="627" customFormat="false" ht="15" hidden="false" customHeight="false" outlineLevel="0" collapsed="false">
      <c r="A627" s="7" t="n">
        <v>626</v>
      </c>
      <c r="B627" s="7"/>
      <c r="C627" s="7" t="s">
        <v>854</v>
      </c>
      <c r="D627" s="7" t="n">
        <v>2640</v>
      </c>
      <c r="E627" s="7" t="s">
        <v>50</v>
      </c>
      <c r="F627" s="10" t="b">
        <f aca="false">FALSE()</f>
        <v>0</v>
      </c>
      <c r="G627" s="7" t="s">
        <v>194</v>
      </c>
      <c r="H627" s="7" t="s">
        <v>260</v>
      </c>
      <c r="I627" s="7" t="n">
        <v>4</v>
      </c>
      <c r="J627" s="7" t="s">
        <v>107</v>
      </c>
      <c r="K627" s="7" t="s">
        <v>108</v>
      </c>
      <c r="L627" s="7" t="n">
        <v>22</v>
      </c>
      <c r="M627" s="10" t="b">
        <f aca="false">FALSE()</f>
        <v>0</v>
      </c>
      <c r="N627" s="7" t="s">
        <v>109</v>
      </c>
      <c r="O627" s="7" t="n">
        <v>-36.080636</v>
      </c>
      <c r="P627" s="7" t="n">
        <v>146.92161</v>
      </c>
    </row>
    <row r="628" customFormat="false" ht="15" hidden="false" customHeight="false" outlineLevel="0" collapsed="false">
      <c r="A628" s="7" t="n">
        <v>627</v>
      </c>
      <c r="B628" s="7"/>
      <c r="C628" s="7" t="s">
        <v>855</v>
      </c>
      <c r="D628" s="7" t="n">
        <v>2234</v>
      </c>
      <c r="E628" s="7" t="s">
        <v>50</v>
      </c>
      <c r="F628" s="10" t="b">
        <f aca="false">FALSE()</f>
        <v>0</v>
      </c>
      <c r="G628" s="7" t="s">
        <v>628</v>
      </c>
      <c r="H628" s="7" t="s">
        <v>260</v>
      </c>
      <c r="I628" s="7" t="n">
        <v>2</v>
      </c>
      <c r="J628" s="7" t="s">
        <v>107</v>
      </c>
      <c r="K628" s="7" t="s">
        <v>108</v>
      </c>
      <c r="L628" s="7" t="n">
        <v>22</v>
      </c>
      <c r="M628" s="10" t="b">
        <f aca="false">FALSE()</f>
        <v>0</v>
      </c>
      <c r="N628" s="7" t="s">
        <v>109</v>
      </c>
      <c r="O628" s="7" t="n">
        <v>-34.013646</v>
      </c>
      <c r="P628" s="7" t="n">
        <v>151.017104</v>
      </c>
    </row>
    <row r="629" customFormat="false" ht="15" hidden="false" customHeight="false" outlineLevel="0" collapsed="false">
      <c r="A629" s="7" t="n">
        <v>628</v>
      </c>
      <c r="B629" s="7"/>
      <c r="C629" s="7" t="s">
        <v>856</v>
      </c>
      <c r="D629" s="7" t="n">
        <v>2769</v>
      </c>
      <c r="E629" s="7" t="s">
        <v>50</v>
      </c>
      <c r="F629" s="10" t="b">
        <f aca="false">FALSE()</f>
        <v>0</v>
      </c>
      <c r="G629" s="7" t="s">
        <v>232</v>
      </c>
      <c r="H629" s="7" t="s">
        <v>237</v>
      </c>
      <c r="I629" s="7" t="n">
        <v>1</v>
      </c>
      <c r="J629" s="7" t="s">
        <v>107</v>
      </c>
      <c r="K629" s="7" t="s">
        <v>277</v>
      </c>
      <c r="L629" s="7" t="n">
        <v>6</v>
      </c>
      <c r="M629" s="10" t="b">
        <f aca="false">FALSE()</f>
        <v>0</v>
      </c>
      <c r="N629" s="7" t="s">
        <v>109</v>
      </c>
      <c r="O629" s="7" t="n">
        <v>-33.705889</v>
      </c>
      <c r="P629" s="7" t="n">
        <v>150.910428</v>
      </c>
    </row>
    <row r="630" customFormat="false" ht="15" hidden="false" customHeight="false" outlineLevel="0" collapsed="false">
      <c r="A630" s="7" t="n">
        <v>629</v>
      </c>
      <c r="B630" s="7"/>
      <c r="C630" s="7" t="s">
        <v>857</v>
      </c>
      <c r="D630" s="7" t="n">
        <v>2250</v>
      </c>
      <c r="E630" s="7" t="s">
        <v>50</v>
      </c>
      <c r="F630" s="10" t="b">
        <f aca="false">FALSE()</f>
        <v>0</v>
      </c>
      <c r="G630" s="7" t="s">
        <v>276</v>
      </c>
      <c r="H630" s="7" t="s">
        <v>260</v>
      </c>
      <c r="I630" s="7" t="n">
        <v>1</v>
      </c>
      <c r="J630" s="7" t="s">
        <v>107</v>
      </c>
      <c r="K630" s="7" t="s">
        <v>108</v>
      </c>
      <c r="L630" s="7" t="n">
        <v>22</v>
      </c>
      <c r="M630" s="10" t="b">
        <f aca="false">FALSE()</f>
        <v>0</v>
      </c>
      <c r="N630" s="7" t="s">
        <v>109</v>
      </c>
      <c r="O630" s="7" t="n">
        <v>-33.394256</v>
      </c>
      <c r="P630" s="7" t="n">
        <v>151.32835</v>
      </c>
    </row>
    <row r="631" customFormat="false" ht="15" hidden="false" customHeight="false" outlineLevel="0" collapsed="false">
      <c r="A631" s="7" t="n">
        <v>630</v>
      </c>
      <c r="B631" s="7"/>
      <c r="C631" s="7" t="s">
        <v>858</v>
      </c>
      <c r="D631" s="7" t="n">
        <v>2000</v>
      </c>
      <c r="E631" s="7" t="s">
        <v>50</v>
      </c>
      <c r="F631" s="10" t="b">
        <f aca="false">FALSE()</f>
        <v>0</v>
      </c>
      <c r="G631" s="7" t="s">
        <v>182</v>
      </c>
      <c r="H631" s="7" t="s">
        <v>239</v>
      </c>
      <c r="I631" s="7" t="n">
        <v>2</v>
      </c>
      <c r="J631" s="7" t="s">
        <v>107</v>
      </c>
      <c r="K631" s="7" t="s">
        <v>108</v>
      </c>
      <c r="L631" s="7" t="n">
        <v>22</v>
      </c>
      <c r="M631" s="10" t="b">
        <f aca="false">FALSE()</f>
        <v>0</v>
      </c>
      <c r="N631" s="7" t="s">
        <v>109</v>
      </c>
      <c r="O631" s="7" t="n">
        <v>-33.871257</v>
      </c>
      <c r="P631" s="7" t="n">
        <v>151.206304</v>
      </c>
    </row>
    <row r="632" customFormat="false" ht="15" hidden="false" customHeight="false" outlineLevel="0" collapsed="false">
      <c r="A632" s="7" t="n">
        <v>631</v>
      </c>
      <c r="B632" s="7"/>
      <c r="C632" s="7" t="s">
        <v>858</v>
      </c>
      <c r="D632" s="7" t="n">
        <v>2000</v>
      </c>
      <c r="E632" s="7" t="s">
        <v>50</v>
      </c>
      <c r="F632" s="10" t="b">
        <f aca="false">FALSE()</f>
        <v>0</v>
      </c>
      <c r="G632" s="7" t="s">
        <v>182</v>
      </c>
      <c r="H632" s="7" t="s">
        <v>260</v>
      </c>
      <c r="I632" s="7" t="n">
        <v>2</v>
      </c>
      <c r="J632" s="7" t="s">
        <v>71</v>
      </c>
      <c r="K632" s="7" t="s">
        <v>190</v>
      </c>
      <c r="L632" s="7" t="n">
        <v>60</v>
      </c>
      <c r="M632" s="10" t="b">
        <f aca="false">FALSE()</f>
        <v>0</v>
      </c>
      <c r="N632" s="7" t="s">
        <v>76</v>
      </c>
      <c r="O632" s="7" t="n">
        <v>-33.871524</v>
      </c>
      <c r="P632" s="7" t="n">
        <v>151.206702</v>
      </c>
    </row>
    <row r="633" customFormat="false" ht="15" hidden="false" customHeight="false" outlineLevel="0" collapsed="false">
      <c r="A633" s="7" t="n">
        <v>632</v>
      </c>
      <c r="B633" s="7"/>
      <c r="C633" s="7" t="s">
        <v>859</v>
      </c>
      <c r="D633" s="7" t="n">
        <v>2031</v>
      </c>
      <c r="E633" s="7" t="s">
        <v>50</v>
      </c>
      <c r="F633" s="10" t="b">
        <f aca="false">FALSE()</f>
        <v>0</v>
      </c>
      <c r="G633" s="7" t="s">
        <v>355</v>
      </c>
      <c r="H633" s="7" t="s">
        <v>260</v>
      </c>
      <c r="I633" s="7" t="n">
        <v>1</v>
      </c>
      <c r="J633" s="7" t="s">
        <v>107</v>
      </c>
      <c r="K633" s="7" t="s">
        <v>108</v>
      </c>
      <c r="L633" s="7" t="n">
        <v>22</v>
      </c>
      <c r="M633" s="10" t="b">
        <f aca="false">FALSE()</f>
        <v>0</v>
      </c>
      <c r="N633" s="7" t="s">
        <v>109</v>
      </c>
      <c r="O633" s="7" t="n">
        <v>-33.912016</v>
      </c>
      <c r="P633" s="7" t="n">
        <v>151.245013</v>
      </c>
    </row>
    <row r="634" customFormat="false" ht="15" hidden="false" customHeight="false" outlineLevel="0" collapsed="false">
      <c r="A634" s="7" t="n">
        <v>633</v>
      </c>
      <c r="B634" s="7"/>
      <c r="C634" s="7" t="s">
        <v>860</v>
      </c>
      <c r="D634" s="7" t="n">
        <v>2067</v>
      </c>
      <c r="E634" s="7" t="s">
        <v>50</v>
      </c>
      <c r="F634" s="10" t="b">
        <f aca="false">FALSE()</f>
        <v>0</v>
      </c>
      <c r="G634" s="7" t="s">
        <v>258</v>
      </c>
      <c r="H634" s="7" t="s">
        <v>861</v>
      </c>
      <c r="I634" s="7" t="n">
        <v>1</v>
      </c>
      <c r="J634" s="7" t="s">
        <v>107</v>
      </c>
      <c r="K634" s="7" t="s">
        <v>485</v>
      </c>
      <c r="L634" s="7" t="n">
        <v>11</v>
      </c>
      <c r="M634" s="10" t="b">
        <f aca="false">FALSE()</f>
        <v>0</v>
      </c>
      <c r="N634" s="7" t="s">
        <v>109</v>
      </c>
      <c r="O634" s="7" t="n">
        <v>-33.795636</v>
      </c>
      <c r="P634" s="7" t="n">
        <v>151.188112</v>
      </c>
    </row>
    <row r="635" customFormat="false" ht="15" hidden="false" customHeight="false" outlineLevel="0" collapsed="false">
      <c r="A635" s="7" t="n">
        <v>634</v>
      </c>
      <c r="B635" s="7"/>
      <c r="C635" s="7" t="s">
        <v>862</v>
      </c>
      <c r="D635" s="7" t="n">
        <v>2783</v>
      </c>
      <c r="E635" s="7" t="s">
        <v>50</v>
      </c>
      <c r="F635" s="10" t="b">
        <f aca="false">FALSE()</f>
        <v>0</v>
      </c>
      <c r="G635" s="7" t="s">
        <v>306</v>
      </c>
      <c r="H635" s="7" t="s">
        <v>244</v>
      </c>
      <c r="I635" s="7" t="n">
        <v>4</v>
      </c>
      <c r="J635" s="7" t="s">
        <v>71</v>
      </c>
      <c r="K635" s="7" t="s">
        <v>72</v>
      </c>
      <c r="L635" s="7" t="n">
        <v>50</v>
      </c>
      <c r="M635" s="10" t="b">
        <f aca="false">FALSE()</f>
        <v>0</v>
      </c>
      <c r="N635" s="7" t="s">
        <v>268</v>
      </c>
      <c r="O635" s="7" t="n">
        <v>-33.720695</v>
      </c>
      <c r="P635" s="7" t="n">
        <v>150.429727</v>
      </c>
    </row>
    <row r="636" customFormat="false" ht="15" hidden="false" customHeight="false" outlineLevel="0" collapsed="false">
      <c r="A636" s="7" t="n">
        <v>635</v>
      </c>
      <c r="B636" s="7"/>
      <c r="C636" s="7" t="s">
        <v>863</v>
      </c>
      <c r="D636" s="7" t="n">
        <v>2085</v>
      </c>
      <c r="E636" s="7" t="s">
        <v>50</v>
      </c>
      <c r="F636" s="10" t="b">
        <f aca="false">FALSE()</f>
        <v>0</v>
      </c>
      <c r="G636" s="7" t="s">
        <v>286</v>
      </c>
      <c r="H636" s="7" t="s">
        <v>244</v>
      </c>
      <c r="I636" s="7" t="n">
        <v>4</v>
      </c>
      <c r="J636" s="7" t="s">
        <v>71</v>
      </c>
      <c r="K636" s="7" t="s">
        <v>72</v>
      </c>
      <c r="L636" s="7" t="n">
        <v>50</v>
      </c>
      <c r="M636" s="10" t="b">
        <f aca="false">FALSE()</f>
        <v>0</v>
      </c>
      <c r="N636" s="7" t="s">
        <v>268</v>
      </c>
      <c r="O636" s="7" t="n">
        <v>-33.703313</v>
      </c>
      <c r="P636" s="7" t="n">
        <v>151.213158</v>
      </c>
    </row>
    <row r="637" customFormat="false" ht="15" hidden="false" customHeight="false" outlineLevel="0" collapsed="false">
      <c r="A637" s="7" t="n">
        <v>636</v>
      </c>
      <c r="B637" s="7"/>
      <c r="C637" s="7" t="s">
        <v>864</v>
      </c>
      <c r="D637" s="7" t="n">
        <v>2785</v>
      </c>
      <c r="E637" s="7" t="s">
        <v>50</v>
      </c>
      <c r="F637" s="10" t="b">
        <f aca="false">FALSE()</f>
        <v>0</v>
      </c>
      <c r="G637" s="7" t="s">
        <v>306</v>
      </c>
      <c r="H637" s="7" t="s">
        <v>237</v>
      </c>
      <c r="I637" s="7" t="n">
        <v>1</v>
      </c>
      <c r="J637" s="7" t="s">
        <v>107</v>
      </c>
      <c r="K637" s="7" t="s">
        <v>108</v>
      </c>
      <c r="L637" s="7" t="n">
        <v>22</v>
      </c>
      <c r="M637" s="10" t="b">
        <f aca="false">FALSE()</f>
        <v>0</v>
      </c>
      <c r="N637" s="7" t="s">
        <v>109</v>
      </c>
      <c r="O637" s="7" t="n">
        <v>-33.691116</v>
      </c>
      <c r="P637" s="7" t="n">
        <v>150.248682</v>
      </c>
    </row>
    <row r="638" customFormat="false" ht="15" hidden="false" customHeight="false" outlineLevel="0" collapsed="false">
      <c r="A638" s="7" t="n">
        <v>637</v>
      </c>
      <c r="B638" s="7"/>
      <c r="C638" s="7" t="s">
        <v>865</v>
      </c>
      <c r="D638" s="7" t="n">
        <v>2629</v>
      </c>
      <c r="E638" s="7" t="s">
        <v>50</v>
      </c>
      <c r="F638" s="10" t="b">
        <f aca="false">FALSE()</f>
        <v>0</v>
      </c>
      <c r="G638" s="7" t="s">
        <v>177</v>
      </c>
      <c r="H638" s="7" t="s">
        <v>239</v>
      </c>
      <c r="I638" s="7" t="n">
        <v>5</v>
      </c>
      <c r="J638" s="7" t="s">
        <v>107</v>
      </c>
      <c r="K638" s="7" t="s">
        <v>866</v>
      </c>
      <c r="L638" s="7" t="n">
        <v>5</v>
      </c>
      <c r="M638" s="10" t="b">
        <f aca="false">FALSE()</f>
        <v>0</v>
      </c>
      <c r="N638" s="7" t="s">
        <v>109</v>
      </c>
      <c r="O638" s="7" t="n">
        <v>-35.942066</v>
      </c>
      <c r="P638" s="7" t="n">
        <v>148.627212</v>
      </c>
    </row>
    <row r="639" customFormat="false" ht="15" hidden="false" customHeight="false" outlineLevel="0" collapsed="false">
      <c r="A639" s="7" t="n">
        <v>638</v>
      </c>
      <c r="B639" s="7"/>
      <c r="C639" s="7" t="s">
        <v>867</v>
      </c>
      <c r="D639" s="7" t="n">
        <v>2111</v>
      </c>
      <c r="E639" s="7" t="s">
        <v>50</v>
      </c>
      <c r="F639" s="10" t="b">
        <f aca="false">FALSE()</f>
        <v>0</v>
      </c>
      <c r="G639" s="7" t="s">
        <v>364</v>
      </c>
      <c r="H639" s="7" t="s">
        <v>260</v>
      </c>
      <c r="I639" s="7" t="n">
        <v>2</v>
      </c>
      <c r="J639" s="7" t="s">
        <v>71</v>
      </c>
      <c r="K639" s="7" t="s">
        <v>438</v>
      </c>
      <c r="L639" s="7" t="n">
        <v>120</v>
      </c>
      <c r="M639" s="10" t="b">
        <f aca="false">FALSE()</f>
        <v>0</v>
      </c>
      <c r="N639" s="7" t="s">
        <v>76</v>
      </c>
      <c r="O639" s="7" t="n">
        <v>-33.820859</v>
      </c>
      <c r="P639" s="7" t="n">
        <v>151.121011</v>
      </c>
    </row>
    <row r="640" customFormat="false" ht="15" hidden="false" customHeight="false" outlineLevel="0" collapsed="false">
      <c r="A640" s="7" t="n">
        <v>639</v>
      </c>
      <c r="B640" s="7"/>
      <c r="C640" s="7" t="s">
        <v>868</v>
      </c>
      <c r="D640" s="7" t="n">
        <v>2200</v>
      </c>
      <c r="E640" s="7" t="s">
        <v>50</v>
      </c>
      <c r="F640" s="10" t="b">
        <f aca="false">FALSE()</f>
        <v>0</v>
      </c>
      <c r="G640" s="7" t="s">
        <v>345</v>
      </c>
      <c r="H640" s="7" t="s">
        <v>239</v>
      </c>
      <c r="I640" s="7" t="n">
        <v>2</v>
      </c>
      <c r="J640" s="7" t="s">
        <v>107</v>
      </c>
      <c r="K640" s="7" t="s">
        <v>108</v>
      </c>
      <c r="L640" s="7" t="n">
        <v>22</v>
      </c>
      <c r="M640" s="10" t="b">
        <f aca="false">FALSE()</f>
        <v>0</v>
      </c>
      <c r="N640" s="7" t="s">
        <v>109</v>
      </c>
      <c r="O640" s="7" t="n">
        <v>-33.913259</v>
      </c>
      <c r="P640" s="7" t="n">
        <v>151.033471</v>
      </c>
    </row>
    <row r="641" customFormat="false" ht="15" hidden="false" customHeight="false" outlineLevel="0" collapsed="false">
      <c r="A641" s="7" t="n">
        <v>640</v>
      </c>
      <c r="B641" s="7"/>
      <c r="C641" s="7" t="s">
        <v>869</v>
      </c>
      <c r="D641" s="7" t="n">
        <v>2790</v>
      </c>
      <c r="E641" s="7" t="s">
        <v>50</v>
      </c>
      <c r="F641" s="10" t="b">
        <f aca="false">FALSE()</f>
        <v>0</v>
      </c>
      <c r="G641" s="7" t="s">
        <v>870</v>
      </c>
      <c r="H641" s="7" t="s">
        <v>239</v>
      </c>
      <c r="I641" s="7" t="n">
        <v>2</v>
      </c>
      <c r="J641" s="7" t="s">
        <v>107</v>
      </c>
      <c r="K641" s="7" t="s">
        <v>240</v>
      </c>
      <c r="L641" s="7" t="n">
        <v>19</v>
      </c>
      <c r="M641" s="10" t="b">
        <f aca="false">FALSE()</f>
        <v>0</v>
      </c>
      <c r="N641" s="7" t="s">
        <v>109</v>
      </c>
      <c r="O641" s="7" t="n">
        <v>-33.821464</v>
      </c>
      <c r="P641" s="7" t="n">
        <v>150.021679</v>
      </c>
    </row>
    <row r="642" customFormat="false" ht="15" hidden="false" customHeight="false" outlineLevel="0" collapsed="false">
      <c r="A642" s="7" t="n">
        <v>641</v>
      </c>
      <c r="B642" s="7"/>
      <c r="C642" s="7" t="s">
        <v>871</v>
      </c>
      <c r="D642" s="7" t="n">
        <v>2527</v>
      </c>
      <c r="E642" s="7" t="s">
        <v>50</v>
      </c>
      <c r="F642" s="10" t="b">
        <f aca="false">FALSE()</f>
        <v>0</v>
      </c>
      <c r="G642" s="7" t="s">
        <v>316</v>
      </c>
      <c r="H642" s="7" t="s">
        <v>529</v>
      </c>
      <c r="I642" s="7" t="n">
        <v>1</v>
      </c>
      <c r="J642" s="7" t="s">
        <v>107</v>
      </c>
      <c r="K642" s="7" t="s">
        <v>108</v>
      </c>
      <c r="L642" s="7" t="n">
        <v>22</v>
      </c>
      <c r="M642" s="10" t="b">
        <f aca="false">FALSE()</f>
        <v>0</v>
      </c>
      <c r="N642" s="7" t="s">
        <v>109</v>
      </c>
      <c r="O642" s="7" t="n">
        <v>-34.5611</v>
      </c>
      <c r="P642" s="7" t="n">
        <v>150.79104</v>
      </c>
    </row>
    <row r="643" customFormat="false" ht="15" hidden="false" customHeight="false" outlineLevel="0" collapsed="false">
      <c r="A643" s="7" t="n">
        <v>642</v>
      </c>
      <c r="B643" s="7"/>
      <c r="C643" s="7" t="s">
        <v>872</v>
      </c>
      <c r="D643" s="7" t="n">
        <v>2066</v>
      </c>
      <c r="E643" s="7" t="s">
        <v>50</v>
      </c>
      <c r="F643" s="10" t="b">
        <f aca="false">FALSE()</f>
        <v>0</v>
      </c>
      <c r="G643" s="7" t="s">
        <v>389</v>
      </c>
      <c r="H643" s="7" t="s">
        <v>287</v>
      </c>
      <c r="I643" s="7" t="n">
        <v>2</v>
      </c>
      <c r="J643" s="7" t="s">
        <v>71</v>
      </c>
      <c r="K643" s="7" t="s">
        <v>288</v>
      </c>
      <c r="L643" s="7" t="n">
        <v>25</v>
      </c>
      <c r="M643" s="10" t="b">
        <f aca="false">FALSE()</f>
        <v>0</v>
      </c>
      <c r="N643" s="7" t="s">
        <v>76</v>
      </c>
      <c r="O643" s="7" t="n">
        <v>-33.808378</v>
      </c>
      <c r="P643" s="7" t="n">
        <v>151.178564</v>
      </c>
    </row>
    <row r="644" customFormat="false" ht="15" hidden="false" customHeight="false" outlineLevel="0" collapsed="false">
      <c r="A644" s="7" t="n">
        <v>643</v>
      </c>
      <c r="B644" s="7"/>
      <c r="C644" s="7" t="s">
        <v>873</v>
      </c>
      <c r="D644" s="7" t="n">
        <v>2303</v>
      </c>
      <c r="E644" s="7" t="s">
        <v>50</v>
      </c>
      <c r="F644" s="10" t="b">
        <f aca="false">FALSE()</f>
        <v>0</v>
      </c>
      <c r="G644" s="7" t="s">
        <v>141</v>
      </c>
      <c r="H644" s="7" t="s">
        <v>237</v>
      </c>
      <c r="I644" s="7" t="n">
        <v>2</v>
      </c>
      <c r="J644" s="7" t="s">
        <v>71</v>
      </c>
      <c r="K644" s="7" t="s">
        <v>190</v>
      </c>
      <c r="L644" s="7" t="n">
        <v>60</v>
      </c>
      <c r="M644" s="10" t="b">
        <f aca="false">FALSE()</f>
        <v>0</v>
      </c>
      <c r="N644" s="7" t="s">
        <v>76</v>
      </c>
      <c r="O644" s="7" t="n">
        <v>-32.921204</v>
      </c>
      <c r="P644" s="7" t="n">
        <v>151.747975</v>
      </c>
    </row>
    <row r="645" customFormat="false" ht="15" hidden="false" customHeight="false" outlineLevel="0" collapsed="false">
      <c r="A645" s="7" t="n">
        <v>644</v>
      </c>
      <c r="B645" s="7"/>
      <c r="C645" s="7" t="s">
        <v>874</v>
      </c>
      <c r="D645" s="7" t="n">
        <v>2232</v>
      </c>
      <c r="E645" s="7" t="s">
        <v>50</v>
      </c>
      <c r="F645" s="10" t="b">
        <f aca="false">FALSE()</f>
        <v>0</v>
      </c>
      <c r="G645" s="7" t="s">
        <v>628</v>
      </c>
      <c r="H645" s="7" t="s">
        <v>330</v>
      </c>
      <c r="I645" s="7" t="n">
        <v>2</v>
      </c>
      <c r="J645" s="7" t="s">
        <v>71</v>
      </c>
      <c r="K645" s="7" t="s">
        <v>234</v>
      </c>
      <c r="L645" s="7" t="n">
        <v>150</v>
      </c>
      <c r="M645" s="10" t="b">
        <f aca="false">FALSE()</f>
        <v>0</v>
      </c>
      <c r="N645" s="7" t="s">
        <v>76</v>
      </c>
      <c r="O645" s="7" t="n">
        <v>-34.029367</v>
      </c>
      <c r="P645" s="7" t="n">
        <v>151.080724</v>
      </c>
    </row>
    <row r="646" customFormat="false" ht="15" hidden="false" customHeight="false" outlineLevel="0" collapsed="false">
      <c r="A646" s="7" t="n">
        <v>645</v>
      </c>
      <c r="B646" s="7"/>
      <c r="C646" s="7" t="s">
        <v>875</v>
      </c>
      <c r="D646" s="7" t="n">
        <v>2093</v>
      </c>
      <c r="E646" s="7" t="s">
        <v>50</v>
      </c>
      <c r="F646" s="10" t="b">
        <f aca="false">FALSE()</f>
        <v>0</v>
      </c>
      <c r="G646" s="7" t="s">
        <v>286</v>
      </c>
      <c r="H646" s="7" t="s">
        <v>233</v>
      </c>
      <c r="I646" s="7" t="n">
        <v>2</v>
      </c>
      <c r="J646" s="7" t="s">
        <v>71</v>
      </c>
      <c r="K646" s="7" t="s">
        <v>83</v>
      </c>
      <c r="L646" s="7" t="n">
        <v>75</v>
      </c>
      <c r="M646" s="10" t="b">
        <f aca="false">FALSE()</f>
        <v>0</v>
      </c>
      <c r="N646" s="7" t="s">
        <v>76</v>
      </c>
      <c r="O646" s="7" t="n">
        <v>-33.795359</v>
      </c>
      <c r="P646" s="7" t="n">
        <v>151.255969</v>
      </c>
    </row>
    <row r="647" customFormat="false" ht="15" hidden="false" customHeight="false" outlineLevel="0" collapsed="false">
      <c r="A647" s="7" t="n">
        <v>646</v>
      </c>
      <c r="B647" s="7"/>
      <c r="C647" s="7" t="s">
        <v>876</v>
      </c>
      <c r="D647" s="7" t="n">
        <v>2285</v>
      </c>
      <c r="E647" s="7" t="s">
        <v>50</v>
      </c>
      <c r="F647" s="10" t="b">
        <f aca="false">FALSE()</f>
        <v>0</v>
      </c>
      <c r="G647" s="7" t="s">
        <v>377</v>
      </c>
      <c r="H647" s="7" t="s">
        <v>260</v>
      </c>
      <c r="I647" s="7" t="n">
        <v>1</v>
      </c>
      <c r="J647" s="7" t="s">
        <v>107</v>
      </c>
      <c r="K647" s="7" t="s">
        <v>108</v>
      </c>
      <c r="L647" s="7" t="n">
        <v>22</v>
      </c>
      <c r="M647" s="10" t="b">
        <f aca="false">FALSE()</f>
        <v>0</v>
      </c>
      <c r="N647" s="7" t="s">
        <v>109</v>
      </c>
      <c r="O647" s="7" t="n">
        <v>-32.940988</v>
      </c>
      <c r="P647" s="7" t="n">
        <v>151.659907</v>
      </c>
    </row>
    <row r="648" customFormat="false" ht="15" hidden="false" customHeight="false" outlineLevel="0" collapsed="false">
      <c r="A648" s="7" t="n">
        <v>647</v>
      </c>
      <c r="B648" s="7"/>
      <c r="C648" s="7" t="s">
        <v>877</v>
      </c>
      <c r="D648" s="7" t="n">
        <v>2285</v>
      </c>
      <c r="E648" s="7" t="s">
        <v>50</v>
      </c>
      <c r="F648" s="10" t="b">
        <f aca="false">FALSE()</f>
        <v>0</v>
      </c>
      <c r="G648" s="7" t="s">
        <v>377</v>
      </c>
      <c r="H648" s="7" t="s">
        <v>529</v>
      </c>
      <c r="I648" s="7" t="n">
        <v>4</v>
      </c>
      <c r="J648" s="7" t="s">
        <v>107</v>
      </c>
      <c r="K648" s="7" t="s">
        <v>108</v>
      </c>
      <c r="L648" s="7" t="n">
        <v>22</v>
      </c>
      <c r="M648" s="10" t="b">
        <f aca="false">FALSE()</f>
        <v>0</v>
      </c>
      <c r="N648" s="7" t="s">
        <v>109</v>
      </c>
      <c r="O648" s="7" t="n">
        <v>-32.942691</v>
      </c>
      <c r="P648" s="7" t="n">
        <v>151.65747</v>
      </c>
    </row>
    <row r="649" customFormat="false" ht="15" hidden="false" customHeight="false" outlineLevel="0" collapsed="false">
      <c r="A649" s="7" t="n">
        <v>648</v>
      </c>
      <c r="B649" s="7"/>
      <c r="C649" s="7" t="s">
        <v>878</v>
      </c>
      <c r="D649" s="7" t="n">
        <v>2800</v>
      </c>
      <c r="E649" s="7" t="s">
        <v>50</v>
      </c>
      <c r="F649" s="10" t="b">
        <f aca="false">FALSE()</f>
        <v>0</v>
      </c>
      <c r="G649" s="7" t="s">
        <v>167</v>
      </c>
      <c r="H649" s="7" t="s">
        <v>239</v>
      </c>
      <c r="I649" s="7" t="n">
        <v>2</v>
      </c>
      <c r="J649" s="7" t="s">
        <v>107</v>
      </c>
      <c r="K649" s="7" t="s">
        <v>108</v>
      </c>
      <c r="L649" s="7" t="n">
        <v>22</v>
      </c>
      <c r="M649" s="10" t="b">
        <f aca="false">FALSE()</f>
        <v>0</v>
      </c>
      <c r="N649" s="7" t="s">
        <v>109</v>
      </c>
      <c r="O649" s="7" t="n">
        <v>-33.281965</v>
      </c>
      <c r="P649" s="7" t="n">
        <v>149.112572</v>
      </c>
    </row>
    <row r="650" customFormat="false" ht="15" hidden="false" customHeight="false" outlineLevel="0" collapsed="false">
      <c r="A650" s="7" t="n">
        <v>649</v>
      </c>
      <c r="B650" s="7"/>
      <c r="C650" s="7" t="s">
        <v>879</v>
      </c>
      <c r="D650" s="7" t="n">
        <v>2200</v>
      </c>
      <c r="E650" s="7" t="s">
        <v>50</v>
      </c>
      <c r="F650" s="10" t="b">
        <f aca="false">FALSE()</f>
        <v>0</v>
      </c>
      <c r="G650" s="7" t="s">
        <v>345</v>
      </c>
      <c r="H650" s="7" t="s">
        <v>237</v>
      </c>
      <c r="I650" s="7" t="n">
        <v>6</v>
      </c>
      <c r="J650" s="7" t="s">
        <v>107</v>
      </c>
      <c r="K650" s="7" t="s">
        <v>108</v>
      </c>
      <c r="L650" s="7" t="n">
        <v>22</v>
      </c>
      <c r="M650" s="10" t="b">
        <f aca="false">FALSE()</f>
        <v>0</v>
      </c>
      <c r="N650" s="7" t="s">
        <v>109</v>
      </c>
      <c r="O650" s="7" t="n">
        <v>-33.922639</v>
      </c>
      <c r="P650" s="7" t="n">
        <v>150.982025</v>
      </c>
    </row>
    <row r="651" customFormat="false" ht="15" hidden="false" customHeight="false" outlineLevel="0" collapsed="false">
      <c r="A651" s="7" t="n">
        <v>650</v>
      </c>
      <c r="B651" s="7"/>
      <c r="C651" s="7" t="s">
        <v>880</v>
      </c>
      <c r="D651" s="7" t="n">
        <v>2440</v>
      </c>
      <c r="E651" s="7" t="s">
        <v>50</v>
      </c>
      <c r="F651" s="10" t="b">
        <f aca="false">FALSE()</f>
        <v>0</v>
      </c>
      <c r="G651" s="7" t="s">
        <v>533</v>
      </c>
      <c r="H651" s="7" t="s">
        <v>260</v>
      </c>
      <c r="I651" s="7" t="n">
        <v>2</v>
      </c>
      <c r="J651" s="7" t="s">
        <v>107</v>
      </c>
      <c r="K651" s="7" t="s">
        <v>108</v>
      </c>
      <c r="L651" s="7" t="n">
        <v>22</v>
      </c>
      <c r="M651" s="10" t="b">
        <f aca="false">FALSE()</f>
        <v>0</v>
      </c>
      <c r="N651" s="7" t="s">
        <v>109</v>
      </c>
      <c r="O651" s="7" t="n">
        <v>-31.117388</v>
      </c>
      <c r="P651" s="7" t="n">
        <v>152.826923</v>
      </c>
    </row>
    <row r="652" customFormat="false" ht="15" hidden="false" customHeight="false" outlineLevel="0" collapsed="false">
      <c r="A652" s="7" t="n">
        <v>651</v>
      </c>
      <c r="B652" s="7"/>
      <c r="C652" s="7" t="s">
        <v>881</v>
      </c>
      <c r="D652" s="7" t="n">
        <v>2800</v>
      </c>
      <c r="E652" s="7" t="s">
        <v>50</v>
      </c>
      <c r="F652" s="10" t="b">
        <f aca="false">FALSE()</f>
        <v>0</v>
      </c>
      <c r="G652" s="7" t="s">
        <v>167</v>
      </c>
      <c r="H652" s="7" t="s">
        <v>239</v>
      </c>
      <c r="I652" s="7" t="n">
        <v>2</v>
      </c>
      <c r="J652" s="7" t="s">
        <v>107</v>
      </c>
      <c r="K652" s="7" t="s">
        <v>588</v>
      </c>
      <c r="L652" s="7" t="n">
        <v>17</v>
      </c>
      <c r="M652" s="10" t="b">
        <f aca="false">FALSE()</f>
        <v>0</v>
      </c>
      <c r="N652" s="7" t="s">
        <v>109</v>
      </c>
      <c r="O652" s="7" t="n">
        <v>-33.3164</v>
      </c>
      <c r="P652" s="7" t="n">
        <v>149.146615</v>
      </c>
    </row>
    <row r="653" customFormat="false" ht="15" hidden="false" customHeight="false" outlineLevel="0" collapsed="false">
      <c r="A653" s="7" t="n">
        <v>652</v>
      </c>
      <c r="B653" s="7"/>
      <c r="C653" s="7" t="s">
        <v>882</v>
      </c>
      <c r="D653" s="7" t="n">
        <v>2766</v>
      </c>
      <c r="E653" s="7" t="s">
        <v>50</v>
      </c>
      <c r="F653" s="10" t="b">
        <f aca="false">FALSE()</f>
        <v>0</v>
      </c>
      <c r="G653" s="7" t="s">
        <v>232</v>
      </c>
      <c r="H653" s="7" t="s">
        <v>237</v>
      </c>
      <c r="I653" s="7" t="n">
        <v>2</v>
      </c>
      <c r="J653" s="7" t="s">
        <v>107</v>
      </c>
      <c r="K653" s="7" t="s">
        <v>108</v>
      </c>
      <c r="L653" s="7" t="n">
        <v>22</v>
      </c>
      <c r="M653" s="10" t="b">
        <f aca="false">FALSE()</f>
        <v>0</v>
      </c>
      <c r="N653" s="7" t="s">
        <v>109</v>
      </c>
      <c r="O653" s="7" t="n">
        <v>-33.77242</v>
      </c>
      <c r="P653" s="7" t="n">
        <v>150.843589</v>
      </c>
    </row>
    <row r="654" customFormat="false" ht="15" hidden="false" customHeight="false" outlineLevel="0" collapsed="false">
      <c r="A654" s="7" t="n">
        <v>653</v>
      </c>
      <c r="B654" s="7"/>
      <c r="C654" s="7" t="s">
        <v>883</v>
      </c>
      <c r="D654" s="7" t="n">
        <v>2106</v>
      </c>
      <c r="E654" s="7" t="s">
        <v>50</v>
      </c>
      <c r="F654" s="10" t="b">
        <f aca="false">FALSE()</f>
        <v>0</v>
      </c>
      <c r="G654" s="7" t="s">
        <v>286</v>
      </c>
      <c r="H654" s="7" t="s">
        <v>302</v>
      </c>
      <c r="I654" s="7" t="n">
        <v>2</v>
      </c>
      <c r="J654" s="7" t="s">
        <v>107</v>
      </c>
      <c r="K654" s="7" t="s">
        <v>277</v>
      </c>
      <c r="L654" s="7" t="n">
        <v>6</v>
      </c>
      <c r="M654" s="10" t="b">
        <f aca="false">FALSE()</f>
        <v>0</v>
      </c>
      <c r="N654" s="7" t="s">
        <v>109</v>
      </c>
      <c r="O654" s="7" t="n">
        <v>-33.657274</v>
      </c>
      <c r="P654" s="7" t="n">
        <v>151.315565</v>
      </c>
    </row>
    <row r="655" customFormat="false" ht="15" hidden="false" customHeight="false" outlineLevel="0" collapsed="false">
      <c r="A655" s="7" t="n">
        <v>654</v>
      </c>
      <c r="B655" s="7"/>
      <c r="C655" s="7" t="s">
        <v>884</v>
      </c>
      <c r="D655" s="7" t="n">
        <v>2127</v>
      </c>
      <c r="E655" s="7" t="s">
        <v>50</v>
      </c>
      <c r="F655" s="10" t="b">
        <f aca="false">FALSE()</f>
        <v>0</v>
      </c>
      <c r="G655" s="7" t="s">
        <v>202</v>
      </c>
      <c r="H655" s="7" t="s">
        <v>239</v>
      </c>
      <c r="I655" s="7" t="n">
        <v>2</v>
      </c>
      <c r="J655" s="7" t="s">
        <v>107</v>
      </c>
      <c r="K655" s="7" t="s">
        <v>108</v>
      </c>
      <c r="L655" s="7" t="n">
        <v>22</v>
      </c>
      <c r="M655" s="10" t="b">
        <f aca="false">FALSE()</f>
        <v>0</v>
      </c>
      <c r="N655" s="7" t="s">
        <v>109</v>
      </c>
      <c r="O655" s="7" t="n">
        <v>-33.824819</v>
      </c>
      <c r="P655" s="7" t="n">
        <v>151.077185</v>
      </c>
    </row>
    <row r="656" customFormat="false" ht="15" hidden="false" customHeight="false" outlineLevel="0" collapsed="false">
      <c r="A656" s="7" t="n">
        <v>655</v>
      </c>
      <c r="B656" s="7"/>
      <c r="C656" s="7" t="s">
        <v>885</v>
      </c>
      <c r="D656" s="7" t="n">
        <v>2300</v>
      </c>
      <c r="E656" s="7" t="s">
        <v>50</v>
      </c>
      <c r="F656" s="10" t="b">
        <f aca="false">FALSE()</f>
        <v>0</v>
      </c>
      <c r="G656" s="7" t="s">
        <v>141</v>
      </c>
      <c r="H656" s="7" t="s">
        <v>239</v>
      </c>
      <c r="I656" s="7" t="n">
        <v>1</v>
      </c>
      <c r="J656" s="7" t="s">
        <v>107</v>
      </c>
      <c r="K656" s="7" t="s">
        <v>108</v>
      </c>
      <c r="L656" s="7" t="n">
        <v>22</v>
      </c>
      <c r="M656" s="10" t="b">
        <f aca="false">FALSE()</f>
        <v>0</v>
      </c>
      <c r="N656" s="7" t="s">
        <v>109</v>
      </c>
      <c r="O656" s="7" t="n">
        <v>-32.929119</v>
      </c>
      <c r="P656" s="7" t="n">
        <v>151.784942</v>
      </c>
    </row>
    <row r="657" customFormat="false" ht="15" hidden="false" customHeight="false" outlineLevel="0" collapsed="false">
      <c r="A657" s="7" t="n">
        <v>656</v>
      </c>
      <c r="B657" s="7"/>
      <c r="C657" s="7" t="s">
        <v>886</v>
      </c>
      <c r="D657" s="7" t="n">
        <v>2576</v>
      </c>
      <c r="E657" s="7" t="s">
        <v>50</v>
      </c>
      <c r="F657" s="10" t="b">
        <f aca="false">FALSE()</f>
        <v>0</v>
      </c>
      <c r="G657" s="7" t="s">
        <v>161</v>
      </c>
      <c r="H657" s="7" t="s">
        <v>239</v>
      </c>
      <c r="I657" s="7" t="n">
        <v>1</v>
      </c>
      <c r="J657" s="7" t="s">
        <v>107</v>
      </c>
      <c r="K657" s="7" t="s">
        <v>277</v>
      </c>
      <c r="L657" s="7" t="n">
        <v>6</v>
      </c>
      <c r="M657" s="10" t="b">
        <f aca="false">FALSE()</f>
        <v>0</v>
      </c>
      <c r="N657" s="7" t="s">
        <v>109</v>
      </c>
      <c r="O657" s="7" t="n">
        <v>-34.496785</v>
      </c>
      <c r="P657" s="7" t="n">
        <v>150.447163</v>
      </c>
    </row>
    <row r="658" customFormat="false" ht="15" hidden="false" customHeight="false" outlineLevel="0" collapsed="false">
      <c r="A658" s="7" t="n">
        <v>657</v>
      </c>
      <c r="B658" s="7"/>
      <c r="C658" s="7" t="s">
        <v>887</v>
      </c>
      <c r="D658" s="7" t="n">
        <v>2074</v>
      </c>
      <c r="E658" s="7" t="s">
        <v>50</v>
      </c>
      <c r="F658" s="10" t="b">
        <f aca="false">FALSE()</f>
        <v>0</v>
      </c>
      <c r="G658" s="7" t="s">
        <v>236</v>
      </c>
      <c r="H658" s="7" t="s">
        <v>260</v>
      </c>
      <c r="I658" s="7" t="n">
        <v>2</v>
      </c>
      <c r="J658" s="7" t="s">
        <v>71</v>
      </c>
      <c r="K658" s="7" t="s">
        <v>578</v>
      </c>
      <c r="L658" s="7" t="n">
        <v>40</v>
      </c>
      <c r="M658" s="10" t="b">
        <f aca="false">FALSE()</f>
        <v>0</v>
      </c>
      <c r="N658" s="7" t="s">
        <v>76</v>
      </c>
      <c r="O658" s="7" t="n">
        <v>-33.732017</v>
      </c>
      <c r="P658" s="7" t="n">
        <v>151.127349</v>
      </c>
    </row>
    <row r="659" customFormat="false" ht="15" hidden="false" customHeight="false" outlineLevel="0" collapsed="false">
      <c r="A659" s="7" t="n">
        <v>658</v>
      </c>
      <c r="B659" s="7"/>
      <c r="C659" s="7" t="s">
        <v>888</v>
      </c>
      <c r="D659" s="7" t="n">
        <v>2478</v>
      </c>
      <c r="E659" s="7" t="s">
        <v>50</v>
      </c>
      <c r="F659" s="10" t="b">
        <f aca="false">FALSE()</f>
        <v>0</v>
      </c>
      <c r="G659" s="7" t="s">
        <v>495</v>
      </c>
      <c r="H659" s="7" t="s">
        <v>237</v>
      </c>
      <c r="I659" s="7" t="n">
        <v>2</v>
      </c>
      <c r="J659" s="7" t="s">
        <v>107</v>
      </c>
      <c r="K659" s="7" t="s">
        <v>108</v>
      </c>
      <c r="L659" s="7" t="n">
        <v>22</v>
      </c>
      <c r="M659" s="10" t="b">
        <f aca="false">FALSE()</f>
        <v>0</v>
      </c>
      <c r="N659" s="7" t="s">
        <v>109</v>
      </c>
      <c r="O659" s="7" t="n">
        <v>-28.807501</v>
      </c>
      <c r="P659" s="7" t="n">
        <v>153.582148</v>
      </c>
    </row>
    <row r="660" customFormat="false" ht="15" hidden="false" customHeight="false" outlineLevel="0" collapsed="false">
      <c r="A660" s="7" t="n">
        <v>659</v>
      </c>
      <c r="B660" s="7"/>
      <c r="C660" s="7" t="s">
        <v>889</v>
      </c>
      <c r="D660" s="7" t="n">
        <v>2546</v>
      </c>
      <c r="E660" s="7" t="s">
        <v>50</v>
      </c>
      <c r="F660" s="10" t="b">
        <f aca="false">FALSE()</f>
        <v>0</v>
      </c>
      <c r="G660" s="7" t="s">
        <v>123</v>
      </c>
      <c r="H660" s="7" t="s">
        <v>239</v>
      </c>
      <c r="I660" s="7" t="n">
        <v>2</v>
      </c>
      <c r="J660" s="7" t="s">
        <v>107</v>
      </c>
      <c r="K660" s="7" t="s">
        <v>108</v>
      </c>
      <c r="L660" s="7" t="n">
        <v>22</v>
      </c>
      <c r="M660" s="10" t="b">
        <f aca="false">FALSE()</f>
        <v>0</v>
      </c>
      <c r="N660" s="7" t="s">
        <v>109</v>
      </c>
      <c r="O660" s="7" t="n">
        <v>-36.219662</v>
      </c>
      <c r="P660" s="7" t="n">
        <v>150.13339</v>
      </c>
    </row>
    <row r="661" customFormat="false" ht="15" hidden="false" customHeight="false" outlineLevel="0" collapsed="false">
      <c r="A661" s="7" t="n">
        <v>660</v>
      </c>
      <c r="B661" s="7"/>
      <c r="C661" s="7" t="s">
        <v>890</v>
      </c>
      <c r="D661" s="7" t="n">
        <v>2565</v>
      </c>
      <c r="E661" s="7" t="s">
        <v>50</v>
      </c>
      <c r="F661" s="10" t="b">
        <f aca="false">FALSE()</f>
        <v>0</v>
      </c>
      <c r="G661" s="7" t="s">
        <v>312</v>
      </c>
      <c r="H661" s="7" t="s">
        <v>244</v>
      </c>
      <c r="I661" s="7" t="n">
        <v>4</v>
      </c>
      <c r="J661" s="7" t="s">
        <v>71</v>
      </c>
      <c r="K661" s="7" t="s">
        <v>83</v>
      </c>
      <c r="L661" s="7" t="n">
        <v>75</v>
      </c>
      <c r="M661" s="10" t="b">
        <f aca="false">FALSE()</f>
        <v>0</v>
      </c>
      <c r="N661" s="7" t="s">
        <v>268</v>
      </c>
      <c r="O661" s="7" t="n">
        <v>-33.975854</v>
      </c>
      <c r="P661" s="7" t="n">
        <v>150.811619</v>
      </c>
    </row>
    <row r="662" customFormat="false" ht="15" hidden="false" customHeight="false" outlineLevel="0" collapsed="false">
      <c r="A662" s="7" t="n">
        <v>661</v>
      </c>
      <c r="B662" s="7"/>
      <c r="C662" s="7" t="s">
        <v>891</v>
      </c>
      <c r="D662" s="7" t="n">
        <v>2029</v>
      </c>
      <c r="E662" s="7" t="s">
        <v>50</v>
      </c>
      <c r="F662" s="10" t="b">
        <f aca="false">FALSE()</f>
        <v>0</v>
      </c>
      <c r="G662" s="7" t="s">
        <v>272</v>
      </c>
      <c r="H662" s="7" t="s">
        <v>237</v>
      </c>
      <c r="I662" s="7" t="n">
        <v>2</v>
      </c>
      <c r="J662" s="7" t="s">
        <v>71</v>
      </c>
      <c r="K662" s="7" t="s">
        <v>578</v>
      </c>
      <c r="L662" s="7" t="n">
        <v>40</v>
      </c>
      <c r="M662" s="10" t="b">
        <f aca="false">FALSE()</f>
        <v>0</v>
      </c>
      <c r="N662" s="7" t="s">
        <v>76</v>
      </c>
      <c r="O662" s="7" t="n">
        <v>-33.878997</v>
      </c>
      <c r="P662" s="7" t="n">
        <v>151.262336</v>
      </c>
    </row>
    <row r="663" customFormat="false" ht="15" hidden="false" customHeight="false" outlineLevel="0" collapsed="false">
      <c r="A663" s="7" t="n">
        <v>662</v>
      </c>
      <c r="B663" s="7"/>
      <c r="C663" s="7" t="s">
        <v>892</v>
      </c>
      <c r="D663" s="7" t="n">
        <v>2131</v>
      </c>
      <c r="E663" s="7" t="s">
        <v>50</v>
      </c>
      <c r="F663" s="10" t="b">
        <f aca="false">FALSE()</f>
        <v>0</v>
      </c>
      <c r="G663" s="7" t="s">
        <v>410</v>
      </c>
      <c r="H663" s="7" t="s">
        <v>260</v>
      </c>
      <c r="I663" s="7" t="n">
        <v>2</v>
      </c>
      <c r="J663" s="7" t="s">
        <v>107</v>
      </c>
      <c r="K663" s="7" t="s">
        <v>108</v>
      </c>
      <c r="L663" s="7" t="n">
        <v>22</v>
      </c>
      <c r="M663" s="10" t="b">
        <f aca="false">FALSE()</f>
        <v>0</v>
      </c>
      <c r="N663" s="7" t="s">
        <v>109</v>
      </c>
      <c r="O663" s="7" t="n">
        <v>-33.885391</v>
      </c>
      <c r="P663" s="7" t="n">
        <v>151.132238</v>
      </c>
    </row>
    <row r="664" customFormat="false" ht="15" hidden="false" customHeight="false" outlineLevel="0" collapsed="false">
      <c r="A664" s="7" t="n">
        <v>663</v>
      </c>
      <c r="B664" s="7"/>
      <c r="C664" s="7" t="s">
        <v>893</v>
      </c>
      <c r="D664" s="7" t="n">
        <v>2024</v>
      </c>
      <c r="E664" s="7" t="s">
        <v>50</v>
      </c>
      <c r="F664" s="10" t="b">
        <f aca="false">FALSE()</f>
        <v>0</v>
      </c>
      <c r="G664" s="7" t="s">
        <v>295</v>
      </c>
      <c r="H664" s="7" t="s">
        <v>260</v>
      </c>
      <c r="I664" s="7" t="n">
        <v>1</v>
      </c>
      <c r="J664" s="7" t="s">
        <v>107</v>
      </c>
      <c r="K664" s="7" t="s">
        <v>108</v>
      </c>
      <c r="L664" s="7" t="n">
        <v>22</v>
      </c>
      <c r="M664" s="10" t="b">
        <f aca="false">FALSE()</f>
        <v>0</v>
      </c>
      <c r="N664" s="7" t="s">
        <v>109</v>
      </c>
      <c r="O664" s="7" t="n">
        <v>-33.899872</v>
      </c>
      <c r="P664" s="7" t="n">
        <v>151.256674</v>
      </c>
    </row>
    <row r="665" customFormat="false" ht="15" hidden="false" customHeight="false" outlineLevel="0" collapsed="false">
      <c r="A665" s="7" t="n">
        <v>664</v>
      </c>
      <c r="B665" s="7"/>
      <c r="C665" s="7" t="s">
        <v>894</v>
      </c>
      <c r="D665" s="7" t="n">
        <v>2261</v>
      </c>
      <c r="E665" s="7" t="s">
        <v>50</v>
      </c>
      <c r="F665" s="10" t="b">
        <f aca="false">FALSE()</f>
        <v>0</v>
      </c>
      <c r="G665" s="7" t="s">
        <v>276</v>
      </c>
      <c r="H665" s="7" t="s">
        <v>239</v>
      </c>
      <c r="I665" s="7" t="n">
        <v>2</v>
      </c>
      <c r="J665" s="7" t="s">
        <v>107</v>
      </c>
      <c r="K665" s="7" t="s">
        <v>240</v>
      </c>
      <c r="L665" s="7" t="n">
        <v>19</v>
      </c>
      <c r="M665" s="10" t="b">
        <f aca="false">FALSE()</f>
        <v>0</v>
      </c>
      <c r="N665" s="7" t="s">
        <v>109</v>
      </c>
      <c r="O665" s="7" t="n">
        <v>-33.367426</v>
      </c>
      <c r="P665" s="7" t="n">
        <v>151.475617</v>
      </c>
    </row>
    <row r="666" customFormat="false" ht="15" hidden="false" customHeight="false" outlineLevel="0" collapsed="false">
      <c r="A666" s="7" t="n">
        <v>665</v>
      </c>
      <c r="B666" s="7"/>
      <c r="C666" s="7" t="s">
        <v>895</v>
      </c>
      <c r="D666" s="7" t="n">
        <v>2877</v>
      </c>
      <c r="E666" s="7" t="s">
        <v>50</v>
      </c>
      <c r="F666" s="10" t="b">
        <f aca="false">FALSE()</f>
        <v>0</v>
      </c>
      <c r="G666" s="7" t="s">
        <v>896</v>
      </c>
      <c r="H666" s="7" t="s">
        <v>260</v>
      </c>
      <c r="I666" s="7" t="n">
        <v>2</v>
      </c>
      <c r="J666" s="7" t="s">
        <v>107</v>
      </c>
      <c r="K666" s="7" t="s">
        <v>108</v>
      </c>
      <c r="L666" s="7" t="n">
        <v>22</v>
      </c>
      <c r="M666" s="10" t="b">
        <f aca="false">FALSE()</f>
        <v>0</v>
      </c>
      <c r="N666" s="7" t="s">
        <v>109</v>
      </c>
      <c r="O666" s="7" t="n">
        <v>-33.088601</v>
      </c>
      <c r="P666" s="7" t="n">
        <v>147.149487</v>
      </c>
    </row>
    <row r="667" customFormat="false" ht="15" hidden="false" customHeight="false" outlineLevel="0" collapsed="false">
      <c r="A667" s="7" t="n">
        <v>666</v>
      </c>
      <c r="B667" s="7"/>
      <c r="C667" s="7" t="s">
        <v>897</v>
      </c>
      <c r="D667" s="7" t="n">
        <v>2323</v>
      </c>
      <c r="E667" s="7" t="s">
        <v>50</v>
      </c>
      <c r="F667" s="10" t="b">
        <f aca="false">FALSE()</f>
        <v>0</v>
      </c>
      <c r="G667" s="7" t="s">
        <v>283</v>
      </c>
      <c r="H667" s="7" t="s">
        <v>237</v>
      </c>
      <c r="I667" s="7" t="n">
        <v>12</v>
      </c>
      <c r="J667" s="7" t="s">
        <v>107</v>
      </c>
      <c r="K667" s="7" t="s">
        <v>108</v>
      </c>
      <c r="L667" s="7" t="n">
        <v>22</v>
      </c>
      <c r="M667" s="10" t="b">
        <f aca="false">FALSE()</f>
        <v>0</v>
      </c>
      <c r="N667" s="7" t="s">
        <v>109</v>
      </c>
      <c r="O667" s="7" t="n">
        <v>-32.759125</v>
      </c>
      <c r="P667" s="7" t="n">
        <v>151.6069</v>
      </c>
    </row>
    <row r="668" customFormat="false" ht="15" hidden="false" customHeight="false" outlineLevel="0" collapsed="false">
      <c r="A668" s="7" t="n">
        <v>667</v>
      </c>
      <c r="B668" s="7"/>
      <c r="C668" s="7" t="s">
        <v>898</v>
      </c>
      <c r="D668" s="7" t="n">
        <v>2195</v>
      </c>
      <c r="E668" s="7" t="s">
        <v>50</v>
      </c>
      <c r="F668" s="10" t="b">
        <f aca="false">FALSE()</f>
        <v>0</v>
      </c>
      <c r="G668" s="7" t="s">
        <v>345</v>
      </c>
      <c r="H668" s="7" t="s">
        <v>330</v>
      </c>
      <c r="I668" s="7" t="n">
        <v>2</v>
      </c>
      <c r="J668" s="7" t="s">
        <v>71</v>
      </c>
      <c r="K668" s="7" t="s">
        <v>213</v>
      </c>
      <c r="L668" s="7" t="n">
        <v>125</v>
      </c>
      <c r="M668" s="10" t="b">
        <f aca="false">FALSE()</f>
        <v>0</v>
      </c>
      <c r="N668" s="7" t="s">
        <v>268</v>
      </c>
      <c r="O668" s="7" t="n">
        <v>-33.911492</v>
      </c>
      <c r="P668" s="7" t="n">
        <v>151.073247</v>
      </c>
    </row>
    <row r="669" customFormat="false" ht="15" hidden="false" customHeight="false" outlineLevel="0" collapsed="false">
      <c r="A669" s="7" t="n">
        <v>668</v>
      </c>
      <c r="B669" s="7"/>
      <c r="C669" s="7" t="s">
        <v>899</v>
      </c>
      <c r="D669" s="7" t="n">
        <v>2067</v>
      </c>
      <c r="E669" s="7" t="s">
        <v>50</v>
      </c>
      <c r="F669" s="10" t="b">
        <f aca="false">FALSE()</f>
        <v>0</v>
      </c>
      <c r="G669" s="7" t="s">
        <v>258</v>
      </c>
      <c r="H669" s="7" t="s">
        <v>237</v>
      </c>
      <c r="I669" s="7" t="n">
        <v>6</v>
      </c>
      <c r="J669" s="7" t="s">
        <v>107</v>
      </c>
      <c r="K669" s="7" t="s">
        <v>900</v>
      </c>
      <c r="L669" s="7" t="n">
        <v>7</v>
      </c>
      <c r="M669" s="10" t="b">
        <f aca="false">FALSE()</f>
        <v>0</v>
      </c>
      <c r="N669" s="7" t="s">
        <v>109</v>
      </c>
      <c r="O669" s="7" t="n">
        <v>-33.798074</v>
      </c>
      <c r="P669" s="7" t="n">
        <v>151.184427</v>
      </c>
    </row>
    <row r="670" customFormat="false" ht="15" hidden="false" customHeight="false" outlineLevel="0" collapsed="false">
      <c r="A670" s="7" t="n">
        <v>669</v>
      </c>
      <c r="B670" s="7"/>
      <c r="C670" s="7" t="s">
        <v>901</v>
      </c>
      <c r="D670" s="7" t="n">
        <v>2131</v>
      </c>
      <c r="E670" s="7" t="s">
        <v>50</v>
      </c>
      <c r="F670" s="10" t="b">
        <f aca="false">FALSE()</f>
        <v>0</v>
      </c>
      <c r="G670" s="7" t="s">
        <v>410</v>
      </c>
      <c r="H670" s="7" t="s">
        <v>556</v>
      </c>
      <c r="I670" s="7" t="n">
        <v>2</v>
      </c>
      <c r="J670" s="7" t="s">
        <v>107</v>
      </c>
      <c r="K670" s="7" t="s">
        <v>108</v>
      </c>
      <c r="L670" s="7" t="n">
        <v>22</v>
      </c>
      <c r="M670" s="10" t="b">
        <f aca="false">FALSE()</f>
        <v>0</v>
      </c>
      <c r="N670" s="7" t="s">
        <v>557</v>
      </c>
      <c r="O670" s="7" t="n">
        <v>-33.885391</v>
      </c>
      <c r="P670" s="7" t="n">
        <v>151.132238</v>
      </c>
    </row>
    <row r="671" customFormat="false" ht="15" hidden="false" customHeight="false" outlineLevel="0" collapsed="false">
      <c r="A671" s="7" t="n">
        <v>670</v>
      </c>
      <c r="B671" s="7"/>
      <c r="C671" s="7" t="s">
        <v>902</v>
      </c>
      <c r="D671" s="7" t="n">
        <v>2545</v>
      </c>
      <c r="E671" s="7" t="s">
        <v>50</v>
      </c>
      <c r="F671" s="10" t="b">
        <f aca="false">FALSE()</f>
        <v>0</v>
      </c>
      <c r="G671" s="7" t="s">
        <v>123</v>
      </c>
      <c r="H671" s="7" t="s">
        <v>239</v>
      </c>
      <c r="I671" s="7" t="n">
        <v>2</v>
      </c>
      <c r="J671" s="7" t="s">
        <v>107</v>
      </c>
      <c r="K671" s="7" t="s">
        <v>277</v>
      </c>
      <c r="L671" s="7" t="n">
        <v>6</v>
      </c>
      <c r="M671" s="10" t="b">
        <f aca="false">FALSE()</f>
        <v>0</v>
      </c>
      <c r="N671" s="7" t="s">
        <v>109</v>
      </c>
      <c r="O671" s="7" t="n">
        <v>-36.086831</v>
      </c>
      <c r="P671" s="7" t="n">
        <v>150.049523</v>
      </c>
    </row>
    <row r="672" customFormat="false" ht="15" hidden="false" customHeight="false" outlineLevel="0" collapsed="false">
      <c r="A672" s="7" t="n">
        <v>671</v>
      </c>
      <c r="B672" s="7"/>
      <c r="C672" s="7" t="s">
        <v>903</v>
      </c>
      <c r="D672" s="7" t="n">
        <v>2527</v>
      </c>
      <c r="E672" s="7" t="s">
        <v>50</v>
      </c>
      <c r="F672" s="10" t="b">
        <f aca="false">FALSE()</f>
        <v>0</v>
      </c>
      <c r="G672" s="7" t="s">
        <v>316</v>
      </c>
      <c r="H672" s="7" t="s">
        <v>260</v>
      </c>
      <c r="I672" s="7" t="n">
        <v>4</v>
      </c>
      <c r="J672" s="7" t="s">
        <v>107</v>
      </c>
      <c r="K672" s="7" t="s">
        <v>108</v>
      </c>
      <c r="L672" s="7" t="n">
        <v>22</v>
      </c>
      <c r="M672" s="10" t="b">
        <f aca="false">FALSE()</f>
        <v>0</v>
      </c>
      <c r="N672" s="7" t="s">
        <v>109</v>
      </c>
      <c r="O672" s="7" t="n">
        <v>-34.570381</v>
      </c>
      <c r="P672" s="7" t="n">
        <v>150.768744</v>
      </c>
    </row>
    <row r="673" customFormat="false" ht="15" hidden="false" customHeight="false" outlineLevel="0" collapsed="false">
      <c r="A673" s="7" t="n">
        <v>672</v>
      </c>
      <c r="B673" s="7" t="s">
        <v>194</v>
      </c>
      <c r="C673" s="7" t="s">
        <v>904</v>
      </c>
      <c r="D673" s="7" t="n">
        <v>2640</v>
      </c>
      <c r="E673" s="7" t="s">
        <v>50</v>
      </c>
      <c r="F673" s="10" t="b">
        <f aca="false">FALSE()</f>
        <v>0</v>
      </c>
      <c r="G673" s="7" t="s">
        <v>194</v>
      </c>
      <c r="H673" s="7" t="s">
        <v>260</v>
      </c>
      <c r="I673" s="7" t="n">
        <v>4</v>
      </c>
      <c r="J673" s="7" t="s">
        <v>107</v>
      </c>
      <c r="K673" s="7" t="s">
        <v>107</v>
      </c>
      <c r="L673" s="7"/>
      <c r="M673" s="10" t="b">
        <f aca="false">FALSE()</f>
        <v>0</v>
      </c>
      <c r="N673" s="7" t="s">
        <v>374</v>
      </c>
      <c r="O673" s="7" t="n">
        <v>-36.080635</v>
      </c>
      <c r="P673" s="7" t="n">
        <v>146.921609</v>
      </c>
    </row>
    <row r="674" customFormat="false" ht="15" hidden="false" customHeight="false" outlineLevel="0" collapsed="false">
      <c r="A674" s="7" t="n">
        <v>673</v>
      </c>
      <c r="B674" s="7"/>
      <c r="C674" s="7" t="s">
        <v>905</v>
      </c>
      <c r="D674" s="7" t="n">
        <v>2780</v>
      </c>
      <c r="E674" s="7" t="s">
        <v>50</v>
      </c>
      <c r="F674" s="10" t="b">
        <f aca="false">FALSE()</f>
        <v>0</v>
      </c>
      <c r="G674" s="7" t="s">
        <v>306</v>
      </c>
      <c r="H674" s="7" t="s">
        <v>239</v>
      </c>
      <c r="I674" s="7" t="n">
        <v>2</v>
      </c>
      <c r="J674" s="7" t="s">
        <v>107</v>
      </c>
      <c r="K674" s="7" t="s">
        <v>240</v>
      </c>
      <c r="L674" s="7" t="n">
        <v>19</v>
      </c>
      <c r="M674" s="10" t="b">
        <f aca="false">FALSE()</f>
        <v>0</v>
      </c>
      <c r="N674" s="7" t="s">
        <v>109</v>
      </c>
      <c r="O674" s="7" t="n">
        <v>-33.67531</v>
      </c>
      <c r="P674" s="7" t="n">
        <v>150.280592</v>
      </c>
    </row>
    <row r="675" customFormat="false" ht="15" hidden="false" customHeight="false" outlineLevel="0" collapsed="false">
      <c r="A675" s="7" t="n">
        <v>674</v>
      </c>
      <c r="B675" s="7"/>
      <c r="C675" s="7" t="s">
        <v>906</v>
      </c>
      <c r="D675" s="7" t="n">
        <v>2587</v>
      </c>
      <c r="E675" s="7" t="s">
        <v>50</v>
      </c>
      <c r="F675" s="10" t="b">
        <f aca="false">FALSE()</f>
        <v>0</v>
      </c>
      <c r="G675" s="7" t="s">
        <v>206</v>
      </c>
      <c r="H675" s="7" t="s">
        <v>260</v>
      </c>
      <c r="I675" s="7" t="n">
        <v>4</v>
      </c>
      <c r="J675" s="7" t="s">
        <v>107</v>
      </c>
      <c r="K675" s="7" t="s">
        <v>108</v>
      </c>
      <c r="L675" s="7" t="n">
        <v>22</v>
      </c>
      <c r="M675" s="10" t="b">
        <f aca="false">FALSE()</f>
        <v>0</v>
      </c>
      <c r="N675" s="7" t="s">
        <v>109</v>
      </c>
      <c r="O675" s="7" t="n">
        <v>-34.562858</v>
      </c>
      <c r="P675" s="7" t="n">
        <v>148.361106</v>
      </c>
    </row>
    <row r="676" customFormat="false" ht="15" hidden="false" customHeight="false" outlineLevel="0" collapsed="false">
      <c r="A676" s="7" t="n">
        <v>675</v>
      </c>
      <c r="B676" s="7"/>
      <c r="C676" s="7" t="s">
        <v>907</v>
      </c>
      <c r="D676" s="7" t="n">
        <v>2580</v>
      </c>
      <c r="E676" s="7" t="s">
        <v>50</v>
      </c>
      <c r="F676" s="10" t="b">
        <f aca="false">FALSE()</f>
        <v>0</v>
      </c>
      <c r="G676" s="7" t="s">
        <v>481</v>
      </c>
      <c r="H676" s="7" t="s">
        <v>237</v>
      </c>
      <c r="I676" s="7" t="n">
        <v>2</v>
      </c>
      <c r="J676" s="7" t="s">
        <v>71</v>
      </c>
      <c r="K676" s="7" t="s">
        <v>72</v>
      </c>
      <c r="L676" s="7" t="n">
        <v>50</v>
      </c>
      <c r="M676" s="10" t="b">
        <f aca="false">FALSE()</f>
        <v>0</v>
      </c>
      <c r="N676" s="7" t="s">
        <v>76</v>
      </c>
      <c r="O676" s="7" t="n">
        <v>-34.747962</v>
      </c>
      <c r="P676" s="7" t="n">
        <v>149.749646</v>
      </c>
    </row>
    <row r="677" customFormat="false" ht="15" hidden="false" customHeight="false" outlineLevel="0" collapsed="false">
      <c r="A677" s="7" t="n">
        <v>676</v>
      </c>
      <c r="B677" s="7"/>
      <c r="C677" s="7" t="s">
        <v>908</v>
      </c>
      <c r="D677" s="7" t="n">
        <v>2028</v>
      </c>
      <c r="E677" s="7" t="s">
        <v>50</v>
      </c>
      <c r="F677" s="10" t="b">
        <f aca="false">FALSE()</f>
        <v>0</v>
      </c>
      <c r="G677" s="7" t="s">
        <v>272</v>
      </c>
      <c r="H677" s="7" t="s">
        <v>237</v>
      </c>
      <c r="I677" s="7" t="n">
        <v>6</v>
      </c>
      <c r="J677" s="7" t="s">
        <v>107</v>
      </c>
      <c r="K677" s="7" t="s">
        <v>277</v>
      </c>
      <c r="L677" s="7" t="n">
        <v>6</v>
      </c>
      <c r="M677" s="10" t="b">
        <f aca="false">FALSE()</f>
        <v>0</v>
      </c>
      <c r="N677" s="7" t="s">
        <v>109</v>
      </c>
      <c r="O677" s="7" t="n">
        <v>-33.872766</v>
      </c>
      <c r="P677" s="7" t="n">
        <v>151.247412</v>
      </c>
    </row>
    <row r="678" customFormat="false" ht="15" hidden="false" customHeight="false" outlineLevel="0" collapsed="false">
      <c r="A678" s="7" t="n">
        <v>677</v>
      </c>
      <c r="B678" s="7"/>
      <c r="C678" s="7" t="s">
        <v>909</v>
      </c>
      <c r="D678" s="7" t="n">
        <v>2122</v>
      </c>
      <c r="E678" s="7" t="s">
        <v>50</v>
      </c>
      <c r="F678" s="10" t="b">
        <f aca="false">FALSE()</f>
        <v>0</v>
      </c>
      <c r="G678" s="7" t="s">
        <v>364</v>
      </c>
      <c r="H678" s="7" t="s">
        <v>260</v>
      </c>
      <c r="I678" s="7" t="n">
        <v>2</v>
      </c>
      <c r="J678" s="7" t="s">
        <v>107</v>
      </c>
      <c r="K678" s="7" t="s">
        <v>108</v>
      </c>
      <c r="L678" s="7" t="n">
        <v>22</v>
      </c>
      <c r="M678" s="10" t="b">
        <f aca="false">FALSE()</f>
        <v>0</v>
      </c>
      <c r="N678" s="7" t="s">
        <v>109</v>
      </c>
      <c r="O678" s="7" t="n">
        <v>-33.790591</v>
      </c>
      <c r="P678" s="7" t="n">
        <v>151.084418</v>
      </c>
    </row>
    <row r="679" customFormat="false" ht="15" hidden="false" customHeight="false" outlineLevel="0" collapsed="false">
      <c r="A679" s="7" t="n">
        <v>678</v>
      </c>
      <c r="B679" s="7"/>
      <c r="C679" s="7" t="s">
        <v>910</v>
      </c>
      <c r="D679" s="7" t="n">
        <v>2536</v>
      </c>
      <c r="E679" s="7" t="s">
        <v>50</v>
      </c>
      <c r="F679" s="10" t="b">
        <f aca="false">FALSE()</f>
        <v>0</v>
      </c>
      <c r="G679" s="7" t="s">
        <v>123</v>
      </c>
      <c r="H679" s="7" t="s">
        <v>244</v>
      </c>
      <c r="I679" s="7" t="n">
        <v>2</v>
      </c>
      <c r="J679" s="7" t="s">
        <v>71</v>
      </c>
      <c r="K679" s="7" t="s">
        <v>72</v>
      </c>
      <c r="L679" s="7" t="n">
        <v>50</v>
      </c>
      <c r="M679" s="10" t="b">
        <f aca="false">FALSE()</f>
        <v>0</v>
      </c>
      <c r="N679" s="7" t="s">
        <v>76</v>
      </c>
      <c r="O679" s="7" t="n">
        <v>-35.710733</v>
      </c>
      <c r="P679" s="7" t="n">
        <v>150.177637</v>
      </c>
    </row>
    <row r="680" customFormat="false" ht="15" hidden="false" customHeight="false" outlineLevel="0" collapsed="false">
      <c r="A680" s="7" t="n">
        <v>679</v>
      </c>
      <c r="B680" s="7"/>
      <c r="C680" s="7" t="s">
        <v>911</v>
      </c>
      <c r="D680" s="7" t="n">
        <v>2132</v>
      </c>
      <c r="E680" s="7" t="s">
        <v>50</v>
      </c>
      <c r="F680" s="10" t="b">
        <f aca="false">FALSE()</f>
        <v>0</v>
      </c>
      <c r="G680" s="7" t="s">
        <v>421</v>
      </c>
      <c r="H680" s="7" t="s">
        <v>287</v>
      </c>
      <c r="I680" s="7" t="n">
        <v>2</v>
      </c>
      <c r="J680" s="7" t="s">
        <v>71</v>
      </c>
      <c r="K680" s="7" t="s">
        <v>288</v>
      </c>
      <c r="L680" s="7" t="n">
        <v>25</v>
      </c>
      <c r="M680" s="10" t="b">
        <f aca="false">FALSE()</f>
        <v>0</v>
      </c>
      <c r="N680" s="7" t="s">
        <v>76</v>
      </c>
      <c r="O680" s="7" t="n">
        <v>-33.894746</v>
      </c>
      <c r="P680" s="7" t="n">
        <v>151.109686</v>
      </c>
    </row>
    <row r="681" customFormat="false" ht="15" hidden="false" customHeight="false" outlineLevel="0" collapsed="false">
      <c r="A681" s="7" t="n">
        <v>680</v>
      </c>
      <c r="B681" s="7"/>
      <c r="C681" s="7" t="s">
        <v>912</v>
      </c>
      <c r="D681" s="7" t="n">
        <v>2066</v>
      </c>
      <c r="E681" s="7" t="s">
        <v>50</v>
      </c>
      <c r="F681" s="10" t="b">
        <f aca="false">FALSE()</f>
        <v>0</v>
      </c>
      <c r="G681" s="7" t="s">
        <v>389</v>
      </c>
      <c r="H681" s="7" t="s">
        <v>302</v>
      </c>
      <c r="I681" s="7" t="n">
        <v>2</v>
      </c>
      <c r="J681" s="7" t="s">
        <v>107</v>
      </c>
      <c r="K681" s="7" t="s">
        <v>108</v>
      </c>
      <c r="L681" s="7" t="n">
        <v>22</v>
      </c>
      <c r="M681" s="10" t="b">
        <f aca="false">FALSE()</f>
        <v>0</v>
      </c>
      <c r="N681" s="7" t="s">
        <v>109</v>
      </c>
      <c r="O681" s="7" t="n">
        <v>-33.806405</v>
      </c>
      <c r="P681" s="7" t="n">
        <v>151.16161</v>
      </c>
    </row>
    <row r="682" customFormat="false" ht="15" hidden="false" customHeight="false" outlineLevel="0" collapsed="false">
      <c r="A682" s="7" t="n">
        <v>681</v>
      </c>
      <c r="B682" s="7"/>
      <c r="C682" s="7" t="s">
        <v>913</v>
      </c>
      <c r="D682" s="7" t="n">
        <v>2731</v>
      </c>
      <c r="E682" s="7" t="s">
        <v>50</v>
      </c>
      <c r="F682" s="10" t="b">
        <f aca="false">FALSE()</f>
        <v>0</v>
      </c>
      <c r="G682" s="7" t="s">
        <v>914</v>
      </c>
      <c r="H682" s="7" t="s">
        <v>239</v>
      </c>
      <c r="I682" s="7" t="n">
        <v>2</v>
      </c>
      <c r="J682" s="7" t="s">
        <v>107</v>
      </c>
      <c r="K682" s="7" t="s">
        <v>108</v>
      </c>
      <c r="L682" s="7" t="n">
        <v>22</v>
      </c>
      <c r="M682" s="10" t="b">
        <f aca="false">FALSE()</f>
        <v>0</v>
      </c>
      <c r="N682" s="7" t="s">
        <v>109</v>
      </c>
      <c r="O682" s="7" t="n">
        <v>-36.111537</v>
      </c>
      <c r="P682" s="7" t="n">
        <v>144.753642</v>
      </c>
    </row>
    <row r="683" customFormat="false" ht="15" hidden="false" customHeight="false" outlineLevel="0" collapsed="false">
      <c r="A683" s="7" t="n">
        <v>682</v>
      </c>
      <c r="B683" s="7"/>
      <c r="C683" s="7" t="s">
        <v>915</v>
      </c>
      <c r="D683" s="7" t="n">
        <v>2486</v>
      </c>
      <c r="E683" s="7" t="s">
        <v>50</v>
      </c>
      <c r="F683" s="10" t="b">
        <f aca="false">FALSE()</f>
        <v>0</v>
      </c>
      <c r="G683" s="7" t="s">
        <v>164</v>
      </c>
      <c r="H683" s="7" t="s">
        <v>244</v>
      </c>
      <c r="I683" s="7" t="n">
        <v>4</v>
      </c>
      <c r="J683" s="7" t="s">
        <v>71</v>
      </c>
      <c r="K683" s="7" t="s">
        <v>234</v>
      </c>
      <c r="L683" s="7" t="n">
        <v>150</v>
      </c>
      <c r="M683" s="10" t="b">
        <f aca="false">FALSE()</f>
        <v>0</v>
      </c>
      <c r="N683" s="7" t="s">
        <v>76</v>
      </c>
      <c r="O683" s="7" t="n">
        <v>-28.198985</v>
      </c>
      <c r="P683" s="7" t="n">
        <v>153.545985</v>
      </c>
    </row>
    <row r="684" customFormat="false" ht="15" hidden="false" customHeight="false" outlineLevel="0" collapsed="false">
      <c r="A684" s="7" t="n">
        <v>683</v>
      </c>
      <c r="B684" s="7"/>
      <c r="C684" s="7" t="s">
        <v>916</v>
      </c>
      <c r="D684" s="7" t="n">
        <v>2229</v>
      </c>
      <c r="E684" s="7" t="s">
        <v>50</v>
      </c>
      <c r="F684" s="10" t="b">
        <f aca="false">FALSE()</f>
        <v>0</v>
      </c>
      <c r="G684" s="7" t="s">
        <v>224</v>
      </c>
      <c r="H684" s="7" t="s">
        <v>244</v>
      </c>
      <c r="I684" s="7" t="n">
        <v>4</v>
      </c>
      <c r="J684" s="7" t="s">
        <v>71</v>
      </c>
      <c r="K684" s="7" t="s">
        <v>83</v>
      </c>
      <c r="L684" s="7" t="n">
        <v>75</v>
      </c>
      <c r="M684" s="10" t="b">
        <f aca="false">FALSE()</f>
        <v>0</v>
      </c>
      <c r="N684" s="7" t="s">
        <v>268</v>
      </c>
      <c r="O684" s="7" t="n">
        <v>-34.032986</v>
      </c>
      <c r="P684" s="7" t="n">
        <v>151.125064</v>
      </c>
    </row>
    <row r="685" customFormat="false" ht="15" hidden="false" customHeight="false" outlineLevel="0" collapsed="false">
      <c r="A685" s="7" t="n">
        <v>684</v>
      </c>
      <c r="B685" s="7"/>
      <c r="C685" s="7" t="s">
        <v>917</v>
      </c>
      <c r="D685" s="7" t="n">
        <v>2148</v>
      </c>
      <c r="E685" s="7" t="s">
        <v>50</v>
      </c>
      <c r="F685" s="10" t="b">
        <f aca="false">FALSE()</f>
        <v>0</v>
      </c>
      <c r="G685" s="7" t="s">
        <v>232</v>
      </c>
      <c r="H685" s="7" t="s">
        <v>260</v>
      </c>
      <c r="I685" s="7" t="n">
        <v>4</v>
      </c>
      <c r="J685" s="7" t="s">
        <v>107</v>
      </c>
      <c r="K685" s="7" t="s">
        <v>277</v>
      </c>
      <c r="L685" s="7" t="n">
        <v>6</v>
      </c>
      <c r="M685" s="10" t="b">
        <f aca="false">FALSE()</f>
        <v>0</v>
      </c>
      <c r="N685" s="7" t="s">
        <v>109</v>
      </c>
      <c r="O685" s="7" t="n">
        <v>-33.772433</v>
      </c>
      <c r="P685" s="7" t="n">
        <v>150.909226</v>
      </c>
    </row>
    <row r="686" customFormat="false" ht="15" hidden="false" customHeight="false" outlineLevel="0" collapsed="false">
      <c r="A686" s="7" t="n">
        <v>685</v>
      </c>
      <c r="B686" s="7"/>
      <c r="C686" s="7" t="s">
        <v>918</v>
      </c>
      <c r="D686" s="7" t="n">
        <v>2095</v>
      </c>
      <c r="E686" s="7" t="s">
        <v>50</v>
      </c>
      <c r="F686" s="10" t="b">
        <f aca="false">FALSE()</f>
        <v>0</v>
      </c>
      <c r="G686" s="7" t="s">
        <v>286</v>
      </c>
      <c r="H686" s="7" t="s">
        <v>239</v>
      </c>
      <c r="I686" s="7" t="n">
        <v>4</v>
      </c>
      <c r="J686" s="7" t="s">
        <v>107</v>
      </c>
      <c r="K686" s="7" t="s">
        <v>108</v>
      </c>
      <c r="L686" s="7" t="n">
        <v>22</v>
      </c>
      <c r="M686" s="10" t="b">
        <f aca="false">FALSE()</f>
        <v>0</v>
      </c>
      <c r="N686" s="7" t="s">
        <v>109</v>
      </c>
      <c r="O686" s="7" t="n">
        <v>-33.791559</v>
      </c>
      <c r="P686" s="7" t="n">
        <v>151.286988</v>
      </c>
    </row>
    <row r="687" customFormat="false" ht="15" hidden="false" customHeight="false" outlineLevel="0" collapsed="false">
      <c r="A687" s="7" t="n">
        <v>686</v>
      </c>
      <c r="B687" s="7"/>
      <c r="C687" s="7" t="s">
        <v>919</v>
      </c>
      <c r="D687" s="7" t="n">
        <v>2009</v>
      </c>
      <c r="E687" s="7" t="s">
        <v>50</v>
      </c>
      <c r="F687" s="10" t="b">
        <f aca="false">FALSE()</f>
        <v>0</v>
      </c>
      <c r="G687" s="7" t="s">
        <v>182</v>
      </c>
      <c r="H687" s="7" t="s">
        <v>302</v>
      </c>
      <c r="I687" s="7" t="n">
        <v>2</v>
      </c>
      <c r="J687" s="7" t="s">
        <v>107</v>
      </c>
      <c r="K687" s="7" t="s">
        <v>108</v>
      </c>
      <c r="L687" s="7" t="n">
        <v>22</v>
      </c>
      <c r="M687" s="10" t="b">
        <f aca="false">FALSE()</f>
        <v>0</v>
      </c>
      <c r="N687" s="7" t="s">
        <v>109</v>
      </c>
      <c r="O687" s="7" t="n">
        <v>-33.868148</v>
      </c>
      <c r="P687" s="7" t="n">
        <v>151.194159</v>
      </c>
    </row>
    <row r="688" customFormat="false" ht="15" hidden="false" customHeight="false" outlineLevel="0" collapsed="false">
      <c r="A688" s="7" t="n">
        <v>687</v>
      </c>
      <c r="B688" s="7"/>
      <c r="C688" s="7" t="s">
        <v>920</v>
      </c>
      <c r="D688" s="7" t="n">
        <v>2537</v>
      </c>
      <c r="E688" s="7" t="s">
        <v>50</v>
      </c>
      <c r="F688" s="10" t="b">
        <f aca="false">FALSE()</f>
        <v>0</v>
      </c>
      <c r="G688" s="7" t="s">
        <v>123</v>
      </c>
      <c r="H688" s="7" t="s">
        <v>230</v>
      </c>
      <c r="I688" s="7" t="n">
        <v>1</v>
      </c>
      <c r="J688" s="7" t="s">
        <v>107</v>
      </c>
      <c r="K688" s="7" t="s">
        <v>108</v>
      </c>
      <c r="L688" s="7" t="n">
        <v>22</v>
      </c>
      <c r="M688" s="10" t="b">
        <f aca="false">FALSE()</f>
        <v>0</v>
      </c>
      <c r="N688" s="7" t="s">
        <v>109</v>
      </c>
      <c r="O688" s="7" t="n">
        <v>-35.844717</v>
      </c>
      <c r="P688" s="7" t="n">
        <v>150.169967</v>
      </c>
    </row>
    <row r="689" customFormat="false" ht="15" hidden="false" customHeight="false" outlineLevel="0" collapsed="false">
      <c r="A689" s="7" t="n">
        <v>688</v>
      </c>
      <c r="B689" s="7"/>
      <c r="C689" s="7" t="s">
        <v>921</v>
      </c>
      <c r="D689" s="7" t="n">
        <v>2036</v>
      </c>
      <c r="E689" s="7" t="s">
        <v>50</v>
      </c>
      <c r="F689" s="10" t="b">
        <f aca="false">FALSE()</f>
        <v>0</v>
      </c>
      <c r="G689" s="7" t="s">
        <v>355</v>
      </c>
      <c r="H689" s="7" t="s">
        <v>287</v>
      </c>
      <c r="I689" s="7" t="n">
        <v>2</v>
      </c>
      <c r="J689" s="7" t="s">
        <v>71</v>
      </c>
      <c r="K689" s="7" t="s">
        <v>288</v>
      </c>
      <c r="L689" s="7" t="n">
        <v>25</v>
      </c>
      <c r="M689" s="10" t="b">
        <f aca="false">FALSE()</f>
        <v>0</v>
      </c>
      <c r="N689" s="7" t="s">
        <v>76</v>
      </c>
      <c r="O689" s="7" t="n">
        <v>-33.961056</v>
      </c>
      <c r="P689" s="7" t="n">
        <v>151.230945</v>
      </c>
    </row>
    <row r="690" customFormat="false" ht="15" hidden="false" customHeight="false" outlineLevel="0" collapsed="false">
      <c r="A690" s="7" t="n">
        <v>689</v>
      </c>
      <c r="B690" s="7"/>
      <c r="C690" s="7" t="s">
        <v>922</v>
      </c>
      <c r="D690" s="7" t="n">
        <v>2640</v>
      </c>
      <c r="E690" s="7" t="s">
        <v>50</v>
      </c>
      <c r="F690" s="10" t="b">
        <f aca="false">FALSE()</f>
        <v>0</v>
      </c>
      <c r="G690" s="7" t="s">
        <v>194</v>
      </c>
      <c r="H690" s="7" t="s">
        <v>260</v>
      </c>
      <c r="I690" s="7" t="n">
        <v>4</v>
      </c>
      <c r="J690" s="7" t="s">
        <v>107</v>
      </c>
      <c r="K690" s="7" t="s">
        <v>108</v>
      </c>
      <c r="L690" s="7" t="n">
        <v>22</v>
      </c>
      <c r="M690" s="10" t="b">
        <f aca="false">FALSE()</f>
        <v>0</v>
      </c>
      <c r="N690" s="7" t="s">
        <v>109</v>
      </c>
      <c r="O690" s="7" t="n">
        <v>-36.078161</v>
      </c>
      <c r="P690" s="7" t="n">
        <v>146.916748</v>
      </c>
    </row>
    <row r="691" customFormat="false" ht="15" hidden="false" customHeight="false" outlineLevel="0" collapsed="false">
      <c r="A691" s="7" t="n">
        <v>690</v>
      </c>
      <c r="B691" s="7"/>
      <c r="C691" s="7" t="s">
        <v>923</v>
      </c>
      <c r="D691" s="7" t="n">
        <v>2320</v>
      </c>
      <c r="E691" s="7" t="s">
        <v>50</v>
      </c>
      <c r="F691" s="10" t="b">
        <f aca="false">FALSE()</f>
        <v>0</v>
      </c>
      <c r="G691" s="7" t="s">
        <v>336</v>
      </c>
      <c r="H691" s="7" t="s">
        <v>239</v>
      </c>
      <c r="I691" s="7" t="n">
        <v>1</v>
      </c>
      <c r="J691" s="7" t="s">
        <v>107</v>
      </c>
      <c r="K691" s="7" t="s">
        <v>485</v>
      </c>
      <c r="L691" s="7" t="n">
        <v>11</v>
      </c>
      <c r="M691" s="10" t="b">
        <f aca="false">FALSE()</f>
        <v>0</v>
      </c>
      <c r="N691" s="7" t="s">
        <v>109</v>
      </c>
      <c r="O691" s="7" t="n">
        <v>-32.696824</v>
      </c>
      <c r="P691" s="7" t="n">
        <v>151.262826</v>
      </c>
    </row>
    <row r="692" customFormat="false" ht="15" hidden="false" customHeight="false" outlineLevel="0" collapsed="false">
      <c r="A692" s="7" t="n">
        <v>691</v>
      </c>
      <c r="B692" s="7"/>
      <c r="C692" s="7" t="s">
        <v>924</v>
      </c>
      <c r="D692" s="7" t="n">
        <v>2320</v>
      </c>
      <c r="E692" s="7" t="s">
        <v>50</v>
      </c>
      <c r="F692" s="10" t="b">
        <f aca="false">FALSE()</f>
        <v>0</v>
      </c>
      <c r="G692" s="7" t="s">
        <v>283</v>
      </c>
      <c r="H692" s="7" t="s">
        <v>237</v>
      </c>
      <c r="I692" s="7" t="n">
        <v>2</v>
      </c>
      <c r="J692" s="7" t="s">
        <v>107</v>
      </c>
      <c r="K692" s="7" t="s">
        <v>108</v>
      </c>
      <c r="L692" s="7" t="n">
        <v>22</v>
      </c>
      <c r="M692" s="10" t="b">
        <f aca="false">FALSE()</f>
        <v>0</v>
      </c>
      <c r="N692" s="7" t="s">
        <v>109</v>
      </c>
      <c r="O692" s="7" t="n">
        <v>-32.728842</v>
      </c>
      <c r="P692" s="7" t="n">
        <v>151.54997</v>
      </c>
    </row>
    <row r="693" customFormat="false" ht="15" hidden="false" customHeight="false" outlineLevel="0" collapsed="false">
      <c r="A693" s="7" t="n">
        <v>692</v>
      </c>
      <c r="B693" s="7"/>
      <c r="C693" s="7" t="s">
        <v>925</v>
      </c>
      <c r="D693" s="7" t="n">
        <v>2009</v>
      </c>
      <c r="E693" s="7" t="s">
        <v>50</v>
      </c>
      <c r="F693" s="10" t="b">
        <f aca="false">FALSE()</f>
        <v>0</v>
      </c>
      <c r="G693" s="7" t="s">
        <v>182</v>
      </c>
      <c r="H693" s="7" t="s">
        <v>398</v>
      </c>
      <c r="I693" s="7" t="n">
        <v>2</v>
      </c>
      <c r="J693" s="7" t="s">
        <v>107</v>
      </c>
      <c r="K693" s="7" t="s">
        <v>108</v>
      </c>
      <c r="L693" s="7" t="n">
        <v>22</v>
      </c>
      <c r="M693" s="10" t="b">
        <f aca="false">FALSE()</f>
        <v>0</v>
      </c>
      <c r="N693" s="7" t="s">
        <v>109</v>
      </c>
      <c r="O693" s="7" t="n">
        <v>-33.871926</v>
      </c>
      <c r="P693" s="7" t="n">
        <v>151.197966</v>
      </c>
    </row>
    <row r="694" customFormat="false" ht="15" hidden="false" customHeight="false" outlineLevel="0" collapsed="false">
      <c r="A694" s="7" t="n">
        <v>693</v>
      </c>
      <c r="B694" s="7"/>
      <c r="C694" s="7" t="s">
        <v>926</v>
      </c>
      <c r="D694" s="7" t="n">
        <v>2465</v>
      </c>
      <c r="E694" s="7" t="s">
        <v>50</v>
      </c>
      <c r="F694" s="10" t="b">
        <f aca="false">FALSE()</f>
        <v>0</v>
      </c>
      <c r="G694" s="7" t="s">
        <v>87</v>
      </c>
      <c r="H694" s="7" t="s">
        <v>239</v>
      </c>
      <c r="I694" s="7" t="n">
        <v>8</v>
      </c>
      <c r="J694" s="7" t="s">
        <v>71</v>
      </c>
      <c r="K694" s="7" t="s">
        <v>242</v>
      </c>
      <c r="L694" s="7" t="n">
        <v>130</v>
      </c>
      <c r="M694" s="10" t="b">
        <f aca="false">FALSE()</f>
        <v>0</v>
      </c>
      <c r="N694" s="7" t="s">
        <v>76</v>
      </c>
      <c r="O694" s="7" t="n">
        <v>-29.426999</v>
      </c>
      <c r="P694" s="7" t="n">
        <v>153.239147</v>
      </c>
    </row>
    <row r="695" customFormat="false" ht="15" hidden="false" customHeight="false" outlineLevel="0" collapsed="false">
      <c r="A695" s="7" t="n">
        <v>694</v>
      </c>
      <c r="B695" s="7"/>
      <c r="C695" s="7" t="s">
        <v>927</v>
      </c>
      <c r="D695" s="7" t="n">
        <v>2176</v>
      </c>
      <c r="E695" s="7" t="s">
        <v>50</v>
      </c>
      <c r="F695" s="10" t="b">
        <f aca="false">FALSE()</f>
        <v>0</v>
      </c>
      <c r="G695" s="7" t="s">
        <v>370</v>
      </c>
      <c r="H695" s="7" t="s">
        <v>239</v>
      </c>
      <c r="I695" s="7" t="n">
        <v>2</v>
      </c>
      <c r="J695" s="7" t="s">
        <v>107</v>
      </c>
      <c r="K695" s="7" t="s">
        <v>108</v>
      </c>
      <c r="L695" s="7" t="n">
        <v>22</v>
      </c>
      <c r="M695" s="10" t="b">
        <f aca="false">FALSE()</f>
        <v>0</v>
      </c>
      <c r="N695" s="7" t="s">
        <v>109</v>
      </c>
      <c r="O695" s="7" t="n">
        <v>-33.858862</v>
      </c>
      <c r="P695" s="7" t="n">
        <v>150.898752</v>
      </c>
    </row>
    <row r="696" customFormat="false" ht="15" hidden="false" customHeight="false" outlineLevel="0" collapsed="false">
      <c r="A696" s="7" t="n">
        <v>695</v>
      </c>
      <c r="B696" s="7"/>
      <c r="C696" s="7" t="s">
        <v>928</v>
      </c>
      <c r="D696" s="7" t="n">
        <v>2068</v>
      </c>
      <c r="E696" s="7" t="s">
        <v>50</v>
      </c>
      <c r="F696" s="10" t="b">
        <f aca="false">FALSE()</f>
        <v>0</v>
      </c>
      <c r="G696" s="7" t="s">
        <v>258</v>
      </c>
      <c r="H696" s="7" t="s">
        <v>302</v>
      </c>
      <c r="I696" s="7" t="n">
        <v>2</v>
      </c>
      <c r="J696" s="7" t="s">
        <v>107</v>
      </c>
      <c r="K696" s="7" t="s">
        <v>108</v>
      </c>
      <c r="L696" s="7" t="n">
        <v>22</v>
      </c>
      <c r="M696" s="10" t="b">
        <f aca="false">FALSE()</f>
        <v>0</v>
      </c>
      <c r="N696" s="7" t="s">
        <v>109</v>
      </c>
      <c r="O696" s="7" t="n">
        <v>-33.807294</v>
      </c>
      <c r="P696" s="7" t="n">
        <v>151.200025</v>
      </c>
    </row>
    <row r="697" customFormat="false" ht="15" hidden="false" customHeight="false" outlineLevel="0" collapsed="false">
      <c r="A697" s="7" t="n">
        <v>696</v>
      </c>
      <c r="B697" s="7"/>
      <c r="C697" s="7" t="s">
        <v>929</v>
      </c>
      <c r="D697" s="7" t="n">
        <v>2033</v>
      </c>
      <c r="E697" s="7" t="s">
        <v>50</v>
      </c>
      <c r="F697" s="10" t="b">
        <f aca="false">FALSE()</f>
        <v>0</v>
      </c>
      <c r="G697" s="7" t="s">
        <v>355</v>
      </c>
      <c r="H697" s="7" t="s">
        <v>302</v>
      </c>
      <c r="I697" s="7" t="n">
        <v>2</v>
      </c>
      <c r="J697" s="7" t="s">
        <v>107</v>
      </c>
      <c r="K697" s="7" t="s">
        <v>108</v>
      </c>
      <c r="L697" s="7" t="n">
        <v>22</v>
      </c>
      <c r="M697" s="10" t="b">
        <f aca="false">FALSE()</f>
        <v>0</v>
      </c>
      <c r="N697" s="7" t="s">
        <v>109</v>
      </c>
      <c r="O697" s="7" t="n">
        <v>-33.90801</v>
      </c>
      <c r="P697" s="7" t="n">
        <v>151.224763</v>
      </c>
    </row>
    <row r="698" customFormat="false" ht="15" hidden="false" customHeight="false" outlineLevel="0" collapsed="false">
      <c r="A698" s="7" t="n">
        <v>697</v>
      </c>
      <c r="B698" s="7"/>
      <c r="C698" s="7" t="s">
        <v>930</v>
      </c>
      <c r="D698" s="7" t="n">
        <v>2452</v>
      </c>
      <c r="E698" s="7" t="s">
        <v>50</v>
      </c>
      <c r="F698" s="10" t="b">
        <f aca="false">FALSE()</f>
        <v>0</v>
      </c>
      <c r="G698" s="7" t="s">
        <v>360</v>
      </c>
      <c r="H698" s="7" t="s">
        <v>239</v>
      </c>
      <c r="I698" s="7" t="n">
        <v>2</v>
      </c>
      <c r="J698" s="7" t="s">
        <v>107</v>
      </c>
      <c r="K698" s="7" t="s">
        <v>240</v>
      </c>
      <c r="L698" s="7" t="n">
        <v>19</v>
      </c>
      <c r="M698" s="10" t="b">
        <f aca="false">FALSE()</f>
        <v>0</v>
      </c>
      <c r="N698" s="7" t="s">
        <v>109</v>
      </c>
      <c r="O698" s="7" t="n">
        <v>-30.369935</v>
      </c>
      <c r="P698" s="7" t="n">
        <v>153.099164</v>
      </c>
    </row>
    <row r="699" customFormat="false" ht="15" hidden="false" customHeight="false" outlineLevel="0" collapsed="false">
      <c r="A699" s="7" t="n">
        <v>698</v>
      </c>
      <c r="B699" s="7"/>
      <c r="C699" s="7" t="s">
        <v>931</v>
      </c>
      <c r="D699" s="7" t="n">
        <v>2320</v>
      </c>
      <c r="E699" s="7" t="s">
        <v>50</v>
      </c>
      <c r="F699" s="10" t="b">
        <f aca="false">FALSE()</f>
        <v>0</v>
      </c>
      <c r="G699" s="7" t="s">
        <v>111</v>
      </c>
      <c r="H699" s="7" t="s">
        <v>758</v>
      </c>
      <c r="I699" s="7" t="n">
        <v>2</v>
      </c>
      <c r="J699" s="7" t="s">
        <v>107</v>
      </c>
      <c r="K699" s="7" t="s">
        <v>485</v>
      </c>
      <c r="L699" s="7" t="n">
        <v>11</v>
      </c>
      <c r="M699" s="10" t="b">
        <f aca="false">FALSE()</f>
        <v>0</v>
      </c>
      <c r="N699" s="7" t="s">
        <v>109</v>
      </c>
      <c r="O699" s="7" t="n">
        <v>-32.775791</v>
      </c>
      <c r="P699" s="7" t="n">
        <v>151.281324</v>
      </c>
    </row>
    <row r="700" customFormat="false" ht="15" hidden="false" customHeight="false" outlineLevel="0" collapsed="false">
      <c r="A700" s="7" t="n">
        <v>699</v>
      </c>
      <c r="B700" s="7"/>
      <c r="C700" s="7" t="s">
        <v>931</v>
      </c>
      <c r="D700" s="7" t="n">
        <v>2320</v>
      </c>
      <c r="E700" s="7" t="s">
        <v>50</v>
      </c>
      <c r="F700" s="10" t="b">
        <f aca="false">FALSE()</f>
        <v>0</v>
      </c>
      <c r="G700" s="7" t="s">
        <v>111</v>
      </c>
      <c r="H700" s="7" t="s">
        <v>239</v>
      </c>
      <c r="I700" s="7" t="n">
        <v>2</v>
      </c>
      <c r="J700" s="7" t="s">
        <v>107</v>
      </c>
      <c r="K700" s="7" t="s">
        <v>108</v>
      </c>
      <c r="L700" s="7" t="n">
        <v>22</v>
      </c>
      <c r="M700" s="10" t="b">
        <f aca="false">FALSE()</f>
        <v>0</v>
      </c>
      <c r="N700" s="7" t="s">
        <v>109</v>
      </c>
      <c r="O700" s="7" t="n">
        <v>-32.775445</v>
      </c>
      <c r="P700" s="7" t="n">
        <v>151.281744</v>
      </c>
    </row>
    <row r="701" customFormat="false" ht="15" hidden="false" customHeight="false" outlineLevel="0" collapsed="false">
      <c r="A701" s="7" t="n">
        <v>700</v>
      </c>
      <c r="B701" s="7"/>
      <c r="C701" s="7" t="s">
        <v>932</v>
      </c>
      <c r="D701" s="7" t="n">
        <v>2621</v>
      </c>
      <c r="E701" s="7" t="s">
        <v>50</v>
      </c>
      <c r="F701" s="10" t="b">
        <f aca="false">FALSE()</f>
        <v>0</v>
      </c>
      <c r="G701" s="7" t="s">
        <v>94</v>
      </c>
      <c r="H701" s="7" t="s">
        <v>239</v>
      </c>
      <c r="I701" s="7" t="n">
        <v>2</v>
      </c>
      <c r="J701" s="7" t="s">
        <v>107</v>
      </c>
      <c r="K701" s="7" t="s">
        <v>277</v>
      </c>
      <c r="L701" s="7" t="n">
        <v>6</v>
      </c>
      <c r="M701" s="10" t="b">
        <f aca="false">FALSE()</f>
        <v>0</v>
      </c>
      <c r="N701" s="7" t="s">
        <v>109</v>
      </c>
      <c r="O701" s="7" t="n">
        <v>-35.256963</v>
      </c>
      <c r="P701" s="7" t="n">
        <v>149.440177</v>
      </c>
    </row>
    <row r="702" customFormat="false" ht="15" hidden="false" customHeight="false" outlineLevel="0" collapsed="false">
      <c r="A702" s="7" t="n">
        <v>701</v>
      </c>
      <c r="B702" s="7"/>
      <c r="C702" s="7" t="s">
        <v>933</v>
      </c>
      <c r="D702" s="7" t="n">
        <v>2850</v>
      </c>
      <c r="E702" s="7" t="s">
        <v>50</v>
      </c>
      <c r="F702" s="10" t="b">
        <f aca="false">FALSE()</f>
        <v>0</v>
      </c>
      <c r="G702" s="7" t="s">
        <v>199</v>
      </c>
      <c r="H702" s="7" t="s">
        <v>239</v>
      </c>
      <c r="I702" s="7" t="n">
        <v>2</v>
      </c>
      <c r="J702" s="7" t="s">
        <v>107</v>
      </c>
      <c r="K702" s="7" t="s">
        <v>108</v>
      </c>
      <c r="L702" s="7" t="n">
        <v>22</v>
      </c>
      <c r="M702" s="10" t="b">
        <f aca="false">FALSE()</f>
        <v>0</v>
      </c>
      <c r="N702" s="7" t="s">
        <v>109</v>
      </c>
      <c r="O702" s="7" t="n">
        <v>-32.52794</v>
      </c>
      <c r="P702" s="7" t="n">
        <v>149.611869</v>
      </c>
    </row>
    <row r="703" customFormat="false" ht="15" hidden="false" customHeight="false" outlineLevel="0" collapsed="false">
      <c r="A703" s="7" t="n">
        <v>702</v>
      </c>
      <c r="B703" s="7"/>
      <c r="C703" s="7" t="s">
        <v>934</v>
      </c>
      <c r="D703" s="7" t="n">
        <v>2340</v>
      </c>
      <c r="E703" s="7" t="s">
        <v>50</v>
      </c>
      <c r="F703" s="10" t="b">
        <f aca="false">FALSE()</f>
        <v>0</v>
      </c>
      <c r="G703" s="7" t="s">
        <v>192</v>
      </c>
      <c r="H703" s="7" t="s">
        <v>239</v>
      </c>
      <c r="I703" s="7" t="n">
        <v>8</v>
      </c>
      <c r="J703" s="7" t="s">
        <v>71</v>
      </c>
      <c r="K703" s="7" t="s">
        <v>242</v>
      </c>
      <c r="L703" s="7" t="n">
        <v>130</v>
      </c>
      <c r="M703" s="10" t="b">
        <f aca="false">FALSE()</f>
        <v>0</v>
      </c>
      <c r="N703" s="7" t="s">
        <v>76</v>
      </c>
      <c r="O703" s="7" t="n">
        <v>-31.10165</v>
      </c>
      <c r="P703" s="7" t="n">
        <v>150.917126</v>
      </c>
    </row>
    <row r="704" customFormat="false" ht="15" hidden="false" customHeight="false" outlineLevel="0" collapsed="false">
      <c r="A704" s="7" t="n">
        <v>703</v>
      </c>
      <c r="B704" s="7"/>
      <c r="C704" s="7" t="s">
        <v>935</v>
      </c>
      <c r="D704" s="7" t="n">
        <v>2132</v>
      </c>
      <c r="E704" s="7" t="s">
        <v>50</v>
      </c>
      <c r="F704" s="10" t="b">
        <f aca="false">FALSE()</f>
        <v>0</v>
      </c>
      <c r="G704" s="7" t="s">
        <v>410</v>
      </c>
      <c r="H704" s="7" t="s">
        <v>233</v>
      </c>
      <c r="I704" s="7" t="n">
        <v>4</v>
      </c>
      <c r="J704" s="7" t="s">
        <v>71</v>
      </c>
      <c r="K704" s="7" t="s">
        <v>83</v>
      </c>
      <c r="L704" s="7" t="n">
        <v>75</v>
      </c>
      <c r="M704" s="10" t="b">
        <f aca="false">FALSE()</f>
        <v>0</v>
      </c>
      <c r="N704" s="7" t="s">
        <v>76</v>
      </c>
      <c r="O704" s="7" t="n">
        <v>-33.874104</v>
      </c>
      <c r="P704" s="7" t="n">
        <v>151.126763</v>
      </c>
    </row>
    <row r="705" customFormat="false" ht="15" hidden="false" customHeight="false" outlineLevel="0" collapsed="false">
      <c r="A705" s="7" t="n">
        <v>704</v>
      </c>
      <c r="B705" s="7"/>
      <c r="C705" s="7" t="s">
        <v>936</v>
      </c>
      <c r="D705" s="7" t="n">
        <v>2232</v>
      </c>
      <c r="E705" s="7" t="s">
        <v>50</v>
      </c>
      <c r="F705" s="10" t="b">
        <f aca="false">FALSE()</f>
        <v>0</v>
      </c>
      <c r="G705" s="7" t="s">
        <v>628</v>
      </c>
      <c r="H705" s="7" t="s">
        <v>239</v>
      </c>
      <c r="I705" s="7" t="n">
        <v>6</v>
      </c>
      <c r="J705" s="7" t="s">
        <v>71</v>
      </c>
      <c r="K705" s="7" t="s">
        <v>250</v>
      </c>
      <c r="L705" s="7" t="n">
        <v>250</v>
      </c>
      <c r="M705" s="10" t="b">
        <f aca="false">FALSE()</f>
        <v>0</v>
      </c>
      <c r="N705" s="7" t="s">
        <v>76</v>
      </c>
      <c r="O705" s="7" t="n">
        <v>-34.033397</v>
      </c>
      <c r="P705" s="7" t="n">
        <v>151.07315</v>
      </c>
    </row>
    <row r="706" customFormat="false" ht="15" hidden="false" customHeight="false" outlineLevel="0" collapsed="false">
      <c r="A706" s="7" t="n">
        <v>705</v>
      </c>
      <c r="B706" s="7"/>
      <c r="C706" s="7" t="s">
        <v>937</v>
      </c>
      <c r="D706" s="7" t="n">
        <v>2264</v>
      </c>
      <c r="E706" s="7" t="s">
        <v>50</v>
      </c>
      <c r="F706" s="10" t="b">
        <f aca="false">FALSE()</f>
        <v>0</v>
      </c>
      <c r="G706" s="7" t="s">
        <v>377</v>
      </c>
      <c r="H706" s="7" t="s">
        <v>260</v>
      </c>
      <c r="I706" s="7" t="n">
        <v>1</v>
      </c>
      <c r="J706" s="7" t="s">
        <v>107</v>
      </c>
      <c r="K706" s="7" t="s">
        <v>108</v>
      </c>
      <c r="L706" s="7" t="n">
        <v>22</v>
      </c>
      <c r="M706" s="10" t="b">
        <f aca="false">FALSE()</f>
        <v>0</v>
      </c>
      <c r="N706" s="7" t="s">
        <v>109</v>
      </c>
      <c r="O706" s="7" t="n">
        <v>-33.10741</v>
      </c>
      <c r="P706" s="7" t="n">
        <v>151.489715</v>
      </c>
    </row>
    <row r="707" customFormat="false" ht="15" hidden="false" customHeight="false" outlineLevel="0" collapsed="false">
      <c r="A707" s="7" t="n">
        <v>706</v>
      </c>
      <c r="B707" s="7"/>
      <c r="C707" s="7" t="s">
        <v>938</v>
      </c>
      <c r="D707" s="7" t="n">
        <v>2087</v>
      </c>
      <c r="E707" s="7" t="s">
        <v>50</v>
      </c>
      <c r="F707" s="10" t="b">
        <f aca="false">FALSE()</f>
        <v>0</v>
      </c>
      <c r="G707" s="7" t="s">
        <v>286</v>
      </c>
      <c r="H707" s="7" t="s">
        <v>287</v>
      </c>
      <c r="I707" s="7" t="n">
        <v>2</v>
      </c>
      <c r="J707" s="7" t="s">
        <v>71</v>
      </c>
      <c r="K707" s="7" t="s">
        <v>288</v>
      </c>
      <c r="L707" s="7" t="n">
        <v>25</v>
      </c>
      <c r="M707" s="10" t="b">
        <f aca="false">FALSE()</f>
        <v>0</v>
      </c>
      <c r="N707" s="7" t="s">
        <v>76</v>
      </c>
      <c r="O707" s="7" t="n">
        <v>-33.762109</v>
      </c>
      <c r="P707" s="7" t="n">
        <v>151.214201</v>
      </c>
    </row>
    <row r="708" customFormat="false" ht="15" hidden="false" customHeight="false" outlineLevel="0" collapsed="false">
      <c r="A708" s="7" t="n">
        <v>707</v>
      </c>
      <c r="B708" s="7"/>
      <c r="C708" s="7" t="s">
        <v>939</v>
      </c>
      <c r="D708" s="7" t="n">
        <v>2325</v>
      </c>
      <c r="E708" s="7" t="s">
        <v>50</v>
      </c>
      <c r="F708" s="10" t="b">
        <f aca="false">FALSE()</f>
        <v>0</v>
      </c>
      <c r="G708" s="7" t="s">
        <v>111</v>
      </c>
      <c r="H708" s="7" t="s">
        <v>239</v>
      </c>
      <c r="I708" s="7" t="n">
        <v>1</v>
      </c>
      <c r="J708" s="7" t="s">
        <v>107</v>
      </c>
      <c r="K708" s="7" t="s">
        <v>108</v>
      </c>
      <c r="L708" s="7" t="n">
        <v>22</v>
      </c>
      <c r="M708" s="10" t="b">
        <f aca="false">FALSE()</f>
        <v>0</v>
      </c>
      <c r="N708" s="7" t="s">
        <v>109</v>
      </c>
      <c r="O708" s="7" t="n">
        <v>-32.839381</v>
      </c>
      <c r="P708" s="7" t="n">
        <v>151.298565</v>
      </c>
    </row>
    <row r="709" customFormat="false" ht="15" hidden="false" customHeight="false" outlineLevel="0" collapsed="false">
      <c r="A709" s="7" t="n">
        <v>708</v>
      </c>
      <c r="B709" s="7"/>
      <c r="C709" s="7" t="s">
        <v>940</v>
      </c>
      <c r="D709" s="7" t="n">
        <v>2032</v>
      </c>
      <c r="E709" s="7" t="s">
        <v>50</v>
      </c>
      <c r="F709" s="10" t="b">
        <f aca="false">FALSE()</f>
        <v>0</v>
      </c>
      <c r="G709" s="7" t="s">
        <v>355</v>
      </c>
      <c r="H709" s="7" t="s">
        <v>244</v>
      </c>
      <c r="I709" s="7" t="n">
        <v>4</v>
      </c>
      <c r="J709" s="7" t="s">
        <v>71</v>
      </c>
      <c r="K709" s="7" t="s">
        <v>83</v>
      </c>
      <c r="L709" s="7" t="n">
        <v>75</v>
      </c>
      <c r="M709" s="10" t="b">
        <f aca="false">FALSE()</f>
        <v>0</v>
      </c>
      <c r="N709" s="7" t="s">
        <v>76</v>
      </c>
      <c r="O709" s="7" t="n">
        <v>-33.926596</v>
      </c>
      <c r="P709" s="7" t="n">
        <v>151.231329</v>
      </c>
    </row>
    <row r="710" customFormat="false" ht="15" hidden="false" customHeight="false" outlineLevel="0" collapsed="false">
      <c r="A710" s="7" t="n">
        <v>709</v>
      </c>
      <c r="B710" s="7"/>
      <c r="C710" s="7" t="s">
        <v>941</v>
      </c>
      <c r="D710" s="7" t="n">
        <v>2077</v>
      </c>
      <c r="E710" s="7" t="s">
        <v>50</v>
      </c>
      <c r="F710" s="10" t="b">
        <f aca="false">FALSE()</f>
        <v>0</v>
      </c>
      <c r="G710" s="7" t="s">
        <v>340</v>
      </c>
      <c r="H710" s="7" t="s">
        <v>330</v>
      </c>
      <c r="I710" s="7" t="n">
        <v>2</v>
      </c>
      <c r="J710" s="7" t="s">
        <v>71</v>
      </c>
      <c r="K710" s="7" t="s">
        <v>213</v>
      </c>
      <c r="L710" s="7" t="n">
        <v>125</v>
      </c>
      <c r="M710" s="10" t="b">
        <f aca="false">FALSE()</f>
        <v>0</v>
      </c>
      <c r="N710" s="7" t="s">
        <v>268</v>
      </c>
      <c r="O710" s="7" t="n">
        <v>-33.71053</v>
      </c>
      <c r="P710" s="7" t="n">
        <v>151.102449</v>
      </c>
    </row>
    <row r="711" customFormat="false" ht="15" hidden="false" customHeight="false" outlineLevel="0" collapsed="false">
      <c r="A711" s="7" t="n">
        <v>710</v>
      </c>
      <c r="B711" s="7"/>
      <c r="C711" s="7" t="s">
        <v>942</v>
      </c>
      <c r="D711" s="7" t="n">
        <v>2031</v>
      </c>
      <c r="E711" s="7" t="s">
        <v>50</v>
      </c>
      <c r="F711" s="10" t="b">
        <f aca="false">FALSE()</f>
        <v>0</v>
      </c>
      <c r="G711" s="7" t="s">
        <v>355</v>
      </c>
      <c r="H711" s="7" t="s">
        <v>260</v>
      </c>
      <c r="I711" s="7" t="n">
        <v>2</v>
      </c>
      <c r="J711" s="7" t="s">
        <v>107</v>
      </c>
      <c r="K711" s="7" t="s">
        <v>277</v>
      </c>
      <c r="L711" s="7" t="n">
        <v>6</v>
      </c>
      <c r="M711" s="10" t="b">
        <f aca="false">FALSE()</f>
        <v>0</v>
      </c>
      <c r="N711" s="7" t="s">
        <v>109</v>
      </c>
      <c r="O711" s="7" t="n">
        <v>-33.919039</v>
      </c>
      <c r="P711" s="7" t="n">
        <v>151.24324</v>
      </c>
    </row>
    <row r="712" customFormat="false" ht="15" hidden="false" customHeight="false" outlineLevel="0" collapsed="false">
      <c r="A712" s="7" t="n">
        <v>711</v>
      </c>
      <c r="B712" s="7"/>
      <c r="C712" s="7" t="s">
        <v>943</v>
      </c>
      <c r="D712" s="7" t="n">
        <v>2200</v>
      </c>
      <c r="E712" s="7" t="s">
        <v>50</v>
      </c>
      <c r="F712" s="10" t="b">
        <f aca="false">FALSE()</f>
        <v>0</v>
      </c>
      <c r="G712" s="7" t="s">
        <v>345</v>
      </c>
      <c r="H712" s="7" t="s">
        <v>237</v>
      </c>
      <c r="I712" s="7" t="n">
        <v>4</v>
      </c>
      <c r="J712" s="7" t="s">
        <v>107</v>
      </c>
      <c r="K712" s="7" t="s">
        <v>108</v>
      </c>
      <c r="L712" s="7" t="n">
        <v>22</v>
      </c>
      <c r="M712" s="10" t="b">
        <f aca="false">FALSE()</f>
        <v>0</v>
      </c>
      <c r="N712" s="7" t="s">
        <v>109</v>
      </c>
      <c r="O712" s="7" t="n">
        <v>-33.915656</v>
      </c>
      <c r="P712" s="7" t="n">
        <v>150.992264</v>
      </c>
    </row>
    <row r="713" customFormat="false" ht="15" hidden="false" customHeight="false" outlineLevel="0" collapsed="false">
      <c r="A713" s="7" t="n">
        <v>712</v>
      </c>
      <c r="B713" s="7"/>
      <c r="C713" s="7" t="s">
        <v>944</v>
      </c>
      <c r="D713" s="7" t="n">
        <v>2850</v>
      </c>
      <c r="E713" s="7" t="s">
        <v>50</v>
      </c>
      <c r="F713" s="10" t="b">
        <f aca="false">FALSE()</f>
        <v>0</v>
      </c>
      <c r="G713" s="7" t="s">
        <v>199</v>
      </c>
      <c r="H713" s="7" t="s">
        <v>239</v>
      </c>
      <c r="I713" s="7" t="n">
        <v>1</v>
      </c>
      <c r="J713" s="7" t="s">
        <v>107</v>
      </c>
      <c r="K713" s="7" t="s">
        <v>254</v>
      </c>
      <c r="L713" s="7" t="n">
        <v>8</v>
      </c>
      <c r="M713" s="10" t="b">
        <f aca="false">FALSE()</f>
        <v>0</v>
      </c>
      <c r="N713" s="7" t="s">
        <v>109</v>
      </c>
      <c r="O713" s="7" t="n">
        <v>-32.548361</v>
      </c>
      <c r="P713" s="7" t="n">
        <v>149.631433</v>
      </c>
    </row>
    <row r="714" customFormat="false" ht="15" hidden="false" customHeight="false" outlineLevel="0" collapsed="false">
      <c r="A714" s="7" t="n">
        <v>713</v>
      </c>
      <c r="B714" s="7"/>
      <c r="C714" s="7" t="s">
        <v>945</v>
      </c>
      <c r="D714" s="7" t="n">
        <v>2081</v>
      </c>
      <c r="E714" s="7" t="s">
        <v>50</v>
      </c>
      <c r="F714" s="10" t="b">
        <f aca="false">FALSE()</f>
        <v>0</v>
      </c>
      <c r="G714" s="7" t="s">
        <v>340</v>
      </c>
      <c r="H714" s="7" t="s">
        <v>237</v>
      </c>
      <c r="I714" s="7" t="n">
        <v>2</v>
      </c>
      <c r="J714" s="7" t="s">
        <v>71</v>
      </c>
      <c r="K714" s="7" t="s">
        <v>83</v>
      </c>
      <c r="L714" s="7" t="n">
        <v>75</v>
      </c>
      <c r="M714" s="10" t="b">
        <f aca="false">FALSE()</f>
        <v>0</v>
      </c>
      <c r="N714" s="7" t="s">
        <v>76</v>
      </c>
      <c r="O714" s="7" t="n">
        <v>-33.621379</v>
      </c>
      <c r="P714" s="7" t="n">
        <v>151.149448</v>
      </c>
    </row>
    <row r="715" customFormat="false" ht="15" hidden="false" customHeight="false" outlineLevel="0" collapsed="false">
      <c r="A715" s="7" t="n">
        <v>714</v>
      </c>
      <c r="B715" s="7"/>
      <c r="C715" s="7" t="s">
        <v>946</v>
      </c>
      <c r="D715" s="7" t="n">
        <v>2795</v>
      </c>
      <c r="E715" s="7" t="s">
        <v>50</v>
      </c>
      <c r="F715" s="10" t="b">
        <f aca="false">FALSE()</f>
        <v>0</v>
      </c>
      <c r="G715" s="7" t="s">
        <v>75</v>
      </c>
      <c r="H715" s="7" t="s">
        <v>260</v>
      </c>
      <c r="I715" s="7" t="n">
        <v>2</v>
      </c>
      <c r="J715" s="7" t="s">
        <v>107</v>
      </c>
      <c r="K715" s="7" t="s">
        <v>277</v>
      </c>
      <c r="L715" s="7" t="n">
        <v>6</v>
      </c>
      <c r="M715" s="10" t="b">
        <f aca="false">FALSE()</f>
        <v>0</v>
      </c>
      <c r="N715" s="7" t="s">
        <v>109</v>
      </c>
      <c r="O715" s="7" t="n">
        <v>-33.688732</v>
      </c>
      <c r="P715" s="7" t="n">
        <v>149.564345</v>
      </c>
    </row>
    <row r="716" customFormat="false" ht="15" hidden="false" customHeight="false" outlineLevel="0" collapsed="false">
      <c r="A716" s="7" t="n">
        <v>715</v>
      </c>
      <c r="B716" s="7"/>
      <c r="C716" s="7" t="s">
        <v>947</v>
      </c>
      <c r="D716" s="7" t="n">
        <v>2021</v>
      </c>
      <c r="E716" s="7" t="s">
        <v>50</v>
      </c>
      <c r="F716" s="10" t="b">
        <f aca="false">FALSE()</f>
        <v>0</v>
      </c>
      <c r="G716" s="7" t="s">
        <v>272</v>
      </c>
      <c r="H716" s="7" t="s">
        <v>260</v>
      </c>
      <c r="I716" s="7" t="n">
        <v>2</v>
      </c>
      <c r="J716" s="7" t="s">
        <v>107</v>
      </c>
      <c r="K716" s="7" t="s">
        <v>108</v>
      </c>
      <c r="L716" s="7" t="n">
        <v>22</v>
      </c>
      <c r="M716" s="10" t="b">
        <f aca="false">FALSE()</f>
        <v>0</v>
      </c>
      <c r="N716" s="7" t="s">
        <v>109</v>
      </c>
      <c r="O716" s="7" t="n">
        <v>-33.882336</v>
      </c>
      <c r="P716" s="7" t="n">
        <v>151.233582</v>
      </c>
    </row>
    <row r="717" customFormat="false" ht="15" hidden="false" customHeight="false" outlineLevel="0" collapsed="false">
      <c r="A717" s="7" t="n">
        <v>716</v>
      </c>
      <c r="B717" s="7"/>
      <c r="C717" s="7" t="s">
        <v>948</v>
      </c>
      <c r="D717" s="7" t="n">
        <v>2576</v>
      </c>
      <c r="E717" s="7" t="s">
        <v>50</v>
      </c>
      <c r="F717" s="10" t="b">
        <f aca="false">FALSE()</f>
        <v>0</v>
      </c>
      <c r="G717" s="7" t="s">
        <v>161</v>
      </c>
      <c r="H717" s="7" t="s">
        <v>239</v>
      </c>
      <c r="I717" s="7" t="n">
        <v>6</v>
      </c>
      <c r="J717" s="7" t="s">
        <v>107</v>
      </c>
      <c r="K717" s="7" t="s">
        <v>277</v>
      </c>
      <c r="L717" s="7" t="n">
        <v>6</v>
      </c>
      <c r="M717" s="10" t="b">
        <f aca="false">FALSE()</f>
        <v>0</v>
      </c>
      <c r="N717" s="7" t="s">
        <v>109</v>
      </c>
      <c r="O717" s="7" t="n">
        <v>-34.488017</v>
      </c>
      <c r="P717" s="7" t="n">
        <v>150.413986</v>
      </c>
    </row>
    <row r="718" customFormat="false" ht="15" hidden="false" customHeight="false" outlineLevel="0" collapsed="false">
      <c r="A718" s="7" t="n">
        <v>717</v>
      </c>
      <c r="B718" s="7"/>
      <c r="C718" s="7" t="s">
        <v>949</v>
      </c>
      <c r="D718" s="7" t="n">
        <v>2067</v>
      </c>
      <c r="E718" s="7" t="s">
        <v>50</v>
      </c>
      <c r="F718" s="10" t="b">
        <f aca="false">FALSE()</f>
        <v>0</v>
      </c>
      <c r="G718" s="7" t="s">
        <v>258</v>
      </c>
      <c r="H718" s="7" t="s">
        <v>252</v>
      </c>
      <c r="I718" s="7" t="n">
        <v>4</v>
      </c>
      <c r="J718" s="7" t="s">
        <v>107</v>
      </c>
      <c r="K718" s="7" t="s">
        <v>108</v>
      </c>
      <c r="L718" s="7" t="n">
        <v>22</v>
      </c>
      <c r="M718" s="10" t="b">
        <f aca="false">FALSE()</f>
        <v>0</v>
      </c>
      <c r="N718" s="7" t="s">
        <v>109</v>
      </c>
      <c r="O718" s="7" t="n">
        <v>-33.795157</v>
      </c>
      <c r="P718" s="7" t="n">
        <v>151.179086</v>
      </c>
    </row>
    <row r="719" customFormat="false" ht="15" hidden="false" customHeight="false" outlineLevel="0" collapsed="false">
      <c r="A719" s="7" t="n">
        <v>718</v>
      </c>
      <c r="B719" s="7"/>
      <c r="C719" s="7" t="s">
        <v>950</v>
      </c>
      <c r="D719" s="7" t="n">
        <v>2088</v>
      </c>
      <c r="E719" s="7" t="s">
        <v>50</v>
      </c>
      <c r="F719" s="10" t="b">
        <f aca="false">FALSE()</f>
        <v>0</v>
      </c>
      <c r="G719" s="7" t="s">
        <v>246</v>
      </c>
      <c r="H719" s="7" t="s">
        <v>244</v>
      </c>
      <c r="I719" s="7" t="n">
        <v>2</v>
      </c>
      <c r="J719" s="7" t="s">
        <v>71</v>
      </c>
      <c r="K719" s="7" t="s">
        <v>72</v>
      </c>
      <c r="L719" s="7" t="n">
        <v>50</v>
      </c>
      <c r="M719" s="10" t="b">
        <f aca="false">FALSE()</f>
        <v>0</v>
      </c>
      <c r="N719" s="7" t="s">
        <v>76</v>
      </c>
      <c r="O719" s="7" t="n">
        <v>-33.82555</v>
      </c>
      <c r="P719" s="7" t="n">
        <v>151.241427</v>
      </c>
    </row>
    <row r="720" customFormat="false" ht="15" hidden="false" customHeight="false" outlineLevel="0" collapsed="false">
      <c r="A720" s="7" t="n">
        <v>719</v>
      </c>
      <c r="B720" s="7"/>
      <c r="C720" s="7" t="s">
        <v>951</v>
      </c>
      <c r="D720" s="7" t="n">
        <v>2320</v>
      </c>
      <c r="E720" s="7" t="s">
        <v>50</v>
      </c>
      <c r="F720" s="10" t="b">
        <f aca="false">FALSE()</f>
        <v>0</v>
      </c>
      <c r="G720" s="7" t="s">
        <v>111</v>
      </c>
      <c r="H720" s="7" t="s">
        <v>239</v>
      </c>
      <c r="I720" s="7" t="n">
        <v>1</v>
      </c>
      <c r="J720" s="7" t="s">
        <v>107</v>
      </c>
      <c r="K720" s="7" t="s">
        <v>108</v>
      </c>
      <c r="L720" s="7" t="n">
        <v>22</v>
      </c>
      <c r="M720" s="10" t="b">
        <f aca="false">FALSE()</f>
        <v>0</v>
      </c>
      <c r="N720" s="7" t="s">
        <v>109</v>
      </c>
      <c r="O720" s="7" t="n">
        <v>-32.741398</v>
      </c>
      <c r="P720" s="7" t="n">
        <v>151.328175</v>
      </c>
    </row>
    <row r="721" customFormat="false" ht="15" hidden="false" customHeight="false" outlineLevel="0" collapsed="false">
      <c r="A721" s="7" t="n">
        <v>720</v>
      </c>
      <c r="B721" s="7"/>
      <c r="C721" s="7" t="s">
        <v>952</v>
      </c>
      <c r="D721" s="7" t="n">
        <v>2782</v>
      </c>
      <c r="E721" s="7" t="s">
        <v>50</v>
      </c>
      <c r="F721" s="10" t="b">
        <f aca="false">FALSE()</f>
        <v>0</v>
      </c>
      <c r="G721" s="7" t="s">
        <v>306</v>
      </c>
      <c r="H721" s="7" t="s">
        <v>239</v>
      </c>
      <c r="I721" s="7" t="n">
        <v>2</v>
      </c>
      <c r="J721" s="7" t="s">
        <v>107</v>
      </c>
      <c r="K721" s="7" t="s">
        <v>240</v>
      </c>
      <c r="L721" s="7" t="n">
        <v>19</v>
      </c>
      <c r="M721" s="10" t="b">
        <f aca="false">FALSE()</f>
        <v>0</v>
      </c>
      <c r="N721" s="7" t="s">
        <v>109</v>
      </c>
      <c r="O721" s="7" t="n">
        <v>-33.721945</v>
      </c>
      <c r="P721" s="7" t="n">
        <v>150.371723</v>
      </c>
    </row>
    <row r="722" customFormat="false" ht="15" hidden="false" customHeight="false" outlineLevel="0" collapsed="false">
      <c r="A722" s="7" t="n">
        <v>721</v>
      </c>
      <c r="B722" s="7"/>
      <c r="C722" s="7" t="s">
        <v>953</v>
      </c>
      <c r="D722" s="7" t="n">
        <v>2068</v>
      </c>
      <c r="E722" s="7" t="s">
        <v>50</v>
      </c>
      <c r="F722" s="10" t="b">
        <f aca="false">FALSE()</f>
        <v>0</v>
      </c>
      <c r="G722" s="7" t="s">
        <v>258</v>
      </c>
      <c r="H722" s="7" t="s">
        <v>302</v>
      </c>
      <c r="I722" s="7" t="n">
        <v>2</v>
      </c>
      <c r="J722" s="7" t="s">
        <v>107</v>
      </c>
      <c r="K722" s="7" t="s">
        <v>108</v>
      </c>
      <c r="L722" s="7" t="n">
        <v>22</v>
      </c>
      <c r="M722" s="10" t="b">
        <f aca="false">FALSE()</f>
        <v>0</v>
      </c>
      <c r="N722" s="7" t="s">
        <v>557</v>
      </c>
      <c r="O722" s="7" t="n">
        <v>-33.807393</v>
      </c>
      <c r="P722" s="7" t="n">
        <v>151.200067</v>
      </c>
    </row>
    <row r="723" customFormat="false" ht="15" hidden="false" customHeight="false" outlineLevel="0" collapsed="false">
      <c r="A723" s="7" t="n">
        <v>722</v>
      </c>
      <c r="B723" s="7"/>
      <c r="C723" s="7" t="s">
        <v>954</v>
      </c>
      <c r="D723" s="7" t="n">
        <v>2768</v>
      </c>
      <c r="E723" s="7" t="s">
        <v>50</v>
      </c>
      <c r="F723" s="10" t="b">
        <f aca="false">FALSE()</f>
        <v>0</v>
      </c>
      <c r="G723" s="7" t="s">
        <v>232</v>
      </c>
      <c r="H723" s="7" t="s">
        <v>244</v>
      </c>
      <c r="I723" s="7" t="n">
        <v>4</v>
      </c>
      <c r="J723" s="7" t="s">
        <v>71</v>
      </c>
      <c r="K723" s="7" t="s">
        <v>83</v>
      </c>
      <c r="L723" s="7" t="n">
        <v>75</v>
      </c>
      <c r="M723" s="10" t="b">
        <f aca="false">FALSE()</f>
        <v>0</v>
      </c>
      <c r="N723" s="7" t="s">
        <v>268</v>
      </c>
      <c r="O723" s="7" t="n">
        <v>-33.734609</v>
      </c>
      <c r="P723" s="7" t="n">
        <v>150.928265</v>
      </c>
    </row>
    <row r="724" customFormat="false" ht="15" hidden="false" customHeight="false" outlineLevel="0" collapsed="false">
      <c r="A724" s="7" t="n">
        <v>723</v>
      </c>
      <c r="B724" s="7"/>
      <c r="C724" s="7" t="s">
        <v>955</v>
      </c>
      <c r="D724" s="7" t="n">
        <v>2060</v>
      </c>
      <c r="E724" s="7" t="s">
        <v>50</v>
      </c>
      <c r="F724" s="10" t="b">
        <f aca="false">FALSE()</f>
        <v>0</v>
      </c>
      <c r="G724" s="7" t="s">
        <v>382</v>
      </c>
      <c r="H724" s="7" t="s">
        <v>529</v>
      </c>
      <c r="I724" s="7" t="n">
        <v>3</v>
      </c>
      <c r="J724" s="7" t="s">
        <v>107</v>
      </c>
      <c r="K724" s="7" t="s">
        <v>108</v>
      </c>
      <c r="L724" s="7" t="n">
        <v>22</v>
      </c>
      <c r="M724" s="10" t="b">
        <f aca="false">FALSE()</f>
        <v>0</v>
      </c>
      <c r="N724" s="7" t="s">
        <v>109</v>
      </c>
      <c r="O724" s="7" t="n">
        <v>-33.83932</v>
      </c>
      <c r="P724" s="7" t="n">
        <v>151.2061</v>
      </c>
    </row>
    <row r="725" customFormat="false" ht="15" hidden="false" customHeight="false" outlineLevel="0" collapsed="false">
      <c r="A725" s="7" t="n">
        <v>724</v>
      </c>
      <c r="B725" s="7"/>
      <c r="C725" s="7" t="s">
        <v>956</v>
      </c>
      <c r="D725" s="7" t="n">
        <v>2655</v>
      </c>
      <c r="E725" s="7" t="s">
        <v>50</v>
      </c>
      <c r="F725" s="10" t="b">
        <f aca="false">FALSE()</f>
        <v>0</v>
      </c>
      <c r="G725" s="7" t="s">
        <v>469</v>
      </c>
      <c r="H725" s="7" t="s">
        <v>260</v>
      </c>
      <c r="I725" s="7" t="n">
        <v>1</v>
      </c>
      <c r="J725" s="7" t="s">
        <v>107</v>
      </c>
      <c r="K725" s="7" t="s">
        <v>108</v>
      </c>
      <c r="L725" s="7" t="n">
        <v>22</v>
      </c>
      <c r="M725" s="10" t="b">
        <f aca="false">FALSE()</f>
        <v>0</v>
      </c>
      <c r="N725" s="7" t="s">
        <v>109</v>
      </c>
      <c r="O725" s="7" t="n">
        <v>-35.266526</v>
      </c>
      <c r="P725" s="7" t="n">
        <v>147.110494</v>
      </c>
    </row>
    <row r="726" customFormat="false" ht="15" hidden="false" customHeight="false" outlineLevel="0" collapsed="false">
      <c r="A726" s="7" t="n">
        <v>725</v>
      </c>
      <c r="B726" s="7"/>
      <c r="C726" s="7" t="s">
        <v>957</v>
      </c>
      <c r="D726" s="7" t="n">
        <v>2228</v>
      </c>
      <c r="E726" s="7" t="s">
        <v>50</v>
      </c>
      <c r="F726" s="10" t="b">
        <f aca="false">FALSE()</f>
        <v>0</v>
      </c>
      <c r="G726" s="7" t="s">
        <v>628</v>
      </c>
      <c r="H726" s="7" t="s">
        <v>239</v>
      </c>
      <c r="I726" s="7" t="n">
        <v>2</v>
      </c>
      <c r="J726" s="7" t="s">
        <v>107</v>
      </c>
      <c r="K726" s="7" t="s">
        <v>108</v>
      </c>
      <c r="L726" s="7" t="n">
        <v>22</v>
      </c>
      <c r="M726" s="10" t="b">
        <f aca="false">FALSE()</f>
        <v>0</v>
      </c>
      <c r="N726" s="7" t="s">
        <v>109</v>
      </c>
      <c r="O726" s="7" t="n">
        <v>-34.033985</v>
      </c>
      <c r="P726" s="7" t="n">
        <v>151.099575</v>
      </c>
    </row>
    <row r="727" customFormat="false" ht="15" hidden="false" customHeight="false" outlineLevel="0" collapsed="false">
      <c r="A727" s="7" t="n">
        <v>726</v>
      </c>
      <c r="B727" s="7"/>
      <c r="C727" s="7" t="s">
        <v>958</v>
      </c>
      <c r="D727" s="7" t="n">
        <v>2865</v>
      </c>
      <c r="E727" s="7" t="s">
        <v>50</v>
      </c>
      <c r="F727" s="10" t="b">
        <f aca="false">FALSE()</f>
        <v>0</v>
      </c>
      <c r="G727" s="7" t="s">
        <v>185</v>
      </c>
      <c r="H727" s="7" t="s">
        <v>239</v>
      </c>
      <c r="I727" s="7" t="n">
        <v>1</v>
      </c>
      <c r="J727" s="7" t="s">
        <v>107</v>
      </c>
      <c r="K727" s="7" t="s">
        <v>240</v>
      </c>
      <c r="L727" s="7" t="n">
        <v>19</v>
      </c>
      <c r="M727" s="10" t="b">
        <f aca="false">FALSE()</f>
        <v>0</v>
      </c>
      <c r="N727" s="7" t="s">
        <v>109</v>
      </c>
      <c r="O727" s="7" t="n">
        <v>-33.18794</v>
      </c>
      <c r="P727" s="7" t="n">
        <v>148.534701</v>
      </c>
    </row>
    <row r="728" customFormat="false" ht="15" hidden="false" customHeight="false" outlineLevel="0" collapsed="false">
      <c r="A728" s="7" t="n">
        <v>727</v>
      </c>
      <c r="B728" s="7"/>
      <c r="C728" s="7" t="s">
        <v>959</v>
      </c>
      <c r="D728" s="7" t="n">
        <v>2062</v>
      </c>
      <c r="E728" s="7" t="s">
        <v>50</v>
      </c>
      <c r="F728" s="10" t="b">
        <f aca="false">FALSE()</f>
        <v>0</v>
      </c>
      <c r="G728" s="7" t="s">
        <v>332</v>
      </c>
      <c r="H728" s="7" t="s">
        <v>244</v>
      </c>
      <c r="I728" s="7" t="n">
        <v>4</v>
      </c>
      <c r="J728" s="7" t="s">
        <v>71</v>
      </c>
      <c r="K728" s="7" t="s">
        <v>72</v>
      </c>
      <c r="L728" s="7" t="n">
        <v>50</v>
      </c>
      <c r="M728" s="10" t="b">
        <f aca="false">FALSE()</f>
        <v>0</v>
      </c>
      <c r="N728" s="7" t="s">
        <v>76</v>
      </c>
      <c r="O728" s="7" t="n">
        <v>-33.82299</v>
      </c>
      <c r="P728" s="7" t="n">
        <v>151.210883</v>
      </c>
    </row>
    <row r="729" customFormat="false" ht="15" hidden="false" customHeight="false" outlineLevel="0" collapsed="false">
      <c r="A729" s="7" t="n">
        <v>728</v>
      </c>
      <c r="B729" s="7"/>
      <c r="C729" s="7" t="s">
        <v>960</v>
      </c>
      <c r="D729" s="7" t="n">
        <v>2756</v>
      </c>
      <c r="E729" s="7" t="s">
        <v>50</v>
      </c>
      <c r="F729" s="10" t="b">
        <f aca="false">FALSE()</f>
        <v>0</v>
      </c>
      <c r="G729" s="7" t="s">
        <v>566</v>
      </c>
      <c r="H729" s="7" t="s">
        <v>239</v>
      </c>
      <c r="I729" s="7" t="n">
        <v>2</v>
      </c>
      <c r="J729" s="7" t="s">
        <v>107</v>
      </c>
      <c r="K729" s="7" t="s">
        <v>277</v>
      </c>
      <c r="L729" s="7" t="n">
        <v>6</v>
      </c>
      <c r="M729" s="10" t="b">
        <f aca="false">FALSE()</f>
        <v>0</v>
      </c>
      <c r="N729" s="7" t="s">
        <v>109</v>
      </c>
      <c r="O729" s="7" t="n">
        <v>-33.609533</v>
      </c>
      <c r="P729" s="7" t="n">
        <v>150.80768</v>
      </c>
    </row>
    <row r="730" customFormat="false" ht="15" hidden="false" customHeight="false" outlineLevel="0" collapsed="false">
      <c r="A730" s="7" t="n">
        <v>729</v>
      </c>
      <c r="B730" s="7"/>
      <c r="C730" s="7" t="s">
        <v>961</v>
      </c>
      <c r="D730" s="7" t="n">
        <v>2448</v>
      </c>
      <c r="E730" s="7" t="s">
        <v>50</v>
      </c>
      <c r="F730" s="10" t="b">
        <f aca="false">FALSE()</f>
        <v>0</v>
      </c>
      <c r="G730" s="7" t="s">
        <v>562</v>
      </c>
      <c r="H730" s="7" t="s">
        <v>529</v>
      </c>
      <c r="I730" s="7" t="n">
        <v>4</v>
      </c>
      <c r="J730" s="7" t="s">
        <v>107</v>
      </c>
      <c r="K730" s="7" t="s">
        <v>900</v>
      </c>
      <c r="L730" s="7" t="n">
        <v>7</v>
      </c>
      <c r="M730" s="10" t="b">
        <f aca="false">FALSE()</f>
        <v>0</v>
      </c>
      <c r="N730" s="7" t="s">
        <v>109</v>
      </c>
      <c r="O730" s="7" t="n">
        <v>-30.644741</v>
      </c>
      <c r="P730" s="7" t="n">
        <v>153.003891</v>
      </c>
    </row>
    <row r="731" customFormat="false" ht="15" hidden="false" customHeight="false" outlineLevel="0" collapsed="false">
      <c r="A731" s="7" t="n">
        <v>730</v>
      </c>
      <c r="B731" s="7"/>
      <c r="C731" s="7" t="s">
        <v>962</v>
      </c>
      <c r="D731" s="7" t="n">
        <v>2250</v>
      </c>
      <c r="E731" s="7" t="s">
        <v>50</v>
      </c>
      <c r="F731" s="10" t="b">
        <f aca="false">FALSE()</f>
        <v>0</v>
      </c>
      <c r="G731" s="7" t="s">
        <v>276</v>
      </c>
      <c r="H731" s="7" t="s">
        <v>244</v>
      </c>
      <c r="I731" s="7" t="n">
        <v>4</v>
      </c>
      <c r="J731" s="7" t="s">
        <v>71</v>
      </c>
      <c r="K731" s="7" t="s">
        <v>83</v>
      </c>
      <c r="L731" s="7" t="n">
        <v>75</v>
      </c>
      <c r="M731" s="10" t="b">
        <f aca="false">FALSE()</f>
        <v>0</v>
      </c>
      <c r="N731" s="7" t="s">
        <v>76</v>
      </c>
      <c r="O731" s="7" t="n">
        <v>-33.436681</v>
      </c>
      <c r="P731" s="7" t="n">
        <v>151.394388</v>
      </c>
    </row>
    <row r="732" customFormat="false" ht="15" hidden="false" customHeight="false" outlineLevel="0" collapsed="false">
      <c r="A732" s="7" t="n">
        <v>731</v>
      </c>
      <c r="B732" s="7"/>
      <c r="C732" s="7" t="s">
        <v>963</v>
      </c>
      <c r="D732" s="7" t="n">
        <v>2011</v>
      </c>
      <c r="E732" s="7" t="s">
        <v>50</v>
      </c>
      <c r="F732" s="10" t="b">
        <f aca="false">FALSE()</f>
        <v>0</v>
      </c>
      <c r="G732" s="7" t="s">
        <v>182</v>
      </c>
      <c r="H732" s="7" t="s">
        <v>304</v>
      </c>
      <c r="I732" s="7" t="n">
        <v>2</v>
      </c>
      <c r="J732" s="7" t="s">
        <v>107</v>
      </c>
      <c r="K732" s="7" t="s">
        <v>108</v>
      </c>
      <c r="L732" s="7" t="n">
        <v>22</v>
      </c>
      <c r="M732" s="10" t="b">
        <f aca="false">FALSE()</f>
        <v>0</v>
      </c>
      <c r="N732" s="7" t="s">
        <v>109</v>
      </c>
      <c r="O732" s="7" t="n">
        <v>-33.873185</v>
      </c>
      <c r="P732" s="7" t="n">
        <v>151.216082</v>
      </c>
    </row>
    <row r="733" customFormat="false" ht="15" hidden="false" customHeight="false" outlineLevel="0" collapsed="false">
      <c r="A733" s="7" t="n">
        <v>732</v>
      </c>
      <c r="B733" s="7"/>
      <c r="C733" s="7" t="s">
        <v>964</v>
      </c>
      <c r="D733" s="7" t="n">
        <v>2541</v>
      </c>
      <c r="E733" s="7" t="s">
        <v>50</v>
      </c>
      <c r="F733" s="10" t="b">
        <f aca="false">FALSE()</f>
        <v>0</v>
      </c>
      <c r="G733" s="7" t="s">
        <v>92</v>
      </c>
      <c r="H733" s="7" t="s">
        <v>260</v>
      </c>
      <c r="I733" s="7" t="n">
        <v>2</v>
      </c>
      <c r="J733" s="7" t="s">
        <v>107</v>
      </c>
      <c r="K733" s="7" t="s">
        <v>108</v>
      </c>
      <c r="L733" s="7" t="n">
        <v>22</v>
      </c>
      <c r="M733" s="10" t="b">
        <f aca="false">FALSE()</f>
        <v>0</v>
      </c>
      <c r="N733" s="7" t="s">
        <v>109</v>
      </c>
      <c r="O733" s="7" t="n">
        <v>-34.871078</v>
      </c>
      <c r="P733" s="7" t="n">
        <v>150.601786</v>
      </c>
    </row>
    <row r="734" customFormat="false" ht="15" hidden="false" customHeight="false" outlineLevel="0" collapsed="false">
      <c r="A734" s="7" t="n">
        <v>733</v>
      </c>
      <c r="B734" s="7"/>
      <c r="C734" s="7" t="s">
        <v>965</v>
      </c>
      <c r="D734" s="7" t="n">
        <v>2044</v>
      </c>
      <c r="E734" s="7" t="s">
        <v>50</v>
      </c>
      <c r="F734" s="10" t="b">
        <f aca="false">FALSE()</f>
        <v>0</v>
      </c>
      <c r="G734" s="7" t="s">
        <v>410</v>
      </c>
      <c r="H734" s="7" t="s">
        <v>237</v>
      </c>
      <c r="I734" s="7" t="n">
        <v>4</v>
      </c>
      <c r="J734" s="7" t="s">
        <v>107</v>
      </c>
      <c r="K734" s="7" t="s">
        <v>108</v>
      </c>
      <c r="L734" s="7" t="n">
        <v>22</v>
      </c>
      <c r="M734" s="10" t="b">
        <f aca="false">FALSE()</f>
        <v>0</v>
      </c>
      <c r="N734" s="7" t="s">
        <v>109</v>
      </c>
      <c r="O734" s="7" t="n">
        <v>-33.921804</v>
      </c>
      <c r="P734" s="7" t="n">
        <v>151.166594</v>
      </c>
    </row>
    <row r="735" customFormat="false" ht="15" hidden="false" customHeight="false" outlineLevel="0" collapsed="false">
      <c r="A735" s="7" t="n">
        <v>734</v>
      </c>
      <c r="B735" s="7"/>
      <c r="C735" s="7" t="s">
        <v>966</v>
      </c>
      <c r="D735" s="7" t="n">
        <v>2044</v>
      </c>
      <c r="E735" s="7" t="s">
        <v>50</v>
      </c>
      <c r="F735" s="10" t="b">
        <f aca="false">FALSE()</f>
        <v>0</v>
      </c>
      <c r="G735" s="7" t="s">
        <v>410</v>
      </c>
      <c r="H735" s="7" t="s">
        <v>244</v>
      </c>
      <c r="I735" s="7" t="n">
        <v>4</v>
      </c>
      <c r="J735" s="7" t="s">
        <v>71</v>
      </c>
      <c r="K735" s="7" t="s">
        <v>234</v>
      </c>
      <c r="L735" s="7" t="n">
        <v>150</v>
      </c>
      <c r="M735" s="10" t="b">
        <f aca="false">FALSE()</f>
        <v>0</v>
      </c>
      <c r="N735" s="7" t="s">
        <v>268</v>
      </c>
      <c r="O735" s="7" t="n">
        <v>-33.922884</v>
      </c>
      <c r="P735" s="7" t="n">
        <v>151.165209</v>
      </c>
    </row>
    <row r="736" customFormat="false" ht="15" hidden="false" customHeight="false" outlineLevel="0" collapsed="false">
      <c r="A736" s="7" t="n">
        <v>735</v>
      </c>
      <c r="B736" s="7"/>
      <c r="C736" s="7" t="s">
        <v>967</v>
      </c>
      <c r="D736" s="7" t="n">
        <v>2500</v>
      </c>
      <c r="E736" s="7" t="s">
        <v>50</v>
      </c>
      <c r="F736" s="10" t="b">
        <f aca="false">FALSE()</f>
        <v>0</v>
      </c>
      <c r="G736" s="7" t="s">
        <v>102</v>
      </c>
      <c r="H736" s="7" t="s">
        <v>302</v>
      </c>
      <c r="I736" s="7" t="n">
        <v>2</v>
      </c>
      <c r="J736" s="7" t="s">
        <v>107</v>
      </c>
      <c r="K736" s="7" t="s">
        <v>108</v>
      </c>
      <c r="L736" s="7" t="n">
        <v>22</v>
      </c>
      <c r="M736" s="10" t="b">
        <f aca="false">FALSE()</f>
        <v>0</v>
      </c>
      <c r="N736" s="7" t="s">
        <v>109</v>
      </c>
      <c r="O736" s="7" t="n">
        <v>-34.41865</v>
      </c>
      <c r="P736" s="7" t="n">
        <v>150.90218</v>
      </c>
    </row>
    <row r="737" customFormat="false" ht="15" hidden="false" customHeight="false" outlineLevel="0" collapsed="false">
      <c r="A737" s="7" t="n">
        <v>736</v>
      </c>
      <c r="B737" s="7"/>
      <c r="C737" s="7" t="s">
        <v>968</v>
      </c>
      <c r="D737" s="7" t="n">
        <v>2350</v>
      </c>
      <c r="E737" s="7" t="s">
        <v>50</v>
      </c>
      <c r="F737" s="10" t="b">
        <f aca="false">FALSE()</f>
        <v>0</v>
      </c>
      <c r="G737" s="7" t="s">
        <v>155</v>
      </c>
      <c r="H737" s="7" t="s">
        <v>239</v>
      </c>
      <c r="I737" s="7" t="n">
        <v>2</v>
      </c>
      <c r="J737" s="7" t="s">
        <v>107</v>
      </c>
      <c r="K737" s="7" t="s">
        <v>485</v>
      </c>
      <c r="L737" s="7" t="n">
        <v>11</v>
      </c>
      <c r="M737" s="10" t="b">
        <f aca="false">FALSE()</f>
        <v>0</v>
      </c>
      <c r="N737" s="7" t="s">
        <v>109</v>
      </c>
      <c r="O737" s="7" t="n">
        <v>-30.495085</v>
      </c>
      <c r="P737" s="7" t="n">
        <v>151.669645</v>
      </c>
    </row>
    <row r="738" customFormat="false" ht="15" hidden="false" customHeight="false" outlineLevel="0" collapsed="false">
      <c r="A738" s="7" t="n">
        <v>737</v>
      </c>
      <c r="B738" s="7"/>
      <c r="C738" s="7" t="s">
        <v>969</v>
      </c>
      <c r="D738" s="7" t="n">
        <v>2519</v>
      </c>
      <c r="E738" s="7" t="s">
        <v>50</v>
      </c>
      <c r="F738" s="10" t="b">
        <f aca="false">FALSE()</f>
        <v>0</v>
      </c>
      <c r="G738" s="7" t="s">
        <v>102</v>
      </c>
      <c r="H738" s="7" t="s">
        <v>237</v>
      </c>
      <c r="I738" s="7" t="n">
        <v>4</v>
      </c>
      <c r="J738" s="7" t="s">
        <v>71</v>
      </c>
      <c r="K738" s="7" t="s">
        <v>407</v>
      </c>
      <c r="L738" s="7" t="n">
        <v>47</v>
      </c>
      <c r="M738" s="10" t="b">
        <f aca="false">FALSE()</f>
        <v>0</v>
      </c>
      <c r="N738" s="7" t="s">
        <v>76</v>
      </c>
      <c r="O738" s="7" t="n">
        <v>-34.391808</v>
      </c>
      <c r="P738" s="7" t="n">
        <v>150.894581</v>
      </c>
    </row>
    <row r="739" customFormat="false" ht="15" hidden="false" customHeight="false" outlineLevel="0" collapsed="false">
      <c r="A739" s="7" t="n">
        <v>738</v>
      </c>
      <c r="B739" s="7"/>
      <c r="C739" s="7" t="s">
        <v>970</v>
      </c>
      <c r="D739" s="7" t="n">
        <v>2022</v>
      </c>
      <c r="E739" s="7" t="s">
        <v>50</v>
      </c>
      <c r="F739" s="10" t="b">
        <f aca="false">FALSE()</f>
        <v>0</v>
      </c>
      <c r="G739" s="7" t="s">
        <v>295</v>
      </c>
      <c r="H739" s="7" t="s">
        <v>260</v>
      </c>
      <c r="I739" s="7" t="n">
        <v>1</v>
      </c>
      <c r="J739" s="7" t="s">
        <v>107</v>
      </c>
      <c r="K739" s="7" t="s">
        <v>108</v>
      </c>
      <c r="L739" s="7" t="n">
        <v>22</v>
      </c>
      <c r="M739" s="10" t="b">
        <f aca="false">FALSE()</f>
        <v>0</v>
      </c>
      <c r="N739" s="7" t="s">
        <v>109</v>
      </c>
      <c r="O739" s="7" t="n">
        <v>-33.899095</v>
      </c>
      <c r="P739" s="7" t="n">
        <v>151.24811</v>
      </c>
    </row>
    <row r="740" customFormat="false" ht="15" hidden="false" customHeight="false" outlineLevel="0" collapsed="false">
      <c r="A740" s="7" t="n">
        <v>739</v>
      </c>
      <c r="B740" s="7"/>
      <c r="C740" s="7" t="s">
        <v>971</v>
      </c>
      <c r="D740" s="7" t="n">
        <v>2190</v>
      </c>
      <c r="E740" s="7" t="s">
        <v>50</v>
      </c>
      <c r="F740" s="10" t="b">
        <f aca="false">FALSE()</f>
        <v>0</v>
      </c>
      <c r="G740" s="7" t="s">
        <v>539</v>
      </c>
      <c r="H740" s="7" t="s">
        <v>260</v>
      </c>
      <c r="I740" s="7" t="n">
        <v>2</v>
      </c>
      <c r="J740" s="7" t="s">
        <v>71</v>
      </c>
      <c r="K740" s="7" t="s">
        <v>438</v>
      </c>
      <c r="L740" s="7" t="n">
        <v>120</v>
      </c>
      <c r="M740" s="10" t="b">
        <f aca="false">FALSE()</f>
        <v>0</v>
      </c>
      <c r="N740" s="7" t="s">
        <v>76</v>
      </c>
      <c r="O740" s="7" t="n">
        <v>-33.902048</v>
      </c>
      <c r="P740" s="7" t="n">
        <v>151.06558</v>
      </c>
    </row>
    <row r="741" customFormat="false" ht="15" hidden="false" customHeight="false" outlineLevel="0" collapsed="false">
      <c r="A741" s="7" t="n">
        <v>740</v>
      </c>
      <c r="B741" s="7"/>
      <c r="C741" s="7" t="s">
        <v>972</v>
      </c>
      <c r="D741" s="7" t="n">
        <v>2481</v>
      </c>
      <c r="E741" s="7" t="s">
        <v>50</v>
      </c>
      <c r="F741" s="10" t="b">
        <f aca="false">FALSE()</f>
        <v>0</v>
      </c>
      <c r="G741" s="7" t="s">
        <v>82</v>
      </c>
      <c r="H741" s="7" t="s">
        <v>239</v>
      </c>
      <c r="I741" s="7" t="n">
        <v>1</v>
      </c>
      <c r="J741" s="7" t="s">
        <v>107</v>
      </c>
      <c r="K741" s="7" t="s">
        <v>277</v>
      </c>
      <c r="L741" s="7" t="n">
        <v>6</v>
      </c>
      <c r="M741" s="10" t="b">
        <f aca="false">FALSE()</f>
        <v>0</v>
      </c>
      <c r="N741" s="7" t="s">
        <v>109</v>
      </c>
      <c r="O741" s="7" t="n">
        <v>-28.640501</v>
      </c>
      <c r="P741" s="7" t="n">
        <v>153.604233</v>
      </c>
    </row>
    <row r="742" customFormat="false" ht="15" hidden="false" customHeight="false" outlineLevel="0" collapsed="false">
      <c r="A742" s="7" t="n">
        <v>741</v>
      </c>
      <c r="B742" s="7"/>
      <c r="C742" s="7" t="s">
        <v>973</v>
      </c>
      <c r="D742" s="7" t="n">
        <v>2007</v>
      </c>
      <c r="E742" s="7" t="s">
        <v>50</v>
      </c>
      <c r="F742" s="10" t="b">
        <f aca="false">FALSE()</f>
        <v>0</v>
      </c>
      <c r="G742" s="7" t="s">
        <v>182</v>
      </c>
      <c r="H742" s="7" t="s">
        <v>252</v>
      </c>
      <c r="I742" s="7" t="n">
        <v>2</v>
      </c>
      <c r="J742" s="7" t="s">
        <v>107</v>
      </c>
      <c r="K742" s="7" t="s">
        <v>108</v>
      </c>
      <c r="L742" s="7" t="n">
        <v>22</v>
      </c>
      <c r="M742" s="10" t="b">
        <f aca="false">FALSE()</f>
        <v>0</v>
      </c>
      <c r="N742" s="7" t="s">
        <v>109</v>
      </c>
      <c r="O742" s="7" t="n">
        <v>-33.883281</v>
      </c>
      <c r="P742" s="7" t="n">
        <v>151.198855</v>
      </c>
    </row>
    <row r="743" customFormat="false" ht="15" hidden="false" customHeight="false" outlineLevel="0" collapsed="false">
      <c r="A743" s="7" t="n">
        <v>742</v>
      </c>
      <c r="B743" s="7"/>
      <c r="C743" s="7" t="s">
        <v>974</v>
      </c>
      <c r="D743" s="7" t="n">
        <v>2761</v>
      </c>
      <c r="E743" s="7" t="s">
        <v>50</v>
      </c>
      <c r="F743" s="10" t="b">
        <f aca="false">FALSE()</f>
        <v>0</v>
      </c>
      <c r="G743" s="7" t="s">
        <v>232</v>
      </c>
      <c r="H743" s="7" t="s">
        <v>287</v>
      </c>
      <c r="I743" s="7" t="n">
        <v>4</v>
      </c>
      <c r="J743" s="7" t="s">
        <v>71</v>
      </c>
      <c r="K743" s="7" t="s">
        <v>288</v>
      </c>
      <c r="L743" s="7" t="n">
        <v>25</v>
      </c>
      <c r="M743" s="10" t="b">
        <f aca="false">FALSE()</f>
        <v>0</v>
      </c>
      <c r="N743" s="7" t="s">
        <v>76</v>
      </c>
      <c r="O743" s="7" t="n">
        <v>-33.735532</v>
      </c>
      <c r="P743" s="7" t="n">
        <v>150.851312</v>
      </c>
    </row>
    <row r="744" customFormat="false" ht="15" hidden="false" customHeight="false" outlineLevel="0" collapsed="false">
      <c r="A744" s="7" t="n">
        <v>743</v>
      </c>
      <c r="B744" s="7"/>
      <c r="C744" s="7" t="s">
        <v>975</v>
      </c>
      <c r="D744" s="7" t="n">
        <v>2067</v>
      </c>
      <c r="E744" s="7" t="s">
        <v>50</v>
      </c>
      <c r="F744" s="10" t="b">
        <f aca="false">FALSE()</f>
        <v>0</v>
      </c>
      <c r="G744" s="7" t="s">
        <v>258</v>
      </c>
      <c r="H744" s="7" t="s">
        <v>976</v>
      </c>
      <c r="I744" s="7" t="n">
        <v>2</v>
      </c>
      <c r="J744" s="7" t="s">
        <v>107</v>
      </c>
      <c r="K744" s="7" t="s">
        <v>277</v>
      </c>
      <c r="L744" s="7" t="n">
        <v>6</v>
      </c>
      <c r="M744" s="10" t="b">
        <f aca="false">FALSE()</f>
        <v>0</v>
      </c>
      <c r="N744" s="7" t="s">
        <v>109</v>
      </c>
      <c r="O744" s="7" t="n">
        <v>-33.798953</v>
      </c>
      <c r="P744" s="7" t="n">
        <v>151.178422</v>
      </c>
    </row>
    <row r="745" customFormat="false" ht="15" hidden="false" customHeight="false" outlineLevel="0" collapsed="false">
      <c r="A745" s="7" t="n">
        <v>744</v>
      </c>
      <c r="B745" s="7"/>
      <c r="C745" s="7" t="s">
        <v>977</v>
      </c>
      <c r="D745" s="7" t="n">
        <v>2474</v>
      </c>
      <c r="E745" s="7" t="s">
        <v>50</v>
      </c>
      <c r="F745" s="10" t="b">
        <f aca="false">FALSE()</f>
        <v>0</v>
      </c>
      <c r="G745" s="7" t="s">
        <v>801</v>
      </c>
      <c r="H745" s="7" t="s">
        <v>260</v>
      </c>
      <c r="I745" s="7" t="n">
        <v>2</v>
      </c>
      <c r="J745" s="7" t="s">
        <v>107</v>
      </c>
      <c r="K745" s="7" t="s">
        <v>108</v>
      </c>
      <c r="L745" s="7" t="n">
        <v>22</v>
      </c>
      <c r="M745" s="10" t="b">
        <f aca="false">FALSE()</f>
        <v>0</v>
      </c>
      <c r="N745" s="7" t="s">
        <v>109</v>
      </c>
      <c r="O745" s="7" t="n">
        <v>-28.621466</v>
      </c>
      <c r="P745" s="7" t="n">
        <v>153.003068</v>
      </c>
    </row>
    <row r="746" customFormat="false" ht="15" hidden="false" customHeight="false" outlineLevel="0" collapsed="false">
      <c r="A746" s="7" t="n">
        <v>745</v>
      </c>
      <c r="B746" s="7"/>
      <c r="C746" s="7" t="s">
        <v>978</v>
      </c>
      <c r="D746" s="7" t="n">
        <v>2250</v>
      </c>
      <c r="E746" s="7" t="s">
        <v>50</v>
      </c>
      <c r="F746" s="10" t="b">
        <f aca="false">FALSE()</f>
        <v>0</v>
      </c>
      <c r="G746" s="7" t="s">
        <v>276</v>
      </c>
      <c r="H746" s="7" t="s">
        <v>330</v>
      </c>
      <c r="I746" s="7" t="n">
        <v>2</v>
      </c>
      <c r="J746" s="7" t="s">
        <v>71</v>
      </c>
      <c r="K746" s="7" t="s">
        <v>213</v>
      </c>
      <c r="L746" s="7" t="n">
        <v>125</v>
      </c>
      <c r="M746" s="10" t="b">
        <f aca="false">FALSE()</f>
        <v>0</v>
      </c>
      <c r="N746" s="7" t="s">
        <v>268</v>
      </c>
      <c r="O746" s="7" t="n">
        <v>-33.426783</v>
      </c>
      <c r="P746" s="7" t="n">
        <v>151.321995</v>
      </c>
    </row>
    <row r="747" customFormat="false" ht="15" hidden="false" customHeight="false" outlineLevel="0" collapsed="false">
      <c r="A747" s="7" t="n">
        <v>746</v>
      </c>
      <c r="B747" s="7"/>
      <c r="C747" s="7" t="s">
        <v>979</v>
      </c>
      <c r="D747" s="7" t="n">
        <v>2103</v>
      </c>
      <c r="E747" s="7" t="s">
        <v>50</v>
      </c>
      <c r="F747" s="10" t="b">
        <f aca="false">FALSE()</f>
        <v>0</v>
      </c>
      <c r="G747" s="7" t="s">
        <v>286</v>
      </c>
      <c r="H747" s="7" t="s">
        <v>287</v>
      </c>
      <c r="I747" s="7" t="n">
        <v>2</v>
      </c>
      <c r="J747" s="7" t="s">
        <v>71</v>
      </c>
      <c r="K747" s="7" t="s">
        <v>288</v>
      </c>
      <c r="L747" s="7" t="n">
        <v>25</v>
      </c>
      <c r="M747" s="10" t="b">
        <f aca="false">FALSE()</f>
        <v>0</v>
      </c>
      <c r="N747" s="7" t="s">
        <v>76</v>
      </c>
      <c r="O747" s="7" t="n">
        <v>-33.67605</v>
      </c>
      <c r="P747" s="7" t="n">
        <v>151.30313</v>
      </c>
    </row>
    <row r="748" customFormat="false" ht="15" hidden="false" customHeight="false" outlineLevel="0" collapsed="false">
      <c r="A748" s="7" t="n">
        <v>747</v>
      </c>
      <c r="B748" s="7"/>
      <c r="C748" s="7" t="s">
        <v>980</v>
      </c>
      <c r="D748" s="7" t="n">
        <v>2032</v>
      </c>
      <c r="E748" s="7" t="s">
        <v>50</v>
      </c>
      <c r="F748" s="10" t="b">
        <f aca="false">FALSE()</f>
        <v>0</v>
      </c>
      <c r="G748" s="7" t="s">
        <v>355</v>
      </c>
      <c r="H748" s="7" t="s">
        <v>260</v>
      </c>
      <c r="I748" s="7" t="n">
        <v>1</v>
      </c>
      <c r="J748" s="7" t="s">
        <v>107</v>
      </c>
      <c r="K748" s="7" t="s">
        <v>108</v>
      </c>
      <c r="L748" s="7" t="n">
        <v>22</v>
      </c>
      <c r="M748" s="10" t="b">
        <f aca="false">FALSE()</f>
        <v>0</v>
      </c>
      <c r="N748" s="7" t="s">
        <v>109</v>
      </c>
      <c r="O748" s="7" t="n">
        <v>-33.923178</v>
      </c>
      <c r="P748" s="7" t="n">
        <v>151.228845</v>
      </c>
    </row>
    <row r="749" customFormat="false" ht="15" hidden="false" customHeight="false" outlineLevel="0" collapsed="false">
      <c r="A749" s="7" t="n">
        <v>748</v>
      </c>
      <c r="B749" s="7"/>
      <c r="C749" s="7" t="s">
        <v>981</v>
      </c>
      <c r="D749" s="7" t="n">
        <v>2000</v>
      </c>
      <c r="E749" s="7" t="s">
        <v>50</v>
      </c>
      <c r="F749" s="10" t="b">
        <f aca="false">FALSE()</f>
        <v>0</v>
      </c>
      <c r="G749" s="7" t="s">
        <v>182</v>
      </c>
      <c r="H749" s="7" t="s">
        <v>239</v>
      </c>
      <c r="I749" s="7" t="n">
        <v>2</v>
      </c>
      <c r="J749" s="7" t="s">
        <v>107</v>
      </c>
      <c r="K749" s="7" t="s">
        <v>277</v>
      </c>
      <c r="L749" s="7" t="n">
        <v>6</v>
      </c>
      <c r="M749" s="10" t="b">
        <f aca="false">FALSE()</f>
        <v>0</v>
      </c>
      <c r="N749" s="7" t="s">
        <v>109</v>
      </c>
      <c r="O749" s="7" t="n">
        <v>-33.855585</v>
      </c>
      <c r="P749" s="7" t="n">
        <v>151.209488</v>
      </c>
    </row>
    <row r="750" customFormat="false" ht="15" hidden="false" customHeight="false" outlineLevel="0" collapsed="false">
      <c r="A750" s="7" t="n">
        <v>749</v>
      </c>
      <c r="B750" s="7"/>
      <c r="C750" s="7" t="s">
        <v>982</v>
      </c>
      <c r="D750" s="7" t="n">
        <v>2030</v>
      </c>
      <c r="E750" s="7" t="s">
        <v>50</v>
      </c>
      <c r="F750" s="10" t="b">
        <f aca="false">FALSE()</f>
        <v>0</v>
      </c>
      <c r="G750" s="7" t="s">
        <v>272</v>
      </c>
      <c r="H750" s="7" t="s">
        <v>260</v>
      </c>
      <c r="I750" s="7" t="n">
        <v>1</v>
      </c>
      <c r="J750" s="7" t="s">
        <v>107</v>
      </c>
      <c r="K750" s="7" t="s">
        <v>108</v>
      </c>
      <c r="L750" s="7" t="n">
        <v>22</v>
      </c>
      <c r="M750" s="10" t="b">
        <f aca="false">FALSE()</f>
        <v>0</v>
      </c>
      <c r="N750" s="7" t="s">
        <v>109</v>
      </c>
      <c r="O750" s="7" t="n">
        <v>-33.859274</v>
      </c>
      <c r="P750" s="7" t="n">
        <v>151.279129</v>
      </c>
    </row>
    <row r="751" customFormat="false" ht="15" hidden="false" customHeight="false" outlineLevel="0" collapsed="false">
      <c r="A751" s="7" t="n">
        <v>750</v>
      </c>
      <c r="B751" s="7"/>
      <c r="C751" s="7" t="s">
        <v>983</v>
      </c>
      <c r="D751" s="7" t="n">
        <v>2283</v>
      </c>
      <c r="E751" s="7" t="s">
        <v>50</v>
      </c>
      <c r="F751" s="10" t="b">
        <f aca="false">FALSE()</f>
        <v>0</v>
      </c>
      <c r="G751" s="7" t="s">
        <v>377</v>
      </c>
      <c r="H751" s="7" t="s">
        <v>260</v>
      </c>
      <c r="I751" s="7" t="n">
        <v>2</v>
      </c>
      <c r="J751" s="7" t="s">
        <v>71</v>
      </c>
      <c r="K751" s="7" t="s">
        <v>578</v>
      </c>
      <c r="L751" s="7" t="n">
        <v>40</v>
      </c>
      <c r="M751" s="10" t="b">
        <f aca="false">FALSE()</f>
        <v>0</v>
      </c>
      <c r="N751" s="7" t="s">
        <v>76</v>
      </c>
      <c r="O751" s="7" t="n">
        <v>-33.014544</v>
      </c>
      <c r="P751" s="7" t="n">
        <v>151.596195</v>
      </c>
    </row>
    <row r="752" customFormat="false" ht="15" hidden="false" customHeight="false" outlineLevel="0" collapsed="false">
      <c r="A752" s="7" t="n">
        <v>751</v>
      </c>
      <c r="B752" s="7"/>
      <c r="C752" s="7" t="s">
        <v>984</v>
      </c>
      <c r="D752" s="7" t="n">
        <v>2130</v>
      </c>
      <c r="E752" s="7" t="s">
        <v>50</v>
      </c>
      <c r="F752" s="10" t="b">
        <f aca="false">FALSE()</f>
        <v>0</v>
      </c>
      <c r="G752" s="7" t="s">
        <v>410</v>
      </c>
      <c r="H752" s="7" t="s">
        <v>260</v>
      </c>
      <c r="I752" s="7" t="n">
        <v>4</v>
      </c>
      <c r="J752" s="7" t="s">
        <v>107</v>
      </c>
      <c r="K752" s="7" t="s">
        <v>108</v>
      </c>
      <c r="L752" s="7" t="n">
        <v>22</v>
      </c>
      <c r="M752" s="10" t="b">
        <f aca="false">FALSE()</f>
        <v>0</v>
      </c>
      <c r="N752" s="7" t="s">
        <v>109</v>
      </c>
      <c r="O752" s="7" t="n">
        <v>-33.890444</v>
      </c>
      <c r="P752" s="7" t="n">
        <v>151.131395</v>
      </c>
    </row>
    <row r="753" customFormat="false" ht="15" hidden="false" customHeight="false" outlineLevel="0" collapsed="false">
      <c r="A753" s="7" t="n">
        <v>752</v>
      </c>
      <c r="B753" s="7"/>
      <c r="C753" s="7" t="s">
        <v>985</v>
      </c>
      <c r="D753" s="7" t="n">
        <v>2404</v>
      </c>
      <c r="E753" s="7" t="s">
        <v>50</v>
      </c>
      <c r="F753" s="10" t="b">
        <f aca="false">FALSE()</f>
        <v>0</v>
      </c>
      <c r="G753" s="7" t="s">
        <v>986</v>
      </c>
      <c r="H753" s="7" t="s">
        <v>260</v>
      </c>
      <c r="I753" s="7" t="n">
        <v>2</v>
      </c>
      <c r="J753" s="7" t="s">
        <v>107</v>
      </c>
      <c r="K753" s="7" t="s">
        <v>108</v>
      </c>
      <c r="L753" s="7" t="n">
        <v>22</v>
      </c>
      <c r="M753" s="10" t="b">
        <f aca="false">FALSE()</f>
        <v>0</v>
      </c>
      <c r="N753" s="7" t="s">
        <v>109</v>
      </c>
      <c r="O753" s="7" t="n">
        <v>-29.869075</v>
      </c>
      <c r="P753" s="7" t="n">
        <v>150.571243</v>
      </c>
    </row>
    <row r="754" customFormat="false" ht="15" hidden="false" customHeight="false" outlineLevel="0" collapsed="false">
      <c r="A754" s="7" t="n">
        <v>753</v>
      </c>
      <c r="B754" s="7"/>
      <c r="C754" s="7" t="s">
        <v>987</v>
      </c>
      <c r="D754" s="7" t="n">
        <v>2025</v>
      </c>
      <c r="E754" s="7" t="s">
        <v>50</v>
      </c>
      <c r="F754" s="10" t="b">
        <f aca="false">FALSE()</f>
        <v>0</v>
      </c>
      <c r="G754" s="7" t="s">
        <v>272</v>
      </c>
      <c r="H754" s="7" t="s">
        <v>260</v>
      </c>
      <c r="I754" s="7" t="n">
        <v>1</v>
      </c>
      <c r="J754" s="7" t="s">
        <v>107</v>
      </c>
      <c r="K754" s="7" t="s">
        <v>108</v>
      </c>
      <c r="L754" s="7" t="n">
        <v>22</v>
      </c>
      <c r="M754" s="10" t="b">
        <f aca="false">FALSE()</f>
        <v>0</v>
      </c>
      <c r="N754" s="7" t="s">
        <v>109</v>
      </c>
      <c r="O754" s="7" t="n">
        <v>-33.888441</v>
      </c>
      <c r="P754" s="7" t="n">
        <v>151.251332</v>
      </c>
    </row>
    <row r="755" customFormat="false" ht="15" hidden="false" customHeight="false" outlineLevel="0" collapsed="false">
      <c r="A755" s="7" t="n">
        <v>754</v>
      </c>
      <c r="B755" s="7"/>
      <c r="C755" s="7" t="s">
        <v>988</v>
      </c>
      <c r="D755" s="7" t="n">
        <v>2423</v>
      </c>
      <c r="E755" s="7" t="s">
        <v>50</v>
      </c>
      <c r="F755" s="10" t="b">
        <f aca="false">FALSE()</f>
        <v>0</v>
      </c>
      <c r="G755" s="7" t="s">
        <v>128</v>
      </c>
      <c r="H755" s="7" t="s">
        <v>260</v>
      </c>
      <c r="I755" s="7" t="n">
        <v>2</v>
      </c>
      <c r="J755" s="7" t="s">
        <v>107</v>
      </c>
      <c r="K755" s="7" t="s">
        <v>108</v>
      </c>
      <c r="L755" s="7" t="n">
        <v>22</v>
      </c>
      <c r="M755" s="10" t="b">
        <f aca="false">FALSE()</f>
        <v>0</v>
      </c>
      <c r="N755" s="7" t="s">
        <v>109</v>
      </c>
      <c r="O755" s="7" t="n">
        <v>-32.409027</v>
      </c>
      <c r="P755" s="7" t="n">
        <v>152.210679</v>
      </c>
    </row>
    <row r="756" customFormat="false" ht="15" hidden="false" customHeight="false" outlineLevel="0" collapsed="false">
      <c r="A756" s="7" t="n">
        <v>755</v>
      </c>
      <c r="B756" s="7"/>
      <c r="C756" s="7" t="s">
        <v>989</v>
      </c>
      <c r="D756" s="7" t="n">
        <v>2500</v>
      </c>
      <c r="E756" s="7" t="s">
        <v>50</v>
      </c>
      <c r="F756" s="10" t="b">
        <f aca="false">FALSE()</f>
        <v>0</v>
      </c>
      <c r="G756" s="7" t="s">
        <v>102</v>
      </c>
      <c r="H756" s="7" t="s">
        <v>239</v>
      </c>
      <c r="I756" s="7" t="n">
        <v>2</v>
      </c>
      <c r="J756" s="7" t="s">
        <v>107</v>
      </c>
      <c r="K756" s="7" t="s">
        <v>108</v>
      </c>
      <c r="L756" s="7" t="n">
        <v>22</v>
      </c>
      <c r="M756" s="10" t="b">
        <f aca="false">FALSE()</f>
        <v>0</v>
      </c>
      <c r="N756" s="7" t="s">
        <v>109</v>
      </c>
      <c r="O756" s="7" t="n">
        <v>-34.423372</v>
      </c>
      <c r="P756" s="7" t="n">
        <v>150.892292</v>
      </c>
    </row>
    <row r="757" customFormat="false" ht="15" hidden="false" customHeight="false" outlineLevel="0" collapsed="false">
      <c r="A757" s="7" t="n">
        <v>756</v>
      </c>
      <c r="B757" s="7" t="s">
        <v>990</v>
      </c>
      <c r="C757" s="7" t="s">
        <v>991</v>
      </c>
      <c r="D757" s="7" t="n">
        <v>2508</v>
      </c>
      <c r="E757" s="7" t="s">
        <v>50</v>
      </c>
      <c r="F757" s="10" t="b">
        <f aca="false">FALSE()</f>
        <v>0</v>
      </c>
      <c r="G757" s="7" t="s">
        <v>102</v>
      </c>
      <c r="H757" s="7" t="s">
        <v>992</v>
      </c>
      <c r="I757" s="7" t="n">
        <v>4</v>
      </c>
      <c r="J757" s="7" t="s">
        <v>107</v>
      </c>
      <c r="K757" s="7" t="s">
        <v>107</v>
      </c>
      <c r="L757" s="7"/>
      <c r="M757" s="10" t="b">
        <f aca="false">FALSE()</f>
        <v>0</v>
      </c>
      <c r="N757" s="7" t="s">
        <v>399</v>
      </c>
      <c r="O757" s="7" t="n">
        <v>-34.205481</v>
      </c>
      <c r="P757" s="7" t="n">
        <v>150.968701</v>
      </c>
    </row>
    <row r="758" customFormat="false" ht="15" hidden="false" customHeight="false" outlineLevel="0" collapsed="false">
      <c r="A758" s="7" t="n">
        <v>757</v>
      </c>
      <c r="B758" s="7"/>
      <c r="C758" s="7" t="s">
        <v>993</v>
      </c>
      <c r="D758" s="7" t="n">
        <v>2570</v>
      </c>
      <c r="E758" s="7" t="s">
        <v>50</v>
      </c>
      <c r="F758" s="10" t="b">
        <f aca="false">FALSE()</f>
        <v>0</v>
      </c>
      <c r="G758" s="7" t="s">
        <v>338</v>
      </c>
      <c r="H758" s="7" t="s">
        <v>260</v>
      </c>
      <c r="I758" s="7" t="n">
        <v>2</v>
      </c>
      <c r="J758" s="7" t="s">
        <v>107</v>
      </c>
      <c r="K758" s="7" t="s">
        <v>108</v>
      </c>
      <c r="L758" s="7" t="n">
        <v>22</v>
      </c>
      <c r="M758" s="10" t="b">
        <f aca="false">FALSE()</f>
        <v>0</v>
      </c>
      <c r="N758" s="7" t="s">
        <v>109</v>
      </c>
      <c r="O758" s="7" t="n">
        <v>-33.999223</v>
      </c>
      <c r="P758" s="7" t="n">
        <v>150.744405</v>
      </c>
    </row>
    <row r="759" customFormat="false" ht="15" hidden="false" customHeight="false" outlineLevel="0" collapsed="false">
      <c r="A759" s="7" t="n">
        <v>758</v>
      </c>
      <c r="B759" s="7"/>
      <c r="C759" s="7" t="s">
        <v>994</v>
      </c>
      <c r="D759" s="7" t="n">
        <v>2065</v>
      </c>
      <c r="E759" s="7" t="s">
        <v>50</v>
      </c>
      <c r="F759" s="10" t="b">
        <f aca="false">FALSE()</f>
        <v>0</v>
      </c>
      <c r="G759" s="7" t="s">
        <v>389</v>
      </c>
      <c r="H759" s="7" t="s">
        <v>260</v>
      </c>
      <c r="I759" s="7" t="n">
        <v>1</v>
      </c>
      <c r="J759" s="7" t="s">
        <v>107</v>
      </c>
      <c r="K759" s="7" t="s">
        <v>108</v>
      </c>
      <c r="L759" s="7" t="n">
        <v>22</v>
      </c>
      <c r="M759" s="10" t="b">
        <f aca="false">FALSE()</f>
        <v>0</v>
      </c>
      <c r="N759" s="7" t="s">
        <v>109</v>
      </c>
      <c r="O759" s="7" t="n">
        <v>-33.82456</v>
      </c>
      <c r="P759" s="7" t="n">
        <v>151.195789</v>
      </c>
    </row>
    <row r="760" customFormat="false" ht="15" hidden="false" customHeight="false" outlineLevel="0" collapsed="false">
      <c r="A760" s="7" t="n">
        <v>759</v>
      </c>
      <c r="B760" s="7"/>
      <c r="C760" s="7" t="s">
        <v>995</v>
      </c>
      <c r="D760" s="7" t="n">
        <v>2539</v>
      </c>
      <c r="E760" s="7" t="s">
        <v>50</v>
      </c>
      <c r="F760" s="10" t="b">
        <f aca="false">FALSE()</f>
        <v>0</v>
      </c>
      <c r="G760" s="7" t="s">
        <v>92</v>
      </c>
      <c r="H760" s="7" t="s">
        <v>239</v>
      </c>
      <c r="I760" s="7" t="n">
        <v>2</v>
      </c>
      <c r="J760" s="7" t="s">
        <v>107</v>
      </c>
      <c r="K760" s="7" t="s">
        <v>108</v>
      </c>
      <c r="L760" s="7" t="n">
        <v>22</v>
      </c>
      <c r="M760" s="10" t="b">
        <f aca="false">FALSE()</f>
        <v>0</v>
      </c>
      <c r="N760" s="7" t="s">
        <v>109</v>
      </c>
      <c r="O760" s="7" t="n">
        <v>-35.360486</v>
      </c>
      <c r="P760" s="7" t="n">
        <v>150.472648</v>
      </c>
    </row>
    <row r="761" customFormat="false" ht="15" hidden="false" customHeight="false" outlineLevel="0" collapsed="false">
      <c r="A761" s="7" t="n">
        <v>760</v>
      </c>
      <c r="B761" s="7"/>
      <c r="C761" s="7" t="s">
        <v>996</v>
      </c>
      <c r="D761" s="7" t="n">
        <v>2099</v>
      </c>
      <c r="E761" s="7" t="s">
        <v>50</v>
      </c>
      <c r="F761" s="10" t="b">
        <f aca="false">FALSE()</f>
        <v>0</v>
      </c>
      <c r="G761" s="7" t="s">
        <v>286</v>
      </c>
      <c r="H761" s="7" t="s">
        <v>287</v>
      </c>
      <c r="I761" s="7" t="n">
        <v>2</v>
      </c>
      <c r="J761" s="7" t="s">
        <v>71</v>
      </c>
      <c r="K761" s="7" t="s">
        <v>288</v>
      </c>
      <c r="L761" s="7" t="n">
        <v>25</v>
      </c>
      <c r="M761" s="10" t="b">
        <f aca="false">FALSE()</f>
        <v>0</v>
      </c>
      <c r="N761" s="7" t="s">
        <v>76</v>
      </c>
      <c r="O761" s="7" t="n">
        <v>-33.752359</v>
      </c>
      <c r="P761" s="7" t="n">
        <v>151.286561</v>
      </c>
    </row>
    <row r="762" customFormat="false" ht="15" hidden="false" customHeight="false" outlineLevel="0" collapsed="false">
      <c r="A762" s="7" t="n">
        <v>761</v>
      </c>
      <c r="B762" s="7"/>
      <c r="C762" s="7" t="s">
        <v>997</v>
      </c>
      <c r="D762" s="7" t="n">
        <v>2333</v>
      </c>
      <c r="E762" s="7" t="s">
        <v>50</v>
      </c>
      <c r="F762" s="10" t="b">
        <f aca="false">FALSE()</f>
        <v>0</v>
      </c>
      <c r="G762" s="7" t="s">
        <v>229</v>
      </c>
      <c r="H762" s="7" t="s">
        <v>230</v>
      </c>
      <c r="I762" s="7" t="n">
        <v>2</v>
      </c>
      <c r="J762" s="7" t="s">
        <v>107</v>
      </c>
      <c r="K762" s="7" t="s">
        <v>352</v>
      </c>
      <c r="L762" s="7" t="n">
        <v>23</v>
      </c>
      <c r="M762" s="10" t="b">
        <f aca="false">FALSE()</f>
        <v>0</v>
      </c>
      <c r="N762" s="7" t="s">
        <v>109</v>
      </c>
      <c r="O762" s="7" t="n">
        <v>-32.263313</v>
      </c>
      <c r="P762" s="7" t="n">
        <v>150.888821</v>
      </c>
    </row>
    <row r="763" customFormat="false" ht="15" hidden="false" customHeight="false" outlineLevel="0" collapsed="false">
      <c r="A763" s="7" t="n">
        <v>762</v>
      </c>
      <c r="B763" s="7"/>
      <c r="C763" s="7" t="s">
        <v>998</v>
      </c>
      <c r="D763" s="7" t="n">
        <v>2031</v>
      </c>
      <c r="E763" s="7" t="s">
        <v>50</v>
      </c>
      <c r="F763" s="10" t="b">
        <f aca="false">FALSE()</f>
        <v>0</v>
      </c>
      <c r="G763" s="7" t="s">
        <v>355</v>
      </c>
      <c r="H763" s="7" t="s">
        <v>244</v>
      </c>
      <c r="I763" s="7" t="n">
        <v>4</v>
      </c>
      <c r="J763" s="7" t="s">
        <v>71</v>
      </c>
      <c r="K763" s="7" t="s">
        <v>72</v>
      </c>
      <c r="L763" s="7" t="n">
        <v>50</v>
      </c>
      <c r="M763" s="10" t="b">
        <f aca="false">FALSE()</f>
        <v>0</v>
      </c>
      <c r="N763" s="7" t="s">
        <v>268</v>
      </c>
      <c r="O763" s="7" t="n">
        <v>-33.915171</v>
      </c>
      <c r="P763" s="7" t="n">
        <v>151.241129</v>
      </c>
    </row>
    <row r="764" customFormat="false" ht="15" hidden="false" customHeight="false" outlineLevel="0" collapsed="false">
      <c r="A764" s="7" t="n">
        <v>763</v>
      </c>
      <c r="B764" s="7"/>
      <c r="C764" s="7" t="s">
        <v>999</v>
      </c>
      <c r="D764" s="7" t="n">
        <v>2088</v>
      </c>
      <c r="E764" s="7" t="s">
        <v>50</v>
      </c>
      <c r="F764" s="10" t="b">
        <f aca="false">FALSE()</f>
        <v>0</v>
      </c>
      <c r="G764" s="7" t="s">
        <v>246</v>
      </c>
      <c r="H764" s="7" t="s">
        <v>237</v>
      </c>
      <c r="I764" s="7" t="n">
        <v>2</v>
      </c>
      <c r="J764" s="7" t="s">
        <v>71</v>
      </c>
      <c r="K764" s="7" t="s">
        <v>407</v>
      </c>
      <c r="L764" s="7" t="n">
        <v>47</v>
      </c>
      <c r="M764" s="10" t="b">
        <f aca="false">FALSE()</f>
        <v>0</v>
      </c>
      <c r="N764" s="7" t="s">
        <v>76</v>
      </c>
      <c r="O764" s="7" t="n">
        <v>-33.828525</v>
      </c>
      <c r="P764" s="7" t="n">
        <v>151.243903</v>
      </c>
    </row>
    <row r="765" customFormat="false" ht="15" hidden="false" customHeight="false" outlineLevel="0" collapsed="false">
      <c r="A765" s="7" t="n">
        <v>764</v>
      </c>
      <c r="B765" s="7"/>
      <c r="C765" s="7" t="s">
        <v>1000</v>
      </c>
      <c r="D765" s="7" t="n">
        <v>2250</v>
      </c>
      <c r="E765" s="7" t="s">
        <v>50</v>
      </c>
      <c r="F765" s="10" t="b">
        <f aca="false">FALSE()</f>
        <v>0</v>
      </c>
      <c r="G765" s="7" t="s">
        <v>276</v>
      </c>
      <c r="H765" s="7" t="s">
        <v>239</v>
      </c>
      <c r="I765" s="7" t="n">
        <v>2</v>
      </c>
      <c r="J765" s="7" t="s">
        <v>107</v>
      </c>
      <c r="K765" s="7" t="s">
        <v>108</v>
      </c>
      <c r="L765" s="7" t="n">
        <v>22</v>
      </c>
      <c r="M765" s="10" t="b">
        <f aca="false">FALSE()</f>
        <v>0</v>
      </c>
      <c r="N765" s="7" t="s">
        <v>109</v>
      </c>
      <c r="O765" s="7" t="n">
        <v>-33.392648</v>
      </c>
      <c r="P765" s="7" t="n">
        <v>151.353876</v>
      </c>
    </row>
    <row r="766" customFormat="false" ht="15" hidden="false" customHeight="false" outlineLevel="0" collapsed="false">
      <c r="A766" s="7" t="n">
        <v>765</v>
      </c>
      <c r="B766" s="7" t="s">
        <v>1001</v>
      </c>
      <c r="C766" s="7" t="s">
        <v>1002</v>
      </c>
      <c r="D766" s="7" t="n">
        <v>2404</v>
      </c>
      <c r="E766" s="7" t="s">
        <v>50</v>
      </c>
      <c r="F766" s="10" t="b">
        <f aca="false">FALSE()</f>
        <v>0</v>
      </c>
      <c r="G766" s="7" t="s">
        <v>986</v>
      </c>
      <c r="H766" s="7" t="s">
        <v>260</v>
      </c>
      <c r="I766" s="7" t="n">
        <v>2</v>
      </c>
      <c r="J766" s="7" t="s">
        <v>107</v>
      </c>
      <c r="K766" s="7" t="s">
        <v>107</v>
      </c>
      <c r="L766" s="7"/>
      <c r="M766" s="10" t="b">
        <f aca="false">FALSE()</f>
        <v>0</v>
      </c>
      <c r="N766" s="7" t="s">
        <v>399</v>
      </c>
      <c r="O766" s="7" t="n">
        <v>-29.869128</v>
      </c>
      <c r="P766" s="7" t="n">
        <v>150.571434</v>
      </c>
    </row>
    <row r="767" customFormat="false" ht="15" hidden="false" customHeight="false" outlineLevel="0" collapsed="false">
      <c r="A767" s="7" t="n">
        <v>766</v>
      </c>
      <c r="B767" s="7"/>
      <c r="C767" s="7" t="s">
        <v>1003</v>
      </c>
      <c r="D767" s="7" t="n">
        <v>2756</v>
      </c>
      <c r="E767" s="7" t="s">
        <v>50</v>
      </c>
      <c r="F767" s="10" t="b">
        <f aca="false">FALSE()</f>
        <v>0</v>
      </c>
      <c r="G767" s="7" t="s">
        <v>566</v>
      </c>
      <c r="H767" s="7" t="s">
        <v>330</v>
      </c>
      <c r="I767" s="7" t="n">
        <v>4</v>
      </c>
      <c r="J767" s="7" t="s">
        <v>71</v>
      </c>
      <c r="K767" s="7" t="s">
        <v>234</v>
      </c>
      <c r="L767" s="7" t="n">
        <v>150</v>
      </c>
      <c r="M767" s="10" t="b">
        <f aca="false">FALSE()</f>
        <v>0</v>
      </c>
      <c r="N767" s="7" t="s">
        <v>76</v>
      </c>
      <c r="O767" s="7" t="n">
        <v>-33.63861</v>
      </c>
      <c r="P767" s="7" t="n">
        <v>150.783723</v>
      </c>
    </row>
    <row r="768" customFormat="false" ht="15" hidden="false" customHeight="false" outlineLevel="0" collapsed="false">
      <c r="A768" s="7" t="n">
        <v>767</v>
      </c>
      <c r="B768" s="7"/>
      <c r="C768" s="7" t="s">
        <v>1004</v>
      </c>
      <c r="D768" s="7" t="n">
        <v>2037</v>
      </c>
      <c r="E768" s="7" t="s">
        <v>50</v>
      </c>
      <c r="F768" s="10" t="b">
        <f aca="false">FALSE()</f>
        <v>0</v>
      </c>
      <c r="G768" s="7" t="s">
        <v>182</v>
      </c>
      <c r="H768" s="7" t="s">
        <v>302</v>
      </c>
      <c r="I768" s="7" t="n">
        <v>2</v>
      </c>
      <c r="J768" s="7" t="s">
        <v>107</v>
      </c>
      <c r="K768" s="7" t="s">
        <v>108</v>
      </c>
      <c r="L768" s="7" t="n">
        <v>22</v>
      </c>
      <c r="M768" s="10" t="b">
        <f aca="false">FALSE()</f>
        <v>0</v>
      </c>
      <c r="N768" s="7" t="s">
        <v>109</v>
      </c>
      <c r="O768" s="7" t="n">
        <v>-33.881093</v>
      </c>
      <c r="P768" s="7" t="n">
        <v>151.187108</v>
      </c>
    </row>
    <row r="769" customFormat="false" ht="15" hidden="false" customHeight="false" outlineLevel="0" collapsed="false">
      <c r="A769" s="7" t="n">
        <v>768</v>
      </c>
      <c r="B769" s="7"/>
      <c r="C769" s="7" t="s">
        <v>1005</v>
      </c>
      <c r="D769" s="7" t="n">
        <v>2529</v>
      </c>
      <c r="E769" s="7" t="s">
        <v>50</v>
      </c>
      <c r="F769" s="10" t="b">
        <f aca="false">FALSE()</f>
        <v>0</v>
      </c>
      <c r="G769" s="7" t="s">
        <v>316</v>
      </c>
      <c r="H769" s="7" t="s">
        <v>237</v>
      </c>
      <c r="I769" s="7" t="n">
        <v>2</v>
      </c>
      <c r="J769" s="7" t="s">
        <v>107</v>
      </c>
      <c r="K769" s="7" t="s">
        <v>108</v>
      </c>
      <c r="L769" s="7" t="n">
        <v>22</v>
      </c>
      <c r="M769" s="10" t="b">
        <f aca="false">FALSE()</f>
        <v>0</v>
      </c>
      <c r="N769" s="7" t="s">
        <v>109</v>
      </c>
      <c r="O769" s="7" t="n">
        <v>-34.565747</v>
      </c>
      <c r="P769" s="7" t="n">
        <v>150.835464</v>
      </c>
    </row>
    <row r="770" customFormat="false" ht="15" hidden="false" customHeight="false" outlineLevel="0" collapsed="false">
      <c r="A770" s="7" t="n">
        <v>769</v>
      </c>
      <c r="B770" s="7"/>
      <c r="C770" s="7" t="s">
        <v>1006</v>
      </c>
      <c r="D770" s="7" t="n">
        <v>2830</v>
      </c>
      <c r="E770" s="7" t="s">
        <v>50</v>
      </c>
      <c r="F770" s="10" t="b">
        <f aca="false">FALSE()</f>
        <v>0</v>
      </c>
      <c r="G770" s="7" t="s">
        <v>227</v>
      </c>
      <c r="H770" s="7" t="s">
        <v>239</v>
      </c>
      <c r="I770" s="7" t="n">
        <v>8</v>
      </c>
      <c r="J770" s="7" t="s">
        <v>71</v>
      </c>
      <c r="K770" s="7" t="s">
        <v>242</v>
      </c>
      <c r="L770" s="7" t="n">
        <v>130</v>
      </c>
      <c r="M770" s="10" t="b">
        <f aca="false">FALSE()</f>
        <v>0</v>
      </c>
      <c r="N770" s="7" t="s">
        <v>76</v>
      </c>
      <c r="O770" s="7" t="n">
        <v>-32.24995</v>
      </c>
      <c r="P770" s="7" t="n">
        <v>148.609182</v>
      </c>
    </row>
    <row r="771" customFormat="false" ht="15" hidden="false" customHeight="false" outlineLevel="0" collapsed="false">
      <c r="A771" s="7" t="n">
        <v>770</v>
      </c>
      <c r="B771" s="7"/>
      <c r="C771" s="7" t="s">
        <v>1007</v>
      </c>
      <c r="D771" s="7" t="n">
        <v>2481</v>
      </c>
      <c r="E771" s="7" t="s">
        <v>50</v>
      </c>
      <c r="F771" s="10" t="b">
        <f aca="false">FALSE()</f>
        <v>0</v>
      </c>
      <c r="G771" s="7" t="s">
        <v>82</v>
      </c>
      <c r="H771" s="7" t="s">
        <v>260</v>
      </c>
      <c r="I771" s="7" t="n">
        <v>2</v>
      </c>
      <c r="J771" s="7" t="s">
        <v>107</v>
      </c>
      <c r="K771" s="7" t="s">
        <v>108</v>
      </c>
      <c r="L771" s="7" t="n">
        <v>22</v>
      </c>
      <c r="M771" s="10" t="b">
        <f aca="false">FALSE()</f>
        <v>0</v>
      </c>
      <c r="N771" s="7" t="s">
        <v>109</v>
      </c>
      <c r="O771" s="7" t="n">
        <v>-28.676233</v>
      </c>
      <c r="P771" s="7" t="n">
        <v>153.610712</v>
      </c>
    </row>
    <row r="772" customFormat="false" ht="15" hidden="false" customHeight="false" outlineLevel="0" collapsed="false">
      <c r="A772" s="7" t="n">
        <v>771</v>
      </c>
      <c r="B772" s="7"/>
      <c r="C772" s="7" t="s">
        <v>1008</v>
      </c>
      <c r="D772" s="7" t="n">
        <v>2580</v>
      </c>
      <c r="E772" s="7" t="s">
        <v>50</v>
      </c>
      <c r="F772" s="10" t="b">
        <f aca="false">FALSE()</f>
        <v>0</v>
      </c>
      <c r="G772" s="7" t="s">
        <v>481</v>
      </c>
      <c r="H772" s="7" t="s">
        <v>239</v>
      </c>
      <c r="I772" s="7" t="n">
        <v>2</v>
      </c>
      <c r="J772" s="7" t="s">
        <v>107</v>
      </c>
      <c r="K772" s="7" t="s">
        <v>108</v>
      </c>
      <c r="L772" s="7" t="n">
        <v>22</v>
      </c>
      <c r="M772" s="10" t="b">
        <f aca="false">FALSE()</f>
        <v>0</v>
      </c>
      <c r="N772" s="7" t="s">
        <v>109</v>
      </c>
      <c r="O772" s="7" t="n">
        <v>-34.747726</v>
      </c>
      <c r="P772" s="7" t="n">
        <v>149.729373</v>
      </c>
    </row>
    <row r="773" customFormat="false" ht="15" hidden="false" customHeight="false" outlineLevel="0" collapsed="false">
      <c r="A773" s="7" t="n">
        <v>772</v>
      </c>
      <c r="B773" s="7"/>
      <c r="C773" s="7" t="s">
        <v>1009</v>
      </c>
      <c r="D773" s="7" t="n">
        <v>2035</v>
      </c>
      <c r="E773" s="7" t="s">
        <v>50</v>
      </c>
      <c r="F773" s="10" t="b">
        <f aca="false">FALSE()</f>
        <v>0</v>
      </c>
      <c r="G773" s="7" t="s">
        <v>355</v>
      </c>
      <c r="H773" s="7" t="s">
        <v>244</v>
      </c>
      <c r="I773" s="7" t="n">
        <v>4</v>
      </c>
      <c r="J773" s="7" t="s">
        <v>71</v>
      </c>
      <c r="K773" s="7" t="s">
        <v>83</v>
      </c>
      <c r="L773" s="7" t="n">
        <v>75</v>
      </c>
      <c r="M773" s="10" t="b">
        <f aca="false">FALSE()</f>
        <v>0</v>
      </c>
      <c r="N773" s="7" t="s">
        <v>76</v>
      </c>
      <c r="O773" s="7" t="n">
        <v>-33.938009</v>
      </c>
      <c r="P773" s="7" t="n">
        <v>151.23852</v>
      </c>
    </row>
    <row r="774" customFormat="false" ht="15" hidden="false" customHeight="false" outlineLevel="0" collapsed="false">
      <c r="A774" s="7" t="n">
        <v>773</v>
      </c>
      <c r="B774" s="7"/>
      <c r="C774" s="7" t="s">
        <v>1010</v>
      </c>
      <c r="D774" s="7" t="n">
        <v>2030</v>
      </c>
      <c r="E774" s="7" t="s">
        <v>50</v>
      </c>
      <c r="F774" s="10" t="b">
        <f aca="false">FALSE()</f>
        <v>0</v>
      </c>
      <c r="G774" s="7" t="s">
        <v>272</v>
      </c>
      <c r="H774" s="7" t="s">
        <v>237</v>
      </c>
      <c r="I774" s="7" t="n">
        <v>2</v>
      </c>
      <c r="J774" s="7" t="s">
        <v>71</v>
      </c>
      <c r="K774" s="7" t="s">
        <v>578</v>
      </c>
      <c r="L774" s="7" t="n">
        <v>40</v>
      </c>
      <c r="M774" s="10" t="b">
        <f aca="false">FALSE()</f>
        <v>0</v>
      </c>
      <c r="N774" s="7" t="s">
        <v>76</v>
      </c>
      <c r="O774" s="7" t="n">
        <v>-33.857002</v>
      </c>
      <c r="P774" s="7" t="n">
        <v>151.282804</v>
      </c>
    </row>
    <row r="775" customFormat="false" ht="15" hidden="false" customHeight="false" outlineLevel="0" collapsed="false">
      <c r="A775" s="7" t="n">
        <v>774</v>
      </c>
      <c r="B775" s="7"/>
      <c r="C775" s="7" t="s">
        <v>1011</v>
      </c>
      <c r="D775" s="7" t="n">
        <v>2481</v>
      </c>
      <c r="E775" s="7" t="s">
        <v>50</v>
      </c>
      <c r="F775" s="10" t="b">
        <f aca="false">FALSE()</f>
        <v>0</v>
      </c>
      <c r="G775" s="7" t="s">
        <v>82</v>
      </c>
      <c r="H775" s="7" t="s">
        <v>239</v>
      </c>
      <c r="I775" s="7" t="n">
        <v>2</v>
      </c>
      <c r="J775" s="7" t="s">
        <v>107</v>
      </c>
      <c r="K775" s="7" t="s">
        <v>108</v>
      </c>
      <c r="L775" s="7" t="n">
        <v>22</v>
      </c>
      <c r="M775" s="10" t="b">
        <f aca="false">FALSE()</f>
        <v>0</v>
      </c>
      <c r="N775" s="7" t="s">
        <v>109</v>
      </c>
      <c r="O775" s="7" t="n">
        <v>-28.678172</v>
      </c>
      <c r="P775" s="7" t="n">
        <v>153.610378</v>
      </c>
    </row>
    <row r="776" customFormat="false" ht="15" hidden="false" customHeight="false" outlineLevel="0" collapsed="false">
      <c r="A776" s="7" t="n">
        <v>775</v>
      </c>
      <c r="B776" s="7"/>
      <c r="C776" s="7" t="s">
        <v>1012</v>
      </c>
      <c r="D776" s="7" t="n">
        <v>2773</v>
      </c>
      <c r="E776" s="7" t="s">
        <v>50</v>
      </c>
      <c r="F776" s="10" t="b">
        <f aca="false">FALSE()</f>
        <v>0</v>
      </c>
      <c r="G776" s="7" t="s">
        <v>306</v>
      </c>
      <c r="H776" s="7" t="s">
        <v>330</v>
      </c>
      <c r="I776" s="7" t="n">
        <v>2</v>
      </c>
      <c r="J776" s="7" t="s">
        <v>71</v>
      </c>
      <c r="K776" s="7" t="s">
        <v>213</v>
      </c>
      <c r="L776" s="7" t="n">
        <v>125</v>
      </c>
      <c r="M776" s="10" t="b">
        <f aca="false">FALSE()</f>
        <v>0</v>
      </c>
      <c r="N776" s="7" t="s">
        <v>268</v>
      </c>
      <c r="O776" s="7" t="n">
        <v>-33.765388</v>
      </c>
      <c r="P776" s="7" t="n">
        <v>150.621476</v>
      </c>
    </row>
    <row r="777" customFormat="false" ht="15" hidden="false" customHeight="false" outlineLevel="0" collapsed="false">
      <c r="A777" s="7" t="n">
        <v>776</v>
      </c>
      <c r="B777" s="7"/>
      <c r="C777" s="7" t="s">
        <v>1013</v>
      </c>
      <c r="D777" s="7" t="n">
        <v>2153</v>
      </c>
      <c r="E777" s="7" t="s">
        <v>50</v>
      </c>
      <c r="F777" s="10" t="b">
        <f aca="false">FALSE()</f>
        <v>0</v>
      </c>
      <c r="G777" s="7" t="s">
        <v>299</v>
      </c>
      <c r="H777" s="7" t="s">
        <v>237</v>
      </c>
      <c r="I777" s="7" t="n">
        <v>4</v>
      </c>
      <c r="J777" s="7" t="s">
        <v>71</v>
      </c>
      <c r="K777" s="7" t="s">
        <v>213</v>
      </c>
      <c r="L777" s="7" t="n">
        <v>125</v>
      </c>
      <c r="M777" s="10" t="b">
        <f aca="false">FALSE()</f>
        <v>0</v>
      </c>
      <c r="N777" s="7" t="s">
        <v>76</v>
      </c>
      <c r="O777" s="7" t="n">
        <v>-33.738862</v>
      </c>
      <c r="P777" s="7" t="n">
        <v>150.947524</v>
      </c>
    </row>
    <row r="778" customFormat="false" ht="15" hidden="false" customHeight="false" outlineLevel="0" collapsed="false">
      <c r="A778" s="7" t="n">
        <v>777</v>
      </c>
      <c r="B778" s="7"/>
      <c r="C778" s="7" t="s">
        <v>1014</v>
      </c>
      <c r="D778" s="7" t="n">
        <v>2027</v>
      </c>
      <c r="E778" s="7" t="s">
        <v>50</v>
      </c>
      <c r="F778" s="10" t="b">
        <f aca="false">FALSE()</f>
        <v>0</v>
      </c>
      <c r="G778" s="7" t="s">
        <v>272</v>
      </c>
      <c r="H778" s="7" t="s">
        <v>237</v>
      </c>
      <c r="I778" s="7" t="n">
        <v>2</v>
      </c>
      <c r="J778" s="7" t="s">
        <v>107</v>
      </c>
      <c r="K778" s="7" t="s">
        <v>108</v>
      </c>
      <c r="L778" s="7" t="n">
        <v>22</v>
      </c>
      <c r="M778" s="10" t="b">
        <f aca="false">FALSE()</f>
        <v>0</v>
      </c>
      <c r="N778" s="7" t="s">
        <v>109</v>
      </c>
      <c r="O778" s="7" t="n">
        <v>-33.875744</v>
      </c>
      <c r="P778" s="7" t="n">
        <v>151.232133</v>
      </c>
    </row>
    <row r="779" customFormat="false" ht="15" hidden="false" customHeight="false" outlineLevel="0" collapsed="false">
      <c r="A779" s="7" t="n">
        <v>778</v>
      </c>
      <c r="B779" s="7"/>
      <c r="C779" s="7" t="s">
        <v>1015</v>
      </c>
      <c r="D779" s="7" t="n">
        <v>2760</v>
      </c>
      <c r="E779" s="7" t="s">
        <v>50</v>
      </c>
      <c r="F779" s="10" t="b">
        <f aca="false">FALSE()</f>
        <v>0</v>
      </c>
      <c r="G779" s="7" t="s">
        <v>232</v>
      </c>
      <c r="H779" s="7" t="s">
        <v>239</v>
      </c>
      <c r="I779" s="7" t="n">
        <v>1</v>
      </c>
      <c r="J779" s="7" t="s">
        <v>107</v>
      </c>
      <c r="K779" s="7" t="s">
        <v>108</v>
      </c>
      <c r="L779" s="7" t="n">
        <v>22</v>
      </c>
      <c r="M779" s="10" t="b">
        <f aca="false">FALSE()</f>
        <v>0</v>
      </c>
      <c r="N779" s="7" t="s">
        <v>109</v>
      </c>
      <c r="O779" s="7" t="n">
        <v>-33.732438</v>
      </c>
      <c r="P779" s="7" t="n">
        <v>150.780457</v>
      </c>
    </row>
    <row r="780" customFormat="false" ht="15" hidden="false" customHeight="false" outlineLevel="0" collapsed="false">
      <c r="A780" s="7" t="n">
        <v>779</v>
      </c>
      <c r="B780" s="7"/>
      <c r="C780" s="7" t="s">
        <v>1016</v>
      </c>
      <c r="D780" s="7" t="n">
        <v>2015</v>
      </c>
      <c r="E780" s="7" t="s">
        <v>50</v>
      </c>
      <c r="F780" s="10" t="b">
        <f aca="false">FALSE()</f>
        <v>0</v>
      </c>
      <c r="G780" s="7" t="s">
        <v>182</v>
      </c>
      <c r="H780" s="7" t="s">
        <v>260</v>
      </c>
      <c r="I780" s="7" t="n">
        <v>2</v>
      </c>
      <c r="J780" s="7" t="s">
        <v>71</v>
      </c>
      <c r="K780" s="7" t="s">
        <v>438</v>
      </c>
      <c r="L780" s="7" t="n">
        <v>120</v>
      </c>
      <c r="M780" s="10" t="b">
        <f aca="false">FALSE()</f>
        <v>0</v>
      </c>
      <c r="N780" s="7" t="s">
        <v>76</v>
      </c>
      <c r="O780" s="7" t="n">
        <v>-33.905337</v>
      </c>
      <c r="P780" s="7" t="n">
        <v>151.193657</v>
      </c>
    </row>
    <row r="781" customFormat="false" ht="15" hidden="false" customHeight="false" outlineLevel="0" collapsed="false">
      <c r="A781" s="7" t="n">
        <v>780</v>
      </c>
      <c r="B781" s="7"/>
      <c r="C781" s="7" t="s">
        <v>1017</v>
      </c>
      <c r="D781" s="7" t="n">
        <v>2050</v>
      </c>
      <c r="E781" s="7" t="s">
        <v>50</v>
      </c>
      <c r="F781" s="10" t="b">
        <f aca="false">FALSE()</f>
        <v>0</v>
      </c>
      <c r="G781" s="7" t="s">
        <v>410</v>
      </c>
      <c r="H781" s="7" t="s">
        <v>260</v>
      </c>
      <c r="I781" s="7" t="n">
        <v>2</v>
      </c>
      <c r="J781" s="7" t="s">
        <v>71</v>
      </c>
      <c r="K781" s="7" t="s">
        <v>72</v>
      </c>
      <c r="L781" s="7" t="n">
        <v>50</v>
      </c>
      <c r="M781" s="10" t="b">
        <f aca="false">FALSE()</f>
        <v>0</v>
      </c>
      <c r="N781" s="7" t="s">
        <v>76</v>
      </c>
      <c r="O781" s="7" t="n">
        <v>-33.893608</v>
      </c>
      <c r="P781" s="7" t="n">
        <v>151.178346</v>
      </c>
    </row>
    <row r="782" customFormat="false" ht="15" hidden="false" customHeight="false" outlineLevel="0" collapsed="false">
      <c r="A782" s="7" t="n">
        <v>781</v>
      </c>
      <c r="B782" s="7"/>
      <c r="C782" s="7" t="s">
        <v>1018</v>
      </c>
      <c r="D782" s="7" t="n">
        <v>2200</v>
      </c>
      <c r="E782" s="7" t="s">
        <v>50</v>
      </c>
      <c r="F782" s="10" t="b">
        <f aca="false">FALSE()</f>
        <v>0</v>
      </c>
      <c r="G782" s="7" t="s">
        <v>345</v>
      </c>
      <c r="H782" s="7" t="s">
        <v>260</v>
      </c>
      <c r="I782" s="7" t="n">
        <v>3</v>
      </c>
      <c r="J782" s="7" t="s">
        <v>107</v>
      </c>
      <c r="K782" s="7" t="s">
        <v>108</v>
      </c>
      <c r="L782" s="7" t="n">
        <v>22</v>
      </c>
      <c r="M782" s="10" t="b">
        <f aca="false">FALSE()</f>
        <v>0</v>
      </c>
      <c r="N782" s="7" t="s">
        <v>109</v>
      </c>
      <c r="O782" s="7" t="n">
        <v>-33.91994</v>
      </c>
      <c r="P782" s="7" t="n">
        <v>151.03388</v>
      </c>
    </row>
    <row r="783" customFormat="false" ht="15" hidden="false" customHeight="false" outlineLevel="0" collapsed="false">
      <c r="A783" s="7" t="n">
        <v>782</v>
      </c>
      <c r="B783" s="7"/>
      <c r="C783" s="7" t="s">
        <v>1018</v>
      </c>
      <c r="D783" s="7" t="n">
        <v>2200</v>
      </c>
      <c r="E783" s="7" t="s">
        <v>50</v>
      </c>
      <c r="F783" s="10" t="b">
        <f aca="false">FALSE()</f>
        <v>0</v>
      </c>
      <c r="G783" s="7" t="s">
        <v>345</v>
      </c>
      <c r="H783" s="7" t="s">
        <v>239</v>
      </c>
      <c r="I783" s="7" t="n">
        <v>2</v>
      </c>
      <c r="J783" s="7" t="s">
        <v>107</v>
      </c>
      <c r="K783" s="7" t="s">
        <v>277</v>
      </c>
      <c r="L783" s="7" t="n">
        <v>6</v>
      </c>
      <c r="M783" s="10" t="b">
        <f aca="false">FALSE()</f>
        <v>0</v>
      </c>
      <c r="N783" s="7" t="s">
        <v>109</v>
      </c>
      <c r="O783" s="7" t="n">
        <v>-33.919566</v>
      </c>
      <c r="P783" s="7" t="n">
        <v>151.033666</v>
      </c>
    </row>
    <row r="784" customFormat="false" ht="15" hidden="false" customHeight="false" outlineLevel="0" collapsed="false">
      <c r="A784" s="7" t="n">
        <v>783</v>
      </c>
      <c r="B784" s="7"/>
      <c r="C784" s="7" t="s">
        <v>1019</v>
      </c>
      <c r="D784" s="7" t="n">
        <v>2627</v>
      </c>
      <c r="E784" s="7" t="s">
        <v>50</v>
      </c>
      <c r="F784" s="10" t="b">
        <f aca="false">FALSE()</f>
        <v>0</v>
      </c>
      <c r="G784" s="7" t="s">
        <v>177</v>
      </c>
      <c r="H784" s="7" t="s">
        <v>233</v>
      </c>
      <c r="I784" s="7" t="n">
        <v>4</v>
      </c>
      <c r="J784" s="7" t="s">
        <v>71</v>
      </c>
      <c r="K784" s="7" t="s">
        <v>83</v>
      </c>
      <c r="L784" s="7" t="n">
        <v>75</v>
      </c>
      <c r="M784" s="10" t="b">
        <f aca="false">FALSE()</f>
        <v>0</v>
      </c>
      <c r="N784" s="7" t="s">
        <v>76</v>
      </c>
      <c r="O784" s="7" t="n">
        <v>-36.414755</v>
      </c>
      <c r="P784" s="7" t="n">
        <v>148.617784</v>
      </c>
    </row>
    <row r="785" customFormat="false" ht="15" hidden="false" customHeight="false" outlineLevel="0" collapsed="false">
      <c r="A785" s="7" t="n">
        <v>784</v>
      </c>
      <c r="B785" s="7"/>
      <c r="C785" s="7" t="s">
        <v>1020</v>
      </c>
      <c r="D785" s="7" t="n">
        <v>2263</v>
      </c>
      <c r="E785" s="7" t="s">
        <v>50</v>
      </c>
      <c r="F785" s="10" t="b">
        <f aca="false">FALSE()</f>
        <v>0</v>
      </c>
      <c r="G785" s="7" t="s">
        <v>276</v>
      </c>
      <c r="H785" s="7" t="s">
        <v>239</v>
      </c>
      <c r="I785" s="7" t="n">
        <v>2</v>
      </c>
      <c r="J785" s="7" t="s">
        <v>107</v>
      </c>
      <c r="K785" s="7" t="s">
        <v>108</v>
      </c>
      <c r="L785" s="7" t="n">
        <v>22</v>
      </c>
      <c r="M785" s="10" t="b">
        <f aca="false">FALSE()</f>
        <v>0</v>
      </c>
      <c r="N785" s="7" t="s">
        <v>109</v>
      </c>
      <c r="O785" s="7" t="n">
        <v>-33.244379</v>
      </c>
      <c r="P785" s="7" t="n">
        <v>151.500571</v>
      </c>
    </row>
    <row r="786" customFormat="false" ht="15" hidden="false" customHeight="false" outlineLevel="0" collapsed="false">
      <c r="A786" s="7" t="n">
        <v>785</v>
      </c>
      <c r="B786" s="7"/>
      <c r="C786" s="7" t="s">
        <v>1021</v>
      </c>
      <c r="D786" s="7" t="n">
        <v>2031</v>
      </c>
      <c r="E786" s="7" t="s">
        <v>50</v>
      </c>
      <c r="F786" s="10" t="b">
        <f aca="false">FALSE()</f>
        <v>0</v>
      </c>
      <c r="G786" s="7" t="s">
        <v>355</v>
      </c>
      <c r="H786" s="7" t="s">
        <v>260</v>
      </c>
      <c r="I786" s="7" t="n">
        <v>1</v>
      </c>
      <c r="J786" s="7" t="s">
        <v>107</v>
      </c>
      <c r="K786" s="7" t="s">
        <v>108</v>
      </c>
      <c r="L786" s="7" t="n">
        <v>22</v>
      </c>
      <c r="M786" s="10" t="b">
        <f aca="false">FALSE()</f>
        <v>0</v>
      </c>
      <c r="N786" s="7" t="s">
        <v>109</v>
      </c>
      <c r="O786" s="7" t="n">
        <v>-33.918997</v>
      </c>
      <c r="P786" s="7" t="n">
        <v>151.241826</v>
      </c>
    </row>
    <row r="787" customFormat="false" ht="15" hidden="false" customHeight="false" outlineLevel="0" collapsed="false">
      <c r="A787" s="7" t="n">
        <v>786</v>
      </c>
      <c r="B787" s="7"/>
      <c r="C787" s="7" t="s">
        <v>1022</v>
      </c>
      <c r="D787" s="7" t="n">
        <v>2155</v>
      </c>
      <c r="E787" s="7" t="s">
        <v>50</v>
      </c>
      <c r="F787" s="10" t="b">
        <f aca="false">FALSE()</f>
        <v>0</v>
      </c>
      <c r="G787" s="7" t="s">
        <v>299</v>
      </c>
      <c r="H787" s="7" t="s">
        <v>239</v>
      </c>
      <c r="I787" s="7" t="n">
        <v>2</v>
      </c>
      <c r="J787" s="7" t="s">
        <v>107</v>
      </c>
      <c r="K787" s="7" t="s">
        <v>1023</v>
      </c>
      <c r="L787" s="7" t="n">
        <v>13</v>
      </c>
      <c r="M787" s="10" t="b">
        <f aca="false">FALSE()</f>
        <v>0</v>
      </c>
      <c r="N787" s="7" t="s">
        <v>109</v>
      </c>
      <c r="O787" s="7" t="n">
        <v>-33.692322</v>
      </c>
      <c r="P787" s="7" t="n">
        <v>150.926652</v>
      </c>
    </row>
    <row r="788" customFormat="false" ht="15" hidden="false" customHeight="false" outlineLevel="0" collapsed="false">
      <c r="A788" s="7" t="n">
        <v>787</v>
      </c>
      <c r="B788" s="7"/>
      <c r="C788" s="7" t="s">
        <v>1024</v>
      </c>
      <c r="D788" s="7" t="n">
        <v>2766</v>
      </c>
      <c r="E788" s="7" t="s">
        <v>50</v>
      </c>
      <c r="F788" s="10" t="b">
        <f aca="false">FALSE()</f>
        <v>0</v>
      </c>
      <c r="G788" s="7" t="s">
        <v>232</v>
      </c>
      <c r="H788" s="7" t="s">
        <v>260</v>
      </c>
      <c r="I788" s="7" t="n">
        <v>4</v>
      </c>
      <c r="J788" s="7" t="s">
        <v>107</v>
      </c>
      <c r="K788" s="7" t="s">
        <v>108</v>
      </c>
      <c r="L788" s="7" t="n">
        <v>22</v>
      </c>
      <c r="M788" s="10" t="b">
        <f aca="false">FALSE()</f>
        <v>0</v>
      </c>
      <c r="N788" s="7" t="s">
        <v>109</v>
      </c>
      <c r="O788" s="7" t="n">
        <v>-33.770853</v>
      </c>
      <c r="P788" s="7" t="n">
        <v>150.854152</v>
      </c>
    </row>
    <row r="789" customFormat="false" ht="15" hidden="false" customHeight="false" outlineLevel="0" collapsed="false">
      <c r="A789" s="7" t="n">
        <v>788</v>
      </c>
      <c r="B789" s="7"/>
      <c r="C789" s="7" t="s">
        <v>1025</v>
      </c>
      <c r="D789" s="7" t="n">
        <v>2873</v>
      </c>
      <c r="E789" s="7" t="s">
        <v>50</v>
      </c>
      <c r="F789" s="10" t="b">
        <f aca="false">FALSE()</f>
        <v>0</v>
      </c>
      <c r="G789" s="7" t="s">
        <v>896</v>
      </c>
      <c r="H789" s="7" t="s">
        <v>260</v>
      </c>
      <c r="I789" s="7" t="n">
        <v>2</v>
      </c>
      <c r="J789" s="7" t="s">
        <v>107</v>
      </c>
      <c r="K789" s="7" t="s">
        <v>108</v>
      </c>
      <c r="L789" s="7" t="n">
        <v>22</v>
      </c>
      <c r="M789" s="10" t="b">
        <f aca="false">FALSE()</f>
        <v>0</v>
      </c>
      <c r="N789" s="7" t="s">
        <v>109</v>
      </c>
      <c r="O789" s="7" t="n">
        <v>-32.244941</v>
      </c>
      <c r="P789" s="7" t="n">
        <v>147.356497</v>
      </c>
    </row>
    <row r="790" customFormat="false" ht="15" hidden="false" customHeight="false" outlineLevel="0" collapsed="false">
      <c r="A790" s="7" t="n">
        <v>789</v>
      </c>
      <c r="B790" s="7"/>
      <c r="C790" s="7" t="s">
        <v>1026</v>
      </c>
      <c r="D790" s="7" t="n">
        <v>2300</v>
      </c>
      <c r="E790" s="7" t="s">
        <v>50</v>
      </c>
      <c r="F790" s="10" t="b">
        <f aca="false">FALSE()</f>
        <v>0</v>
      </c>
      <c r="G790" s="7" t="s">
        <v>141</v>
      </c>
      <c r="H790" s="7" t="s">
        <v>237</v>
      </c>
      <c r="I790" s="7" t="n">
        <v>3</v>
      </c>
      <c r="J790" s="7" t="s">
        <v>107</v>
      </c>
      <c r="K790" s="7" t="s">
        <v>277</v>
      </c>
      <c r="L790" s="7" t="n">
        <v>6</v>
      </c>
      <c r="M790" s="10" t="b">
        <f aca="false">FALSE()</f>
        <v>0</v>
      </c>
      <c r="N790" s="7" t="s">
        <v>109</v>
      </c>
      <c r="O790" s="7" t="n">
        <v>-32.926981</v>
      </c>
      <c r="P790" s="7" t="n">
        <v>151.778713</v>
      </c>
    </row>
    <row r="791" customFormat="false" ht="15" hidden="false" customHeight="false" outlineLevel="0" collapsed="false">
      <c r="A791" s="7" t="n">
        <v>790</v>
      </c>
      <c r="B791" s="7"/>
      <c r="C791" s="7" t="s">
        <v>1027</v>
      </c>
      <c r="D791" s="7" t="n">
        <v>2000</v>
      </c>
      <c r="E791" s="7" t="s">
        <v>50</v>
      </c>
      <c r="F791" s="10" t="b">
        <f aca="false">FALSE()</f>
        <v>0</v>
      </c>
      <c r="G791" s="7" t="s">
        <v>182</v>
      </c>
      <c r="H791" s="7" t="s">
        <v>260</v>
      </c>
      <c r="I791" s="7" t="n">
        <v>2</v>
      </c>
      <c r="J791" s="7" t="s">
        <v>107</v>
      </c>
      <c r="K791" s="7" t="s">
        <v>277</v>
      </c>
      <c r="L791" s="7" t="n">
        <v>6</v>
      </c>
      <c r="M791" s="10" t="b">
        <f aca="false">FALSE()</f>
        <v>0</v>
      </c>
      <c r="N791" s="7" t="s">
        <v>109</v>
      </c>
      <c r="O791" s="7" t="n">
        <v>-33.884263</v>
      </c>
      <c r="P791" s="7" t="n">
        <v>151.203022</v>
      </c>
    </row>
    <row r="792" customFormat="false" ht="15" hidden="false" customHeight="false" outlineLevel="0" collapsed="false">
      <c r="A792" s="7" t="n">
        <v>791</v>
      </c>
      <c r="B792" s="7"/>
      <c r="C792" s="7" t="s">
        <v>1028</v>
      </c>
      <c r="D792" s="7" t="n">
        <v>2035</v>
      </c>
      <c r="E792" s="7" t="s">
        <v>50</v>
      </c>
      <c r="F792" s="10" t="b">
        <f aca="false">FALSE()</f>
        <v>0</v>
      </c>
      <c r="G792" s="7" t="s">
        <v>355</v>
      </c>
      <c r="H792" s="7" t="s">
        <v>287</v>
      </c>
      <c r="I792" s="7" t="n">
        <v>2</v>
      </c>
      <c r="J792" s="7" t="s">
        <v>71</v>
      </c>
      <c r="K792" s="7" t="s">
        <v>288</v>
      </c>
      <c r="L792" s="7" t="n">
        <v>25</v>
      </c>
      <c r="M792" s="10" t="b">
        <f aca="false">FALSE()</f>
        <v>0</v>
      </c>
      <c r="N792" s="7" t="s">
        <v>76</v>
      </c>
      <c r="O792" s="7" t="n">
        <v>-33.943499</v>
      </c>
      <c r="P792" s="7" t="n">
        <v>151.239723</v>
      </c>
    </row>
    <row r="793" customFormat="false" ht="15" hidden="false" customHeight="false" outlineLevel="0" collapsed="false">
      <c r="A793" s="7" t="n">
        <v>792</v>
      </c>
      <c r="B793" s="7"/>
      <c r="C793" s="7" t="s">
        <v>1029</v>
      </c>
      <c r="D793" s="7" t="n">
        <v>2747</v>
      </c>
      <c r="E793" s="7" t="s">
        <v>50</v>
      </c>
      <c r="F793" s="10" t="b">
        <f aca="false">FALSE()</f>
        <v>0</v>
      </c>
      <c r="G793" s="7" t="s">
        <v>472</v>
      </c>
      <c r="H793" s="7" t="s">
        <v>244</v>
      </c>
      <c r="I793" s="7" t="n">
        <v>2</v>
      </c>
      <c r="J793" s="7" t="s">
        <v>71</v>
      </c>
      <c r="K793" s="7" t="s">
        <v>72</v>
      </c>
      <c r="L793" s="7" t="n">
        <v>50</v>
      </c>
      <c r="M793" s="10" t="b">
        <f aca="false">FALSE()</f>
        <v>0</v>
      </c>
      <c r="N793" s="7" t="s">
        <v>76</v>
      </c>
      <c r="O793" s="7" t="n">
        <v>-33.769276</v>
      </c>
      <c r="P793" s="7" t="n">
        <v>150.735459</v>
      </c>
    </row>
    <row r="794" customFormat="false" ht="15" hidden="false" customHeight="false" outlineLevel="0" collapsed="false">
      <c r="A794" s="7" t="n">
        <v>793</v>
      </c>
      <c r="B794" s="7"/>
      <c r="C794" s="7" t="s">
        <v>1030</v>
      </c>
      <c r="D794" s="7" t="n">
        <v>2750</v>
      </c>
      <c r="E794" s="7" t="s">
        <v>50</v>
      </c>
      <c r="F794" s="10" t="b">
        <f aca="false">FALSE()</f>
        <v>0</v>
      </c>
      <c r="G794" s="7" t="s">
        <v>472</v>
      </c>
      <c r="H794" s="7" t="s">
        <v>260</v>
      </c>
      <c r="I794" s="7" t="n">
        <v>4</v>
      </c>
      <c r="J794" s="7" t="s">
        <v>107</v>
      </c>
      <c r="K794" s="7" t="s">
        <v>108</v>
      </c>
      <c r="L794" s="7" t="n">
        <v>22</v>
      </c>
      <c r="M794" s="10" t="b">
        <f aca="false">FALSE()</f>
        <v>0</v>
      </c>
      <c r="N794" s="7" t="s">
        <v>109</v>
      </c>
      <c r="O794" s="7" t="n">
        <v>-33.757061</v>
      </c>
      <c r="P794" s="7" t="n">
        <v>150.68531</v>
      </c>
    </row>
    <row r="795" customFormat="false" ht="15" hidden="false" customHeight="false" outlineLevel="0" collapsed="false">
      <c r="A795" s="7" t="n">
        <v>794</v>
      </c>
      <c r="B795" s="7"/>
      <c r="C795" s="7" t="s">
        <v>1031</v>
      </c>
      <c r="D795" s="7" t="n">
        <v>2850</v>
      </c>
      <c r="E795" s="7" t="s">
        <v>50</v>
      </c>
      <c r="F795" s="10" t="b">
        <f aca="false">FALSE()</f>
        <v>0</v>
      </c>
      <c r="G795" s="7" t="s">
        <v>199</v>
      </c>
      <c r="H795" s="7" t="s">
        <v>239</v>
      </c>
      <c r="I795" s="7" t="n">
        <v>2</v>
      </c>
      <c r="J795" s="7" t="s">
        <v>107</v>
      </c>
      <c r="K795" s="7" t="s">
        <v>108</v>
      </c>
      <c r="L795" s="7" t="n">
        <v>22</v>
      </c>
      <c r="M795" s="10" t="b">
        <f aca="false">FALSE()</f>
        <v>0</v>
      </c>
      <c r="N795" s="7" t="s">
        <v>109</v>
      </c>
      <c r="O795" s="7" t="n">
        <v>-32.59012</v>
      </c>
      <c r="P795" s="7" t="n">
        <v>149.585226</v>
      </c>
    </row>
    <row r="796" customFormat="false" ht="15" hidden="false" customHeight="false" outlineLevel="0" collapsed="false">
      <c r="A796" s="7" t="n">
        <v>795</v>
      </c>
      <c r="B796" s="7"/>
      <c r="C796" s="7" t="s">
        <v>1032</v>
      </c>
      <c r="D796" s="7" t="n">
        <v>2630</v>
      </c>
      <c r="E796" s="7" t="s">
        <v>50</v>
      </c>
      <c r="F796" s="10" t="b">
        <f aca="false">FALSE()</f>
        <v>0</v>
      </c>
      <c r="G796" s="7" t="s">
        <v>177</v>
      </c>
      <c r="H796" s="7" t="s">
        <v>239</v>
      </c>
      <c r="I796" s="7" t="n">
        <v>8</v>
      </c>
      <c r="J796" s="7" t="s">
        <v>71</v>
      </c>
      <c r="K796" s="7" t="s">
        <v>234</v>
      </c>
      <c r="L796" s="7" t="n">
        <v>150</v>
      </c>
      <c r="M796" s="10" t="b">
        <f aca="false">FALSE()</f>
        <v>0</v>
      </c>
      <c r="N796" s="7" t="s">
        <v>76</v>
      </c>
      <c r="O796" s="7" t="n">
        <v>-36.235523</v>
      </c>
      <c r="P796" s="7" t="n">
        <v>149.126795</v>
      </c>
    </row>
    <row r="797" customFormat="false" ht="15" hidden="false" customHeight="false" outlineLevel="0" collapsed="false">
      <c r="A797" s="7" t="n">
        <v>796</v>
      </c>
      <c r="B797" s="7"/>
      <c r="C797" s="7" t="s">
        <v>1033</v>
      </c>
      <c r="D797" s="7" t="n">
        <v>2205</v>
      </c>
      <c r="E797" s="7" t="s">
        <v>50</v>
      </c>
      <c r="F797" s="10" t="b">
        <f aca="false">FALSE()</f>
        <v>0</v>
      </c>
      <c r="G797" s="7" t="s">
        <v>380</v>
      </c>
      <c r="H797" s="7" t="s">
        <v>260</v>
      </c>
      <c r="I797" s="7" t="n">
        <v>1</v>
      </c>
      <c r="J797" s="7" t="s">
        <v>107</v>
      </c>
      <c r="K797" s="7" t="s">
        <v>108</v>
      </c>
      <c r="L797" s="7" t="n">
        <v>22</v>
      </c>
      <c r="M797" s="10" t="b">
        <f aca="false">FALSE()</f>
        <v>0</v>
      </c>
      <c r="N797" s="7" t="s">
        <v>109</v>
      </c>
      <c r="O797" s="7" t="n">
        <v>-33.930588</v>
      </c>
      <c r="P797" s="7" t="n">
        <v>151.153705</v>
      </c>
    </row>
    <row r="798" customFormat="false" ht="15" hidden="false" customHeight="false" outlineLevel="0" collapsed="false">
      <c r="A798" s="7" t="n">
        <v>797</v>
      </c>
      <c r="B798" s="7"/>
      <c r="C798" s="7" t="s">
        <v>1034</v>
      </c>
      <c r="D798" s="7" t="n">
        <v>2582</v>
      </c>
      <c r="E798" s="7" t="s">
        <v>50</v>
      </c>
      <c r="F798" s="10" t="b">
        <f aca="false">FALSE()</f>
        <v>0</v>
      </c>
      <c r="G798" s="7" t="s">
        <v>153</v>
      </c>
      <c r="H798" s="7" t="s">
        <v>239</v>
      </c>
      <c r="I798" s="7" t="n">
        <v>3</v>
      </c>
      <c r="J798" s="7" t="s">
        <v>107</v>
      </c>
      <c r="K798" s="7" t="s">
        <v>108</v>
      </c>
      <c r="L798" s="7" t="n">
        <v>22</v>
      </c>
      <c r="M798" s="10" t="b">
        <f aca="false">FALSE()</f>
        <v>0</v>
      </c>
      <c r="N798" s="7" t="s">
        <v>109</v>
      </c>
      <c r="O798" s="7" t="n">
        <v>-34.841832</v>
      </c>
      <c r="P798" s="7" t="n">
        <v>148.912576</v>
      </c>
    </row>
    <row r="799" customFormat="false" ht="15" hidden="false" customHeight="false" outlineLevel="0" collapsed="false">
      <c r="A799" s="7" t="n">
        <v>798</v>
      </c>
      <c r="B799" s="7"/>
      <c r="C799" s="7" t="s">
        <v>1035</v>
      </c>
      <c r="D799" s="7" t="n">
        <v>2204</v>
      </c>
      <c r="E799" s="7" t="s">
        <v>50</v>
      </c>
      <c r="F799" s="10" t="b">
        <f aca="false">FALSE()</f>
        <v>0</v>
      </c>
      <c r="G799" s="7" t="s">
        <v>410</v>
      </c>
      <c r="H799" s="7" t="s">
        <v>260</v>
      </c>
      <c r="I799" s="7" t="n">
        <v>2</v>
      </c>
      <c r="J799" s="7" t="s">
        <v>107</v>
      </c>
      <c r="K799" s="7" t="s">
        <v>108</v>
      </c>
      <c r="L799" s="7" t="n">
        <v>22</v>
      </c>
      <c r="M799" s="10" t="b">
        <f aca="false">FALSE()</f>
        <v>0</v>
      </c>
      <c r="N799" s="7" t="s">
        <v>109</v>
      </c>
      <c r="O799" s="7" t="n">
        <v>-33.90574</v>
      </c>
      <c r="P799" s="7" t="n">
        <v>151.168381</v>
      </c>
    </row>
    <row r="800" customFormat="false" ht="15" hidden="false" customHeight="false" outlineLevel="0" collapsed="false">
      <c r="A800" s="7" t="n">
        <v>799</v>
      </c>
      <c r="B800" s="7"/>
      <c r="C800" s="7" t="s">
        <v>1036</v>
      </c>
      <c r="D800" s="7" t="n">
        <v>2299</v>
      </c>
      <c r="E800" s="7" t="s">
        <v>50</v>
      </c>
      <c r="F800" s="10" t="b">
        <f aca="false">FALSE()</f>
        <v>0</v>
      </c>
      <c r="G800" s="7" t="s">
        <v>141</v>
      </c>
      <c r="H800" s="7" t="s">
        <v>237</v>
      </c>
      <c r="I800" s="7" t="n">
        <v>2</v>
      </c>
      <c r="J800" s="7" t="s">
        <v>107</v>
      </c>
      <c r="K800" s="7" t="s">
        <v>108</v>
      </c>
      <c r="L800" s="7" t="n">
        <v>22</v>
      </c>
      <c r="M800" s="10" t="b">
        <f aca="false">FALSE()</f>
        <v>0</v>
      </c>
      <c r="N800" s="7" t="s">
        <v>109</v>
      </c>
      <c r="O800" s="7" t="n">
        <v>-32.91108</v>
      </c>
      <c r="P800" s="7" t="n">
        <v>151.708605</v>
      </c>
    </row>
    <row r="801" customFormat="false" ht="15" hidden="false" customHeight="false" outlineLevel="0" collapsed="false">
      <c r="A801" s="7" t="n">
        <v>800</v>
      </c>
      <c r="B801" s="7"/>
      <c r="C801" s="7" t="s">
        <v>1037</v>
      </c>
      <c r="D801" s="7" t="n">
        <v>2539</v>
      </c>
      <c r="E801" s="7" t="s">
        <v>50</v>
      </c>
      <c r="F801" s="10" t="b">
        <f aca="false">FALSE()</f>
        <v>0</v>
      </c>
      <c r="G801" s="7" t="s">
        <v>92</v>
      </c>
      <c r="H801" s="7" t="s">
        <v>239</v>
      </c>
      <c r="I801" s="7" t="n">
        <v>1</v>
      </c>
      <c r="J801" s="7" t="s">
        <v>107</v>
      </c>
      <c r="K801" s="7" t="s">
        <v>108</v>
      </c>
      <c r="L801" s="7" t="n">
        <v>22</v>
      </c>
      <c r="M801" s="10" t="b">
        <f aca="false">FALSE()</f>
        <v>0</v>
      </c>
      <c r="N801" s="7" t="s">
        <v>109</v>
      </c>
      <c r="O801" s="7" t="n">
        <v>-35.325056</v>
      </c>
      <c r="P801" s="7" t="n">
        <v>150.476378</v>
      </c>
    </row>
    <row r="802" customFormat="false" ht="15" hidden="false" customHeight="false" outlineLevel="0" collapsed="false">
      <c r="A802" s="7" t="n">
        <v>801</v>
      </c>
      <c r="B802" s="7"/>
      <c r="C802" s="7" t="s">
        <v>1038</v>
      </c>
      <c r="D802" s="7" t="n">
        <v>2100</v>
      </c>
      <c r="E802" s="7" t="s">
        <v>50</v>
      </c>
      <c r="F802" s="10" t="b">
        <f aca="false">FALSE()</f>
        <v>0</v>
      </c>
      <c r="G802" s="7" t="s">
        <v>286</v>
      </c>
      <c r="H802" s="7" t="s">
        <v>287</v>
      </c>
      <c r="I802" s="7" t="n">
        <v>2</v>
      </c>
      <c r="J802" s="7" t="s">
        <v>71</v>
      </c>
      <c r="K802" s="7" t="s">
        <v>288</v>
      </c>
      <c r="L802" s="7" t="n">
        <v>25</v>
      </c>
      <c r="M802" s="10" t="b">
        <f aca="false">FALSE()</f>
        <v>0</v>
      </c>
      <c r="N802" s="7" t="s">
        <v>76</v>
      </c>
      <c r="O802" s="7" t="n">
        <v>-33.762075</v>
      </c>
      <c r="P802" s="7" t="n">
        <v>151.272446</v>
      </c>
    </row>
    <row r="803" customFormat="false" ht="15" hidden="false" customHeight="false" outlineLevel="0" collapsed="false">
      <c r="A803" s="7" t="n">
        <v>802</v>
      </c>
      <c r="B803" s="7"/>
      <c r="C803" s="7" t="s">
        <v>1039</v>
      </c>
      <c r="D803" s="7" t="n">
        <v>2035</v>
      </c>
      <c r="E803" s="7" t="s">
        <v>50</v>
      </c>
      <c r="F803" s="10" t="b">
        <f aca="false">FALSE()</f>
        <v>0</v>
      </c>
      <c r="G803" s="7" t="s">
        <v>355</v>
      </c>
      <c r="H803" s="7" t="s">
        <v>244</v>
      </c>
      <c r="I803" s="7" t="n">
        <v>2</v>
      </c>
      <c r="J803" s="7" t="s">
        <v>71</v>
      </c>
      <c r="K803" s="7" t="s">
        <v>83</v>
      </c>
      <c r="L803" s="7" t="n">
        <v>75</v>
      </c>
      <c r="M803" s="10" t="b">
        <f aca="false">FALSE()</f>
        <v>0</v>
      </c>
      <c r="N803" s="7" t="s">
        <v>76</v>
      </c>
      <c r="O803" s="7" t="n">
        <v>-33.943148</v>
      </c>
      <c r="P803" s="7" t="n">
        <v>151.239647</v>
      </c>
    </row>
    <row r="804" customFormat="false" ht="15" hidden="false" customHeight="false" outlineLevel="0" collapsed="false">
      <c r="A804" s="7" t="n">
        <v>803</v>
      </c>
      <c r="B804" s="7"/>
      <c r="C804" s="7" t="s">
        <v>1040</v>
      </c>
      <c r="D804" s="7" t="n">
        <v>2765</v>
      </c>
      <c r="E804" s="7" t="s">
        <v>50</v>
      </c>
      <c r="F804" s="10" t="b">
        <f aca="false">FALSE()</f>
        <v>0</v>
      </c>
      <c r="G804" s="7" t="s">
        <v>232</v>
      </c>
      <c r="H804" s="7" t="s">
        <v>330</v>
      </c>
      <c r="I804" s="7" t="n">
        <v>2</v>
      </c>
      <c r="J804" s="7" t="s">
        <v>71</v>
      </c>
      <c r="K804" s="7" t="s">
        <v>213</v>
      </c>
      <c r="L804" s="7" t="n">
        <v>125</v>
      </c>
      <c r="M804" s="10" t="b">
        <f aca="false">FALSE()</f>
        <v>0</v>
      </c>
      <c r="N804" s="7" t="s">
        <v>268</v>
      </c>
      <c r="O804" s="7" t="n">
        <v>-33.716109</v>
      </c>
      <c r="P804" s="7" t="n">
        <v>150.845309</v>
      </c>
    </row>
    <row r="805" customFormat="false" ht="15" hidden="false" customHeight="false" outlineLevel="0" collapsed="false">
      <c r="A805" s="7" t="n">
        <v>804</v>
      </c>
      <c r="B805" s="7"/>
      <c r="C805" s="7" t="s">
        <v>1041</v>
      </c>
      <c r="D805" s="7" t="n">
        <v>2190</v>
      </c>
      <c r="E805" s="7" t="s">
        <v>50</v>
      </c>
      <c r="F805" s="10" t="b">
        <f aca="false">FALSE()</f>
        <v>0</v>
      </c>
      <c r="G805" s="7" t="s">
        <v>670</v>
      </c>
      <c r="H805" s="7" t="s">
        <v>330</v>
      </c>
      <c r="I805" s="7" t="n">
        <v>2</v>
      </c>
      <c r="J805" s="7" t="s">
        <v>71</v>
      </c>
      <c r="K805" s="7" t="s">
        <v>213</v>
      </c>
      <c r="L805" s="7" t="n">
        <v>125</v>
      </c>
      <c r="M805" s="10" t="b">
        <f aca="false">FALSE()</f>
        <v>0</v>
      </c>
      <c r="N805" s="7" t="s">
        <v>268</v>
      </c>
      <c r="O805" s="7" t="n">
        <v>-33.904723</v>
      </c>
      <c r="P805" s="7" t="n">
        <v>151.064588</v>
      </c>
    </row>
    <row r="806" customFormat="false" ht="15" hidden="false" customHeight="false" outlineLevel="0" collapsed="false">
      <c r="A806" s="7" t="n">
        <v>805</v>
      </c>
      <c r="B806" s="7"/>
      <c r="C806" s="7" t="s">
        <v>1042</v>
      </c>
      <c r="D806" s="7" t="n">
        <v>2008</v>
      </c>
      <c r="E806" s="7" t="s">
        <v>50</v>
      </c>
      <c r="F806" s="10" t="b">
        <f aca="false">FALSE()</f>
        <v>0</v>
      </c>
      <c r="G806" s="7" t="s">
        <v>182</v>
      </c>
      <c r="H806" s="7" t="s">
        <v>239</v>
      </c>
      <c r="I806" s="7" t="n">
        <v>3</v>
      </c>
      <c r="J806" s="7" t="s">
        <v>107</v>
      </c>
      <c r="K806" s="7" t="s">
        <v>1043</v>
      </c>
      <c r="L806" s="7" t="n">
        <v>9</v>
      </c>
      <c r="M806" s="10" t="b">
        <f aca="false">FALSE()</f>
        <v>0</v>
      </c>
      <c r="N806" s="7" t="s">
        <v>109</v>
      </c>
      <c r="O806" s="7" t="n">
        <v>-33.88483</v>
      </c>
      <c r="P806" s="7" t="n">
        <v>151.198623</v>
      </c>
    </row>
    <row r="807" customFormat="false" ht="15" hidden="false" customHeight="false" outlineLevel="0" collapsed="false">
      <c r="A807" s="7" t="n">
        <v>806</v>
      </c>
      <c r="B807" s="7"/>
      <c r="C807" s="7" t="s">
        <v>1044</v>
      </c>
      <c r="D807" s="7" t="n">
        <v>2065</v>
      </c>
      <c r="E807" s="7" t="s">
        <v>50</v>
      </c>
      <c r="F807" s="10" t="b">
        <f aca="false">FALSE()</f>
        <v>0</v>
      </c>
      <c r="G807" s="7" t="s">
        <v>332</v>
      </c>
      <c r="H807" s="7" t="s">
        <v>244</v>
      </c>
      <c r="I807" s="7" t="n">
        <v>4</v>
      </c>
      <c r="J807" s="7" t="s">
        <v>71</v>
      </c>
      <c r="K807" s="7" t="s">
        <v>72</v>
      </c>
      <c r="L807" s="7" t="n">
        <v>50</v>
      </c>
      <c r="M807" s="10" t="b">
        <f aca="false">FALSE()</f>
        <v>0</v>
      </c>
      <c r="N807" s="7" t="s">
        <v>268</v>
      </c>
      <c r="O807" s="7" t="n">
        <v>-33.823788</v>
      </c>
      <c r="P807" s="7" t="n">
        <v>151.195194</v>
      </c>
    </row>
    <row r="808" customFormat="false" ht="15" hidden="false" customHeight="false" outlineLevel="0" collapsed="false">
      <c r="A808" s="7" t="n">
        <v>807</v>
      </c>
      <c r="B808" s="7"/>
      <c r="C808" s="7" t="s">
        <v>1045</v>
      </c>
      <c r="D808" s="7" t="n">
        <v>2736</v>
      </c>
      <c r="E808" s="7" t="s">
        <v>50</v>
      </c>
      <c r="F808" s="10" t="b">
        <f aca="false">FALSE()</f>
        <v>0</v>
      </c>
      <c r="G808" s="7" t="s">
        <v>914</v>
      </c>
      <c r="H808" s="7" t="s">
        <v>529</v>
      </c>
      <c r="I808" s="7" t="n">
        <v>2</v>
      </c>
      <c r="J808" s="7" t="s">
        <v>107</v>
      </c>
      <c r="K808" s="7" t="s">
        <v>108</v>
      </c>
      <c r="L808" s="7" t="n">
        <v>22</v>
      </c>
      <c r="M808" s="10" t="b">
        <f aca="false">FALSE()</f>
        <v>0</v>
      </c>
      <c r="N808" s="7" t="s">
        <v>109</v>
      </c>
      <c r="O808" s="7" t="n">
        <v>-35.022611</v>
      </c>
      <c r="P808" s="7" t="n">
        <v>143.33721</v>
      </c>
    </row>
    <row r="809" customFormat="false" ht="15" hidden="false" customHeight="false" outlineLevel="0" collapsed="false">
      <c r="A809" s="7" t="n">
        <v>808</v>
      </c>
      <c r="B809" s="7"/>
      <c r="C809" s="7" t="s">
        <v>1046</v>
      </c>
      <c r="D809" s="7" t="n">
        <v>2747</v>
      </c>
      <c r="E809" s="7" t="s">
        <v>50</v>
      </c>
      <c r="F809" s="10" t="b">
        <f aca="false">FALSE()</f>
        <v>0</v>
      </c>
      <c r="G809" s="7" t="s">
        <v>472</v>
      </c>
      <c r="H809" s="7" t="s">
        <v>260</v>
      </c>
      <c r="I809" s="7" t="n">
        <v>2</v>
      </c>
      <c r="J809" s="7" t="s">
        <v>107</v>
      </c>
      <c r="K809" s="7" t="s">
        <v>108</v>
      </c>
      <c r="L809" s="7" t="n">
        <v>22</v>
      </c>
      <c r="M809" s="10" t="b">
        <f aca="false">FALSE()</f>
        <v>0</v>
      </c>
      <c r="N809" s="7" t="s">
        <v>109</v>
      </c>
      <c r="O809" s="7" t="n">
        <v>-33.757965</v>
      </c>
      <c r="P809" s="7" t="n">
        <v>150.712545</v>
      </c>
    </row>
    <row r="810" customFormat="false" ht="15" hidden="false" customHeight="false" outlineLevel="0" collapsed="false">
      <c r="A810" s="7" t="n">
        <v>809</v>
      </c>
      <c r="B810" s="7"/>
      <c r="C810" s="7" t="s">
        <v>1047</v>
      </c>
      <c r="D810" s="7" t="n">
        <v>2099</v>
      </c>
      <c r="E810" s="7" t="s">
        <v>50</v>
      </c>
      <c r="F810" s="10" t="b">
        <f aca="false">FALSE()</f>
        <v>0</v>
      </c>
      <c r="G810" s="7" t="s">
        <v>286</v>
      </c>
      <c r="H810" s="7" t="s">
        <v>239</v>
      </c>
      <c r="I810" s="7" t="n">
        <v>4</v>
      </c>
      <c r="J810" s="7" t="s">
        <v>71</v>
      </c>
      <c r="K810" s="7" t="s">
        <v>250</v>
      </c>
      <c r="L810" s="7" t="n">
        <v>250</v>
      </c>
      <c r="M810" s="10" t="b">
        <f aca="false">FALSE()</f>
        <v>0</v>
      </c>
      <c r="N810" s="7" t="s">
        <v>76</v>
      </c>
      <c r="O810" s="7" t="n">
        <v>-33.75321</v>
      </c>
      <c r="P810" s="7" t="n">
        <v>151.28736</v>
      </c>
    </row>
    <row r="811" customFormat="false" ht="15" hidden="false" customHeight="false" outlineLevel="0" collapsed="false">
      <c r="A811" s="7" t="n">
        <v>810</v>
      </c>
      <c r="B811" s="7"/>
      <c r="C811" s="7" t="s">
        <v>1048</v>
      </c>
      <c r="D811" s="7" t="n">
        <v>2032</v>
      </c>
      <c r="E811" s="7" t="s">
        <v>50</v>
      </c>
      <c r="F811" s="10" t="b">
        <f aca="false">FALSE()</f>
        <v>0</v>
      </c>
      <c r="G811" s="7" t="s">
        <v>355</v>
      </c>
      <c r="H811" s="7" t="s">
        <v>244</v>
      </c>
      <c r="I811" s="7" t="n">
        <v>2</v>
      </c>
      <c r="J811" s="7" t="s">
        <v>71</v>
      </c>
      <c r="K811" s="7" t="s">
        <v>72</v>
      </c>
      <c r="L811" s="7" t="n">
        <v>50</v>
      </c>
      <c r="M811" s="10" t="b">
        <f aca="false">FALSE()</f>
        <v>0</v>
      </c>
      <c r="N811" s="7" t="s">
        <v>76</v>
      </c>
      <c r="O811" s="7" t="n">
        <v>-33.924072</v>
      </c>
      <c r="P811" s="7" t="n">
        <v>151.226695</v>
      </c>
    </row>
    <row r="812" customFormat="false" ht="15" hidden="false" customHeight="false" outlineLevel="0" collapsed="false">
      <c r="A812" s="7" t="n">
        <v>811</v>
      </c>
      <c r="B812" s="7"/>
      <c r="C812" s="7" t="s">
        <v>1049</v>
      </c>
      <c r="D812" s="7" t="n">
        <v>2565</v>
      </c>
      <c r="E812" s="7" t="s">
        <v>50</v>
      </c>
      <c r="F812" s="10" t="b">
        <f aca="false">FALSE()</f>
        <v>0</v>
      </c>
      <c r="G812" s="7" t="s">
        <v>312</v>
      </c>
      <c r="H812" s="7" t="s">
        <v>233</v>
      </c>
      <c r="I812" s="7" t="n">
        <v>4</v>
      </c>
      <c r="J812" s="7" t="s">
        <v>71</v>
      </c>
      <c r="K812" s="7" t="s">
        <v>234</v>
      </c>
      <c r="L812" s="7" t="n">
        <v>150</v>
      </c>
      <c r="M812" s="10" t="b">
        <f aca="false">FALSE()</f>
        <v>0</v>
      </c>
      <c r="N812" s="7" t="s">
        <v>76</v>
      </c>
      <c r="O812" s="7" t="n">
        <v>-33.988515</v>
      </c>
      <c r="P812" s="7" t="n">
        <v>150.859369</v>
      </c>
    </row>
    <row r="813" customFormat="false" ht="15" hidden="false" customHeight="false" outlineLevel="0" collapsed="false">
      <c r="A813" s="7" t="n">
        <v>812</v>
      </c>
      <c r="B813" s="7"/>
      <c r="C813" s="7" t="s">
        <v>1050</v>
      </c>
      <c r="D813" s="7" t="n">
        <v>2000</v>
      </c>
      <c r="E813" s="7" t="s">
        <v>50</v>
      </c>
      <c r="F813" s="10" t="b">
        <f aca="false">FALSE()</f>
        <v>0</v>
      </c>
      <c r="G813" s="7" t="s">
        <v>182</v>
      </c>
      <c r="H813" s="7" t="s">
        <v>239</v>
      </c>
      <c r="I813" s="7" t="n">
        <v>3</v>
      </c>
      <c r="J813" s="7" t="s">
        <v>107</v>
      </c>
      <c r="K813" s="7" t="s">
        <v>108</v>
      </c>
      <c r="L813" s="7" t="n">
        <v>22</v>
      </c>
      <c r="M813" s="10" t="b">
        <f aca="false">FALSE()</f>
        <v>0</v>
      </c>
      <c r="N813" s="7" t="s">
        <v>109</v>
      </c>
      <c r="O813" s="7" t="n">
        <v>-33.860501</v>
      </c>
      <c r="P813" s="7" t="n">
        <v>151.203601</v>
      </c>
    </row>
    <row r="814" customFormat="false" ht="15" hidden="false" customHeight="false" outlineLevel="0" collapsed="false">
      <c r="A814" s="7" t="n">
        <v>813</v>
      </c>
      <c r="B814" s="7"/>
      <c r="C814" s="7" t="s">
        <v>1051</v>
      </c>
      <c r="D814" s="7" t="n">
        <v>2017</v>
      </c>
      <c r="E814" s="7" t="s">
        <v>50</v>
      </c>
      <c r="F814" s="10" t="b">
        <f aca="false">FALSE()</f>
        <v>0</v>
      </c>
      <c r="G814" s="7" t="s">
        <v>182</v>
      </c>
      <c r="H814" s="7" t="s">
        <v>237</v>
      </c>
      <c r="I814" s="7" t="n">
        <v>3</v>
      </c>
      <c r="J814" s="7" t="s">
        <v>71</v>
      </c>
      <c r="K814" s="7" t="s">
        <v>1052</v>
      </c>
      <c r="L814" s="7" t="n">
        <v>165</v>
      </c>
      <c r="M814" s="10" t="b">
        <f aca="false">FALSE()</f>
        <v>0</v>
      </c>
      <c r="N814" s="7" t="s">
        <v>76</v>
      </c>
      <c r="O814" s="7" t="n">
        <v>-33.907015</v>
      </c>
      <c r="P814" s="7" t="n">
        <v>151.213019</v>
      </c>
    </row>
    <row r="815" customFormat="false" ht="15" hidden="false" customHeight="false" outlineLevel="0" collapsed="false">
      <c r="A815" s="7" t="n">
        <v>814</v>
      </c>
      <c r="B815" s="7"/>
      <c r="C815" s="7" t="s">
        <v>1053</v>
      </c>
      <c r="D815" s="7" t="n">
        <v>2095</v>
      </c>
      <c r="E815" s="7" t="s">
        <v>50</v>
      </c>
      <c r="F815" s="10" t="b">
        <f aca="false">FALSE()</f>
        <v>0</v>
      </c>
      <c r="G815" s="7" t="s">
        <v>286</v>
      </c>
      <c r="H815" s="7" t="s">
        <v>260</v>
      </c>
      <c r="I815" s="7" t="n">
        <v>2</v>
      </c>
      <c r="J815" s="7" t="s">
        <v>107</v>
      </c>
      <c r="K815" s="7" t="s">
        <v>108</v>
      </c>
      <c r="L815" s="7" t="n">
        <v>22</v>
      </c>
      <c r="M815" s="10" t="b">
        <f aca="false">FALSE()</f>
        <v>0</v>
      </c>
      <c r="N815" s="7" t="s">
        <v>109</v>
      </c>
      <c r="O815" s="7" t="n">
        <v>-33.799878</v>
      </c>
      <c r="P815" s="7" t="n">
        <v>151.289443</v>
      </c>
    </row>
    <row r="816" customFormat="false" ht="15" hidden="false" customHeight="false" outlineLevel="0" collapsed="false">
      <c r="A816" s="7" t="n">
        <v>815</v>
      </c>
      <c r="B816" s="7"/>
      <c r="C816" s="7" t="s">
        <v>1054</v>
      </c>
      <c r="D816" s="7" t="n">
        <v>2097</v>
      </c>
      <c r="E816" s="7" t="s">
        <v>50</v>
      </c>
      <c r="F816" s="10" t="b">
        <f aca="false">FALSE()</f>
        <v>0</v>
      </c>
      <c r="G816" s="7" t="s">
        <v>286</v>
      </c>
      <c r="H816" s="7" t="s">
        <v>260</v>
      </c>
      <c r="I816" s="7" t="n">
        <v>1</v>
      </c>
      <c r="J816" s="7" t="s">
        <v>107</v>
      </c>
      <c r="K816" s="7" t="s">
        <v>108</v>
      </c>
      <c r="L816" s="7" t="n">
        <v>22</v>
      </c>
      <c r="M816" s="10" t="b">
        <f aca="false">FALSE()</f>
        <v>0</v>
      </c>
      <c r="N816" s="7" t="s">
        <v>109</v>
      </c>
      <c r="O816" s="7" t="n">
        <v>-33.738608</v>
      </c>
      <c r="P816" s="7" t="n">
        <v>151.304117</v>
      </c>
    </row>
    <row r="817" customFormat="false" ht="15" hidden="false" customHeight="false" outlineLevel="0" collapsed="false">
      <c r="A817" s="7" t="n">
        <v>816</v>
      </c>
      <c r="B817" s="7"/>
      <c r="C817" s="7" t="s">
        <v>1055</v>
      </c>
      <c r="D817" s="7" t="n">
        <v>2026</v>
      </c>
      <c r="E817" s="7" t="s">
        <v>50</v>
      </c>
      <c r="F817" s="10" t="b">
        <f aca="false">FALSE()</f>
        <v>0</v>
      </c>
      <c r="G817" s="7" t="s">
        <v>295</v>
      </c>
      <c r="H817" s="7" t="s">
        <v>237</v>
      </c>
      <c r="I817" s="7" t="n">
        <v>2</v>
      </c>
      <c r="J817" s="7" t="s">
        <v>107</v>
      </c>
      <c r="K817" s="7" t="s">
        <v>108</v>
      </c>
      <c r="L817" s="7" t="n">
        <v>22</v>
      </c>
      <c r="M817" s="10" t="b">
        <f aca="false">FALSE()</f>
        <v>0</v>
      </c>
      <c r="N817" s="7" t="s">
        <v>109</v>
      </c>
      <c r="O817" s="7" t="n">
        <v>-33.88955</v>
      </c>
      <c r="P817" s="7" t="n">
        <v>151.26655</v>
      </c>
    </row>
    <row r="818" customFormat="false" ht="15" hidden="false" customHeight="false" outlineLevel="0" collapsed="false">
      <c r="A818" s="7" t="n">
        <v>817</v>
      </c>
      <c r="B818" s="7"/>
      <c r="C818" s="7" t="s">
        <v>1056</v>
      </c>
      <c r="D818" s="7" t="n">
        <v>2120</v>
      </c>
      <c r="E818" s="7" t="s">
        <v>50</v>
      </c>
      <c r="F818" s="10" t="b">
        <f aca="false">FALSE()</f>
        <v>0</v>
      </c>
      <c r="G818" s="7" t="s">
        <v>340</v>
      </c>
      <c r="H818" s="7" t="s">
        <v>260</v>
      </c>
      <c r="I818" s="7" t="n">
        <v>2</v>
      </c>
      <c r="J818" s="7" t="s">
        <v>107</v>
      </c>
      <c r="K818" s="7" t="s">
        <v>108</v>
      </c>
      <c r="L818" s="7" t="n">
        <v>22</v>
      </c>
      <c r="M818" s="10" t="b">
        <f aca="false">FALSE()</f>
        <v>0</v>
      </c>
      <c r="N818" s="7" t="s">
        <v>109</v>
      </c>
      <c r="O818" s="7" t="n">
        <v>-33.723401</v>
      </c>
      <c r="P818" s="7" t="n">
        <v>151.082421</v>
      </c>
    </row>
    <row r="819" customFormat="false" ht="15" hidden="false" customHeight="false" outlineLevel="0" collapsed="false">
      <c r="A819" s="7" t="n">
        <v>818</v>
      </c>
      <c r="B819" s="7"/>
      <c r="C819" s="7" t="s">
        <v>1057</v>
      </c>
      <c r="D819" s="7" t="n">
        <v>2063</v>
      </c>
      <c r="E819" s="7" t="s">
        <v>50</v>
      </c>
      <c r="F819" s="10" t="b">
        <f aca="false">FALSE()</f>
        <v>0</v>
      </c>
      <c r="G819" s="7" t="s">
        <v>332</v>
      </c>
      <c r="H819" s="7" t="s">
        <v>244</v>
      </c>
      <c r="I819" s="7" t="n">
        <v>4</v>
      </c>
      <c r="J819" s="7" t="s">
        <v>71</v>
      </c>
      <c r="K819" s="7" t="s">
        <v>72</v>
      </c>
      <c r="L819" s="7" t="n">
        <v>50</v>
      </c>
      <c r="M819" s="10" t="b">
        <f aca="false">FALSE()</f>
        <v>0</v>
      </c>
      <c r="N819" s="7" t="s">
        <v>268</v>
      </c>
      <c r="O819" s="7" t="n">
        <v>-33.809326</v>
      </c>
      <c r="P819" s="7" t="n">
        <v>151.208848</v>
      </c>
    </row>
    <row r="820" customFormat="false" ht="15" hidden="false" customHeight="false" outlineLevel="0" collapsed="false">
      <c r="A820" s="7" t="n">
        <v>819</v>
      </c>
      <c r="B820" s="7"/>
      <c r="C820" s="7" t="s">
        <v>1058</v>
      </c>
      <c r="D820" s="7" t="n">
        <v>2500</v>
      </c>
      <c r="E820" s="7" t="s">
        <v>50</v>
      </c>
      <c r="F820" s="10" t="b">
        <f aca="false">FALSE()</f>
        <v>0</v>
      </c>
      <c r="G820" s="7" t="s">
        <v>102</v>
      </c>
      <c r="H820" s="7" t="s">
        <v>330</v>
      </c>
      <c r="I820" s="7" t="n">
        <v>2</v>
      </c>
      <c r="J820" s="7" t="s">
        <v>71</v>
      </c>
      <c r="K820" s="7" t="s">
        <v>213</v>
      </c>
      <c r="L820" s="7" t="n">
        <v>125</v>
      </c>
      <c r="M820" s="10" t="b">
        <f aca="false">FALSE()</f>
        <v>0</v>
      </c>
      <c r="N820" s="7" t="s">
        <v>268</v>
      </c>
      <c r="O820" s="7" t="n">
        <v>-34.41512</v>
      </c>
      <c r="P820" s="7" t="n">
        <v>150.893195</v>
      </c>
    </row>
    <row r="821" customFormat="false" ht="15" hidden="false" customHeight="false" outlineLevel="0" collapsed="false">
      <c r="A821" s="7" t="n">
        <v>820</v>
      </c>
      <c r="B821" s="7"/>
      <c r="C821" s="7" t="s">
        <v>1059</v>
      </c>
      <c r="D821" s="7" t="n">
        <v>2101</v>
      </c>
      <c r="E821" s="7" t="s">
        <v>50</v>
      </c>
      <c r="F821" s="10" t="b">
        <f aca="false">FALSE()</f>
        <v>0</v>
      </c>
      <c r="G821" s="7" t="s">
        <v>286</v>
      </c>
      <c r="H821" s="7" t="s">
        <v>287</v>
      </c>
      <c r="I821" s="7" t="n">
        <v>2</v>
      </c>
      <c r="J821" s="7" t="s">
        <v>71</v>
      </c>
      <c r="K821" s="7" t="s">
        <v>288</v>
      </c>
      <c r="L821" s="7" t="n">
        <v>25</v>
      </c>
      <c r="M821" s="10" t="b">
        <f aca="false">FALSE()</f>
        <v>0</v>
      </c>
      <c r="N821" s="7" t="s">
        <v>76</v>
      </c>
      <c r="O821" s="7" t="n">
        <v>-33.713659</v>
      </c>
      <c r="P821" s="7" t="n">
        <v>151.298291</v>
      </c>
    </row>
    <row r="822" customFormat="false" ht="15" hidden="false" customHeight="false" outlineLevel="0" collapsed="false">
      <c r="A822" s="7" t="n">
        <v>821</v>
      </c>
      <c r="B822" s="7"/>
      <c r="C822" s="7" t="s">
        <v>1060</v>
      </c>
      <c r="D822" s="7" t="n">
        <v>2036</v>
      </c>
      <c r="E822" s="7" t="s">
        <v>50</v>
      </c>
      <c r="F822" s="10" t="b">
        <f aca="false">FALSE()</f>
        <v>0</v>
      </c>
      <c r="G822" s="7" t="s">
        <v>380</v>
      </c>
      <c r="H822" s="7" t="s">
        <v>478</v>
      </c>
      <c r="I822" s="7" t="n">
        <v>6</v>
      </c>
      <c r="J822" s="7" t="s">
        <v>107</v>
      </c>
      <c r="K822" s="7" t="s">
        <v>1023</v>
      </c>
      <c r="L822" s="7" t="n">
        <v>13</v>
      </c>
      <c r="M822" s="10" t="b">
        <f aca="false">FALSE()</f>
        <v>0</v>
      </c>
      <c r="N822" s="7" t="s">
        <v>109</v>
      </c>
      <c r="O822" s="7" t="n">
        <v>-33.943052</v>
      </c>
      <c r="P822" s="7" t="n">
        <v>151.225398</v>
      </c>
    </row>
    <row r="823" customFormat="false" ht="15" hidden="false" customHeight="false" outlineLevel="0" collapsed="false">
      <c r="A823" s="7" t="n">
        <v>822</v>
      </c>
      <c r="B823" s="7"/>
      <c r="C823" s="7" t="s">
        <v>1061</v>
      </c>
      <c r="D823" s="7" t="n">
        <v>2036</v>
      </c>
      <c r="E823" s="7" t="s">
        <v>50</v>
      </c>
      <c r="F823" s="10" t="b">
        <f aca="false">FALSE()</f>
        <v>0</v>
      </c>
      <c r="G823" s="7" t="s">
        <v>380</v>
      </c>
      <c r="H823" s="7" t="s">
        <v>237</v>
      </c>
      <c r="I823" s="7" t="n">
        <v>1</v>
      </c>
      <c r="J823" s="7" t="s">
        <v>107</v>
      </c>
      <c r="K823" s="7" t="s">
        <v>108</v>
      </c>
      <c r="L823" s="7" t="n">
        <v>22</v>
      </c>
      <c r="M823" s="10" t="b">
        <f aca="false">FALSE()</f>
        <v>0</v>
      </c>
      <c r="N823" s="7" t="s">
        <v>109</v>
      </c>
      <c r="O823" s="7" t="n">
        <v>-33.94075</v>
      </c>
      <c r="P823" s="7" t="n">
        <v>151.225882</v>
      </c>
    </row>
    <row r="824" customFormat="false" ht="15" hidden="false" customHeight="false" outlineLevel="0" collapsed="false">
      <c r="A824" s="7" t="n">
        <v>823</v>
      </c>
      <c r="B824" s="7"/>
      <c r="C824" s="7" t="s">
        <v>1062</v>
      </c>
      <c r="D824" s="7" t="n">
        <v>2029</v>
      </c>
      <c r="E824" s="7" t="s">
        <v>50</v>
      </c>
      <c r="F824" s="10" t="b">
        <f aca="false">FALSE()</f>
        <v>0</v>
      </c>
      <c r="G824" s="7" t="s">
        <v>272</v>
      </c>
      <c r="H824" s="7" t="s">
        <v>244</v>
      </c>
      <c r="I824" s="7" t="n">
        <v>4</v>
      </c>
      <c r="J824" s="7" t="s">
        <v>71</v>
      </c>
      <c r="K824" s="7" t="s">
        <v>83</v>
      </c>
      <c r="L824" s="7" t="n">
        <v>75</v>
      </c>
      <c r="M824" s="10" t="b">
        <f aca="false">FALSE()</f>
        <v>0</v>
      </c>
      <c r="N824" s="7" t="s">
        <v>76</v>
      </c>
      <c r="O824" s="7" t="n">
        <v>-33.871361</v>
      </c>
      <c r="P824" s="7" t="n">
        <v>151.264412</v>
      </c>
    </row>
    <row r="825" customFormat="false" ht="15" hidden="false" customHeight="false" outlineLevel="0" collapsed="false">
      <c r="A825" s="7" t="n">
        <v>824</v>
      </c>
      <c r="B825" s="7"/>
      <c r="C825" s="7" t="s">
        <v>1063</v>
      </c>
      <c r="D825" s="7" t="n">
        <v>2257</v>
      </c>
      <c r="E825" s="7" t="s">
        <v>50</v>
      </c>
      <c r="F825" s="10" t="b">
        <f aca="false">FALSE()</f>
        <v>0</v>
      </c>
      <c r="G825" s="7" t="s">
        <v>276</v>
      </c>
      <c r="H825" s="7" t="s">
        <v>237</v>
      </c>
      <c r="I825" s="7" t="n">
        <v>1</v>
      </c>
      <c r="J825" s="7" t="s">
        <v>107</v>
      </c>
      <c r="K825" s="7" t="s">
        <v>108</v>
      </c>
      <c r="L825" s="7" t="n">
        <v>22</v>
      </c>
      <c r="M825" s="10" t="b">
        <f aca="false">FALSE()</f>
        <v>0</v>
      </c>
      <c r="N825" s="7" t="s">
        <v>109</v>
      </c>
      <c r="O825" s="7" t="n">
        <v>-33.529863</v>
      </c>
      <c r="P825" s="7" t="n">
        <v>151.311123</v>
      </c>
    </row>
    <row r="826" customFormat="false" ht="15" hidden="false" customHeight="false" outlineLevel="0" collapsed="false">
      <c r="A826" s="7" t="n">
        <v>825</v>
      </c>
      <c r="B826" s="7"/>
      <c r="C826" s="7" t="s">
        <v>1064</v>
      </c>
      <c r="D826" s="7" t="n">
        <v>2481</v>
      </c>
      <c r="E826" s="7" t="s">
        <v>50</v>
      </c>
      <c r="F826" s="10" t="b">
        <f aca="false">FALSE()</f>
        <v>0</v>
      </c>
      <c r="G826" s="7" t="s">
        <v>82</v>
      </c>
      <c r="H826" s="7" t="s">
        <v>239</v>
      </c>
      <c r="I826" s="7" t="n">
        <v>1</v>
      </c>
      <c r="J826" s="7" t="s">
        <v>107</v>
      </c>
      <c r="K826" s="7" t="s">
        <v>108</v>
      </c>
      <c r="L826" s="7" t="n">
        <v>22</v>
      </c>
      <c r="M826" s="10" t="b">
        <f aca="false">FALSE()</f>
        <v>0</v>
      </c>
      <c r="N826" s="7" t="s">
        <v>109</v>
      </c>
      <c r="O826" s="7" t="n">
        <v>-28.636834</v>
      </c>
      <c r="P826" s="7" t="n">
        <v>153.580333</v>
      </c>
    </row>
    <row r="827" customFormat="false" ht="15" hidden="false" customHeight="false" outlineLevel="0" collapsed="false">
      <c r="A827" s="7" t="n">
        <v>826</v>
      </c>
      <c r="B827" s="7"/>
      <c r="C827" s="7" t="s">
        <v>1065</v>
      </c>
      <c r="D827" s="7" t="n">
        <v>2022</v>
      </c>
      <c r="E827" s="7" t="s">
        <v>50</v>
      </c>
      <c r="F827" s="10" t="b">
        <f aca="false">FALSE()</f>
        <v>0</v>
      </c>
      <c r="G827" s="7" t="s">
        <v>295</v>
      </c>
      <c r="H827" s="7" t="s">
        <v>244</v>
      </c>
      <c r="I827" s="7" t="n">
        <v>4</v>
      </c>
      <c r="J827" s="7" t="s">
        <v>71</v>
      </c>
      <c r="K827" s="7" t="s">
        <v>83</v>
      </c>
      <c r="L827" s="7" t="n">
        <v>75</v>
      </c>
      <c r="M827" s="10" t="b">
        <f aca="false">FALSE()</f>
        <v>0</v>
      </c>
      <c r="N827" s="7" t="s">
        <v>76</v>
      </c>
      <c r="O827" s="7" t="n">
        <v>-33.892646</v>
      </c>
      <c r="P827" s="7" t="n">
        <v>151.248167</v>
      </c>
    </row>
    <row r="828" customFormat="false" ht="15" hidden="false" customHeight="false" outlineLevel="0" collapsed="false">
      <c r="A828" s="7" t="n">
        <v>827</v>
      </c>
      <c r="B828" s="7"/>
      <c r="C828" s="7" t="s">
        <v>1066</v>
      </c>
      <c r="D828" s="7" t="n">
        <v>2100</v>
      </c>
      <c r="E828" s="7" t="s">
        <v>50</v>
      </c>
      <c r="F828" s="10" t="b">
        <f aca="false">FALSE()</f>
        <v>0</v>
      </c>
      <c r="G828" s="7" t="s">
        <v>286</v>
      </c>
      <c r="H828" s="7" t="s">
        <v>237</v>
      </c>
      <c r="I828" s="7" t="n">
        <v>1</v>
      </c>
      <c r="J828" s="7" t="s">
        <v>107</v>
      </c>
      <c r="K828" s="7" t="s">
        <v>108</v>
      </c>
      <c r="L828" s="7" t="n">
        <v>22</v>
      </c>
      <c r="M828" s="10" t="b">
        <f aca="false">FALSE()</f>
        <v>0</v>
      </c>
      <c r="N828" s="7" t="s">
        <v>109</v>
      </c>
      <c r="O828" s="7" t="n">
        <v>-33.764611</v>
      </c>
      <c r="P828" s="7" t="n">
        <v>151.277334</v>
      </c>
    </row>
    <row r="829" customFormat="false" ht="15" hidden="false" customHeight="false" outlineLevel="0" collapsed="false">
      <c r="A829" s="7" t="n">
        <v>828</v>
      </c>
      <c r="B829" s="7"/>
      <c r="C829" s="7" t="s">
        <v>1067</v>
      </c>
      <c r="D829" s="7" t="n">
        <v>2158</v>
      </c>
      <c r="E829" s="7" t="s">
        <v>50</v>
      </c>
      <c r="F829" s="10" t="b">
        <f aca="false">FALSE()</f>
        <v>0</v>
      </c>
      <c r="G829" s="7" t="s">
        <v>340</v>
      </c>
      <c r="H829" s="7" t="s">
        <v>330</v>
      </c>
      <c r="I829" s="7" t="n">
        <v>2</v>
      </c>
      <c r="J829" s="7" t="s">
        <v>71</v>
      </c>
      <c r="K829" s="7" t="s">
        <v>213</v>
      </c>
      <c r="L829" s="7" t="n">
        <v>125</v>
      </c>
      <c r="M829" s="10" t="b">
        <f aca="false">FALSE()</f>
        <v>0</v>
      </c>
      <c r="N829" s="7" t="s">
        <v>268</v>
      </c>
      <c r="O829" s="7" t="n">
        <v>-33.682887</v>
      </c>
      <c r="P829" s="7" t="n">
        <v>151.028452</v>
      </c>
    </row>
    <row r="830" customFormat="false" ht="15" hidden="false" customHeight="false" outlineLevel="0" collapsed="false">
      <c r="A830" s="7" t="n">
        <v>829</v>
      </c>
      <c r="B830" s="7"/>
      <c r="C830" s="7" t="s">
        <v>1068</v>
      </c>
      <c r="D830" s="7" t="n">
        <v>2032</v>
      </c>
      <c r="E830" s="7" t="s">
        <v>50</v>
      </c>
      <c r="F830" s="10" t="b">
        <f aca="false">FALSE()</f>
        <v>0</v>
      </c>
      <c r="G830" s="7" t="s">
        <v>355</v>
      </c>
      <c r="H830" s="7" t="s">
        <v>1069</v>
      </c>
      <c r="I830" s="7" t="n">
        <v>2</v>
      </c>
      <c r="J830" s="7" t="s">
        <v>71</v>
      </c>
      <c r="K830" s="7" t="s">
        <v>72</v>
      </c>
      <c r="L830" s="7" t="n">
        <v>50</v>
      </c>
      <c r="M830" s="10" t="b">
        <f aca="false">FALSE()</f>
        <v>0</v>
      </c>
      <c r="N830" s="7" t="s">
        <v>557</v>
      </c>
      <c r="O830" s="7" t="n">
        <v>-33.924232</v>
      </c>
      <c r="P830" s="7" t="n">
        <v>151.226679</v>
      </c>
    </row>
    <row r="831" customFormat="false" ht="15" hidden="false" customHeight="false" outlineLevel="0" collapsed="false">
      <c r="A831" s="7" t="n">
        <v>830</v>
      </c>
      <c r="B831" s="7" t="s">
        <v>1070</v>
      </c>
      <c r="C831" s="7" t="s">
        <v>1071</v>
      </c>
      <c r="D831" s="7" t="n">
        <v>2445</v>
      </c>
      <c r="E831" s="7" t="s">
        <v>50</v>
      </c>
      <c r="F831" s="10" t="b">
        <f aca="false">FALSE()</f>
        <v>0</v>
      </c>
      <c r="G831" s="7" t="s">
        <v>135</v>
      </c>
      <c r="H831" s="7" t="s">
        <v>398</v>
      </c>
      <c r="I831" s="7" t="n">
        <v>4</v>
      </c>
      <c r="J831" s="7" t="s">
        <v>107</v>
      </c>
      <c r="K831" s="7" t="s">
        <v>107</v>
      </c>
      <c r="L831" s="7"/>
      <c r="M831" s="10" t="b">
        <f aca="false">FALSE()</f>
        <v>0</v>
      </c>
      <c r="N831" s="7" t="s">
        <v>399</v>
      </c>
      <c r="O831" s="7" t="n">
        <v>-31.591344</v>
      </c>
      <c r="P831" s="7" t="n">
        <v>152.840253</v>
      </c>
    </row>
    <row r="832" customFormat="false" ht="15" hidden="false" customHeight="false" outlineLevel="0" collapsed="false">
      <c r="A832" s="7" t="n">
        <v>831</v>
      </c>
      <c r="B832" s="7"/>
      <c r="C832" s="7" t="s">
        <v>1072</v>
      </c>
      <c r="D832" s="7" t="n">
        <v>2530</v>
      </c>
      <c r="E832" s="7" t="s">
        <v>50</v>
      </c>
      <c r="F832" s="10" t="b">
        <f aca="false">FALSE()</f>
        <v>0</v>
      </c>
      <c r="G832" s="7" t="s">
        <v>102</v>
      </c>
      <c r="H832" s="7" t="s">
        <v>244</v>
      </c>
      <c r="I832" s="7" t="n">
        <v>4</v>
      </c>
      <c r="J832" s="7" t="s">
        <v>71</v>
      </c>
      <c r="K832" s="7" t="s">
        <v>72</v>
      </c>
      <c r="L832" s="7" t="n">
        <v>50</v>
      </c>
      <c r="M832" s="10" t="b">
        <f aca="false">FALSE()</f>
        <v>0</v>
      </c>
      <c r="N832" s="7" t="s">
        <v>268</v>
      </c>
      <c r="O832" s="7" t="n">
        <v>-34.494604</v>
      </c>
      <c r="P832" s="7" t="n">
        <v>150.795725</v>
      </c>
    </row>
    <row r="833" customFormat="false" ht="15" hidden="false" customHeight="false" outlineLevel="0" collapsed="false">
      <c r="A833" s="7" t="n">
        <v>832</v>
      </c>
      <c r="B833" s="7"/>
      <c r="C833" s="7" t="s">
        <v>1073</v>
      </c>
      <c r="D833" s="7" t="n">
        <v>2539</v>
      </c>
      <c r="E833" s="7" t="s">
        <v>50</v>
      </c>
      <c r="F833" s="10" t="b">
        <f aca="false">FALSE()</f>
        <v>0</v>
      </c>
      <c r="G833" s="7" t="s">
        <v>92</v>
      </c>
      <c r="H833" s="7" t="s">
        <v>529</v>
      </c>
      <c r="I833" s="7" t="n">
        <v>2</v>
      </c>
      <c r="J833" s="7" t="s">
        <v>71</v>
      </c>
      <c r="K833" s="7" t="s">
        <v>288</v>
      </c>
      <c r="L833" s="7" t="n">
        <v>25</v>
      </c>
      <c r="M833" s="10" t="b">
        <f aca="false">FALSE()</f>
        <v>0</v>
      </c>
      <c r="N833" s="7" t="s">
        <v>76</v>
      </c>
      <c r="O833" s="7" t="n">
        <v>-35.357651</v>
      </c>
      <c r="P833" s="7" t="n">
        <v>150.47338</v>
      </c>
    </row>
    <row r="834" customFormat="false" ht="15" hidden="false" customHeight="false" outlineLevel="0" collapsed="false">
      <c r="A834" s="7" t="n">
        <v>833</v>
      </c>
      <c r="B834" s="7"/>
      <c r="C834" s="7" t="s">
        <v>1074</v>
      </c>
      <c r="D834" s="7" t="n">
        <v>2157</v>
      </c>
      <c r="E834" s="7" t="s">
        <v>50</v>
      </c>
      <c r="F834" s="10" t="b">
        <f aca="false">FALSE()</f>
        <v>0</v>
      </c>
      <c r="G834" s="7" t="s">
        <v>299</v>
      </c>
      <c r="H834" s="7" t="s">
        <v>244</v>
      </c>
      <c r="I834" s="7" t="n">
        <v>4</v>
      </c>
      <c r="J834" s="7" t="s">
        <v>71</v>
      </c>
      <c r="K834" s="7" t="s">
        <v>83</v>
      </c>
      <c r="L834" s="7" t="n">
        <v>75</v>
      </c>
      <c r="M834" s="10" t="b">
        <f aca="false">FALSE()</f>
        <v>0</v>
      </c>
      <c r="N834" s="7" t="s">
        <v>268</v>
      </c>
      <c r="O834" s="7" t="n">
        <v>-33.601914</v>
      </c>
      <c r="P834" s="7" t="n">
        <v>151.008244</v>
      </c>
    </row>
    <row r="835" customFormat="false" ht="15" hidden="false" customHeight="false" outlineLevel="0" collapsed="false">
      <c r="A835" s="7" t="n">
        <v>834</v>
      </c>
      <c r="B835" s="7"/>
      <c r="C835" s="7" t="s">
        <v>1075</v>
      </c>
      <c r="D835" s="7" t="n">
        <v>2324</v>
      </c>
      <c r="E835" s="7" t="s">
        <v>50</v>
      </c>
      <c r="F835" s="10" t="b">
        <f aca="false">FALSE()</f>
        <v>0</v>
      </c>
      <c r="G835" s="7" t="s">
        <v>128</v>
      </c>
      <c r="H835" s="7" t="s">
        <v>302</v>
      </c>
      <c r="I835" s="7" t="n">
        <v>2</v>
      </c>
      <c r="J835" s="7" t="s">
        <v>107</v>
      </c>
      <c r="K835" s="7" t="s">
        <v>108</v>
      </c>
      <c r="L835" s="7" t="n">
        <v>22</v>
      </c>
      <c r="M835" s="10" t="b">
        <f aca="false">FALSE()</f>
        <v>0</v>
      </c>
      <c r="N835" s="7" t="s">
        <v>109</v>
      </c>
      <c r="O835" s="7" t="n">
        <v>-32.673439</v>
      </c>
      <c r="P835" s="7" t="n">
        <v>152.182623</v>
      </c>
    </row>
    <row r="836" customFormat="false" ht="15" hidden="false" customHeight="false" outlineLevel="0" collapsed="false">
      <c r="A836" s="7" t="n">
        <v>835</v>
      </c>
      <c r="B836" s="7"/>
      <c r="C836" s="7" t="s">
        <v>1076</v>
      </c>
      <c r="D836" s="7" t="n">
        <v>2017</v>
      </c>
      <c r="E836" s="7" t="s">
        <v>50</v>
      </c>
      <c r="F836" s="10" t="b">
        <f aca="false">FALSE()</f>
        <v>0</v>
      </c>
      <c r="G836" s="7" t="s">
        <v>182</v>
      </c>
      <c r="H836" s="7" t="s">
        <v>237</v>
      </c>
      <c r="I836" s="7" t="n">
        <v>3</v>
      </c>
      <c r="J836" s="7" t="s">
        <v>107</v>
      </c>
      <c r="K836" s="7" t="s">
        <v>277</v>
      </c>
      <c r="L836" s="7" t="n">
        <v>6</v>
      </c>
      <c r="M836" s="10" t="b">
        <f aca="false">FALSE()</f>
        <v>0</v>
      </c>
      <c r="N836" s="7" t="s">
        <v>109</v>
      </c>
      <c r="O836" s="7" t="n">
        <v>-33.910019</v>
      </c>
      <c r="P836" s="7" t="n">
        <v>151.208021</v>
      </c>
    </row>
    <row r="837" customFormat="false" ht="15" hidden="false" customHeight="false" outlineLevel="0" collapsed="false">
      <c r="A837" s="7" t="n">
        <v>836</v>
      </c>
      <c r="B837" s="7"/>
      <c r="C837" s="7" t="s">
        <v>1077</v>
      </c>
      <c r="D837" s="7" t="n">
        <v>2500</v>
      </c>
      <c r="E837" s="7" t="s">
        <v>50</v>
      </c>
      <c r="F837" s="10" t="b">
        <f aca="false">FALSE()</f>
        <v>0</v>
      </c>
      <c r="G837" s="7" t="s">
        <v>102</v>
      </c>
      <c r="H837" s="7" t="s">
        <v>260</v>
      </c>
      <c r="I837" s="7" t="n">
        <v>4</v>
      </c>
      <c r="J837" s="7" t="s">
        <v>107</v>
      </c>
      <c r="K837" s="7" t="s">
        <v>277</v>
      </c>
      <c r="L837" s="7" t="n">
        <v>6</v>
      </c>
      <c r="M837" s="10" t="b">
        <f aca="false">FALSE()</f>
        <v>0</v>
      </c>
      <c r="N837" s="7" t="s">
        <v>109</v>
      </c>
      <c r="O837" s="7" t="n">
        <v>-34.420939</v>
      </c>
      <c r="P837" s="7" t="n">
        <v>150.892636</v>
      </c>
    </row>
    <row r="838" customFormat="false" ht="15" hidden="false" customHeight="false" outlineLevel="0" collapsed="false">
      <c r="A838" s="7" t="n">
        <v>837</v>
      </c>
      <c r="B838" s="7"/>
      <c r="C838" s="7" t="s">
        <v>1078</v>
      </c>
      <c r="D838" s="7" t="n">
        <v>2200</v>
      </c>
      <c r="E838" s="7" t="s">
        <v>50</v>
      </c>
      <c r="F838" s="10" t="b">
        <f aca="false">FALSE()</f>
        <v>0</v>
      </c>
      <c r="G838" s="7" t="s">
        <v>345</v>
      </c>
      <c r="H838" s="7" t="s">
        <v>244</v>
      </c>
      <c r="I838" s="7" t="n">
        <v>4</v>
      </c>
      <c r="J838" s="7" t="s">
        <v>71</v>
      </c>
      <c r="K838" s="7" t="s">
        <v>72</v>
      </c>
      <c r="L838" s="7" t="n">
        <v>50</v>
      </c>
      <c r="M838" s="10" t="b">
        <f aca="false">FALSE()</f>
        <v>0</v>
      </c>
      <c r="N838" s="7" t="s">
        <v>268</v>
      </c>
      <c r="O838" s="7" t="n">
        <v>-33.931975</v>
      </c>
      <c r="P838" s="7" t="n">
        <v>151.030127</v>
      </c>
    </row>
    <row r="839" customFormat="false" ht="15" hidden="false" customHeight="false" outlineLevel="0" collapsed="false">
      <c r="A839" s="7" t="n">
        <v>838</v>
      </c>
      <c r="B839" s="7"/>
      <c r="C839" s="7" t="s">
        <v>1079</v>
      </c>
      <c r="D839" s="7" t="n">
        <v>2022</v>
      </c>
      <c r="E839" s="7" t="s">
        <v>50</v>
      </c>
      <c r="F839" s="10" t="b">
        <f aca="false">FALSE()</f>
        <v>0</v>
      </c>
      <c r="G839" s="7" t="s">
        <v>295</v>
      </c>
      <c r="H839" s="7" t="s">
        <v>237</v>
      </c>
      <c r="I839" s="7" t="n">
        <v>3</v>
      </c>
      <c r="J839" s="7" t="s">
        <v>107</v>
      </c>
      <c r="K839" s="7" t="s">
        <v>277</v>
      </c>
      <c r="L839" s="7" t="n">
        <v>6</v>
      </c>
      <c r="M839" s="10" t="b">
        <f aca="false">FALSE()</f>
        <v>0</v>
      </c>
      <c r="N839" s="7" t="s">
        <v>109</v>
      </c>
      <c r="O839" s="7" t="n">
        <v>-33.890929</v>
      </c>
      <c r="P839" s="7" t="n">
        <v>151.24915</v>
      </c>
    </row>
    <row r="840" customFormat="false" ht="15" hidden="false" customHeight="false" outlineLevel="0" collapsed="false">
      <c r="A840" s="7" t="n">
        <v>839</v>
      </c>
      <c r="B840" s="7"/>
      <c r="C840" s="7" t="s">
        <v>1080</v>
      </c>
      <c r="D840" s="7" t="n">
        <v>2680</v>
      </c>
      <c r="E840" s="7" t="s">
        <v>50</v>
      </c>
      <c r="F840" s="10" t="b">
        <f aca="false">FALSE()</f>
        <v>0</v>
      </c>
      <c r="G840" s="7" t="s">
        <v>270</v>
      </c>
      <c r="H840" s="7" t="s">
        <v>237</v>
      </c>
      <c r="I840" s="7" t="n">
        <v>2</v>
      </c>
      <c r="J840" s="7" t="s">
        <v>71</v>
      </c>
      <c r="K840" s="7" t="s">
        <v>72</v>
      </c>
      <c r="L840" s="7" t="n">
        <v>50</v>
      </c>
      <c r="M840" s="10" t="b">
        <f aca="false">FALSE()</f>
        <v>0</v>
      </c>
      <c r="N840" s="7" t="s">
        <v>76</v>
      </c>
      <c r="O840" s="7" t="n">
        <v>-34.299221</v>
      </c>
      <c r="P840" s="7" t="n">
        <v>146.078225</v>
      </c>
    </row>
    <row r="841" customFormat="false" ht="15" hidden="false" customHeight="false" outlineLevel="0" collapsed="false">
      <c r="A841" s="7" t="n">
        <v>840</v>
      </c>
      <c r="B841" s="7"/>
      <c r="C841" s="7" t="s">
        <v>1081</v>
      </c>
      <c r="D841" s="7" t="n">
        <v>2290</v>
      </c>
      <c r="E841" s="7" t="s">
        <v>50</v>
      </c>
      <c r="F841" s="10" t="b">
        <f aca="false">FALSE()</f>
        <v>0</v>
      </c>
      <c r="G841" s="7" t="s">
        <v>377</v>
      </c>
      <c r="H841" s="7" t="s">
        <v>260</v>
      </c>
      <c r="I841" s="7" t="n">
        <v>1</v>
      </c>
      <c r="J841" s="7" t="s">
        <v>107</v>
      </c>
      <c r="K841" s="7" t="s">
        <v>108</v>
      </c>
      <c r="L841" s="7" t="n">
        <v>22</v>
      </c>
      <c r="M841" s="10" t="b">
        <f aca="false">FALSE()</f>
        <v>0</v>
      </c>
      <c r="N841" s="7" t="s">
        <v>109</v>
      </c>
      <c r="O841" s="7" t="n">
        <v>-32.989537</v>
      </c>
      <c r="P841" s="7" t="n">
        <v>151.718793</v>
      </c>
    </row>
    <row r="842" customFormat="false" ht="15" hidden="false" customHeight="false" outlineLevel="0" collapsed="false">
      <c r="A842" s="7" t="n">
        <v>841</v>
      </c>
      <c r="B842" s="7"/>
      <c r="C842" s="7" t="s">
        <v>1082</v>
      </c>
      <c r="D842" s="7" t="n">
        <v>2481</v>
      </c>
      <c r="E842" s="7" t="s">
        <v>50</v>
      </c>
      <c r="F842" s="10" t="b">
        <f aca="false">FALSE()</f>
        <v>0</v>
      </c>
      <c r="G842" s="7" t="s">
        <v>82</v>
      </c>
      <c r="H842" s="7" t="s">
        <v>237</v>
      </c>
      <c r="I842" s="7" t="n">
        <v>1</v>
      </c>
      <c r="J842" s="7" t="s">
        <v>71</v>
      </c>
      <c r="K842" s="7" t="s">
        <v>479</v>
      </c>
      <c r="L842" s="7" t="n">
        <v>80</v>
      </c>
      <c r="M842" s="10" t="b">
        <f aca="false">FALSE()</f>
        <v>0</v>
      </c>
      <c r="N842" s="7" t="s">
        <v>76</v>
      </c>
      <c r="O842" s="7" t="n">
        <v>-28.637251</v>
      </c>
      <c r="P842" s="7" t="n">
        <v>153.580659</v>
      </c>
    </row>
    <row r="843" customFormat="false" ht="15" hidden="false" customHeight="false" outlineLevel="0" collapsed="false">
      <c r="A843" s="7" t="n">
        <v>842</v>
      </c>
      <c r="B843" s="7"/>
      <c r="C843" s="7" t="s">
        <v>1083</v>
      </c>
      <c r="D843" s="7" t="n">
        <v>2830</v>
      </c>
      <c r="E843" s="7" t="s">
        <v>50</v>
      </c>
      <c r="F843" s="10" t="b">
        <f aca="false">FALSE()</f>
        <v>0</v>
      </c>
      <c r="G843" s="7" t="s">
        <v>227</v>
      </c>
      <c r="H843" s="7" t="s">
        <v>239</v>
      </c>
      <c r="I843" s="7" t="n">
        <v>2</v>
      </c>
      <c r="J843" s="7" t="s">
        <v>107</v>
      </c>
      <c r="K843" s="7" t="s">
        <v>108</v>
      </c>
      <c r="L843" s="7" t="n">
        <v>22</v>
      </c>
      <c r="M843" s="10" t="b">
        <f aca="false">FALSE()</f>
        <v>0</v>
      </c>
      <c r="N843" s="7" t="s">
        <v>109</v>
      </c>
      <c r="O843" s="7" t="n">
        <v>-32.254705</v>
      </c>
      <c r="P843" s="7" t="n">
        <v>148.608649</v>
      </c>
    </row>
    <row r="844" customFormat="false" ht="15" hidden="false" customHeight="false" outlineLevel="0" collapsed="false">
      <c r="A844" s="7" t="n">
        <v>843</v>
      </c>
      <c r="B844" s="7"/>
      <c r="C844" s="7" t="s">
        <v>1084</v>
      </c>
      <c r="D844" s="7" t="n">
        <v>2026</v>
      </c>
      <c r="E844" s="7" t="s">
        <v>50</v>
      </c>
      <c r="F844" s="10" t="b">
        <f aca="false">FALSE()</f>
        <v>0</v>
      </c>
      <c r="G844" s="7" t="s">
        <v>295</v>
      </c>
      <c r="H844" s="7" t="s">
        <v>237</v>
      </c>
      <c r="I844" s="7" t="n">
        <v>1</v>
      </c>
      <c r="J844" s="7" t="s">
        <v>107</v>
      </c>
      <c r="K844" s="7" t="s">
        <v>277</v>
      </c>
      <c r="L844" s="7" t="n">
        <v>6</v>
      </c>
      <c r="M844" s="10" t="b">
        <f aca="false">FALSE()</f>
        <v>0</v>
      </c>
      <c r="N844" s="7" t="s">
        <v>109</v>
      </c>
      <c r="O844" s="7" t="n">
        <v>-33.886127</v>
      </c>
      <c r="P844" s="7" t="n">
        <v>151.273042</v>
      </c>
    </row>
    <row r="845" customFormat="false" ht="15" hidden="false" customHeight="false" outlineLevel="0" collapsed="false">
      <c r="A845" s="7" t="n">
        <v>844</v>
      </c>
      <c r="B845" s="7"/>
      <c r="C845" s="7" t="s">
        <v>1085</v>
      </c>
      <c r="D845" s="7" t="n">
        <v>2320</v>
      </c>
      <c r="E845" s="7" t="s">
        <v>50</v>
      </c>
      <c r="F845" s="10" t="b">
        <f aca="false">FALSE()</f>
        <v>0</v>
      </c>
      <c r="G845" s="7" t="s">
        <v>336</v>
      </c>
      <c r="H845" s="7" t="s">
        <v>260</v>
      </c>
      <c r="I845" s="7" t="n">
        <v>2</v>
      </c>
      <c r="J845" s="7" t="s">
        <v>107</v>
      </c>
      <c r="K845" s="7" t="s">
        <v>108</v>
      </c>
      <c r="L845" s="7" t="n">
        <v>22</v>
      </c>
      <c r="M845" s="10" t="b">
        <f aca="false">FALSE()</f>
        <v>0</v>
      </c>
      <c r="N845" s="7" t="s">
        <v>109</v>
      </c>
      <c r="O845" s="7" t="n">
        <v>-32.734754</v>
      </c>
      <c r="P845" s="7" t="n">
        <v>151.25857</v>
      </c>
    </row>
    <row r="846" customFormat="false" ht="15" hidden="false" customHeight="false" outlineLevel="0" collapsed="false">
      <c r="A846" s="7" t="n">
        <v>845</v>
      </c>
      <c r="B846" s="7"/>
      <c r="C846" s="7" t="s">
        <v>1086</v>
      </c>
      <c r="D846" s="7" t="n">
        <v>2034</v>
      </c>
      <c r="E846" s="7" t="s">
        <v>50</v>
      </c>
      <c r="F846" s="10" t="b">
        <f aca="false">FALSE()</f>
        <v>0</v>
      </c>
      <c r="G846" s="7" t="s">
        <v>355</v>
      </c>
      <c r="H846" s="7" t="s">
        <v>237</v>
      </c>
      <c r="I846" s="7" t="n">
        <v>2</v>
      </c>
      <c r="J846" s="7" t="s">
        <v>71</v>
      </c>
      <c r="K846" s="7" t="s">
        <v>515</v>
      </c>
      <c r="L846" s="7" t="n">
        <v>42</v>
      </c>
      <c r="M846" s="10" t="b">
        <f aca="false">FALSE()</f>
        <v>0</v>
      </c>
      <c r="N846" s="7" t="s">
        <v>76</v>
      </c>
      <c r="O846" s="7" t="n">
        <v>-33.919106</v>
      </c>
      <c r="P846" s="7" t="n">
        <v>151.254784</v>
      </c>
    </row>
    <row r="847" customFormat="false" ht="15" hidden="false" customHeight="false" outlineLevel="0" collapsed="false">
      <c r="A847" s="7" t="n">
        <v>846</v>
      </c>
      <c r="B847" s="7"/>
      <c r="C847" s="7" t="s">
        <v>1087</v>
      </c>
      <c r="D847" s="7" t="n">
        <v>2152</v>
      </c>
      <c r="E847" s="7" t="s">
        <v>50</v>
      </c>
      <c r="F847" s="10" t="b">
        <f aca="false">FALSE()</f>
        <v>0</v>
      </c>
      <c r="G847" s="7" t="s">
        <v>202</v>
      </c>
      <c r="H847" s="7" t="s">
        <v>330</v>
      </c>
      <c r="I847" s="7" t="n">
        <v>2</v>
      </c>
      <c r="J847" s="7" t="s">
        <v>71</v>
      </c>
      <c r="K847" s="7" t="s">
        <v>213</v>
      </c>
      <c r="L847" s="7" t="n">
        <v>125</v>
      </c>
      <c r="M847" s="10" t="b">
        <f aca="false">FALSE()</f>
        <v>0</v>
      </c>
      <c r="N847" s="7" t="s">
        <v>268</v>
      </c>
      <c r="O847" s="7" t="n">
        <v>-33.787874</v>
      </c>
      <c r="P847" s="7" t="n">
        <v>150.994656</v>
      </c>
    </row>
    <row r="848" customFormat="false" ht="15" hidden="false" customHeight="false" outlineLevel="0" collapsed="false">
      <c r="A848" s="7" t="n">
        <v>847</v>
      </c>
      <c r="B848" s="7"/>
      <c r="C848" s="7" t="s">
        <v>1088</v>
      </c>
      <c r="D848" s="7" t="n">
        <v>2624</v>
      </c>
      <c r="E848" s="7" t="s">
        <v>50</v>
      </c>
      <c r="F848" s="10" t="b">
        <f aca="false">FALSE()</f>
        <v>0</v>
      </c>
      <c r="G848" s="7" t="s">
        <v>177</v>
      </c>
      <c r="H848" s="7" t="s">
        <v>239</v>
      </c>
      <c r="I848" s="7" t="n">
        <v>1</v>
      </c>
      <c r="J848" s="7" t="s">
        <v>107</v>
      </c>
      <c r="K848" s="7" t="s">
        <v>108</v>
      </c>
      <c r="L848" s="7" t="n">
        <v>22</v>
      </c>
      <c r="M848" s="10" t="b">
        <f aca="false">FALSE()</f>
        <v>0</v>
      </c>
      <c r="N848" s="7" t="s">
        <v>109</v>
      </c>
      <c r="O848" s="7" t="n">
        <v>-36.405565</v>
      </c>
      <c r="P848" s="7" t="n">
        <v>148.412808</v>
      </c>
    </row>
    <row r="849" customFormat="false" ht="15" hidden="false" customHeight="false" outlineLevel="0" collapsed="false">
      <c r="A849" s="7" t="n">
        <v>848</v>
      </c>
      <c r="B849" s="7"/>
      <c r="C849" s="7" t="s">
        <v>1089</v>
      </c>
      <c r="D849" s="7" t="n">
        <v>2330</v>
      </c>
      <c r="E849" s="7" t="s">
        <v>50</v>
      </c>
      <c r="F849" s="10" t="b">
        <f aca="false">FALSE()</f>
        <v>0</v>
      </c>
      <c r="G849" s="7" t="s">
        <v>336</v>
      </c>
      <c r="H849" s="7" t="s">
        <v>239</v>
      </c>
      <c r="I849" s="7" t="n">
        <v>2</v>
      </c>
      <c r="J849" s="7" t="s">
        <v>107</v>
      </c>
      <c r="K849" s="7" t="s">
        <v>108</v>
      </c>
      <c r="L849" s="7" t="n">
        <v>22</v>
      </c>
      <c r="M849" s="10" t="b">
        <f aca="false">FALSE()</f>
        <v>0</v>
      </c>
      <c r="N849" s="7" t="s">
        <v>109</v>
      </c>
      <c r="O849" s="7" t="n">
        <v>-32.746398</v>
      </c>
      <c r="P849" s="7" t="n">
        <v>151.073392</v>
      </c>
    </row>
    <row r="850" customFormat="false" ht="15" hidden="false" customHeight="false" outlineLevel="0" collapsed="false">
      <c r="A850" s="7" t="n">
        <v>849</v>
      </c>
      <c r="B850" s="7"/>
      <c r="C850" s="7" t="s">
        <v>1090</v>
      </c>
      <c r="D850" s="7" t="n">
        <v>2011</v>
      </c>
      <c r="E850" s="7" t="s">
        <v>50</v>
      </c>
      <c r="F850" s="10" t="b">
        <f aca="false">FALSE()</f>
        <v>0</v>
      </c>
      <c r="G850" s="7" t="s">
        <v>182</v>
      </c>
      <c r="H850" s="7" t="s">
        <v>237</v>
      </c>
      <c r="I850" s="7" t="n">
        <v>3</v>
      </c>
      <c r="J850" s="7" t="s">
        <v>107</v>
      </c>
      <c r="K850" s="7" t="s">
        <v>277</v>
      </c>
      <c r="L850" s="7" t="n">
        <v>6</v>
      </c>
      <c r="M850" s="10" t="b">
        <f aca="false">FALSE()</f>
        <v>0</v>
      </c>
      <c r="N850" s="7" t="s">
        <v>109</v>
      </c>
      <c r="O850" s="7" t="n">
        <v>-33.873242</v>
      </c>
      <c r="P850" s="7" t="n">
        <v>151.226057</v>
      </c>
    </row>
    <row r="851" customFormat="false" ht="15" hidden="false" customHeight="false" outlineLevel="0" collapsed="false">
      <c r="A851" s="7" t="n">
        <v>850</v>
      </c>
      <c r="B851" s="7"/>
      <c r="C851" s="7" t="s">
        <v>1091</v>
      </c>
      <c r="D851" s="7" t="n">
        <v>2150</v>
      </c>
      <c r="E851" s="7" t="s">
        <v>50</v>
      </c>
      <c r="F851" s="10" t="b">
        <f aca="false">FALSE()</f>
        <v>0</v>
      </c>
      <c r="G851" s="7" t="s">
        <v>202</v>
      </c>
      <c r="H851" s="7" t="s">
        <v>260</v>
      </c>
      <c r="I851" s="7" t="n">
        <v>8</v>
      </c>
      <c r="J851" s="7" t="s">
        <v>107</v>
      </c>
      <c r="K851" s="7" t="s">
        <v>108</v>
      </c>
      <c r="L851" s="7" t="n">
        <v>22</v>
      </c>
      <c r="M851" s="10" t="b">
        <f aca="false">FALSE()</f>
        <v>0</v>
      </c>
      <c r="N851" s="7" t="s">
        <v>109</v>
      </c>
      <c r="O851" s="7" t="n">
        <v>-33.814086</v>
      </c>
      <c r="P851" s="7" t="n">
        <v>150.999178</v>
      </c>
    </row>
    <row r="852" customFormat="false" ht="15" hidden="false" customHeight="false" outlineLevel="0" collapsed="false">
      <c r="A852" s="7" t="n">
        <v>851</v>
      </c>
      <c r="B852" s="7"/>
      <c r="C852" s="7" t="s">
        <v>1092</v>
      </c>
      <c r="D852" s="7" t="n">
        <v>2131</v>
      </c>
      <c r="E852" s="7" t="s">
        <v>50</v>
      </c>
      <c r="F852" s="10" t="b">
        <f aca="false">FALSE()</f>
        <v>0</v>
      </c>
      <c r="G852" s="7" t="s">
        <v>410</v>
      </c>
      <c r="H852" s="7" t="s">
        <v>260</v>
      </c>
      <c r="I852" s="7" t="n">
        <v>4</v>
      </c>
      <c r="J852" s="7" t="s">
        <v>107</v>
      </c>
      <c r="K852" s="7" t="s">
        <v>108</v>
      </c>
      <c r="L852" s="7" t="n">
        <v>22</v>
      </c>
      <c r="M852" s="10" t="b">
        <f aca="false">FALSE()</f>
        <v>0</v>
      </c>
      <c r="N852" s="7" t="s">
        <v>109</v>
      </c>
      <c r="O852" s="7" t="n">
        <v>-33.882812</v>
      </c>
      <c r="P852" s="7" t="n">
        <v>151.123202</v>
      </c>
    </row>
    <row r="853" customFormat="false" ht="15" hidden="false" customHeight="false" outlineLevel="0" collapsed="false">
      <c r="A853" s="7" t="n">
        <v>852</v>
      </c>
      <c r="B853" s="7"/>
      <c r="C853" s="7" t="s">
        <v>1093</v>
      </c>
      <c r="D853" s="7" t="n">
        <v>2342</v>
      </c>
      <c r="E853" s="7" t="s">
        <v>50</v>
      </c>
      <c r="F853" s="10" t="b">
        <f aca="false">FALSE()</f>
        <v>0</v>
      </c>
      <c r="G853" s="7" t="s">
        <v>545</v>
      </c>
      <c r="H853" s="7" t="s">
        <v>260</v>
      </c>
      <c r="I853" s="7" t="n">
        <v>2</v>
      </c>
      <c r="J853" s="7" t="s">
        <v>107</v>
      </c>
      <c r="K853" s="7" t="s">
        <v>108</v>
      </c>
      <c r="L853" s="7" t="n">
        <v>22</v>
      </c>
      <c r="M853" s="10" t="b">
        <f aca="false">FALSE()</f>
        <v>0</v>
      </c>
      <c r="N853" s="7" t="s">
        <v>109</v>
      </c>
      <c r="O853" s="7" t="n">
        <v>-31.260796</v>
      </c>
      <c r="P853" s="7" t="n">
        <v>150.736946</v>
      </c>
    </row>
    <row r="854" customFormat="false" ht="15" hidden="false" customHeight="false" outlineLevel="0" collapsed="false">
      <c r="A854" s="7" t="n">
        <v>853</v>
      </c>
      <c r="B854" s="7"/>
      <c r="C854" s="7" t="s">
        <v>1094</v>
      </c>
      <c r="D854" s="7" t="n">
        <v>2067</v>
      </c>
      <c r="E854" s="7" t="s">
        <v>50</v>
      </c>
      <c r="F854" s="10" t="b">
        <f aca="false">FALSE()</f>
        <v>0</v>
      </c>
      <c r="G854" s="7" t="s">
        <v>258</v>
      </c>
      <c r="H854" s="7" t="s">
        <v>230</v>
      </c>
      <c r="I854" s="7" t="n">
        <v>1</v>
      </c>
      <c r="J854" s="7" t="s">
        <v>107</v>
      </c>
      <c r="K854" s="7" t="s">
        <v>108</v>
      </c>
      <c r="L854" s="7" t="n">
        <v>22</v>
      </c>
      <c r="M854" s="10" t="b">
        <f aca="false">FALSE()</f>
        <v>0</v>
      </c>
      <c r="N854" s="7" t="s">
        <v>109</v>
      </c>
      <c r="O854" s="7" t="n">
        <v>-33.787549</v>
      </c>
      <c r="P854" s="7" t="n">
        <v>151.198383</v>
      </c>
    </row>
    <row r="855" customFormat="false" ht="15" hidden="false" customHeight="false" outlineLevel="0" collapsed="false">
      <c r="A855" s="7" t="n">
        <v>854</v>
      </c>
      <c r="B855" s="7"/>
      <c r="C855" s="7" t="s">
        <v>1095</v>
      </c>
      <c r="D855" s="7" t="n">
        <v>2148</v>
      </c>
      <c r="E855" s="7" t="s">
        <v>50</v>
      </c>
      <c r="F855" s="10" t="b">
        <f aca="false">FALSE()</f>
        <v>0</v>
      </c>
      <c r="G855" s="7" t="s">
        <v>232</v>
      </c>
      <c r="H855" s="7" t="s">
        <v>260</v>
      </c>
      <c r="I855" s="7" t="n">
        <v>2</v>
      </c>
      <c r="J855" s="7" t="s">
        <v>107</v>
      </c>
      <c r="K855" s="7" t="s">
        <v>277</v>
      </c>
      <c r="L855" s="7" t="n">
        <v>6</v>
      </c>
      <c r="M855" s="10" t="b">
        <f aca="false">FALSE()</f>
        <v>0</v>
      </c>
      <c r="N855" s="7" t="s">
        <v>109</v>
      </c>
      <c r="O855" s="7" t="n">
        <v>-33.771459</v>
      </c>
      <c r="P855" s="7" t="n">
        <v>150.908034</v>
      </c>
    </row>
    <row r="856" customFormat="false" ht="15" hidden="false" customHeight="false" outlineLevel="0" collapsed="false">
      <c r="A856" s="7" t="n">
        <v>855</v>
      </c>
      <c r="B856" s="7"/>
      <c r="C856" s="7" t="s">
        <v>1096</v>
      </c>
      <c r="D856" s="7" t="n">
        <v>2067</v>
      </c>
      <c r="E856" s="7" t="s">
        <v>50</v>
      </c>
      <c r="F856" s="10" t="b">
        <f aca="false">FALSE()</f>
        <v>0</v>
      </c>
      <c r="G856" s="7" t="s">
        <v>258</v>
      </c>
      <c r="H856" s="7" t="s">
        <v>260</v>
      </c>
      <c r="I856" s="7" t="n">
        <v>2</v>
      </c>
      <c r="J856" s="7" t="s">
        <v>71</v>
      </c>
      <c r="K856" s="7" t="s">
        <v>72</v>
      </c>
      <c r="L856" s="7" t="n">
        <v>50</v>
      </c>
      <c r="M856" s="10" t="b">
        <f aca="false">FALSE()</f>
        <v>0</v>
      </c>
      <c r="N856" s="7" t="s">
        <v>76</v>
      </c>
      <c r="O856" s="7" t="n">
        <v>-33.79641</v>
      </c>
      <c r="P856" s="7" t="n">
        <v>151.18361</v>
      </c>
    </row>
    <row r="857" customFormat="false" ht="15" hidden="false" customHeight="false" outlineLevel="0" collapsed="false">
      <c r="A857" s="7" t="n">
        <v>856</v>
      </c>
      <c r="B857" s="7"/>
      <c r="C857" s="7" t="s">
        <v>1097</v>
      </c>
      <c r="D857" s="7" t="n">
        <v>2577</v>
      </c>
      <c r="E857" s="7" t="s">
        <v>50</v>
      </c>
      <c r="F857" s="10" t="b">
        <f aca="false">FALSE()</f>
        <v>0</v>
      </c>
      <c r="G857" s="7" t="s">
        <v>161</v>
      </c>
      <c r="H857" s="7" t="s">
        <v>758</v>
      </c>
      <c r="I857" s="7" t="n">
        <v>1</v>
      </c>
      <c r="J857" s="7" t="s">
        <v>107</v>
      </c>
      <c r="K857" s="7" t="s">
        <v>485</v>
      </c>
      <c r="L857" s="7" t="n">
        <v>11</v>
      </c>
      <c r="M857" s="10" t="b">
        <f aca="false">FALSE()</f>
        <v>0</v>
      </c>
      <c r="N857" s="7" t="s">
        <v>109</v>
      </c>
      <c r="O857" s="7" t="n">
        <v>-34.557245</v>
      </c>
      <c r="P857" s="7" t="n">
        <v>150.371938</v>
      </c>
    </row>
    <row r="858" customFormat="false" ht="15" hidden="false" customHeight="false" outlineLevel="0" collapsed="false">
      <c r="A858" s="7" t="n">
        <v>857</v>
      </c>
      <c r="B858" s="7"/>
      <c r="C858" s="7" t="s">
        <v>1098</v>
      </c>
      <c r="D858" s="7" t="n">
        <v>2033</v>
      </c>
      <c r="E858" s="7" t="s">
        <v>50</v>
      </c>
      <c r="F858" s="10" t="b">
        <f aca="false">FALSE()</f>
        <v>0</v>
      </c>
      <c r="G858" s="7" t="s">
        <v>355</v>
      </c>
      <c r="H858" s="7" t="s">
        <v>260</v>
      </c>
      <c r="I858" s="7" t="n">
        <v>4</v>
      </c>
      <c r="J858" s="7" t="s">
        <v>107</v>
      </c>
      <c r="K858" s="7" t="s">
        <v>108</v>
      </c>
      <c r="L858" s="7" t="n">
        <v>22</v>
      </c>
      <c r="M858" s="10" t="b">
        <f aca="false">FALSE()</f>
        <v>0</v>
      </c>
      <c r="N858" s="7" t="s">
        <v>109</v>
      </c>
      <c r="O858" s="7" t="n">
        <v>-33.90838</v>
      </c>
      <c r="P858" s="7" t="n">
        <v>151.226345</v>
      </c>
    </row>
    <row r="859" customFormat="false" ht="15" hidden="false" customHeight="false" outlineLevel="0" collapsed="false">
      <c r="A859" s="7" t="n">
        <v>858</v>
      </c>
      <c r="B859" s="7"/>
      <c r="C859" s="7" t="s">
        <v>1099</v>
      </c>
      <c r="D859" s="7" t="n">
        <v>2088</v>
      </c>
      <c r="E859" s="7" t="s">
        <v>50</v>
      </c>
      <c r="F859" s="10" t="b">
        <f aca="false">FALSE()</f>
        <v>0</v>
      </c>
      <c r="G859" s="7" t="s">
        <v>246</v>
      </c>
      <c r="H859" s="7" t="s">
        <v>233</v>
      </c>
      <c r="I859" s="7" t="n">
        <v>2</v>
      </c>
      <c r="J859" s="7" t="s">
        <v>71</v>
      </c>
      <c r="K859" s="7" t="s">
        <v>83</v>
      </c>
      <c r="L859" s="7" t="n">
        <v>75</v>
      </c>
      <c r="M859" s="10" t="b">
        <f aca="false">FALSE()</f>
        <v>0</v>
      </c>
      <c r="N859" s="7" t="s">
        <v>76</v>
      </c>
      <c r="O859" s="7" t="n">
        <v>-33.831976</v>
      </c>
      <c r="P859" s="7" t="n">
        <v>151.237387</v>
      </c>
    </row>
    <row r="860" customFormat="false" ht="15" hidden="false" customHeight="false" outlineLevel="0" collapsed="false">
      <c r="A860" s="7" t="n">
        <v>859</v>
      </c>
      <c r="B860" s="7"/>
      <c r="C860" s="7" t="s">
        <v>1100</v>
      </c>
      <c r="D860" s="7" t="n">
        <v>2535</v>
      </c>
      <c r="E860" s="7" t="s">
        <v>50</v>
      </c>
      <c r="F860" s="10" t="b">
        <f aca="false">FALSE()</f>
        <v>0</v>
      </c>
      <c r="G860" s="7" t="s">
        <v>92</v>
      </c>
      <c r="H860" s="7" t="s">
        <v>239</v>
      </c>
      <c r="I860" s="7" t="n">
        <v>12</v>
      </c>
      <c r="J860" s="7" t="s">
        <v>71</v>
      </c>
      <c r="K860" s="7" t="s">
        <v>242</v>
      </c>
      <c r="L860" s="7" t="n">
        <v>130</v>
      </c>
      <c r="M860" s="10" t="b">
        <f aca="false">FALSE()</f>
        <v>0</v>
      </c>
      <c r="N860" s="7" t="s">
        <v>76</v>
      </c>
      <c r="O860" s="7" t="n">
        <v>-34.807943</v>
      </c>
      <c r="P860" s="7" t="n">
        <v>150.637044</v>
      </c>
    </row>
    <row r="861" customFormat="false" ht="15" hidden="false" customHeight="false" outlineLevel="0" collapsed="false">
      <c r="A861" s="7" t="n">
        <v>860</v>
      </c>
      <c r="B861" s="7"/>
      <c r="C861" s="7" t="s">
        <v>1101</v>
      </c>
      <c r="D861" s="7" t="n">
        <v>2535</v>
      </c>
      <c r="E861" s="7" t="s">
        <v>50</v>
      </c>
      <c r="F861" s="10" t="b">
        <f aca="false">FALSE()</f>
        <v>0</v>
      </c>
      <c r="G861" s="7" t="s">
        <v>92</v>
      </c>
      <c r="H861" s="7" t="s">
        <v>239</v>
      </c>
      <c r="I861" s="7" t="n">
        <v>2</v>
      </c>
      <c r="J861" s="7" t="s">
        <v>107</v>
      </c>
      <c r="K861" s="7" t="s">
        <v>108</v>
      </c>
      <c r="L861" s="7" t="n">
        <v>22</v>
      </c>
      <c r="M861" s="10" t="b">
        <f aca="false">FALSE()</f>
        <v>0</v>
      </c>
      <c r="N861" s="7" t="s">
        <v>109</v>
      </c>
      <c r="O861" s="7" t="n">
        <v>-34.809082</v>
      </c>
      <c r="P861" s="7" t="n">
        <v>150.637122</v>
      </c>
    </row>
    <row r="862" customFormat="false" ht="15" hidden="false" customHeight="false" outlineLevel="0" collapsed="false">
      <c r="A862" s="7" t="n">
        <v>861</v>
      </c>
      <c r="B862" s="7"/>
      <c r="C862" s="7" t="s">
        <v>1102</v>
      </c>
      <c r="D862" s="7" t="n">
        <v>2536</v>
      </c>
      <c r="E862" s="7" t="s">
        <v>50</v>
      </c>
      <c r="F862" s="10" t="b">
        <f aca="false">FALSE()</f>
        <v>0</v>
      </c>
      <c r="G862" s="7" t="s">
        <v>123</v>
      </c>
      <c r="H862" s="7" t="s">
        <v>237</v>
      </c>
      <c r="I862" s="7" t="n">
        <v>4</v>
      </c>
      <c r="J862" s="7" t="s">
        <v>107</v>
      </c>
      <c r="K862" s="7" t="s">
        <v>108</v>
      </c>
      <c r="L862" s="7" t="n">
        <v>22</v>
      </c>
      <c r="M862" s="10" t="b">
        <f aca="false">FALSE()</f>
        <v>0</v>
      </c>
      <c r="N862" s="7" t="s">
        <v>109</v>
      </c>
      <c r="O862" s="7" t="n">
        <v>-35.667603</v>
      </c>
      <c r="P862" s="7" t="n">
        <v>150.299229</v>
      </c>
    </row>
    <row r="863" customFormat="false" ht="15" hidden="false" customHeight="false" outlineLevel="0" collapsed="false">
      <c r="A863" s="7" t="n">
        <v>862</v>
      </c>
      <c r="B863" s="7"/>
      <c r="C863" s="7" t="s">
        <v>1103</v>
      </c>
      <c r="D863" s="7" t="n">
        <v>2007</v>
      </c>
      <c r="E863" s="7" t="s">
        <v>50</v>
      </c>
      <c r="F863" s="10" t="b">
        <f aca="false">FALSE()</f>
        <v>0</v>
      </c>
      <c r="G863" s="7" t="s">
        <v>182</v>
      </c>
      <c r="H863" s="7" t="s">
        <v>239</v>
      </c>
      <c r="I863" s="7" t="n">
        <v>3</v>
      </c>
      <c r="J863" s="7" t="s">
        <v>107</v>
      </c>
      <c r="K863" s="7" t="s">
        <v>108</v>
      </c>
      <c r="L863" s="7" t="n">
        <v>22</v>
      </c>
      <c r="M863" s="10" t="b">
        <f aca="false">FALSE()</f>
        <v>0</v>
      </c>
      <c r="N863" s="7" t="s">
        <v>109</v>
      </c>
      <c r="O863" s="7" t="n">
        <v>-33.883642</v>
      </c>
      <c r="P863" s="7" t="n">
        <v>151.194879</v>
      </c>
    </row>
    <row r="864" customFormat="false" ht="15" hidden="false" customHeight="false" outlineLevel="0" collapsed="false">
      <c r="A864" s="7" t="n">
        <v>863</v>
      </c>
      <c r="B864" s="7"/>
      <c r="C864" s="7" t="s">
        <v>1104</v>
      </c>
      <c r="D864" s="7" t="n">
        <v>2281</v>
      </c>
      <c r="E864" s="7" t="s">
        <v>50</v>
      </c>
      <c r="F864" s="10" t="b">
        <f aca="false">FALSE()</f>
        <v>0</v>
      </c>
      <c r="G864" s="7" t="s">
        <v>377</v>
      </c>
      <c r="H864" s="7" t="s">
        <v>758</v>
      </c>
      <c r="I864" s="7" t="n">
        <v>4</v>
      </c>
      <c r="J864" s="7" t="s">
        <v>107</v>
      </c>
      <c r="K864" s="7" t="s">
        <v>485</v>
      </c>
      <c r="L864" s="7" t="n">
        <v>11</v>
      </c>
      <c r="M864" s="10" t="b">
        <f aca="false">FALSE()</f>
        <v>0</v>
      </c>
      <c r="N864" s="7" t="s">
        <v>109</v>
      </c>
      <c r="O864" s="7" t="n">
        <v>-33.104724</v>
      </c>
      <c r="P864" s="7" t="n">
        <v>151.648005</v>
      </c>
    </row>
    <row r="865" customFormat="false" ht="15" hidden="false" customHeight="false" outlineLevel="0" collapsed="false">
      <c r="A865" s="7" t="n">
        <v>864</v>
      </c>
      <c r="B865" s="7"/>
      <c r="C865" s="7" t="s">
        <v>1105</v>
      </c>
      <c r="D865" s="7" t="n">
        <v>2518</v>
      </c>
      <c r="E865" s="7" t="s">
        <v>50</v>
      </c>
      <c r="F865" s="10" t="b">
        <f aca="false">FALSE()</f>
        <v>0</v>
      </c>
      <c r="G865" s="7" t="s">
        <v>102</v>
      </c>
      <c r="H865" s="7" t="s">
        <v>260</v>
      </c>
      <c r="I865" s="7" t="n">
        <v>2</v>
      </c>
      <c r="J865" s="7" t="s">
        <v>71</v>
      </c>
      <c r="K865" s="7" t="s">
        <v>438</v>
      </c>
      <c r="L865" s="7" t="n">
        <v>120</v>
      </c>
      <c r="M865" s="10" t="b">
        <f aca="false">FALSE()</f>
        <v>0</v>
      </c>
      <c r="N865" s="7" t="s">
        <v>76</v>
      </c>
      <c r="O865" s="7" t="n">
        <v>-34.36218</v>
      </c>
      <c r="P865" s="7" t="n">
        <v>150.907982</v>
      </c>
    </row>
    <row r="866" customFormat="false" ht="15" hidden="false" customHeight="false" outlineLevel="0" collapsed="false">
      <c r="A866" s="7" t="n">
        <v>865</v>
      </c>
      <c r="B866" s="7"/>
      <c r="C866" s="7" t="s">
        <v>1106</v>
      </c>
      <c r="D866" s="7" t="n">
        <v>2081</v>
      </c>
      <c r="E866" s="7" t="s">
        <v>50</v>
      </c>
      <c r="F866" s="10" t="b">
        <f aca="false">FALSE()</f>
        <v>0</v>
      </c>
      <c r="G866" s="7" t="s">
        <v>340</v>
      </c>
      <c r="H866" s="7" t="s">
        <v>287</v>
      </c>
      <c r="I866" s="7" t="n">
        <v>1</v>
      </c>
      <c r="J866" s="7" t="s">
        <v>71</v>
      </c>
      <c r="K866" s="7" t="s">
        <v>288</v>
      </c>
      <c r="L866" s="7" t="n">
        <v>25</v>
      </c>
      <c r="M866" s="10" t="b">
        <f aca="false">FALSE()</f>
        <v>0</v>
      </c>
      <c r="N866" s="7" t="s">
        <v>1107</v>
      </c>
      <c r="O866" s="7" t="n">
        <v>-33.623906</v>
      </c>
      <c r="P866" s="7" t="n">
        <v>151.151802</v>
      </c>
    </row>
    <row r="867" customFormat="false" ht="15" hidden="false" customHeight="false" outlineLevel="0" collapsed="false">
      <c r="A867" s="7" t="n">
        <v>866</v>
      </c>
      <c r="B867" s="7"/>
      <c r="C867" s="7" t="s">
        <v>1108</v>
      </c>
      <c r="D867" s="7" t="n">
        <v>2088</v>
      </c>
      <c r="E867" s="7" t="s">
        <v>50</v>
      </c>
      <c r="F867" s="10" t="b">
        <f aca="false">FALSE()</f>
        <v>0</v>
      </c>
      <c r="G867" s="7" t="s">
        <v>246</v>
      </c>
      <c r="H867" s="7" t="s">
        <v>237</v>
      </c>
      <c r="I867" s="7" t="n">
        <v>2</v>
      </c>
      <c r="J867" s="7" t="s">
        <v>107</v>
      </c>
      <c r="K867" s="7" t="s">
        <v>108</v>
      </c>
      <c r="L867" s="7" t="n">
        <v>22</v>
      </c>
      <c r="M867" s="10" t="b">
        <f aca="false">FALSE()</f>
        <v>0</v>
      </c>
      <c r="N867" s="7" t="s">
        <v>109</v>
      </c>
      <c r="O867" s="7" t="n">
        <v>-33.841671</v>
      </c>
      <c r="P867" s="7" t="n">
        <v>151.24295</v>
      </c>
    </row>
    <row r="868" customFormat="false" ht="15" hidden="false" customHeight="false" outlineLevel="0" collapsed="false">
      <c r="A868" s="7" t="n">
        <v>867</v>
      </c>
      <c r="B868" s="7"/>
      <c r="C868" s="7" t="s">
        <v>1109</v>
      </c>
      <c r="D868" s="7" t="n">
        <v>2428</v>
      </c>
      <c r="E868" s="7" t="s">
        <v>50</v>
      </c>
      <c r="F868" s="10" t="b">
        <f aca="false">FALSE()</f>
        <v>0</v>
      </c>
      <c r="G868" s="7" t="s">
        <v>128</v>
      </c>
      <c r="H868" s="7" t="s">
        <v>237</v>
      </c>
      <c r="I868" s="7" t="n">
        <v>1</v>
      </c>
      <c r="J868" s="7" t="s">
        <v>107</v>
      </c>
      <c r="K868" s="7" t="s">
        <v>277</v>
      </c>
      <c r="L868" s="7" t="n">
        <v>6</v>
      </c>
      <c r="M868" s="10" t="b">
        <f aca="false">FALSE()</f>
        <v>0</v>
      </c>
      <c r="N868" s="7" t="s">
        <v>109</v>
      </c>
      <c r="O868" s="7" t="n">
        <v>-32.200321</v>
      </c>
      <c r="P868" s="7" t="n">
        <v>152.518408</v>
      </c>
    </row>
    <row r="869" customFormat="false" ht="15" hidden="false" customHeight="false" outlineLevel="0" collapsed="false">
      <c r="A869" s="7" t="n">
        <v>868</v>
      </c>
      <c r="B869" s="7"/>
      <c r="C869" s="7" t="s">
        <v>1110</v>
      </c>
      <c r="D869" s="7" t="n">
        <v>2483</v>
      </c>
      <c r="E869" s="7" t="s">
        <v>50</v>
      </c>
      <c r="F869" s="10" t="b">
        <f aca="false">FALSE()</f>
        <v>0</v>
      </c>
      <c r="G869" s="7" t="s">
        <v>82</v>
      </c>
      <c r="H869" s="7" t="s">
        <v>239</v>
      </c>
      <c r="I869" s="7" t="n">
        <v>1</v>
      </c>
      <c r="J869" s="7" t="s">
        <v>107</v>
      </c>
      <c r="K869" s="7" t="s">
        <v>277</v>
      </c>
      <c r="L869" s="7" t="n">
        <v>6</v>
      </c>
      <c r="M869" s="10" t="b">
        <f aca="false">FALSE()</f>
        <v>0</v>
      </c>
      <c r="N869" s="7" t="s">
        <v>109</v>
      </c>
      <c r="O869" s="7" t="n">
        <v>-28.539778</v>
      </c>
      <c r="P869" s="7" t="n">
        <v>153.552243</v>
      </c>
    </row>
    <row r="870" customFormat="false" ht="15" hidden="false" customHeight="false" outlineLevel="0" collapsed="false">
      <c r="A870" s="7" t="n">
        <v>869</v>
      </c>
      <c r="B870" s="7"/>
      <c r="C870" s="7" t="s">
        <v>1111</v>
      </c>
      <c r="D870" s="7" t="n">
        <v>2259</v>
      </c>
      <c r="E870" s="7" t="s">
        <v>50</v>
      </c>
      <c r="F870" s="10" t="b">
        <f aca="false">FALSE()</f>
        <v>0</v>
      </c>
      <c r="G870" s="7" t="s">
        <v>276</v>
      </c>
      <c r="H870" s="7" t="s">
        <v>239</v>
      </c>
      <c r="I870" s="7" t="n">
        <v>12</v>
      </c>
      <c r="J870" s="7" t="s">
        <v>71</v>
      </c>
      <c r="K870" s="7" t="s">
        <v>242</v>
      </c>
      <c r="L870" s="7" t="n">
        <v>130</v>
      </c>
      <c r="M870" s="10" t="b">
        <f aca="false">FALSE()</f>
        <v>0</v>
      </c>
      <c r="N870" s="7" t="s">
        <v>76</v>
      </c>
      <c r="O870" s="7" t="n">
        <v>-33.3101</v>
      </c>
      <c r="P870" s="7" t="n">
        <v>151.420683</v>
      </c>
    </row>
    <row r="871" customFormat="false" ht="15" hidden="false" customHeight="false" outlineLevel="0" collapsed="false">
      <c r="A871" s="7" t="n">
        <v>870</v>
      </c>
      <c r="B871" s="7" t="s">
        <v>533</v>
      </c>
      <c r="C871" s="7" t="s">
        <v>1112</v>
      </c>
      <c r="D871" s="7" t="n">
        <v>2431</v>
      </c>
      <c r="E871" s="7" t="s">
        <v>50</v>
      </c>
      <c r="F871" s="10" t="b">
        <f aca="false">FALSE()</f>
        <v>0</v>
      </c>
      <c r="G871" s="7" t="s">
        <v>533</v>
      </c>
      <c r="H871" s="7" t="s">
        <v>260</v>
      </c>
      <c r="I871" s="7" t="n">
        <v>2</v>
      </c>
      <c r="J871" s="7" t="s">
        <v>107</v>
      </c>
      <c r="K871" s="7" t="s">
        <v>107</v>
      </c>
      <c r="L871" s="7"/>
      <c r="M871" s="10" t="b">
        <f aca="false">FALSE()</f>
        <v>0</v>
      </c>
      <c r="N871" s="7" t="s">
        <v>374</v>
      </c>
      <c r="O871" s="7" t="n">
        <v>-30.88653</v>
      </c>
      <c r="P871" s="7" t="n">
        <v>153.037957</v>
      </c>
    </row>
    <row r="872" customFormat="false" ht="15" hidden="false" customHeight="false" outlineLevel="0" collapsed="false">
      <c r="A872" s="7" t="n">
        <v>871</v>
      </c>
      <c r="B872" s="7"/>
      <c r="C872" s="7" t="s">
        <v>1113</v>
      </c>
      <c r="D872" s="7" t="n">
        <v>2036</v>
      </c>
      <c r="E872" s="7" t="s">
        <v>50</v>
      </c>
      <c r="F872" s="10" t="b">
        <f aca="false">FALSE()</f>
        <v>0</v>
      </c>
      <c r="G872" s="7" t="s">
        <v>355</v>
      </c>
      <c r="H872" s="7" t="s">
        <v>237</v>
      </c>
      <c r="I872" s="7" t="n">
        <v>2</v>
      </c>
      <c r="J872" s="7" t="s">
        <v>71</v>
      </c>
      <c r="K872" s="7" t="s">
        <v>578</v>
      </c>
      <c r="L872" s="7" t="n">
        <v>40</v>
      </c>
      <c r="M872" s="10" t="b">
        <f aca="false">FALSE()</f>
        <v>0</v>
      </c>
      <c r="N872" s="7" t="s">
        <v>76</v>
      </c>
      <c r="O872" s="7" t="n">
        <v>-33.972961</v>
      </c>
      <c r="P872" s="7" t="n">
        <v>151.236566</v>
      </c>
    </row>
    <row r="873" customFormat="false" ht="15" hidden="false" customHeight="false" outlineLevel="0" collapsed="false">
      <c r="A873" s="7" t="n">
        <v>872</v>
      </c>
      <c r="B873" s="7"/>
      <c r="C873" s="7" t="s">
        <v>1114</v>
      </c>
      <c r="D873" s="7" t="n">
        <v>2567</v>
      </c>
      <c r="E873" s="7" t="s">
        <v>50</v>
      </c>
      <c r="F873" s="10" t="b">
        <f aca="false">TRUE()</f>
        <v>1</v>
      </c>
      <c r="G873" s="7" t="s">
        <v>338</v>
      </c>
      <c r="H873" s="7" t="s">
        <v>244</v>
      </c>
      <c r="I873" s="7" t="n">
        <v>4</v>
      </c>
      <c r="J873" s="7" t="s">
        <v>71</v>
      </c>
      <c r="K873" s="7" t="s">
        <v>234</v>
      </c>
      <c r="L873" s="7" t="n">
        <v>150</v>
      </c>
      <c r="M873" s="10" t="b">
        <f aca="false">FALSE()</f>
        <v>0</v>
      </c>
      <c r="N873" s="7" t="s">
        <v>268</v>
      </c>
      <c r="O873" s="7" t="n">
        <v>-34.03973</v>
      </c>
      <c r="P873" s="7" t="n">
        <v>150.738514</v>
      </c>
    </row>
    <row r="874" customFormat="false" ht="15" hidden="false" customHeight="false" outlineLevel="0" collapsed="false">
      <c r="A874" s="7" t="n">
        <v>873</v>
      </c>
      <c r="B874" s="7"/>
      <c r="C874" s="7" t="s">
        <v>1115</v>
      </c>
      <c r="D874" s="7" t="n">
        <v>2150</v>
      </c>
      <c r="E874" s="7" t="s">
        <v>50</v>
      </c>
      <c r="F874" s="10" t="b">
        <f aca="false">FALSE()</f>
        <v>0</v>
      </c>
      <c r="G874" s="7" t="s">
        <v>202</v>
      </c>
      <c r="H874" s="7" t="s">
        <v>230</v>
      </c>
      <c r="I874" s="7" t="n">
        <v>1</v>
      </c>
      <c r="J874" s="7" t="s">
        <v>107</v>
      </c>
      <c r="K874" s="7" t="s">
        <v>108</v>
      </c>
      <c r="L874" s="7" t="n">
        <v>22</v>
      </c>
      <c r="M874" s="10" t="b">
        <f aca="false">FALSE()</f>
        <v>0</v>
      </c>
      <c r="N874" s="7" t="s">
        <v>109</v>
      </c>
      <c r="O874" s="7" t="n">
        <v>-33.817838</v>
      </c>
      <c r="P874" s="7" t="n">
        <v>150.999956</v>
      </c>
    </row>
    <row r="875" customFormat="false" ht="15" hidden="false" customHeight="false" outlineLevel="0" collapsed="false">
      <c r="A875" s="7" t="n">
        <v>874</v>
      </c>
      <c r="B875" s="7"/>
      <c r="C875" s="7" t="s">
        <v>1116</v>
      </c>
      <c r="D875" s="7" t="n">
        <v>2096</v>
      </c>
      <c r="E875" s="7" t="s">
        <v>50</v>
      </c>
      <c r="F875" s="10" t="b">
        <f aca="false">FALSE()</f>
        <v>0</v>
      </c>
      <c r="G875" s="7" t="s">
        <v>286</v>
      </c>
      <c r="H875" s="7" t="s">
        <v>230</v>
      </c>
      <c r="I875" s="7" t="n">
        <v>5</v>
      </c>
      <c r="J875" s="7" t="s">
        <v>107</v>
      </c>
      <c r="K875" s="7" t="s">
        <v>108</v>
      </c>
      <c r="L875" s="7" t="n">
        <v>22</v>
      </c>
      <c r="M875" s="10" t="b">
        <f aca="false">FALSE()</f>
        <v>0</v>
      </c>
      <c r="N875" s="7" t="s">
        <v>109</v>
      </c>
      <c r="O875" s="7" t="n">
        <v>-33.779002</v>
      </c>
      <c r="P875" s="7" t="n">
        <v>151.292413</v>
      </c>
    </row>
    <row r="876" customFormat="false" ht="15" hidden="false" customHeight="false" outlineLevel="0" collapsed="false">
      <c r="A876" s="7" t="n">
        <v>875</v>
      </c>
      <c r="B876" s="7"/>
      <c r="C876" s="7" t="s">
        <v>1117</v>
      </c>
      <c r="D876" s="7" t="n">
        <v>2750</v>
      </c>
      <c r="E876" s="7" t="s">
        <v>50</v>
      </c>
      <c r="F876" s="10" t="b">
        <f aca="false">FALSE()</f>
        <v>0</v>
      </c>
      <c r="G876" s="7" t="s">
        <v>472</v>
      </c>
      <c r="H876" s="7" t="s">
        <v>330</v>
      </c>
      <c r="I876" s="7" t="n">
        <v>2</v>
      </c>
      <c r="J876" s="7" t="s">
        <v>71</v>
      </c>
      <c r="K876" s="7" t="s">
        <v>234</v>
      </c>
      <c r="L876" s="7" t="n">
        <v>150</v>
      </c>
      <c r="M876" s="10" t="b">
        <f aca="false">FALSE()</f>
        <v>0</v>
      </c>
      <c r="N876" s="7" t="s">
        <v>76</v>
      </c>
      <c r="O876" s="7" t="n">
        <v>-33.742981</v>
      </c>
      <c r="P876" s="7" t="n">
        <v>150.69296</v>
      </c>
    </row>
    <row r="877" customFormat="false" ht="15" hidden="false" customHeight="false" outlineLevel="0" collapsed="false">
      <c r="A877" s="7" t="n">
        <v>876</v>
      </c>
      <c r="B877" s="7"/>
      <c r="C877" s="7" t="s">
        <v>1118</v>
      </c>
      <c r="D877" s="7" t="n">
        <v>2015</v>
      </c>
      <c r="E877" s="7" t="s">
        <v>50</v>
      </c>
      <c r="F877" s="10" t="b">
        <f aca="false">FALSE()</f>
        <v>0</v>
      </c>
      <c r="G877" s="7" t="s">
        <v>182</v>
      </c>
      <c r="H877" s="7" t="s">
        <v>330</v>
      </c>
      <c r="I877" s="7" t="n">
        <v>6</v>
      </c>
      <c r="J877" s="7" t="s">
        <v>71</v>
      </c>
      <c r="K877" s="7" t="s">
        <v>234</v>
      </c>
      <c r="L877" s="7" t="n">
        <v>150</v>
      </c>
      <c r="M877" s="10" t="b">
        <f aca="false">FALSE()</f>
        <v>0</v>
      </c>
      <c r="N877" s="7" t="s">
        <v>76</v>
      </c>
      <c r="O877" s="7" t="n">
        <v>-33.895611</v>
      </c>
      <c r="P877" s="7" t="n">
        <v>151.196141</v>
      </c>
    </row>
    <row r="878" customFormat="false" ht="15" hidden="false" customHeight="false" outlineLevel="0" collapsed="false">
      <c r="A878" s="7" t="n">
        <v>877</v>
      </c>
      <c r="B878" s="7"/>
      <c r="C878" s="7" t="s">
        <v>1119</v>
      </c>
      <c r="D878" s="7" t="n">
        <v>2370</v>
      </c>
      <c r="E878" s="7" t="s">
        <v>50</v>
      </c>
      <c r="F878" s="10" t="b">
        <f aca="false">FALSE()</f>
        <v>0</v>
      </c>
      <c r="G878" s="7" t="s">
        <v>219</v>
      </c>
      <c r="H878" s="7" t="s">
        <v>230</v>
      </c>
      <c r="I878" s="7" t="n">
        <v>1</v>
      </c>
      <c r="J878" s="7" t="s">
        <v>107</v>
      </c>
      <c r="K878" s="7" t="s">
        <v>108</v>
      </c>
      <c r="L878" s="7" t="n">
        <v>22</v>
      </c>
      <c r="M878" s="10" t="b">
        <f aca="false">FALSE()</f>
        <v>0</v>
      </c>
      <c r="N878" s="7" t="s">
        <v>109</v>
      </c>
      <c r="O878" s="7" t="n">
        <v>-29.738171</v>
      </c>
      <c r="P878" s="7" t="n">
        <v>151.737519</v>
      </c>
    </row>
    <row r="879" customFormat="false" ht="15" hidden="false" customHeight="false" outlineLevel="0" collapsed="false">
      <c r="A879" s="7" t="n">
        <v>878</v>
      </c>
      <c r="B879" s="7"/>
      <c r="C879" s="7" t="s">
        <v>1120</v>
      </c>
      <c r="D879" s="7" t="n">
        <v>2024</v>
      </c>
      <c r="E879" s="7" t="s">
        <v>50</v>
      </c>
      <c r="F879" s="10" t="b">
        <f aca="false">FALSE()</f>
        <v>0</v>
      </c>
      <c r="G879" s="7" t="s">
        <v>295</v>
      </c>
      <c r="H879" s="7" t="s">
        <v>302</v>
      </c>
      <c r="I879" s="7" t="n">
        <v>2</v>
      </c>
      <c r="J879" s="7" t="s">
        <v>107</v>
      </c>
      <c r="K879" s="7" t="s">
        <v>108</v>
      </c>
      <c r="L879" s="7" t="n">
        <v>22</v>
      </c>
      <c r="M879" s="10" t="b">
        <f aca="false">FALSE()</f>
        <v>0</v>
      </c>
      <c r="N879" s="7" t="s">
        <v>109</v>
      </c>
      <c r="O879" s="7" t="n">
        <v>-33.898142</v>
      </c>
      <c r="P879" s="7" t="n">
        <v>151.253778</v>
      </c>
    </row>
    <row r="880" customFormat="false" ht="15" hidden="false" customHeight="false" outlineLevel="0" collapsed="false">
      <c r="A880" s="7" t="n">
        <v>879</v>
      </c>
      <c r="B880" s="7"/>
      <c r="C880" s="7" t="s">
        <v>1121</v>
      </c>
      <c r="D880" s="7" t="n">
        <v>2099</v>
      </c>
      <c r="E880" s="7" t="s">
        <v>50</v>
      </c>
      <c r="F880" s="10" t="b">
        <f aca="false">FALSE()</f>
        <v>0</v>
      </c>
      <c r="G880" s="7" t="s">
        <v>286</v>
      </c>
      <c r="H880" s="7" t="s">
        <v>358</v>
      </c>
      <c r="I880" s="7" t="n">
        <v>2</v>
      </c>
      <c r="J880" s="7" t="s">
        <v>107</v>
      </c>
      <c r="K880" s="7" t="s">
        <v>277</v>
      </c>
      <c r="L880" s="7" t="n">
        <v>6</v>
      </c>
      <c r="M880" s="10" t="b">
        <f aca="false">FALSE()</f>
        <v>0</v>
      </c>
      <c r="N880" s="7" t="s">
        <v>109</v>
      </c>
      <c r="O880" s="7" t="n">
        <v>-33.750343</v>
      </c>
      <c r="P880" s="7" t="n">
        <v>151.286664</v>
      </c>
    </row>
    <row r="881" customFormat="false" ht="15" hidden="false" customHeight="false" outlineLevel="0" collapsed="false">
      <c r="A881" s="7" t="n">
        <v>880</v>
      </c>
      <c r="B881" s="7"/>
      <c r="C881" s="7" t="s">
        <v>1122</v>
      </c>
      <c r="D881" s="7" t="n">
        <v>2766</v>
      </c>
      <c r="E881" s="7" t="s">
        <v>50</v>
      </c>
      <c r="F881" s="10" t="b">
        <f aca="false">FALSE()</f>
        <v>0</v>
      </c>
      <c r="G881" s="7" t="s">
        <v>232</v>
      </c>
      <c r="H881" s="7" t="s">
        <v>237</v>
      </c>
      <c r="I881" s="7" t="n">
        <v>4</v>
      </c>
      <c r="J881" s="7" t="s">
        <v>107</v>
      </c>
      <c r="K881" s="7" t="s">
        <v>277</v>
      </c>
      <c r="L881" s="7" t="n">
        <v>6</v>
      </c>
      <c r="M881" s="10" t="b">
        <f aca="false">FALSE()</f>
        <v>0</v>
      </c>
      <c r="N881" s="7" t="s">
        <v>109</v>
      </c>
      <c r="O881" s="7" t="n">
        <v>-33.784757</v>
      </c>
      <c r="P881" s="7" t="n">
        <v>150.853101</v>
      </c>
    </row>
    <row r="882" customFormat="false" ht="15" hidden="false" customHeight="false" outlineLevel="0" collapsed="false">
      <c r="A882" s="7" t="n">
        <v>881</v>
      </c>
      <c r="B882" s="7"/>
      <c r="C882" s="7" t="s">
        <v>1123</v>
      </c>
      <c r="D882" s="7" t="n">
        <v>2478</v>
      </c>
      <c r="E882" s="7" t="s">
        <v>50</v>
      </c>
      <c r="F882" s="10" t="b">
        <f aca="false">FALSE()</f>
        <v>0</v>
      </c>
      <c r="G882" s="7" t="s">
        <v>495</v>
      </c>
      <c r="H882" s="7" t="s">
        <v>239</v>
      </c>
      <c r="I882" s="7" t="n">
        <v>2</v>
      </c>
      <c r="J882" s="7" t="s">
        <v>107</v>
      </c>
      <c r="K882" s="7" t="s">
        <v>108</v>
      </c>
      <c r="L882" s="7" t="n">
        <v>22</v>
      </c>
      <c r="M882" s="10" t="b">
        <f aca="false">FALSE()</f>
        <v>0</v>
      </c>
      <c r="N882" s="7" t="s">
        <v>109</v>
      </c>
      <c r="O882" s="7" t="n">
        <v>-28.868604</v>
      </c>
      <c r="P882" s="7" t="n">
        <v>153.588931</v>
      </c>
    </row>
    <row r="883" customFormat="false" ht="15" hidden="false" customHeight="false" outlineLevel="0" collapsed="false">
      <c r="A883" s="7" t="n">
        <v>882</v>
      </c>
      <c r="B883" s="7"/>
      <c r="C883" s="7" t="s">
        <v>1124</v>
      </c>
      <c r="D883" s="7" t="n">
        <v>2747</v>
      </c>
      <c r="E883" s="7" t="s">
        <v>50</v>
      </c>
      <c r="F883" s="10" t="b">
        <f aca="false">FALSE()</f>
        <v>0</v>
      </c>
      <c r="G883" s="7" t="s">
        <v>472</v>
      </c>
      <c r="H883" s="7" t="s">
        <v>330</v>
      </c>
      <c r="I883" s="7" t="n">
        <v>2</v>
      </c>
      <c r="J883" s="7" t="s">
        <v>71</v>
      </c>
      <c r="K883" s="7" t="s">
        <v>213</v>
      </c>
      <c r="L883" s="7" t="n">
        <v>125</v>
      </c>
      <c r="M883" s="10" t="b">
        <f aca="false">FALSE()</f>
        <v>0</v>
      </c>
      <c r="N883" s="7" t="s">
        <v>268</v>
      </c>
      <c r="O883" s="7" t="n">
        <v>-33.746308</v>
      </c>
      <c r="P883" s="7" t="n">
        <v>150.74132</v>
      </c>
    </row>
    <row r="884" customFormat="false" ht="15" hidden="false" customHeight="false" outlineLevel="0" collapsed="false">
      <c r="A884" s="7" t="n">
        <v>883</v>
      </c>
      <c r="B884" s="7"/>
      <c r="C884" s="7" t="s">
        <v>1125</v>
      </c>
      <c r="D884" s="7" t="n">
        <v>2765</v>
      </c>
      <c r="E884" s="7" t="s">
        <v>50</v>
      </c>
      <c r="F884" s="10" t="b">
        <f aca="false">FALSE()</f>
        <v>0</v>
      </c>
      <c r="G884" s="7" t="s">
        <v>232</v>
      </c>
      <c r="H884" s="7" t="s">
        <v>244</v>
      </c>
      <c r="I884" s="7" t="n">
        <v>4</v>
      </c>
      <c r="J884" s="7" t="s">
        <v>71</v>
      </c>
      <c r="K884" s="7" t="s">
        <v>234</v>
      </c>
      <c r="L884" s="7" t="n">
        <v>150</v>
      </c>
      <c r="M884" s="10" t="b">
        <f aca="false">FALSE()</f>
        <v>0</v>
      </c>
      <c r="N884" s="7" t="s">
        <v>76</v>
      </c>
      <c r="O884" s="7" t="n">
        <v>-33.695149</v>
      </c>
      <c r="P884" s="7" t="n">
        <v>150.821366</v>
      </c>
    </row>
    <row r="885" customFormat="false" ht="15" hidden="false" customHeight="false" outlineLevel="0" collapsed="false">
      <c r="A885" s="7" t="n">
        <v>884</v>
      </c>
      <c r="B885" s="7"/>
      <c r="C885" s="7" t="s">
        <v>1126</v>
      </c>
      <c r="D885" s="7" t="n">
        <v>2113</v>
      </c>
      <c r="E885" s="7" t="s">
        <v>50</v>
      </c>
      <c r="F885" s="10" t="b">
        <f aca="false">FALSE()</f>
        <v>0</v>
      </c>
      <c r="G885" s="7" t="s">
        <v>364</v>
      </c>
      <c r="H885" s="7" t="s">
        <v>244</v>
      </c>
      <c r="I885" s="7" t="n">
        <v>4</v>
      </c>
      <c r="J885" s="7" t="s">
        <v>71</v>
      </c>
      <c r="K885" s="7" t="s">
        <v>72</v>
      </c>
      <c r="L885" s="7" t="n">
        <v>50</v>
      </c>
      <c r="M885" s="10" t="b">
        <f aca="false">FALSE()</f>
        <v>0</v>
      </c>
      <c r="N885" s="7" t="s">
        <v>268</v>
      </c>
      <c r="O885" s="7" t="n">
        <v>-33.776893</v>
      </c>
      <c r="P885" s="7" t="n">
        <v>151.122247</v>
      </c>
    </row>
    <row r="886" customFormat="false" ht="15" hidden="false" customHeight="false" outlineLevel="0" collapsed="false">
      <c r="A886" s="7" t="n">
        <v>885</v>
      </c>
      <c r="B886" s="7"/>
      <c r="C886" s="7" t="s">
        <v>1127</v>
      </c>
      <c r="D886" s="7" t="n">
        <v>2113</v>
      </c>
      <c r="E886" s="7" t="s">
        <v>50</v>
      </c>
      <c r="F886" s="10" t="b">
        <f aca="false">FALSE()</f>
        <v>0</v>
      </c>
      <c r="G886" s="7" t="s">
        <v>364</v>
      </c>
      <c r="H886" s="7" t="s">
        <v>239</v>
      </c>
      <c r="I886" s="7" t="n">
        <v>20</v>
      </c>
      <c r="J886" s="7" t="s">
        <v>71</v>
      </c>
      <c r="K886" s="7" t="s">
        <v>242</v>
      </c>
      <c r="L886" s="7" t="n">
        <v>130</v>
      </c>
      <c r="M886" s="10" t="b">
        <f aca="false">FALSE()</f>
        <v>0</v>
      </c>
      <c r="N886" s="7" t="s">
        <v>76</v>
      </c>
      <c r="O886" s="7" t="n">
        <v>-33.777217</v>
      </c>
      <c r="P886" s="7" t="n">
        <v>151.120881</v>
      </c>
    </row>
    <row r="887" customFormat="false" ht="15" hidden="false" customHeight="false" outlineLevel="0" collapsed="false">
      <c r="A887" s="7" t="n">
        <v>886</v>
      </c>
      <c r="B887" s="7"/>
      <c r="C887" s="7" t="s">
        <v>1128</v>
      </c>
      <c r="D887" s="7" t="n">
        <v>2062</v>
      </c>
      <c r="E887" s="7" t="s">
        <v>50</v>
      </c>
      <c r="F887" s="10" t="b">
        <f aca="false">FALSE()</f>
        <v>0</v>
      </c>
      <c r="G887" s="7" t="s">
        <v>332</v>
      </c>
      <c r="H887" s="7" t="s">
        <v>244</v>
      </c>
      <c r="I887" s="7" t="n">
        <v>4</v>
      </c>
      <c r="J887" s="7" t="s">
        <v>71</v>
      </c>
      <c r="K887" s="7" t="s">
        <v>83</v>
      </c>
      <c r="L887" s="7" t="n">
        <v>75</v>
      </c>
      <c r="M887" s="10" t="b">
        <f aca="false">FALSE()</f>
        <v>0</v>
      </c>
      <c r="N887" s="7" t="s">
        <v>268</v>
      </c>
      <c r="O887" s="7" t="n">
        <v>-33.823018</v>
      </c>
      <c r="P887" s="7" t="n">
        <v>151.209347</v>
      </c>
    </row>
    <row r="888" customFormat="false" ht="15" hidden="false" customHeight="false" outlineLevel="0" collapsed="false">
      <c r="A888" s="7" t="n">
        <v>887</v>
      </c>
      <c r="B888" s="7"/>
      <c r="C888" s="7" t="s">
        <v>1129</v>
      </c>
      <c r="D888" s="7" t="n">
        <v>2024</v>
      </c>
      <c r="E888" s="7" t="s">
        <v>50</v>
      </c>
      <c r="F888" s="10" t="b">
        <f aca="false">FALSE()</f>
        <v>0</v>
      </c>
      <c r="G888" s="7" t="s">
        <v>295</v>
      </c>
      <c r="H888" s="7" t="s">
        <v>237</v>
      </c>
      <c r="I888" s="7" t="n">
        <v>2</v>
      </c>
      <c r="J888" s="7" t="s">
        <v>71</v>
      </c>
      <c r="K888" s="7" t="s">
        <v>72</v>
      </c>
      <c r="L888" s="7" t="n">
        <v>50</v>
      </c>
      <c r="M888" s="10" t="b">
        <f aca="false">FALSE()</f>
        <v>0</v>
      </c>
      <c r="N888" s="7" t="s">
        <v>76</v>
      </c>
      <c r="O888" s="7" t="n">
        <v>-33.907225</v>
      </c>
      <c r="P888" s="7" t="n">
        <v>151.264771</v>
      </c>
    </row>
    <row r="889" customFormat="false" ht="15" hidden="false" customHeight="false" outlineLevel="0" collapsed="false">
      <c r="A889" s="7" t="n">
        <v>888</v>
      </c>
      <c r="B889" s="7"/>
      <c r="C889" s="7" t="s">
        <v>1130</v>
      </c>
      <c r="D889" s="7" t="n">
        <v>2502</v>
      </c>
      <c r="E889" s="7" t="s">
        <v>50</v>
      </c>
      <c r="F889" s="10" t="b">
        <f aca="false">FALSE()</f>
        <v>0</v>
      </c>
      <c r="G889" s="7" t="s">
        <v>102</v>
      </c>
      <c r="H889" s="7" t="s">
        <v>230</v>
      </c>
      <c r="I889" s="7" t="n">
        <v>2</v>
      </c>
      <c r="J889" s="7" t="s">
        <v>107</v>
      </c>
      <c r="K889" s="7" t="s">
        <v>108</v>
      </c>
      <c r="L889" s="7" t="n">
        <v>22</v>
      </c>
      <c r="M889" s="10" t="b">
        <f aca="false">FALSE()</f>
        <v>0</v>
      </c>
      <c r="N889" s="7" t="s">
        <v>109</v>
      </c>
      <c r="O889" s="7" t="n">
        <v>-34.486159</v>
      </c>
      <c r="P889" s="7" t="n">
        <v>150.887928</v>
      </c>
    </row>
    <row r="890" customFormat="false" ht="15" hidden="false" customHeight="false" outlineLevel="0" collapsed="false">
      <c r="A890" s="7" t="n">
        <v>889</v>
      </c>
      <c r="B890" s="7"/>
      <c r="C890" s="7" t="s">
        <v>1131</v>
      </c>
      <c r="D890" s="7" t="n">
        <v>2230</v>
      </c>
      <c r="E890" s="7" t="s">
        <v>50</v>
      </c>
      <c r="F890" s="10" t="b">
        <f aca="false">FALSE()</f>
        <v>0</v>
      </c>
      <c r="G890" s="7" t="s">
        <v>628</v>
      </c>
      <c r="H890" s="7" t="s">
        <v>287</v>
      </c>
      <c r="I890" s="7" t="n">
        <v>1</v>
      </c>
      <c r="J890" s="7" t="s">
        <v>71</v>
      </c>
      <c r="K890" s="7" t="s">
        <v>288</v>
      </c>
      <c r="L890" s="7" t="n">
        <v>25</v>
      </c>
      <c r="M890" s="10" t="b">
        <f aca="false">FALSE()</f>
        <v>0</v>
      </c>
      <c r="N890" s="7" t="s">
        <v>1107</v>
      </c>
      <c r="O890" s="7" t="n">
        <v>-34.05771</v>
      </c>
      <c r="P890" s="7" t="n">
        <v>151.151975</v>
      </c>
    </row>
    <row r="891" customFormat="false" ht="15" hidden="false" customHeight="false" outlineLevel="0" collapsed="false">
      <c r="A891" s="7" t="n">
        <v>890</v>
      </c>
      <c r="B891" s="7"/>
      <c r="C891" s="7" t="s">
        <v>1132</v>
      </c>
      <c r="D891" s="7" t="n">
        <v>2320</v>
      </c>
      <c r="E891" s="7" t="s">
        <v>50</v>
      </c>
      <c r="F891" s="10" t="b">
        <f aca="false">FALSE()</f>
        <v>0</v>
      </c>
      <c r="G891" s="7" t="s">
        <v>111</v>
      </c>
      <c r="H891" s="7" t="s">
        <v>239</v>
      </c>
      <c r="I891" s="7" t="n">
        <v>2</v>
      </c>
      <c r="J891" s="7" t="s">
        <v>107</v>
      </c>
      <c r="K891" s="7" t="s">
        <v>277</v>
      </c>
      <c r="L891" s="7" t="n">
        <v>6</v>
      </c>
      <c r="M891" s="10" t="b">
        <f aca="false">FALSE()</f>
        <v>0</v>
      </c>
      <c r="N891" s="7" t="s">
        <v>109</v>
      </c>
      <c r="O891" s="7" t="n">
        <v>-32.7851</v>
      </c>
      <c r="P891" s="7" t="n">
        <v>151.289601</v>
      </c>
    </row>
    <row r="892" customFormat="false" ht="15" hidden="false" customHeight="false" outlineLevel="0" collapsed="false">
      <c r="A892" s="7" t="n">
        <v>891</v>
      </c>
      <c r="B892" s="7"/>
      <c r="C892" s="7" t="s">
        <v>1133</v>
      </c>
      <c r="D892" s="7" t="n">
        <v>2786</v>
      </c>
      <c r="E892" s="7" t="s">
        <v>50</v>
      </c>
      <c r="F892" s="10" t="b">
        <f aca="false">FALSE()</f>
        <v>0</v>
      </c>
      <c r="G892" s="7" t="s">
        <v>306</v>
      </c>
      <c r="H892" s="7" t="s">
        <v>398</v>
      </c>
      <c r="I892" s="7" t="n">
        <v>2</v>
      </c>
      <c r="J892" s="7" t="s">
        <v>107</v>
      </c>
      <c r="K892" s="7" t="s">
        <v>108</v>
      </c>
      <c r="L892" s="7" t="n">
        <v>22</v>
      </c>
      <c r="M892" s="10" t="b">
        <f aca="false">FALSE()</f>
        <v>0</v>
      </c>
      <c r="N892" s="7" t="s">
        <v>109</v>
      </c>
      <c r="O892" s="7" t="n">
        <v>-33.58672</v>
      </c>
      <c r="P892" s="7" t="n">
        <v>150.25688</v>
      </c>
    </row>
    <row r="893" customFormat="false" ht="15" hidden="false" customHeight="false" outlineLevel="0" collapsed="false">
      <c r="A893" s="7" t="n">
        <v>892</v>
      </c>
      <c r="B893" s="7"/>
      <c r="C893" s="7" t="s">
        <v>1134</v>
      </c>
      <c r="D893" s="7" t="n">
        <v>2325</v>
      </c>
      <c r="E893" s="7" t="s">
        <v>50</v>
      </c>
      <c r="F893" s="10" t="b">
        <f aca="false">FALSE()</f>
        <v>0</v>
      </c>
      <c r="G893" s="7" t="s">
        <v>111</v>
      </c>
      <c r="H893" s="7" t="s">
        <v>252</v>
      </c>
      <c r="I893" s="7" t="n">
        <v>3</v>
      </c>
      <c r="J893" s="7" t="s">
        <v>107</v>
      </c>
      <c r="K893" s="7" t="s">
        <v>277</v>
      </c>
      <c r="L893" s="7" t="n">
        <v>6</v>
      </c>
      <c r="M893" s="10" t="b">
        <f aca="false">FALSE()</f>
        <v>0</v>
      </c>
      <c r="N893" s="7" t="s">
        <v>109</v>
      </c>
      <c r="O893" s="7" t="n">
        <v>-32.836576</v>
      </c>
      <c r="P893" s="7" t="n">
        <v>151.353911</v>
      </c>
    </row>
    <row r="894" customFormat="false" ht="15" hidden="false" customHeight="false" outlineLevel="0" collapsed="false">
      <c r="A894" s="7" t="n">
        <v>893</v>
      </c>
      <c r="B894" s="7"/>
      <c r="C894" s="7" t="s">
        <v>1135</v>
      </c>
      <c r="D894" s="7" t="n">
        <v>2289</v>
      </c>
      <c r="E894" s="7" t="s">
        <v>50</v>
      </c>
      <c r="F894" s="10" t="b">
        <f aca="false">FALSE()</f>
        <v>0</v>
      </c>
      <c r="G894" s="7" t="s">
        <v>141</v>
      </c>
      <c r="H894" s="7" t="s">
        <v>237</v>
      </c>
      <c r="I894" s="7" t="n">
        <v>2</v>
      </c>
      <c r="J894" s="7" t="s">
        <v>107</v>
      </c>
      <c r="K894" s="7" t="s">
        <v>108</v>
      </c>
      <c r="L894" s="7" t="n">
        <v>22</v>
      </c>
      <c r="M894" s="10" t="b">
        <f aca="false">FALSE()</f>
        <v>0</v>
      </c>
      <c r="N894" s="7" t="s">
        <v>109</v>
      </c>
      <c r="O894" s="7" t="n">
        <v>-32.934479</v>
      </c>
      <c r="P894" s="7" t="n">
        <v>151.724749</v>
      </c>
    </row>
    <row r="895" customFormat="false" ht="15" hidden="false" customHeight="false" outlineLevel="0" collapsed="false">
      <c r="A895" s="7" t="n">
        <v>894</v>
      </c>
      <c r="B895" s="7"/>
      <c r="C895" s="7" t="s">
        <v>1136</v>
      </c>
      <c r="D895" s="7" t="n">
        <v>2651</v>
      </c>
      <c r="E895" s="7" t="s">
        <v>50</v>
      </c>
      <c r="F895" s="10" t="b">
        <f aca="false">FALSE()</f>
        <v>0</v>
      </c>
      <c r="G895" s="7" t="s">
        <v>147</v>
      </c>
      <c r="H895" s="7" t="s">
        <v>239</v>
      </c>
      <c r="I895" s="7" t="n">
        <v>1</v>
      </c>
      <c r="J895" s="7" t="s">
        <v>107</v>
      </c>
      <c r="K895" s="7" t="s">
        <v>108</v>
      </c>
      <c r="L895" s="7" t="n">
        <v>22</v>
      </c>
      <c r="M895" s="10" t="b">
        <f aca="false">FALSE()</f>
        <v>0</v>
      </c>
      <c r="N895" s="7" t="s">
        <v>109</v>
      </c>
      <c r="O895" s="7" t="n">
        <v>-35.158203</v>
      </c>
      <c r="P895" s="7" t="n">
        <v>147.459458</v>
      </c>
    </row>
    <row r="896" customFormat="false" ht="15" hidden="false" customHeight="false" outlineLevel="0" collapsed="false">
      <c r="A896" s="7" t="n">
        <v>895</v>
      </c>
      <c r="B896" s="7"/>
      <c r="C896" s="7" t="s">
        <v>1137</v>
      </c>
      <c r="D896" s="7" t="n">
        <v>2025</v>
      </c>
      <c r="E896" s="7" t="s">
        <v>50</v>
      </c>
      <c r="F896" s="10" t="b">
        <f aca="false">FALSE()</f>
        <v>0</v>
      </c>
      <c r="G896" s="7" t="s">
        <v>272</v>
      </c>
      <c r="H896" s="7" t="s">
        <v>244</v>
      </c>
      <c r="I896" s="7" t="n">
        <v>2</v>
      </c>
      <c r="J896" s="7" t="s">
        <v>71</v>
      </c>
      <c r="K896" s="7" t="s">
        <v>83</v>
      </c>
      <c r="L896" s="7" t="n">
        <v>75</v>
      </c>
      <c r="M896" s="10" t="b">
        <f aca="false">FALSE()</f>
        <v>0</v>
      </c>
      <c r="N896" s="7" t="s">
        <v>76</v>
      </c>
      <c r="O896" s="7" t="n">
        <v>-33.888514</v>
      </c>
      <c r="P896" s="7" t="n">
        <v>151.237632</v>
      </c>
    </row>
    <row r="897" customFormat="false" ht="15" hidden="false" customHeight="false" outlineLevel="0" collapsed="false">
      <c r="A897" s="7" t="n">
        <v>896</v>
      </c>
      <c r="B897" s="7"/>
      <c r="C897" s="7" t="s">
        <v>1138</v>
      </c>
      <c r="D897" s="7" t="n">
        <v>2154</v>
      </c>
      <c r="E897" s="7" t="s">
        <v>50</v>
      </c>
      <c r="F897" s="10" t="b">
        <f aca="false">FALSE()</f>
        <v>0</v>
      </c>
      <c r="G897" s="7" t="s">
        <v>299</v>
      </c>
      <c r="H897" s="7" t="s">
        <v>239</v>
      </c>
      <c r="I897" s="7" t="n">
        <v>3</v>
      </c>
      <c r="J897" s="7" t="s">
        <v>107</v>
      </c>
      <c r="K897" s="7" t="s">
        <v>108</v>
      </c>
      <c r="L897" s="7" t="n">
        <v>22</v>
      </c>
      <c r="M897" s="10" t="b">
        <f aca="false">FALSE()</f>
        <v>0</v>
      </c>
      <c r="N897" s="7" t="s">
        <v>109</v>
      </c>
      <c r="O897" s="7" t="n">
        <v>-33.729198</v>
      </c>
      <c r="P897" s="7" t="n">
        <v>151.006808</v>
      </c>
    </row>
    <row r="898" customFormat="false" ht="15" hidden="false" customHeight="false" outlineLevel="0" collapsed="false">
      <c r="A898" s="7" t="n">
        <v>897</v>
      </c>
      <c r="B898" s="7"/>
      <c r="C898" s="7" t="s">
        <v>1139</v>
      </c>
      <c r="D898" s="7" t="n">
        <v>2479</v>
      </c>
      <c r="E898" s="7" t="s">
        <v>50</v>
      </c>
      <c r="F898" s="10" t="b">
        <f aca="false">FALSE()</f>
        <v>0</v>
      </c>
      <c r="G898" s="7" t="s">
        <v>495</v>
      </c>
      <c r="H898" s="7" t="s">
        <v>239</v>
      </c>
      <c r="I898" s="7" t="n">
        <v>12</v>
      </c>
      <c r="J898" s="7" t="s">
        <v>71</v>
      </c>
      <c r="K898" s="7" t="s">
        <v>242</v>
      </c>
      <c r="L898" s="7" t="n">
        <v>130</v>
      </c>
      <c r="M898" s="10" t="b">
        <f aca="false">FALSE()</f>
        <v>0</v>
      </c>
      <c r="N898" s="7" t="s">
        <v>76</v>
      </c>
      <c r="O898" s="7" t="n">
        <v>-28.74954</v>
      </c>
      <c r="P898" s="7" t="n">
        <v>153.534723</v>
      </c>
    </row>
    <row r="899" customFormat="false" ht="15" hidden="false" customHeight="false" outlineLevel="0" collapsed="false">
      <c r="A899" s="7" t="n">
        <v>898</v>
      </c>
      <c r="B899" s="7"/>
      <c r="C899" s="7" t="s">
        <v>1140</v>
      </c>
      <c r="D899" s="7" t="n">
        <v>2575</v>
      </c>
      <c r="E899" s="7" t="s">
        <v>50</v>
      </c>
      <c r="F899" s="10" t="b">
        <f aca="false">FALSE()</f>
        <v>0</v>
      </c>
      <c r="G899" s="7" t="s">
        <v>161</v>
      </c>
      <c r="H899" s="7" t="s">
        <v>758</v>
      </c>
      <c r="I899" s="7" t="n">
        <v>1</v>
      </c>
      <c r="J899" s="7" t="s">
        <v>107</v>
      </c>
      <c r="K899" s="7" t="s">
        <v>485</v>
      </c>
      <c r="L899" s="7" t="n">
        <v>11</v>
      </c>
      <c r="M899" s="10" t="b">
        <f aca="false">FALSE()</f>
        <v>0</v>
      </c>
      <c r="N899" s="7" t="s">
        <v>109</v>
      </c>
      <c r="O899" s="7" t="n">
        <v>-34.447404</v>
      </c>
      <c r="P899" s="7" t="n">
        <v>150.46124</v>
      </c>
    </row>
    <row r="900" customFormat="false" ht="15" hidden="false" customHeight="false" outlineLevel="0" collapsed="false">
      <c r="A900" s="7" t="n">
        <v>899</v>
      </c>
      <c r="B900" s="7"/>
      <c r="C900" s="7" t="s">
        <v>1141</v>
      </c>
      <c r="D900" s="7" t="n">
        <v>2722</v>
      </c>
      <c r="E900" s="7" t="s">
        <v>50</v>
      </c>
      <c r="F900" s="10" t="b">
        <f aca="false">FALSE()</f>
        <v>0</v>
      </c>
      <c r="G900" s="7" t="s">
        <v>454</v>
      </c>
      <c r="H900" s="7" t="s">
        <v>758</v>
      </c>
      <c r="I900" s="7" t="n">
        <v>2</v>
      </c>
      <c r="J900" s="7" t="s">
        <v>107</v>
      </c>
      <c r="K900" s="7" t="s">
        <v>485</v>
      </c>
      <c r="L900" s="7" t="n">
        <v>11</v>
      </c>
      <c r="M900" s="10" t="b">
        <f aca="false">FALSE()</f>
        <v>0</v>
      </c>
      <c r="N900" s="7" t="s">
        <v>109</v>
      </c>
      <c r="O900" s="7" t="n">
        <v>-35.064561</v>
      </c>
      <c r="P900" s="7" t="n">
        <v>148.107516</v>
      </c>
    </row>
    <row r="901" customFormat="false" ht="15" hidden="false" customHeight="false" outlineLevel="0" collapsed="false">
      <c r="A901" s="7" t="n">
        <v>900</v>
      </c>
      <c r="B901" s="7"/>
      <c r="C901" s="7" t="s">
        <v>1142</v>
      </c>
      <c r="D901" s="7" t="n">
        <v>2036</v>
      </c>
      <c r="E901" s="7" t="s">
        <v>50</v>
      </c>
      <c r="F901" s="10" t="b">
        <f aca="false">FALSE()</f>
        <v>0</v>
      </c>
      <c r="G901" s="7" t="s">
        <v>355</v>
      </c>
      <c r="H901" s="7" t="s">
        <v>244</v>
      </c>
      <c r="I901" s="7" t="n">
        <v>2</v>
      </c>
      <c r="J901" s="7" t="s">
        <v>71</v>
      </c>
      <c r="K901" s="7" t="s">
        <v>83</v>
      </c>
      <c r="L901" s="7" t="n">
        <v>75</v>
      </c>
      <c r="M901" s="10" t="b">
        <f aca="false">FALSE()</f>
        <v>0</v>
      </c>
      <c r="N901" s="7" t="s">
        <v>76</v>
      </c>
      <c r="O901" s="7" t="n">
        <v>-33.961167</v>
      </c>
      <c r="P901" s="7" t="n">
        <v>151.248851</v>
      </c>
    </row>
    <row r="902" customFormat="false" ht="15" hidden="false" customHeight="false" outlineLevel="0" collapsed="false">
      <c r="A902" s="7" t="n">
        <v>901</v>
      </c>
      <c r="B902" s="7"/>
      <c r="C902" s="7" t="s">
        <v>1143</v>
      </c>
      <c r="D902" s="7" t="n">
        <v>2481</v>
      </c>
      <c r="E902" s="7" t="s">
        <v>50</v>
      </c>
      <c r="F902" s="10" t="b">
        <f aca="false">FALSE()</f>
        <v>0</v>
      </c>
      <c r="G902" s="7" t="s">
        <v>82</v>
      </c>
      <c r="H902" s="7" t="s">
        <v>237</v>
      </c>
      <c r="I902" s="7" t="n">
        <v>2</v>
      </c>
      <c r="J902" s="7" t="s">
        <v>107</v>
      </c>
      <c r="K902" s="7" t="s">
        <v>108</v>
      </c>
      <c r="L902" s="7" t="n">
        <v>22</v>
      </c>
      <c r="M902" s="10" t="b">
        <f aca="false">FALSE()</f>
        <v>0</v>
      </c>
      <c r="N902" s="7" t="s">
        <v>109</v>
      </c>
      <c r="O902" s="7" t="n">
        <v>-28.63008</v>
      </c>
      <c r="P902" s="7" t="n">
        <v>153.581082</v>
      </c>
    </row>
    <row r="903" customFormat="false" ht="15" hidden="false" customHeight="false" outlineLevel="0" collapsed="false">
      <c r="A903" s="7" t="n">
        <v>902</v>
      </c>
      <c r="B903" s="7"/>
      <c r="C903" s="7" t="s">
        <v>1144</v>
      </c>
      <c r="D903" s="7" t="n">
        <v>2020</v>
      </c>
      <c r="E903" s="7" t="s">
        <v>50</v>
      </c>
      <c r="F903" s="10" t="b">
        <f aca="false">FALSE()</f>
        <v>0</v>
      </c>
      <c r="G903" s="7" t="s">
        <v>182</v>
      </c>
      <c r="H903" s="7" t="s">
        <v>287</v>
      </c>
      <c r="I903" s="7" t="n">
        <v>2</v>
      </c>
      <c r="J903" s="7" t="s">
        <v>71</v>
      </c>
      <c r="K903" s="7" t="s">
        <v>288</v>
      </c>
      <c r="L903" s="7" t="n">
        <v>25</v>
      </c>
      <c r="M903" s="10" t="b">
        <f aca="false">FALSE()</f>
        <v>0</v>
      </c>
      <c r="N903" s="7" t="s">
        <v>76</v>
      </c>
      <c r="O903" s="7" t="n">
        <v>-33.920494</v>
      </c>
      <c r="P903" s="7" t="n">
        <v>151.19075</v>
      </c>
    </row>
    <row r="904" customFormat="false" ht="15" hidden="false" customHeight="false" outlineLevel="0" collapsed="false">
      <c r="A904" s="7" t="n">
        <v>903</v>
      </c>
      <c r="B904" s="7"/>
      <c r="C904" s="7" t="s">
        <v>1144</v>
      </c>
      <c r="D904" s="7" t="n">
        <v>2020</v>
      </c>
      <c r="E904" s="7" t="s">
        <v>50</v>
      </c>
      <c r="F904" s="10" t="b">
        <f aca="false">FALSE()</f>
        <v>0</v>
      </c>
      <c r="G904" s="7" t="s">
        <v>182</v>
      </c>
      <c r="H904" s="7" t="s">
        <v>287</v>
      </c>
      <c r="I904" s="7" t="n">
        <v>2</v>
      </c>
      <c r="J904" s="7" t="s">
        <v>71</v>
      </c>
      <c r="K904" s="7" t="s">
        <v>288</v>
      </c>
      <c r="L904" s="7" t="n">
        <v>25</v>
      </c>
      <c r="M904" s="10" t="b">
        <f aca="false">FALSE()</f>
        <v>0</v>
      </c>
      <c r="N904" s="7" t="s">
        <v>76</v>
      </c>
      <c r="O904" s="7" t="n">
        <v>-33.920594</v>
      </c>
      <c r="P904" s="7" t="n">
        <v>151.191474</v>
      </c>
    </row>
    <row r="905" customFormat="false" ht="15" hidden="false" customHeight="false" outlineLevel="0" collapsed="false">
      <c r="A905" s="7" t="n">
        <v>904</v>
      </c>
      <c r="B905" s="7"/>
      <c r="C905" s="7" t="s">
        <v>1145</v>
      </c>
      <c r="D905" s="7" t="n">
        <v>2263</v>
      </c>
      <c r="E905" s="7" t="s">
        <v>50</v>
      </c>
      <c r="F905" s="10" t="b">
        <f aca="false">FALSE()</f>
        <v>0</v>
      </c>
      <c r="G905" s="7" t="s">
        <v>276</v>
      </c>
      <c r="H905" s="7" t="s">
        <v>237</v>
      </c>
      <c r="I905" s="7" t="n">
        <v>2</v>
      </c>
      <c r="J905" s="7" t="s">
        <v>107</v>
      </c>
      <c r="K905" s="7" t="s">
        <v>108</v>
      </c>
      <c r="L905" s="7" t="n">
        <v>22</v>
      </c>
      <c r="M905" s="10" t="b">
        <f aca="false">FALSE()</f>
        <v>0</v>
      </c>
      <c r="N905" s="7" t="s">
        <v>109</v>
      </c>
      <c r="O905" s="7" t="n">
        <v>-33.240402</v>
      </c>
      <c r="P905" s="7" t="n">
        <v>151.503872</v>
      </c>
    </row>
    <row r="906" customFormat="false" ht="15" hidden="false" customHeight="false" outlineLevel="0" collapsed="false">
      <c r="A906" s="7" t="n">
        <v>905</v>
      </c>
      <c r="B906" s="7"/>
      <c r="C906" s="7" t="s">
        <v>1146</v>
      </c>
      <c r="D906" s="7" t="n">
        <v>2753</v>
      </c>
      <c r="E906" s="7" t="s">
        <v>50</v>
      </c>
      <c r="F906" s="10" t="b">
        <f aca="false">FALSE()</f>
        <v>0</v>
      </c>
      <c r="G906" s="7" t="s">
        <v>566</v>
      </c>
      <c r="H906" s="7" t="s">
        <v>1147</v>
      </c>
      <c r="I906" s="7" t="n">
        <v>1</v>
      </c>
      <c r="J906" s="7" t="s">
        <v>107</v>
      </c>
      <c r="K906" s="7" t="s">
        <v>485</v>
      </c>
      <c r="L906" s="7" t="n">
        <v>11</v>
      </c>
      <c r="M906" s="10" t="b">
        <f aca="false">FALSE()</f>
        <v>0</v>
      </c>
      <c r="N906" s="7" t="s">
        <v>109</v>
      </c>
      <c r="O906" s="7" t="n">
        <v>-33.582392</v>
      </c>
      <c r="P906" s="7" t="n">
        <v>150.633566</v>
      </c>
    </row>
    <row r="907" customFormat="false" ht="15" hidden="false" customHeight="false" outlineLevel="0" collapsed="false">
      <c r="A907" s="7" t="n">
        <v>906</v>
      </c>
      <c r="B907" s="7"/>
      <c r="C907" s="7" t="s">
        <v>1148</v>
      </c>
      <c r="D907" s="7" t="n">
        <v>2582</v>
      </c>
      <c r="E907" s="7" t="s">
        <v>50</v>
      </c>
      <c r="F907" s="10" t="b">
        <f aca="false">FALSE()</f>
        <v>0</v>
      </c>
      <c r="G907" s="7" t="s">
        <v>153</v>
      </c>
      <c r="H907" s="7" t="s">
        <v>758</v>
      </c>
      <c r="I907" s="7" t="n">
        <v>1</v>
      </c>
      <c r="J907" s="7" t="s">
        <v>107</v>
      </c>
      <c r="K907" s="7" t="s">
        <v>485</v>
      </c>
      <c r="L907" s="7" t="n">
        <v>11</v>
      </c>
      <c r="M907" s="10" t="b">
        <f aca="false">FALSE()</f>
        <v>0</v>
      </c>
      <c r="N907" s="7" t="s">
        <v>109</v>
      </c>
      <c r="O907" s="7" t="n">
        <v>-34.977876</v>
      </c>
      <c r="P907" s="7" t="n">
        <v>149.008434</v>
      </c>
    </row>
    <row r="908" customFormat="false" ht="15" hidden="false" customHeight="false" outlineLevel="0" collapsed="false">
      <c r="A908" s="7" t="n">
        <v>907</v>
      </c>
      <c r="B908" s="7"/>
      <c r="C908" s="7" t="s">
        <v>1149</v>
      </c>
      <c r="D908" s="7" t="n">
        <v>2485</v>
      </c>
      <c r="E908" s="7" t="s">
        <v>50</v>
      </c>
      <c r="F908" s="10" t="b">
        <f aca="false">FALSE()</f>
        <v>0</v>
      </c>
      <c r="G908" s="7" t="s">
        <v>164</v>
      </c>
      <c r="H908" s="7" t="s">
        <v>237</v>
      </c>
      <c r="I908" s="7" t="n">
        <v>2</v>
      </c>
      <c r="J908" s="7" t="s">
        <v>107</v>
      </c>
      <c r="K908" s="7" t="s">
        <v>108</v>
      </c>
      <c r="L908" s="7" t="n">
        <v>22</v>
      </c>
      <c r="M908" s="10" t="b">
        <f aca="false">FALSE()</f>
        <v>0</v>
      </c>
      <c r="N908" s="7" t="s">
        <v>109</v>
      </c>
      <c r="O908" s="7" t="n">
        <v>-28.168726</v>
      </c>
      <c r="P908" s="7" t="n">
        <v>153.543055</v>
      </c>
    </row>
    <row r="909" customFormat="false" ht="15" hidden="false" customHeight="false" outlineLevel="0" collapsed="false">
      <c r="A909" s="7" t="n">
        <v>908</v>
      </c>
      <c r="B909" s="7"/>
      <c r="C909" s="7" t="s">
        <v>1150</v>
      </c>
      <c r="D909" s="7" t="n">
        <v>2320</v>
      </c>
      <c r="E909" s="7" t="s">
        <v>50</v>
      </c>
      <c r="F909" s="10" t="b">
        <f aca="false">FALSE()</f>
        <v>0</v>
      </c>
      <c r="G909" s="7" t="s">
        <v>111</v>
      </c>
      <c r="H909" s="7" t="s">
        <v>758</v>
      </c>
      <c r="I909" s="7" t="n">
        <v>2</v>
      </c>
      <c r="J909" s="7" t="s">
        <v>107</v>
      </c>
      <c r="K909" s="7" t="s">
        <v>485</v>
      </c>
      <c r="L909" s="7" t="n">
        <v>11</v>
      </c>
      <c r="M909" s="10" t="b">
        <f aca="false">FALSE()</f>
        <v>0</v>
      </c>
      <c r="N909" s="7" t="s">
        <v>109</v>
      </c>
      <c r="O909" s="7" t="n">
        <v>-32.777427</v>
      </c>
      <c r="P909" s="7" t="n">
        <v>151.314888</v>
      </c>
    </row>
    <row r="910" customFormat="false" ht="15" hidden="false" customHeight="false" outlineLevel="0" collapsed="false">
      <c r="A910" s="7" t="n">
        <v>909</v>
      </c>
      <c r="B910" s="7"/>
      <c r="C910" s="7" t="s">
        <v>1151</v>
      </c>
      <c r="D910" s="7" t="n">
        <v>2529</v>
      </c>
      <c r="E910" s="7" t="s">
        <v>50</v>
      </c>
      <c r="F910" s="10" t="b">
        <f aca="false">FALSE()</f>
        <v>0</v>
      </c>
      <c r="G910" s="7" t="s">
        <v>316</v>
      </c>
      <c r="H910" s="7" t="s">
        <v>237</v>
      </c>
      <c r="I910" s="7" t="n">
        <v>2</v>
      </c>
      <c r="J910" s="7" t="s">
        <v>71</v>
      </c>
      <c r="K910" s="7" t="s">
        <v>378</v>
      </c>
      <c r="L910" s="7" t="n">
        <v>350</v>
      </c>
      <c r="M910" s="10" t="b">
        <f aca="false">FALSE()</f>
        <v>0</v>
      </c>
      <c r="N910" s="7" t="s">
        <v>76</v>
      </c>
      <c r="O910" s="7" t="n">
        <v>-34.5886</v>
      </c>
      <c r="P910" s="7" t="n">
        <v>150.866113</v>
      </c>
    </row>
    <row r="911" customFormat="false" ht="15" hidden="false" customHeight="false" outlineLevel="0" collapsed="false">
      <c r="A911" s="7" t="n">
        <v>910</v>
      </c>
      <c r="B911" s="7"/>
      <c r="C911" s="7" t="s">
        <v>1152</v>
      </c>
      <c r="D911" s="7" t="n">
        <v>2142</v>
      </c>
      <c r="E911" s="7" t="s">
        <v>50</v>
      </c>
      <c r="F911" s="10" t="b">
        <f aca="false">FALSE()</f>
        <v>0</v>
      </c>
      <c r="G911" s="7" t="s">
        <v>202</v>
      </c>
      <c r="H911" s="7" t="s">
        <v>233</v>
      </c>
      <c r="I911" s="7" t="n">
        <v>4</v>
      </c>
      <c r="J911" s="7" t="s">
        <v>71</v>
      </c>
      <c r="K911" s="7" t="s">
        <v>234</v>
      </c>
      <c r="L911" s="7" t="n">
        <v>150</v>
      </c>
      <c r="M911" s="10" t="b">
        <f aca="false">FALSE()</f>
        <v>0</v>
      </c>
      <c r="N911" s="7" t="s">
        <v>76</v>
      </c>
      <c r="O911" s="7" t="n">
        <v>-33.819614</v>
      </c>
      <c r="P911" s="7" t="n">
        <v>151.021346</v>
      </c>
    </row>
    <row r="912" customFormat="false" ht="15" hidden="false" customHeight="false" outlineLevel="0" collapsed="false">
      <c r="A912" s="7" t="n">
        <v>911</v>
      </c>
      <c r="B912" s="7"/>
      <c r="C912" s="7" t="s">
        <v>1153</v>
      </c>
      <c r="D912" s="7" t="n">
        <v>2142</v>
      </c>
      <c r="E912" s="7" t="s">
        <v>50</v>
      </c>
      <c r="F912" s="10" t="b">
        <f aca="false">FALSE()</f>
        <v>0</v>
      </c>
      <c r="G912" s="7" t="s">
        <v>202</v>
      </c>
      <c r="H912" s="7" t="s">
        <v>233</v>
      </c>
      <c r="I912" s="7" t="n">
        <v>4</v>
      </c>
      <c r="J912" s="7" t="s">
        <v>71</v>
      </c>
      <c r="K912" s="7" t="s">
        <v>234</v>
      </c>
      <c r="L912" s="7" t="n">
        <v>150</v>
      </c>
      <c r="M912" s="10" t="b">
        <f aca="false">FALSE()</f>
        <v>0</v>
      </c>
      <c r="N912" s="7" t="s">
        <v>76</v>
      </c>
      <c r="O912" s="7" t="n">
        <v>-33.819689</v>
      </c>
      <c r="P912" s="7" t="n">
        <v>151.021302</v>
      </c>
    </row>
    <row r="913" customFormat="false" ht="15" hidden="false" customHeight="false" outlineLevel="0" collapsed="false">
      <c r="A913" s="7" t="n">
        <v>912</v>
      </c>
      <c r="B913" s="7"/>
      <c r="C913" s="7" t="s">
        <v>1154</v>
      </c>
      <c r="D913" s="7" t="n">
        <v>2260</v>
      </c>
      <c r="E913" s="7" t="s">
        <v>50</v>
      </c>
      <c r="F913" s="10" t="b">
        <f aca="false">FALSE()</f>
        <v>0</v>
      </c>
      <c r="G913" s="7" t="s">
        <v>276</v>
      </c>
      <c r="H913" s="7" t="s">
        <v>230</v>
      </c>
      <c r="I913" s="7" t="n">
        <v>2</v>
      </c>
      <c r="J913" s="7" t="s">
        <v>107</v>
      </c>
      <c r="K913" s="7" t="s">
        <v>352</v>
      </c>
      <c r="L913" s="7" t="n">
        <v>23</v>
      </c>
      <c r="M913" s="10" t="b">
        <f aca="false">FALSE()</f>
        <v>0</v>
      </c>
      <c r="N913" s="7" t="s">
        <v>109</v>
      </c>
      <c r="O913" s="7" t="n">
        <v>-33.441337</v>
      </c>
      <c r="P913" s="7" t="n">
        <v>151.439255</v>
      </c>
    </row>
    <row r="914" customFormat="false" ht="15" hidden="false" customHeight="false" outlineLevel="0" collapsed="false">
      <c r="A914" s="7" t="n">
        <v>913</v>
      </c>
      <c r="B914" s="7"/>
      <c r="C914" s="7" t="s">
        <v>1155</v>
      </c>
      <c r="D914" s="7" t="n">
        <v>2515</v>
      </c>
      <c r="E914" s="7" t="s">
        <v>50</v>
      </c>
      <c r="F914" s="10" t="b">
        <f aca="false">FALSE()</f>
        <v>0</v>
      </c>
      <c r="G914" s="7" t="s">
        <v>102</v>
      </c>
      <c r="H914" s="7" t="s">
        <v>302</v>
      </c>
      <c r="I914" s="7" t="n">
        <v>2</v>
      </c>
      <c r="J914" s="7" t="s">
        <v>107</v>
      </c>
      <c r="K914" s="7" t="s">
        <v>108</v>
      </c>
      <c r="L914" s="7" t="n">
        <v>22</v>
      </c>
      <c r="M914" s="10" t="b">
        <f aca="false">FALSE()</f>
        <v>0</v>
      </c>
      <c r="N914" s="7" t="s">
        <v>109</v>
      </c>
      <c r="O914" s="7" t="n">
        <v>-34.300896</v>
      </c>
      <c r="P914" s="7" t="n">
        <v>150.93961</v>
      </c>
    </row>
    <row r="915" customFormat="false" ht="15" hidden="false" customHeight="false" outlineLevel="0" collapsed="false">
      <c r="A915" s="7" t="n">
        <v>914</v>
      </c>
      <c r="B915" s="7"/>
      <c r="C915" s="7" t="s">
        <v>1156</v>
      </c>
      <c r="D915" s="7" t="n">
        <v>2174</v>
      </c>
      <c r="E915" s="7" t="s">
        <v>50</v>
      </c>
      <c r="F915" s="10" t="b">
        <f aca="false">FALSE()</f>
        <v>0</v>
      </c>
      <c r="G915" s="7" t="s">
        <v>130</v>
      </c>
      <c r="H915" s="7" t="s">
        <v>237</v>
      </c>
      <c r="I915" s="7" t="n">
        <v>10</v>
      </c>
      <c r="J915" s="7" t="s">
        <v>107</v>
      </c>
      <c r="K915" s="7" t="s">
        <v>277</v>
      </c>
      <c r="L915" s="7" t="n">
        <v>6</v>
      </c>
      <c r="M915" s="10" t="b">
        <f aca="false">FALSE()</f>
        <v>0</v>
      </c>
      <c r="N915" s="7" t="s">
        <v>109</v>
      </c>
      <c r="O915" s="7" t="n">
        <v>-33.969459</v>
      </c>
      <c r="P915" s="7" t="n">
        <v>150.856387</v>
      </c>
    </row>
    <row r="916" customFormat="false" ht="15" hidden="false" customHeight="false" outlineLevel="0" collapsed="false">
      <c r="A916" s="7" t="n">
        <v>915</v>
      </c>
      <c r="B916" s="7"/>
      <c r="C916" s="7" t="s">
        <v>1157</v>
      </c>
      <c r="D916" s="7" t="n">
        <v>2736</v>
      </c>
      <c r="E916" s="7" t="s">
        <v>50</v>
      </c>
      <c r="F916" s="10" t="b">
        <f aca="false">FALSE()</f>
        <v>0</v>
      </c>
      <c r="G916" s="7" t="s">
        <v>914</v>
      </c>
      <c r="H916" s="7" t="s">
        <v>398</v>
      </c>
      <c r="I916" s="7" t="n">
        <v>8</v>
      </c>
      <c r="J916" s="7" t="s">
        <v>107</v>
      </c>
      <c r="K916" s="7" t="s">
        <v>108</v>
      </c>
      <c r="L916" s="7" t="n">
        <v>22</v>
      </c>
      <c r="M916" s="10" t="b">
        <f aca="false">FALSE()</f>
        <v>0</v>
      </c>
      <c r="N916" s="7" t="s">
        <v>109</v>
      </c>
      <c r="O916" s="7" t="n">
        <v>-35.024235</v>
      </c>
      <c r="P916" s="7" t="n">
        <v>143.336707</v>
      </c>
    </row>
    <row r="917" customFormat="false" ht="15" hidden="false" customHeight="false" outlineLevel="0" collapsed="false">
      <c r="A917" s="7" t="n">
        <v>916</v>
      </c>
      <c r="B917" s="7"/>
      <c r="C917" s="7" t="s">
        <v>1158</v>
      </c>
      <c r="D917" s="7" t="n">
        <v>2320</v>
      </c>
      <c r="E917" s="7" t="s">
        <v>50</v>
      </c>
      <c r="F917" s="10" t="b">
        <f aca="false">FALSE()</f>
        <v>0</v>
      </c>
      <c r="G917" s="7" t="s">
        <v>336</v>
      </c>
      <c r="H917" s="7" t="s">
        <v>239</v>
      </c>
      <c r="I917" s="7" t="n">
        <v>2</v>
      </c>
      <c r="J917" s="7" t="s">
        <v>107</v>
      </c>
      <c r="K917" s="7" t="s">
        <v>588</v>
      </c>
      <c r="L917" s="7" t="n">
        <v>17</v>
      </c>
      <c r="M917" s="10" t="b">
        <f aca="false">FALSE()</f>
        <v>0</v>
      </c>
      <c r="N917" s="7" t="s">
        <v>109</v>
      </c>
      <c r="O917" s="7" t="n">
        <v>-32.727751</v>
      </c>
      <c r="P917" s="7" t="n">
        <v>151.260613</v>
      </c>
    </row>
    <row r="918" customFormat="false" ht="15" hidden="false" customHeight="false" outlineLevel="0" collapsed="false">
      <c r="A918" s="7" t="n">
        <v>917</v>
      </c>
      <c r="B918" s="7"/>
      <c r="C918" s="7" t="s">
        <v>1159</v>
      </c>
      <c r="D918" s="7" t="n">
        <v>2320</v>
      </c>
      <c r="E918" s="7" t="s">
        <v>50</v>
      </c>
      <c r="F918" s="10" t="b">
        <f aca="false">FALSE()</f>
        <v>0</v>
      </c>
      <c r="G918" s="7" t="s">
        <v>336</v>
      </c>
      <c r="H918" s="7" t="s">
        <v>758</v>
      </c>
      <c r="I918" s="7" t="n">
        <v>1</v>
      </c>
      <c r="J918" s="7" t="s">
        <v>107</v>
      </c>
      <c r="K918" s="7" t="s">
        <v>485</v>
      </c>
      <c r="L918" s="7" t="n">
        <v>11</v>
      </c>
      <c r="M918" s="10" t="b">
        <f aca="false">FALSE()</f>
        <v>0</v>
      </c>
      <c r="N918" s="7" t="s">
        <v>109</v>
      </c>
      <c r="O918" s="7" t="n">
        <v>-32.734671</v>
      </c>
      <c r="P918" s="7" t="n">
        <v>151.262485</v>
      </c>
    </row>
    <row r="919" customFormat="false" ht="15" hidden="false" customHeight="false" outlineLevel="0" collapsed="false">
      <c r="A919" s="7" t="n">
        <v>918</v>
      </c>
      <c r="B919" s="7"/>
      <c r="C919" s="7" t="s">
        <v>1160</v>
      </c>
      <c r="D919" s="7" t="n">
        <v>2557</v>
      </c>
      <c r="E919" s="7" t="s">
        <v>50</v>
      </c>
      <c r="F919" s="10" t="b">
        <f aca="false">FALSE()</f>
        <v>0</v>
      </c>
      <c r="G919" s="7" t="s">
        <v>338</v>
      </c>
      <c r="H919" s="7" t="s">
        <v>260</v>
      </c>
      <c r="I919" s="7" t="n">
        <v>4</v>
      </c>
      <c r="J919" s="7" t="s">
        <v>71</v>
      </c>
      <c r="K919" s="7" t="s">
        <v>234</v>
      </c>
      <c r="L919" s="7" t="n">
        <v>150</v>
      </c>
      <c r="M919" s="10" t="b">
        <f aca="false">FALSE()</f>
        <v>0</v>
      </c>
      <c r="N919" s="7" t="s">
        <v>76</v>
      </c>
      <c r="O919" s="7" t="n">
        <v>-34.020302</v>
      </c>
      <c r="P919" s="7" t="n">
        <v>150.763456</v>
      </c>
    </row>
    <row r="920" customFormat="false" ht="15" hidden="false" customHeight="false" outlineLevel="0" collapsed="false">
      <c r="A920" s="7" t="n">
        <v>919</v>
      </c>
      <c r="B920" s="7"/>
      <c r="C920" s="7" t="s">
        <v>1161</v>
      </c>
      <c r="D920" s="7" t="n">
        <v>2576</v>
      </c>
      <c r="E920" s="7" t="s">
        <v>50</v>
      </c>
      <c r="F920" s="10" t="b">
        <f aca="false">FALSE()</f>
        <v>0</v>
      </c>
      <c r="G920" s="7" t="s">
        <v>161</v>
      </c>
      <c r="H920" s="7" t="s">
        <v>758</v>
      </c>
      <c r="I920" s="7" t="n">
        <v>1</v>
      </c>
      <c r="J920" s="7" t="s">
        <v>107</v>
      </c>
      <c r="K920" s="7" t="s">
        <v>485</v>
      </c>
      <c r="L920" s="7" t="n">
        <v>11</v>
      </c>
      <c r="M920" s="10" t="b">
        <f aca="false">FALSE()</f>
        <v>0</v>
      </c>
      <c r="N920" s="7" t="s">
        <v>109</v>
      </c>
      <c r="O920" s="7" t="n">
        <v>-34.498907</v>
      </c>
      <c r="P920" s="7" t="n">
        <v>150.481616</v>
      </c>
    </row>
    <row r="921" customFormat="false" ht="15" hidden="false" customHeight="false" outlineLevel="0" collapsed="false">
      <c r="A921" s="7" t="n">
        <v>920</v>
      </c>
      <c r="B921" s="7"/>
      <c r="C921" s="7" t="s">
        <v>1162</v>
      </c>
      <c r="D921" s="7" t="n">
        <v>2500</v>
      </c>
      <c r="E921" s="7" t="s">
        <v>50</v>
      </c>
      <c r="F921" s="10" t="b">
        <f aca="false">FALSE()</f>
        <v>0</v>
      </c>
      <c r="G921" s="7" t="s">
        <v>102</v>
      </c>
      <c r="H921" s="7" t="s">
        <v>237</v>
      </c>
      <c r="I921" s="7" t="n">
        <v>3</v>
      </c>
      <c r="J921" s="7" t="s">
        <v>71</v>
      </c>
      <c r="K921" s="7" t="s">
        <v>90</v>
      </c>
      <c r="L921" s="7" t="n">
        <v>180</v>
      </c>
      <c r="M921" s="10" t="b">
        <f aca="false">FALSE()</f>
        <v>0</v>
      </c>
      <c r="N921" s="7" t="s">
        <v>76</v>
      </c>
      <c r="O921" s="7" t="n">
        <v>-34.400085</v>
      </c>
      <c r="P921" s="7" t="n">
        <v>150.899631</v>
      </c>
    </row>
    <row r="922" customFormat="false" ht="15" hidden="false" customHeight="false" outlineLevel="0" collapsed="false">
      <c r="A922" s="7" t="n">
        <v>921</v>
      </c>
      <c r="B922" s="7"/>
      <c r="C922" s="7" t="s">
        <v>1163</v>
      </c>
      <c r="D922" s="7" t="n">
        <v>2138</v>
      </c>
      <c r="E922" s="7" t="s">
        <v>50</v>
      </c>
      <c r="F922" s="10" t="b">
        <f aca="false">FALSE()</f>
        <v>0</v>
      </c>
      <c r="G922" s="7" t="s">
        <v>297</v>
      </c>
      <c r="H922" s="7" t="s">
        <v>237</v>
      </c>
      <c r="I922" s="7" t="n">
        <v>3</v>
      </c>
      <c r="J922" s="7" t="s">
        <v>107</v>
      </c>
      <c r="K922" s="7" t="s">
        <v>108</v>
      </c>
      <c r="L922" s="7" t="n">
        <v>22</v>
      </c>
      <c r="M922" s="10" t="b">
        <f aca="false">FALSE()</f>
        <v>0</v>
      </c>
      <c r="N922" s="7" t="s">
        <v>109</v>
      </c>
      <c r="O922" s="7" t="n">
        <v>-33.835294</v>
      </c>
      <c r="P922" s="7" t="n">
        <v>151.084431</v>
      </c>
    </row>
    <row r="923" customFormat="false" ht="15" hidden="false" customHeight="false" outlineLevel="0" collapsed="false">
      <c r="A923" s="7" t="n">
        <v>922</v>
      </c>
      <c r="B923" s="7"/>
      <c r="C923" s="7" t="s">
        <v>1164</v>
      </c>
      <c r="D923" s="7" t="n">
        <v>2077</v>
      </c>
      <c r="E923" s="7" t="s">
        <v>50</v>
      </c>
      <c r="F923" s="10" t="b">
        <f aca="false">FALSE()</f>
        <v>0</v>
      </c>
      <c r="G923" s="7" t="s">
        <v>340</v>
      </c>
      <c r="H923" s="7" t="s">
        <v>233</v>
      </c>
      <c r="I923" s="7" t="n">
        <v>2</v>
      </c>
      <c r="J923" s="7" t="s">
        <v>71</v>
      </c>
      <c r="K923" s="7" t="s">
        <v>83</v>
      </c>
      <c r="L923" s="7" t="n">
        <v>75</v>
      </c>
      <c r="M923" s="10" t="b">
        <f aca="false">FALSE()</f>
        <v>0</v>
      </c>
      <c r="N923" s="7" t="s">
        <v>76</v>
      </c>
      <c r="O923" s="7" t="n">
        <v>-33.689974</v>
      </c>
      <c r="P923" s="7" t="n">
        <v>151.106169</v>
      </c>
    </row>
    <row r="924" customFormat="false" ht="15" hidden="false" customHeight="false" outlineLevel="0" collapsed="false">
      <c r="A924" s="7" t="n">
        <v>923</v>
      </c>
      <c r="B924" s="7"/>
      <c r="C924" s="7" t="s">
        <v>1165</v>
      </c>
      <c r="D924" s="7" t="n">
        <v>2322</v>
      </c>
      <c r="E924" s="7" t="s">
        <v>50</v>
      </c>
      <c r="F924" s="10" t="b">
        <f aca="false">FALSE()</f>
        <v>0</v>
      </c>
      <c r="G924" s="7" t="s">
        <v>141</v>
      </c>
      <c r="H924" s="7" t="s">
        <v>233</v>
      </c>
      <c r="I924" s="7" t="n">
        <v>2</v>
      </c>
      <c r="J924" s="7" t="s">
        <v>71</v>
      </c>
      <c r="K924" s="7" t="s">
        <v>83</v>
      </c>
      <c r="L924" s="7" t="n">
        <v>75</v>
      </c>
      <c r="M924" s="10" t="b">
        <f aca="false">FALSE()</f>
        <v>0</v>
      </c>
      <c r="N924" s="7" t="s">
        <v>76</v>
      </c>
      <c r="O924" s="7" t="n">
        <v>-32.81194</v>
      </c>
      <c r="P924" s="7" t="n">
        <v>151.639468</v>
      </c>
    </row>
    <row r="925" customFormat="false" ht="15" hidden="false" customHeight="false" outlineLevel="0" collapsed="false">
      <c r="A925" s="7" t="n">
        <v>924</v>
      </c>
      <c r="B925" s="7"/>
      <c r="C925" s="7" t="s">
        <v>1166</v>
      </c>
      <c r="D925" s="7" t="n">
        <v>2300</v>
      </c>
      <c r="E925" s="7" t="s">
        <v>50</v>
      </c>
      <c r="F925" s="10" t="b">
        <f aca="false">FALSE()</f>
        <v>0</v>
      </c>
      <c r="G925" s="7" t="s">
        <v>141</v>
      </c>
      <c r="H925" s="7" t="s">
        <v>758</v>
      </c>
      <c r="I925" s="7" t="n">
        <v>2</v>
      </c>
      <c r="J925" s="7" t="s">
        <v>107</v>
      </c>
      <c r="K925" s="7" t="s">
        <v>485</v>
      </c>
      <c r="L925" s="7" t="n">
        <v>11</v>
      </c>
      <c r="M925" s="10" t="b">
        <f aca="false">FALSE()</f>
        <v>0</v>
      </c>
      <c r="N925" s="7" t="s">
        <v>109</v>
      </c>
      <c r="O925" s="7" t="n">
        <v>-32.927461</v>
      </c>
      <c r="P925" s="7" t="n">
        <v>151.779055</v>
      </c>
    </row>
    <row r="926" customFormat="false" ht="15" hidden="false" customHeight="false" outlineLevel="0" collapsed="false">
      <c r="A926" s="7" t="n">
        <v>925</v>
      </c>
      <c r="B926" s="7"/>
      <c r="C926" s="7" t="s">
        <v>1167</v>
      </c>
      <c r="D926" s="7" t="n">
        <v>2287</v>
      </c>
      <c r="E926" s="7" t="s">
        <v>50</v>
      </c>
      <c r="F926" s="10" t="b">
        <f aca="false">FALSE()</f>
        <v>0</v>
      </c>
      <c r="G926" s="7" t="s">
        <v>141</v>
      </c>
      <c r="H926" s="7" t="s">
        <v>239</v>
      </c>
      <c r="I926" s="7" t="n">
        <v>2</v>
      </c>
      <c r="J926" s="7" t="s">
        <v>107</v>
      </c>
      <c r="K926" s="7" t="s">
        <v>108</v>
      </c>
      <c r="L926" s="7" t="n">
        <v>22</v>
      </c>
      <c r="M926" s="10" t="b">
        <f aca="false">FALSE()</f>
        <v>0</v>
      </c>
      <c r="N926" s="7" t="s">
        <v>109</v>
      </c>
      <c r="O926" s="7" t="n">
        <v>-32.90263</v>
      </c>
      <c r="P926" s="7" t="n">
        <v>151.667621</v>
      </c>
    </row>
    <row r="927" customFormat="false" ht="15" hidden="false" customHeight="false" outlineLevel="0" collapsed="false">
      <c r="A927" s="7" t="n">
        <v>926</v>
      </c>
      <c r="B927" s="7"/>
      <c r="C927" s="7" t="s">
        <v>1168</v>
      </c>
      <c r="D927" s="7" t="n">
        <v>2229</v>
      </c>
      <c r="E927" s="7" t="s">
        <v>50</v>
      </c>
      <c r="F927" s="10" t="b">
        <f aca="false">FALSE()</f>
        <v>0</v>
      </c>
      <c r="G927" s="7" t="s">
        <v>628</v>
      </c>
      <c r="H927" s="7" t="s">
        <v>260</v>
      </c>
      <c r="I927" s="7" t="n">
        <v>2</v>
      </c>
      <c r="J927" s="7" t="s">
        <v>71</v>
      </c>
      <c r="K927" s="7" t="s">
        <v>72</v>
      </c>
      <c r="L927" s="7" t="n">
        <v>50</v>
      </c>
      <c r="M927" s="10" t="b">
        <f aca="false">FALSE()</f>
        <v>0</v>
      </c>
      <c r="N927" s="7" t="s">
        <v>76</v>
      </c>
      <c r="O927" s="7" t="n">
        <v>-34.027857</v>
      </c>
      <c r="P927" s="7" t="n">
        <v>151.121785</v>
      </c>
    </row>
    <row r="928" customFormat="false" ht="15" hidden="false" customHeight="false" outlineLevel="0" collapsed="false">
      <c r="A928" s="7" t="n">
        <v>927</v>
      </c>
      <c r="B928" s="7"/>
      <c r="C928" s="7" t="s">
        <v>1169</v>
      </c>
      <c r="D928" s="7" t="n">
        <v>2548</v>
      </c>
      <c r="E928" s="7" t="s">
        <v>50</v>
      </c>
      <c r="F928" s="10" t="b">
        <f aca="false">FALSE()</f>
        <v>0</v>
      </c>
      <c r="G928" s="7" t="s">
        <v>188</v>
      </c>
      <c r="H928" s="7" t="s">
        <v>230</v>
      </c>
      <c r="I928" s="7" t="n">
        <v>2</v>
      </c>
      <c r="J928" s="7" t="s">
        <v>107</v>
      </c>
      <c r="K928" s="7" t="s">
        <v>108</v>
      </c>
      <c r="L928" s="7" t="n">
        <v>22</v>
      </c>
      <c r="M928" s="10" t="b">
        <f aca="false">FALSE()</f>
        <v>0</v>
      </c>
      <c r="N928" s="7" t="s">
        <v>109</v>
      </c>
      <c r="O928" s="7" t="n">
        <v>-36.884144</v>
      </c>
      <c r="P928" s="7" t="n">
        <v>149.903294</v>
      </c>
    </row>
    <row r="929" customFormat="false" ht="15" hidden="false" customHeight="false" outlineLevel="0" collapsed="false">
      <c r="A929" s="7" t="n">
        <v>928</v>
      </c>
      <c r="B929" s="7"/>
      <c r="C929" s="7" t="s">
        <v>1170</v>
      </c>
      <c r="D929" s="7" t="n">
        <v>2263</v>
      </c>
      <c r="E929" s="7" t="s">
        <v>50</v>
      </c>
      <c r="F929" s="10" t="b">
        <f aca="false">FALSE()</f>
        <v>0</v>
      </c>
      <c r="G929" s="7" t="s">
        <v>338</v>
      </c>
      <c r="H929" s="7" t="s">
        <v>372</v>
      </c>
      <c r="I929" s="7" t="n">
        <v>2</v>
      </c>
      <c r="J929" s="7" t="s">
        <v>71</v>
      </c>
      <c r="K929" s="7" t="s">
        <v>234</v>
      </c>
      <c r="L929" s="7" t="n">
        <v>150</v>
      </c>
      <c r="M929" s="10" t="b">
        <f aca="false">FALSE()</f>
        <v>0</v>
      </c>
      <c r="N929" s="7" t="s">
        <v>268</v>
      </c>
      <c r="O929" s="7" t="n">
        <v>-33.244596</v>
      </c>
      <c r="P929" s="7" t="n">
        <v>151.498974</v>
      </c>
    </row>
    <row r="930" customFormat="false" ht="15" hidden="false" customHeight="false" outlineLevel="0" collapsed="false">
      <c r="A930" s="7" t="n">
        <v>929</v>
      </c>
      <c r="B930" s="7"/>
      <c r="C930" s="7" t="s">
        <v>1171</v>
      </c>
      <c r="D930" s="7" t="n">
        <v>2720</v>
      </c>
      <c r="E930" s="7" t="s">
        <v>50</v>
      </c>
      <c r="F930" s="10" t="b">
        <f aca="false">FALSE()</f>
        <v>0</v>
      </c>
      <c r="G930" s="7" t="s">
        <v>456</v>
      </c>
      <c r="H930" s="7" t="s">
        <v>237</v>
      </c>
      <c r="I930" s="7" t="n">
        <v>4</v>
      </c>
      <c r="J930" s="7" t="s">
        <v>107</v>
      </c>
      <c r="K930" s="7" t="s">
        <v>108</v>
      </c>
      <c r="L930" s="7" t="n">
        <v>22</v>
      </c>
      <c r="M930" s="10" t="b">
        <f aca="false">FALSE()</f>
        <v>0</v>
      </c>
      <c r="N930" s="7" t="s">
        <v>109</v>
      </c>
      <c r="O930" s="7" t="n">
        <v>-35.580624</v>
      </c>
      <c r="P930" s="7" t="n">
        <v>148.30038</v>
      </c>
    </row>
    <row r="931" customFormat="false" ht="15" hidden="false" customHeight="false" outlineLevel="0" collapsed="false">
      <c r="A931" s="7" t="n">
        <v>930</v>
      </c>
      <c r="B931" s="7"/>
      <c r="C931" s="7" t="s">
        <v>1172</v>
      </c>
      <c r="D931" s="7" t="n">
        <v>2480</v>
      </c>
      <c r="E931" s="7" t="s">
        <v>50</v>
      </c>
      <c r="F931" s="10" t="b">
        <f aca="false">FALSE()</f>
        <v>0</v>
      </c>
      <c r="G931" s="7" t="s">
        <v>655</v>
      </c>
      <c r="H931" s="7" t="s">
        <v>252</v>
      </c>
      <c r="I931" s="7" t="n">
        <v>3</v>
      </c>
      <c r="J931" s="7" t="s">
        <v>107</v>
      </c>
      <c r="K931" s="7" t="s">
        <v>485</v>
      </c>
      <c r="L931" s="7" t="n">
        <v>11</v>
      </c>
      <c r="M931" s="10" t="b">
        <f aca="false">FALSE()</f>
        <v>0</v>
      </c>
      <c r="N931" s="7" t="s">
        <v>109</v>
      </c>
      <c r="O931" s="7" t="n">
        <v>-28.808436</v>
      </c>
      <c r="P931" s="7" t="n">
        <v>153.279339</v>
      </c>
    </row>
    <row r="932" customFormat="false" ht="15" hidden="false" customHeight="false" outlineLevel="0" collapsed="false">
      <c r="A932" s="7" t="n">
        <v>931</v>
      </c>
      <c r="B932" s="7"/>
      <c r="C932" s="7" t="s">
        <v>1173</v>
      </c>
      <c r="D932" s="7" t="n">
        <v>2653</v>
      </c>
      <c r="E932" s="7" t="s">
        <v>50</v>
      </c>
      <c r="F932" s="10" t="b">
        <f aca="false">FALSE()</f>
        <v>0</v>
      </c>
      <c r="G932" s="7" t="s">
        <v>456</v>
      </c>
      <c r="H932" s="7" t="s">
        <v>237</v>
      </c>
      <c r="I932" s="7" t="n">
        <v>2</v>
      </c>
      <c r="J932" s="7" t="s">
        <v>71</v>
      </c>
      <c r="K932" s="7" t="s">
        <v>694</v>
      </c>
      <c r="L932" s="7" t="n">
        <v>100</v>
      </c>
      <c r="M932" s="10" t="b">
        <f aca="false">FALSE()</f>
        <v>0</v>
      </c>
      <c r="N932" s="7" t="s">
        <v>76</v>
      </c>
      <c r="O932" s="7" t="n">
        <v>-35.77356</v>
      </c>
      <c r="P932" s="7" t="n">
        <v>148.009411</v>
      </c>
    </row>
    <row r="933" customFormat="false" ht="15" hidden="false" customHeight="false" outlineLevel="0" collapsed="false">
      <c r="A933" s="7" t="n">
        <v>932</v>
      </c>
      <c r="B933" s="7"/>
      <c r="C933" s="7" t="s">
        <v>1174</v>
      </c>
      <c r="D933" s="7" t="n">
        <v>2540</v>
      </c>
      <c r="E933" s="7" t="s">
        <v>50</v>
      </c>
      <c r="F933" s="10" t="b">
        <f aca="false">FALSE()</f>
        <v>0</v>
      </c>
      <c r="G933" s="7" t="s">
        <v>92</v>
      </c>
      <c r="H933" s="7" t="s">
        <v>260</v>
      </c>
      <c r="I933" s="7" t="n">
        <v>2</v>
      </c>
      <c r="J933" s="7" t="s">
        <v>107</v>
      </c>
      <c r="K933" s="7" t="s">
        <v>108</v>
      </c>
      <c r="L933" s="7" t="n">
        <v>22</v>
      </c>
      <c r="M933" s="10" t="b">
        <f aca="false">FALSE()</f>
        <v>0</v>
      </c>
      <c r="N933" s="7" t="s">
        <v>109</v>
      </c>
      <c r="O933" s="7" t="n">
        <v>-35.023111</v>
      </c>
      <c r="P933" s="7" t="n">
        <v>150.661576</v>
      </c>
    </row>
    <row r="934" customFormat="false" ht="15" hidden="false" customHeight="false" outlineLevel="0" collapsed="false">
      <c r="A934" s="7" t="n">
        <v>933</v>
      </c>
      <c r="B934" s="7"/>
      <c r="C934" s="7" t="s">
        <v>1175</v>
      </c>
      <c r="D934" s="7" t="n">
        <v>2033</v>
      </c>
      <c r="E934" s="7" t="s">
        <v>50</v>
      </c>
      <c r="F934" s="10" t="b">
        <f aca="false">FALSE()</f>
        <v>0</v>
      </c>
      <c r="G934" s="7" t="s">
        <v>355</v>
      </c>
      <c r="H934" s="7" t="s">
        <v>237</v>
      </c>
      <c r="I934" s="7" t="n">
        <v>12</v>
      </c>
      <c r="J934" s="7" t="s">
        <v>107</v>
      </c>
      <c r="K934" s="7" t="s">
        <v>277</v>
      </c>
      <c r="L934" s="7" t="n">
        <v>6</v>
      </c>
      <c r="M934" s="10" t="b">
        <f aca="false">FALSE()</f>
        <v>0</v>
      </c>
      <c r="N934" s="7" t="s">
        <v>109</v>
      </c>
      <c r="O934" s="7" t="n">
        <v>-33.918448</v>
      </c>
      <c r="P934" s="7" t="n">
        <v>151.234509</v>
      </c>
    </row>
    <row r="935" customFormat="false" ht="15" hidden="false" customHeight="false" outlineLevel="0" collapsed="false">
      <c r="A935" s="7" t="n">
        <v>934</v>
      </c>
      <c r="B935" s="7"/>
      <c r="C935" s="7" t="s">
        <v>1176</v>
      </c>
      <c r="D935" s="7" t="n">
        <v>2113</v>
      </c>
      <c r="E935" s="7" t="s">
        <v>50</v>
      </c>
      <c r="F935" s="10" t="b">
        <f aca="false">FALSE()</f>
        <v>0</v>
      </c>
      <c r="G935" s="7" t="s">
        <v>364</v>
      </c>
      <c r="H935" s="7" t="s">
        <v>237</v>
      </c>
      <c r="I935" s="7" t="n">
        <v>6</v>
      </c>
      <c r="J935" s="7" t="s">
        <v>107</v>
      </c>
      <c r="K935" s="7" t="s">
        <v>108</v>
      </c>
      <c r="L935" s="7" t="n">
        <v>22</v>
      </c>
      <c r="M935" s="10" t="b">
        <f aca="false">FALSE()</f>
        <v>0</v>
      </c>
      <c r="N935" s="7" t="s">
        <v>109</v>
      </c>
      <c r="O935" s="7" t="n">
        <v>-33.775527</v>
      </c>
      <c r="P935" s="7" t="n">
        <v>151.109458</v>
      </c>
    </row>
    <row r="936" customFormat="false" ht="15" hidden="false" customHeight="false" outlineLevel="0" collapsed="false">
      <c r="A936" s="7" t="n">
        <v>935</v>
      </c>
      <c r="B936" s="7"/>
      <c r="C936" s="7" t="s">
        <v>1177</v>
      </c>
      <c r="D936" s="7" t="n">
        <v>2325</v>
      </c>
      <c r="E936" s="7" t="s">
        <v>50</v>
      </c>
      <c r="F936" s="10" t="b">
        <f aca="false">FALSE()</f>
        <v>0</v>
      </c>
      <c r="G936" s="7" t="s">
        <v>111</v>
      </c>
      <c r="H936" s="7" t="s">
        <v>758</v>
      </c>
      <c r="I936" s="7" t="n">
        <v>2</v>
      </c>
      <c r="J936" s="7" t="s">
        <v>107</v>
      </c>
      <c r="K936" s="7" t="s">
        <v>485</v>
      </c>
      <c r="L936" s="7" t="n">
        <v>11</v>
      </c>
      <c r="M936" s="10" t="b">
        <f aca="false">FALSE()</f>
        <v>0</v>
      </c>
      <c r="N936" s="7" t="s">
        <v>109</v>
      </c>
      <c r="O936" s="7" t="n">
        <v>-32.753375</v>
      </c>
      <c r="P936" s="7" t="n">
        <v>151.371492</v>
      </c>
    </row>
    <row r="937" customFormat="false" ht="15" hidden="false" customHeight="false" outlineLevel="0" collapsed="false">
      <c r="A937" s="7" t="n">
        <v>936</v>
      </c>
      <c r="B937" s="7"/>
      <c r="C937" s="7" t="s">
        <v>1178</v>
      </c>
      <c r="D937" s="7" t="n">
        <v>2766</v>
      </c>
      <c r="E937" s="7" t="s">
        <v>50</v>
      </c>
      <c r="F937" s="10" t="b">
        <f aca="false">FALSE()</f>
        <v>0</v>
      </c>
      <c r="G937" s="7" t="s">
        <v>232</v>
      </c>
      <c r="H937" s="7" t="s">
        <v>330</v>
      </c>
      <c r="I937" s="7" t="n">
        <v>10</v>
      </c>
      <c r="J937" s="7" t="s">
        <v>71</v>
      </c>
      <c r="K937" s="7" t="s">
        <v>1179</v>
      </c>
      <c r="L937" s="7" t="n">
        <v>400</v>
      </c>
      <c r="M937" s="10" t="b">
        <f aca="false">FALSE()</f>
        <v>0</v>
      </c>
      <c r="N937" s="7" t="s">
        <v>76</v>
      </c>
      <c r="O937" s="7" t="n">
        <v>-33.802145</v>
      </c>
      <c r="P937" s="7" t="n">
        <v>150.880213</v>
      </c>
    </row>
    <row r="938" customFormat="false" ht="15" hidden="false" customHeight="false" outlineLevel="0" collapsed="false">
      <c r="A938" s="7" t="n">
        <v>937</v>
      </c>
      <c r="B938" s="7"/>
      <c r="C938" s="7" t="s">
        <v>1180</v>
      </c>
      <c r="D938" s="7" t="n">
        <v>2548</v>
      </c>
      <c r="E938" s="7" t="s">
        <v>50</v>
      </c>
      <c r="F938" s="10" t="b">
        <f aca="false">FALSE()</f>
        <v>0</v>
      </c>
      <c r="G938" s="7" t="s">
        <v>188</v>
      </c>
      <c r="H938" s="7" t="s">
        <v>239</v>
      </c>
      <c r="I938" s="7" t="n">
        <v>2</v>
      </c>
      <c r="J938" s="7" t="s">
        <v>107</v>
      </c>
      <c r="K938" s="7" t="s">
        <v>277</v>
      </c>
      <c r="L938" s="7" t="n">
        <v>6</v>
      </c>
      <c r="M938" s="10" t="b">
        <f aca="false">FALSE()</f>
        <v>0</v>
      </c>
      <c r="N938" s="7" t="s">
        <v>109</v>
      </c>
      <c r="O938" s="7" t="n">
        <v>-36.892784</v>
      </c>
      <c r="P938" s="7" t="n">
        <v>149.909089</v>
      </c>
    </row>
    <row r="939" customFormat="false" ht="15" hidden="false" customHeight="false" outlineLevel="0" collapsed="false">
      <c r="A939" s="7" t="n">
        <v>938</v>
      </c>
      <c r="B939" s="7"/>
      <c r="C939" s="7" t="s">
        <v>1181</v>
      </c>
      <c r="D939" s="7" t="n">
        <v>2160</v>
      </c>
      <c r="E939" s="7" t="s">
        <v>50</v>
      </c>
      <c r="F939" s="10" t="b">
        <f aca="false">FALSE()</f>
        <v>0</v>
      </c>
      <c r="G939" s="7" t="s">
        <v>554</v>
      </c>
      <c r="H939" s="7" t="s">
        <v>239</v>
      </c>
      <c r="I939" s="7" t="n">
        <v>2</v>
      </c>
      <c r="J939" s="7" t="s">
        <v>107</v>
      </c>
      <c r="K939" s="7" t="s">
        <v>108</v>
      </c>
      <c r="L939" s="7" t="n">
        <v>22</v>
      </c>
      <c r="M939" s="10" t="b">
        <f aca="false">FALSE()</f>
        <v>0</v>
      </c>
      <c r="N939" s="7" t="s">
        <v>109</v>
      </c>
      <c r="O939" s="7" t="n">
        <v>-33.833461</v>
      </c>
      <c r="P939" s="7" t="n">
        <v>150.987337</v>
      </c>
    </row>
    <row r="940" customFormat="false" ht="15" hidden="false" customHeight="false" outlineLevel="0" collapsed="false">
      <c r="A940" s="7" t="n">
        <v>939</v>
      </c>
      <c r="B940" s="7"/>
      <c r="C940" s="7" t="s">
        <v>1182</v>
      </c>
      <c r="D940" s="7" t="n">
        <v>2785</v>
      </c>
      <c r="E940" s="7" t="s">
        <v>50</v>
      </c>
      <c r="F940" s="10" t="b">
        <f aca="false">FALSE()</f>
        <v>0</v>
      </c>
      <c r="G940" s="7" t="s">
        <v>306</v>
      </c>
      <c r="H940" s="7" t="s">
        <v>237</v>
      </c>
      <c r="I940" s="7" t="n">
        <v>2</v>
      </c>
      <c r="J940" s="7" t="s">
        <v>107</v>
      </c>
      <c r="K940" s="7" t="s">
        <v>108</v>
      </c>
      <c r="L940" s="7" t="n">
        <v>22</v>
      </c>
      <c r="M940" s="10" t="b">
        <f aca="false">FALSE()</f>
        <v>0</v>
      </c>
      <c r="N940" s="7" t="s">
        <v>109</v>
      </c>
      <c r="O940" s="7" t="n">
        <v>-33.695836</v>
      </c>
      <c r="P940" s="7" t="n">
        <v>150.25306</v>
      </c>
    </row>
    <row r="941" customFormat="false" ht="15" hidden="false" customHeight="false" outlineLevel="0" collapsed="false">
      <c r="A941" s="7" t="n">
        <v>940</v>
      </c>
      <c r="B941" s="7"/>
      <c r="C941" s="7" t="s">
        <v>1183</v>
      </c>
      <c r="D941" s="7" t="n">
        <v>2810</v>
      </c>
      <c r="E941" s="7" t="s">
        <v>50</v>
      </c>
      <c r="F941" s="10" t="b">
        <f aca="false">FALSE()</f>
        <v>0</v>
      </c>
      <c r="G941" s="7" t="s">
        <v>1184</v>
      </c>
      <c r="H941" s="7" t="s">
        <v>260</v>
      </c>
      <c r="I941" s="7" t="n">
        <v>2</v>
      </c>
      <c r="J941" s="7" t="s">
        <v>107</v>
      </c>
      <c r="K941" s="7" t="s">
        <v>108</v>
      </c>
      <c r="L941" s="7" t="n">
        <v>22</v>
      </c>
      <c r="M941" s="10" t="b">
        <f aca="false">FALSE()</f>
        <v>0</v>
      </c>
      <c r="N941" s="7" t="s">
        <v>109</v>
      </c>
      <c r="O941" s="7" t="n">
        <v>-33.892004</v>
      </c>
      <c r="P941" s="7" t="n">
        <v>148.160778</v>
      </c>
    </row>
    <row r="942" customFormat="false" ht="15" hidden="false" customHeight="false" outlineLevel="0" collapsed="false">
      <c r="A942" s="7" t="n">
        <v>941</v>
      </c>
      <c r="B942" s="7"/>
      <c r="C942" s="7" t="s">
        <v>1185</v>
      </c>
      <c r="D942" s="7" t="n">
        <v>2300</v>
      </c>
      <c r="E942" s="7" t="s">
        <v>50</v>
      </c>
      <c r="F942" s="10" t="b">
        <f aca="false">FALSE()</f>
        <v>0</v>
      </c>
      <c r="G942" s="7" t="s">
        <v>141</v>
      </c>
      <c r="H942" s="7" t="s">
        <v>239</v>
      </c>
      <c r="I942" s="7" t="n">
        <v>1</v>
      </c>
      <c r="J942" s="7" t="s">
        <v>107</v>
      </c>
      <c r="K942" s="7" t="s">
        <v>277</v>
      </c>
      <c r="L942" s="7" t="n">
        <v>6</v>
      </c>
      <c r="M942" s="10" t="b">
        <f aca="false">FALSE()</f>
        <v>0</v>
      </c>
      <c r="N942" s="7" t="s">
        <v>109</v>
      </c>
      <c r="O942" s="7" t="n">
        <v>-32.925229</v>
      </c>
      <c r="P942" s="7" t="n">
        <v>151.773209</v>
      </c>
    </row>
    <row r="943" customFormat="false" ht="15" hidden="false" customHeight="false" outlineLevel="0" collapsed="false">
      <c r="A943" s="7" t="n">
        <v>942</v>
      </c>
      <c r="B943" s="7"/>
      <c r="C943" s="7" t="s">
        <v>1186</v>
      </c>
      <c r="D943" s="7" t="n">
        <v>2539</v>
      </c>
      <c r="E943" s="7" t="s">
        <v>50</v>
      </c>
      <c r="F943" s="10" t="b">
        <f aca="false">FALSE()</f>
        <v>0</v>
      </c>
      <c r="G943" s="7" t="s">
        <v>92</v>
      </c>
      <c r="H943" s="7" t="s">
        <v>260</v>
      </c>
      <c r="I943" s="7" t="n">
        <v>4</v>
      </c>
      <c r="J943" s="7" t="s">
        <v>107</v>
      </c>
      <c r="K943" s="7" t="s">
        <v>277</v>
      </c>
      <c r="L943" s="7" t="n">
        <v>6</v>
      </c>
      <c r="M943" s="10" t="b">
        <f aca="false">FALSE()</f>
        <v>0</v>
      </c>
      <c r="N943" s="7" t="s">
        <v>109</v>
      </c>
      <c r="O943" s="7" t="n">
        <v>-35.565409</v>
      </c>
      <c r="P943" s="7" t="n">
        <v>150.371977</v>
      </c>
    </row>
    <row r="944" customFormat="false" ht="15" hidden="false" customHeight="false" outlineLevel="0" collapsed="false">
      <c r="A944" s="7" t="n">
        <v>943</v>
      </c>
      <c r="B944" s="7"/>
      <c r="C944" s="7" t="s">
        <v>1187</v>
      </c>
      <c r="D944" s="7" t="n">
        <v>2701</v>
      </c>
      <c r="E944" s="7" t="s">
        <v>50</v>
      </c>
      <c r="F944" s="10" t="b">
        <f aca="false">FALSE()</f>
        <v>0</v>
      </c>
      <c r="G944" s="7" t="s">
        <v>1188</v>
      </c>
      <c r="H944" s="7" t="s">
        <v>260</v>
      </c>
      <c r="I944" s="7" t="n">
        <v>2</v>
      </c>
      <c r="J944" s="7" t="s">
        <v>107</v>
      </c>
      <c r="K944" s="7" t="s">
        <v>108</v>
      </c>
      <c r="L944" s="7" t="n">
        <v>22</v>
      </c>
      <c r="M944" s="10" t="b">
        <f aca="false">FALSE()</f>
        <v>0</v>
      </c>
      <c r="N944" s="7" t="s">
        <v>109</v>
      </c>
      <c r="O944" s="7" t="n">
        <v>-34.813611</v>
      </c>
      <c r="P944" s="7" t="n">
        <v>147.201549</v>
      </c>
    </row>
    <row r="945" customFormat="false" ht="15" hidden="false" customHeight="false" outlineLevel="0" collapsed="false">
      <c r="A945" s="7" t="n">
        <v>944</v>
      </c>
      <c r="B945" s="7"/>
      <c r="C945" s="7" t="s">
        <v>1189</v>
      </c>
      <c r="D945" s="7" t="n">
        <v>2330</v>
      </c>
      <c r="E945" s="7" t="s">
        <v>50</v>
      </c>
      <c r="F945" s="10" t="b">
        <f aca="false">FALSE()</f>
        <v>0</v>
      </c>
      <c r="G945" s="7" t="s">
        <v>336</v>
      </c>
      <c r="H945" s="7" t="s">
        <v>529</v>
      </c>
      <c r="I945" s="7" t="n">
        <v>4</v>
      </c>
      <c r="J945" s="7" t="s">
        <v>107</v>
      </c>
      <c r="K945" s="7" t="s">
        <v>108</v>
      </c>
      <c r="L945" s="7" t="n">
        <v>22</v>
      </c>
      <c r="M945" s="10" t="b">
        <f aca="false">FALSE()</f>
        <v>0</v>
      </c>
      <c r="N945" s="7" t="s">
        <v>109</v>
      </c>
      <c r="O945" s="7" t="n">
        <v>-32.750941</v>
      </c>
      <c r="P945" s="7" t="n">
        <v>151.08034</v>
      </c>
    </row>
    <row r="946" customFormat="false" ht="15" hidden="false" customHeight="false" outlineLevel="0" collapsed="false">
      <c r="A946" s="7" t="n">
        <v>945</v>
      </c>
      <c r="B946" s="7"/>
      <c r="C946" s="7" t="s">
        <v>1190</v>
      </c>
      <c r="D946" s="7" t="n">
        <v>2539</v>
      </c>
      <c r="E946" s="7" t="s">
        <v>50</v>
      </c>
      <c r="F946" s="10" t="b">
        <f aca="false">FALSE()</f>
        <v>0</v>
      </c>
      <c r="G946" s="7" t="s">
        <v>92</v>
      </c>
      <c r="H946" s="7" t="s">
        <v>758</v>
      </c>
      <c r="I946" s="7" t="n">
        <v>3</v>
      </c>
      <c r="J946" s="7" t="s">
        <v>107</v>
      </c>
      <c r="K946" s="7" t="s">
        <v>485</v>
      </c>
      <c r="L946" s="7" t="n">
        <v>11</v>
      </c>
      <c r="M946" s="10" t="b">
        <f aca="false">FALSE()</f>
        <v>0</v>
      </c>
      <c r="N946" s="7" t="s">
        <v>109</v>
      </c>
      <c r="O946" s="7" t="n">
        <v>-35.322529</v>
      </c>
      <c r="P946" s="7" t="n">
        <v>150.485036</v>
      </c>
    </row>
    <row r="947" customFormat="false" ht="15" hidden="false" customHeight="false" outlineLevel="0" collapsed="false">
      <c r="A947" s="7" t="n">
        <v>946</v>
      </c>
      <c r="B947" s="7"/>
      <c r="C947" s="7" t="s">
        <v>1191</v>
      </c>
      <c r="D947" s="7" t="n">
        <v>2019</v>
      </c>
      <c r="E947" s="7" t="s">
        <v>50</v>
      </c>
      <c r="F947" s="10" t="b">
        <f aca="false">FALSE()</f>
        <v>0</v>
      </c>
      <c r="G947" s="7" t="s">
        <v>380</v>
      </c>
      <c r="H947" s="7" t="s">
        <v>230</v>
      </c>
      <c r="I947" s="7" t="n">
        <v>1</v>
      </c>
      <c r="J947" s="7" t="s">
        <v>107</v>
      </c>
      <c r="K947" s="7" t="s">
        <v>108</v>
      </c>
      <c r="L947" s="7" t="n">
        <v>22</v>
      </c>
      <c r="M947" s="10" t="b">
        <f aca="false">FALSE()</f>
        <v>0</v>
      </c>
      <c r="N947" s="7" t="s">
        <v>109</v>
      </c>
      <c r="O947" s="7" t="n">
        <v>-33.945257</v>
      </c>
      <c r="P947" s="7" t="n">
        <v>151.222223</v>
      </c>
    </row>
    <row r="948" customFormat="false" ht="15" hidden="false" customHeight="false" outlineLevel="0" collapsed="false">
      <c r="A948" s="7" t="n">
        <v>947</v>
      </c>
      <c r="B948" s="7"/>
      <c r="C948" s="7" t="s">
        <v>1192</v>
      </c>
      <c r="D948" s="7" t="n">
        <v>2325</v>
      </c>
      <c r="E948" s="7" t="s">
        <v>50</v>
      </c>
      <c r="F948" s="10" t="b">
        <f aca="false">FALSE()</f>
        <v>0</v>
      </c>
      <c r="G948" s="7" t="s">
        <v>111</v>
      </c>
      <c r="H948" s="7" t="s">
        <v>239</v>
      </c>
      <c r="I948" s="7" t="n">
        <v>1</v>
      </c>
      <c r="J948" s="7" t="s">
        <v>107</v>
      </c>
      <c r="K948" s="7" t="s">
        <v>277</v>
      </c>
      <c r="L948" s="7" t="n">
        <v>6</v>
      </c>
      <c r="M948" s="10" t="b">
        <f aca="false">FALSE()</f>
        <v>0</v>
      </c>
      <c r="N948" s="7" t="s">
        <v>109</v>
      </c>
      <c r="O948" s="7" t="n">
        <v>-32.83438</v>
      </c>
      <c r="P948" s="7" t="n">
        <v>151.296241</v>
      </c>
    </row>
    <row r="949" customFormat="false" ht="15" hidden="false" customHeight="false" outlineLevel="0" collapsed="false">
      <c r="A949" s="7" t="n">
        <v>948</v>
      </c>
      <c r="B949" s="7"/>
      <c r="C949" s="7" t="s">
        <v>1193</v>
      </c>
      <c r="D949" s="7" t="n">
        <v>2625</v>
      </c>
      <c r="E949" s="7" t="s">
        <v>50</v>
      </c>
      <c r="F949" s="10" t="b">
        <f aca="false">FALSE()</f>
        <v>0</v>
      </c>
      <c r="G949" s="7" t="s">
        <v>177</v>
      </c>
      <c r="H949" s="7" t="s">
        <v>239</v>
      </c>
      <c r="I949" s="7" t="n">
        <v>1</v>
      </c>
      <c r="J949" s="7" t="s">
        <v>107</v>
      </c>
      <c r="K949" s="7" t="s">
        <v>108</v>
      </c>
      <c r="L949" s="7" t="n">
        <v>22</v>
      </c>
      <c r="M949" s="10" t="b">
        <f aca="false">FALSE()</f>
        <v>0</v>
      </c>
      <c r="N949" s="7" t="s">
        <v>109</v>
      </c>
      <c r="O949" s="7" t="n">
        <v>-36.504831</v>
      </c>
      <c r="P949" s="7" t="n">
        <v>148.304698</v>
      </c>
    </row>
    <row r="950" customFormat="false" ht="15" hidden="false" customHeight="false" outlineLevel="0" collapsed="false">
      <c r="A950" s="7" t="n">
        <v>949</v>
      </c>
      <c r="B950" s="7"/>
      <c r="C950" s="7" t="s">
        <v>1194</v>
      </c>
      <c r="D950" s="7" t="n">
        <v>2318</v>
      </c>
      <c r="E950" s="7" t="s">
        <v>50</v>
      </c>
      <c r="F950" s="10" t="b">
        <f aca="false">FALSE()</f>
        <v>0</v>
      </c>
      <c r="G950" s="7" t="s">
        <v>309</v>
      </c>
      <c r="H950" s="7" t="s">
        <v>237</v>
      </c>
      <c r="I950" s="7" t="n">
        <v>2</v>
      </c>
      <c r="J950" s="7" t="s">
        <v>107</v>
      </c>
      <c r="K950" s="7" t="s">
        <v>277</v>
      </c>
      <c r="L950" s="7" t="n">
        <v>6</v>
      </c>
      <c r="M950" s="10" t="b">
        <f aca="false">FALSE()</f>
        <v>0</v>
      </c>
      <c r="N950" s="7" t="s">
        <v>109</v>
      </c>
      <c r="O950" s="7" t="n">
        <v>-32.738939</v>
      </c>
      <c r="P950" s="7" t="n">
        <v>151.867349</v>
      </c>
    </row>
    <row r="951" customFormat="false" ht="15" hidden="false" customHeight="false" outlineLevel="0" collapsed="false">
      <c r="A951" s="7" t="n">
        <v>950</v>
      </c>
      <c r="B951" s="7"/>
      <c r="C951" s="7" t="s">
        <v>1195</v>
      </c>
      <c r="D951" s="7" t="n">
        <v>2750</v>
      </c>
      <c r="E951" s="7" t="s">
        <v>50</v>
      </c>
      <c r="F951" s="10" t="b">
        <f aca="false">FALSE()</f>
        <v>0</v>
      </c>
      <c r="G951" s="7" t="s">
        <v>472</v>
      </c>
      <c r="H951" s="7" t="s">
        <v>239</v>
      </c>
      <c r="I951" s="7" t="n">
        <v>2</v>
      </c>
      <c r="J951" s="7" t="s">
        <v>107</v>
      </c>
      <c r="K951" s="7" t="s">
        <v>108</v>
      </c>
      <c r="L951" s="7" t="n">
        <v>22</v>
      </c>
      <c r="M951" s="10" t="b">
        <f aca="false">FALSE()</f>
        <v>0</v>
      </c>
      <c r="N951" s="7" t="s">
        <v>109</v>
      </c>
      <c r="O951" s="7" t="n">
        <v>-33.769591</v>
      </c>
      <c r="P951" s="7" t="n">
        <v>150.671791</v>
      </c>
    </row>
    <row r="952" customFormat="false" ht="15" hidden="false" customHeight="false" outlineLevel="0" collapsed="false">
      <c r="A952" s="7" t="n">
        <v>951</v>
      </c>
      <c r="B952" s="7"/>
      <c r="C952" s="7" t="s">
        <v>1196</v>
      </c>
      <c r="D952" s="7" t="n">
        <v>2021</v>
      </c>
      <c r="E952" s="7" t="s">
        <v>50</v>
      </c>
      <c r="F952" s="10" t="b">
        <f aca="false">FALSE()</f>
        <v>0</v>
      </c>
      <c r="G952" s="7" t="s">
        <v>182</v>
      </c>
      <c r="H952" s="7" t="s">
        <v>302</v>
      </c>
      <c r="I952" s="7" t="n">
        <v>2</v>
      </c>
      <c r="J952" s="7" t="s">
        <v>107</v>
      </c>
      <c r="K952" s="7" t="s">
        <v>108</v>
      </c>
      <c r="L952" s="7" t="n">
        <v>22</v>
      </c>
      <c r="M952" s="10" t="b">
        <f aca="false">FALSE()</f>
        <v>0</v>
      </c>
      <c r="N952" s="7" t="s">
        <v>109</v>
      </c>
      <c r="O952" s="7" t="n">
        <v>-33.88338</v>
      </c>
      <c r="P952" s="7" t="n">
        <v>151.220003</v>
      </c>
    </row>
    <row r="953" customFormat="false" ht="15" hidden="false" customHeight="false" outlineLevel="0" collapsed="false">
      <c r="A953" s="7" t="n">
        <v>952</v>
      </c>
      <c r="B953" s="7"/>
      <c r="C953" s="7" t="s">
        <v>1197</v>
      </c>
      <c r="D953" s="7" t="n">
        <v>2567</v>
      </c>
      <c r="E953" s="7" t="s">
        <v>50</v>
      </c>
      <c r="F953" s="10" t="b">
        <f aca="false">FALSE()</f>
        <v>0</v>
      </c>
      <c r="G953" s="7" t="s">
        <v>338</v>
      </c>
      <c r="H953" s="7" t="s">
        <v>330</v>
      </c>
      <c r="I953" s="7" t="n">
        <v>4</v>
      </c>
      <c r="J953" s="7" t="s">
        <v>71</v>
      </c>
      <c r="K953" s="7" t="s">
        <v>234</v>
      </c>
      <c r="L953" s="7" t="n">
        <v>150</v>
      </c>
      <c r="M953" s="10" t="b">
        <f aca="false">FALSE()</f>
        <v>0</v>
      </c>
      <c r="N953" s="7" t="s">
        <v>76</v>
      </c>
      <c r="O953" s="7" t="n">
        <v>-34.0401</v>
      </c>
      <c r="P953" s="7" t="n">
        <v>150.743541</v>
      </c>
    </row>
    <row r="954" customFormat="false" ht="15" hidden="false" customHeight="false" outlineLevel="0" collapsed="false">
      <c r="A954" s="7" t="n">
        <v>953</v>
      </c>
      <c r="B954" s="7"/>
      <c r="C954" s="7" t="s">
        <v>1198</v>
      </c>
      <c r="D954" s="7" t="n">
        <v>2170</v>
      </c>
      <c r="E954" s="7" t="s">
        <v>50</v>
      </c>
      <c r="F954" s="10" t="b">
        <f aca="false">FALSE()</f>
        <v>0</v>
      </c>
      <c r="G954" s="7" t="s">
        <v>130</v>
      </c>
      <c r="H954" s="7" t="s">
        <v>330</v>
      </c>
      <c r="I954" s="7" t="n">
        <v>2</v>
      </c>
      <c r="J954" s="7" t="s">
        <v>71</v>
      </c>
      <c r="K954" s="7" t="s">
        <v>234</v>
      </c>
      <c r="L954" s="7" t="n">
        <v>150</v>
      </c>
      <c r="M954" s="10" t="b">
        <f aca="false">FALSE()</f>
        <v>0</v>
      </c>
      <c r="N954" s="7" t="s">
        <v>76</v>
      </c>
      <c r="O954" s="7" t="n">
        <v>-33.92932</v>
      </c>
      <c r="P954" s="7" t="n">
        <v>150.9551</v>
      </c>
    </row>
    <row r="955" customFormat="false" ht="15" hidden="false" customHeight="false" outlineLevel="0" collapsed="false">
      <c r="A955" s="7" t="n">
        <v>954</v>
      </c>
      <c r="B955" s="7"/>
      <c r="C955" s="7" t="s">
        <v>1199</v>
      </c>
      <c r="D955" s="7" t="n">
        <v>2200</v>
      </c>
      <c r="E955" s="7" t="s">
        <v>50</v>
      </c>
      <c r="F955" s="10" t="b">
        <f aca="false">FALSE()</f>
        <v>0</v>
      </c>
      <c r="G955" s="7" t="s">
        <v>345</v>
      </c>
      <c r="H955" s="7" t="s">
        <v>237</v>
      </c>
      <c r="I955" s="7" t="n">
        <v>4</v>
      </c>
      <c r="J955" s="7" t="s">
        <v>71</v>
      </c>
      <c r="K955" s="7" t="s">
        <v>839</v>
      </c>
      <c r="L955" s="7" t="n">
        <v>200</v>
      </c>
      <c r="M955" s="10" t="b">
        <f aca="false">FALSE()</f>
        <v>0</v>
      </c>
      <c r="N955" s="7" t="s">
        <v>76</v>
      </c>
      <c r="O955" s="7" t="n">
        <v>-33.916495</v>
      </c>
      <c r="P955" s="7" t="n">
        <v>151.040256</v>
      </c>
    </row>
    <row r="956" customFormat="false" ht="15" hidden="false" customHeight="false" outlineLevel="0" collapsed="false">
      <c r="A956" s="7" t="n">
        <v>955</v>
      </c>
      <c r="B956" s="7"/>
      <c r="C956" s="7" t="s">
        <v>1200</v>
      </c>
      <c r="D956" s="7" t="n">
        <v>2577</v>
      </c>
      <c r="E956" s="7" t="s">
        <v>50</v>
      </c>
      <c r="F956" s="10" t="b">
        <f aca="false">FALSE()</f>
        <v>0</v>
      </c>
      <c r="G956" s="7" t="s">
        <v>161</v>
      </c>
      <c r="H956" s="7" t="s">
        <v>758</v>
      </c>
      <c r="I956" s="7" t="n">
        <v>2</v>
      </c>
      <c r="J956" s="7" t="s">
        <v>107</v>
      </c>
      <c r="K956" s="7" t="s">
        <v>485</v>
      </c>
      <c r="L956" s="7" t="n">
        <v>11</v>
      </c>
      <c r="M956" s="10" t="b">
        <f aca="false">FALSE()</f>
        <v>0</v>
      </c>
      <c r="N956" s="7" t="s">
        <v>109</v>
      </c>
      <c r="O956" s="7" t="n">
        <v>-34.596924</v>
      </c>
      <c r="P956" s="7" t="n">
        <v>150.44125</v>
      </c>
    </row>
    <row r="957" customFormat="false" ht="15" hidden="false" customHeight="false" outlineLevel="0" collapsed="false">
      <c r="A957" s="7" t="n">
        <v>956</v>
      </c>
      <c r="B957" s="7"/>
      <c r="C957" s="7" t="s">
        <v>1201</v>
      </c>
      <c r="D957" s="7" t="n">
        <v>2223</v>
      </c>
      <c r="E957" s="7" t="s">
        <v>50</v>
      </c>
      <c r="F957" s="10" t="b">
        <f aca="false">FALSE()</f>
        <v>0</v>
      </c>
      <c r="G957" s="7" t="s">
        <v>293</v>
      </c>
      <c r="H957" s="7" t="s">
        <v>287</v>
      </c>
      <c r="I957" s="7" t="n">
        <v>1</v>
      </c>
      <c r="J957" s="7" t="s">
        <v>71</v>
      </c>
      <c r="K957" s="7" t="s">
        <v>288</v>
      </c>
      <c r="L957" s="7" t="n">
        <v>25</v>
      </c>
      <c r="M957" s="10" t="b">
        <f aca="false">FALSE()</f>
        <v>0</v>
      </c>
      <c r="N957" s="7" t="s">
        <v>1107</v>
      </c>
      <c r="O957" s="7" t="n">
        <v>-33.981453</v>
      </c>
      <c r="P957" s="7" t="n">
        <v>151.079434</v>
      </c>
    </row>
    <row r="958" customFormat="false" ht="15" hidden="false" customHeight="false" outlineLevel="0" collapsed="false">
      <c r="A958" s="7" t="n">
        <v>957</v>
      </c>
      <c r="B958" s="7"/>
      <c r="C958" s="7" t="s">
        <v>1202</v>
      </c>
      <c r="D958" s="7" t="n">
        <v>2787</v>
      </c>
      <c r="E958" s="7" t="s">
        <v>50</v>
      </c>
      <c r="F958" s="10" t="b">
        <f aca="false">FALSE()</f>
        <v>0</v>
      </c>
      <c r="G958" s="7" t="s">
        <v>870</v>
      </c>
      <c r="H958" s="7" t="s">
        <v>529</v>
      </c>
      <c r="I958" s="7" t="n">
        <v>4</v>
      </c>
      <c r="J958" s="7" t="s">
        <v>107</v>
      </c>
      <c r="K958" s="7" t="s">
        <v>108</v>
      </c>
      <c r="L958" s="7" t="n">
        <v>22</v>
      </c>
      <c r="M958" s="10" t="b">
        <f aca="false">FALSE()</f>
        <v>0</v>
      </c>
      <c r="N958" s="7" t="s">
        <v>109</v>
      </c>
      <c r="O958" s="7" t="n">
        <v>-33.704523</v>
      </c>
      <c r="P958" s="7" t="n">
        <v>149.863814</v>
      </c>
    </row>
    <row r="959" customFormat="false" ht="15" hidden="false" customHeight="false" outlineLevel="0" collapsed="false">
      <c r="A959" s="7" t="n">
        <v>958</v>
      </c>
      <c r="B959" s="7"/>
      <c r="C959" s="7" t="s">
        <v>1203</v>
      </c>
      <c r="D959" s="7" t="n">
        <v>2830</v>
      </c>
      <c r="E959" s="7" t="s">
        <v>50</v>
      </c>
      <c r="F959" s="10" t="b">
        <f aca="false">FALSE()</f>
        <v>0</v>
      </c>
      <c r="G959" s="7" t="s">
        <v>227</v>
      </c>
      <c r="H959" s="7" t="s">
        <v>237</v>
      </c>
      <c r="I959" s="7" t="n">
        <v>12</v>
      </c>
      <c r="J959" s="7" t="s">
        <v>107</v>
      </c>
      <c r="K959" s="7" t="s">
        <v>108</v>
      </c>
      <c r="L959" s="7" t="n">
        <v>22</v>
      </c>
      <c r="M959" s="10" t="b">
        <f aca="false">FALSE()</f>
        <v>0</v>
      </c>
      <c r="N959" s="7" t="s">
        <v>109</v>
      </c>
      <c r="O959" s="7" t="n">
        <v>-32.273827</v>
      </c>
      <c r="P959" s="7" t="n">
        <v>148.588079</v>
      </c>
    </row>
    <row r="960" customFormat="false" ht="15" hidden="false" customHeight="false" outlineLevel="0" collapsed="false">
      <c r="A960" s="7" t="n">
        <v>959</v>
      </c>
      <c r="B960" s="7"/>
      <c r="C960" s="7" t="s">
        <v>1204</v>
      </c>
      <c r="D960" s="7" t="n">
        <v>2795</v>
      </c>
      <c r="E960" s="7" t="s">
        <v>50</v>
      </c>
      <c r="F960" s="10" t="b">
        <f aca="false">FALSE()</f>
        <v>0</v>
      </c>
      <c r="G960" s="7" t="s">
        <v>75</v>
      </c>
      <c r="H960" s="7" t="s">
        <v>260</v>
      </c>
      <c r="I960" s="7" t="n">
        <v>2</v>
      </c>
      <c r="J960" s="7" t="s">
        <v>71</v>
      </c>
      <c r="K960" s="7" t="s">
        <v>438</v>
      </c>
      <c r="L960" s="7" t="n">
        <v>120</v>
      </c>
      <c r="M960" s="10" t="b">
        <f aca="false">FALSE()</f>
        <v>0</v>
      </c>
      <c r="N960" s="7" t="s">
        <v>76</v>
      </c>
      <c r="O960" s="7" t="n">
        <v>-33.429796</v>
      </c>
      <c r="P960" s="7" t="n">
        <v>149.560006</v>
      </c>
    </row>
    <row r="961" customFormat="false" ht="15" hidden="false" customHeight="false" outlineLevel="0" collapsed="false">
      <c r="A961" s="7" t="n">
        <v>960</v>
      </c>
      <c r="B961" s="7"/>
      <c r="C961" s="7" t="s">
        <v>1205</v>
      </c>
      <c r="D961" s="7" t="n">
        <v>2300</v>
      </c>
      <c r="E961" s="7" t="s">
        <v>50</v>
      </c>
      <c r="F961" s="10" t="b">
        <f aca="false">FALSE()</f>
        <v>0</v>
      </c>
      <c r="G961" s="7" t="s">
        <v>141</v>
      </c>
      <c r="H961" s="7" t="s">
        <v>237</v>
      </c>
      <c r="I961" s="7" t="n">
        <v>2</v>
      </c>
      <c r="J961" s="7" t="s">
        <v>107</v>
      </c>
      <c r="K961" s="7" t="s">
        <v>108</v>
      </c>
      <c r="L961" s="7" t="n">
        <v>22</v>
      </c>
      <c r="M961" s="10" t="b">
        <f aca="false">FALSE()</f>
        <v>0</v>
      </c>
      <c r="N961" s="7" t="s">
        <v>109</v>
      </c>
      <c r="O961" s="7" t="n">
        <v>-32.931914</v>
      </c>
      <c r="P961" s="7" t="n">
        <v>151.780422</v>
      </c>
    </row>
    <row r="962" customFormat="false" ht="15" hidden="false" customHeight="false" outlineLevel="0" collapsed="false">
      <c r="A962" s="7" t="n">
        <v>961</v>
      </c>
      <c r="B962" s="7"/>
      <c r="C962" s="7" t="s">
        <v>1206</v>
      </c>
      <c r="D962" s="7" t="n">
        <v>2263</v>
      </c>
      <c r="E962" s="7" t="s">
        <v>50</v>
      </c>
      <c r="F962" s="10" t="b">
        <f aca="false">FALSE()</f>
        <v>0</v>
      </c>
      <c r="G962" s="7" t="s">
        <v>283</v>
      </c>
      <c r="H962" s="7" t="s">
        <v>330</v>
      </c>
      <c r="I962" s="7" t="n">
        <v>4</v>
      </c>
      <c r="J962" s="7" t="s">
        <v>71</v>
      </c>
      <c r="K962" s="7" t="s">
        <v>213</v>
      </c>
      <c r="L962" s="7" t="n">
        <v>125</v>
      </c>
      <c r="M962" s="10" t="b">
        <f aca="false">FALSE()</f>
        <v>0</v>
      </c>
      <c r="N962" s="7" t="s">
        <v>268</v>
      </c>
      <c r="O962" s="7" t="n">
        <v>-33.21799</v>
      </c>
      <c r="P962" s="7" t="n">
        <v>151.510301</v>
      </c>
    </row>
    <row r="963" customFormat="false" ht="15" hidden="false" customHeight="false" outlineLevel="0" collapsed="false">
      <c r="A963" s="7" t="n">
        <v>962</v>
      </c>
      <c r="B963" s="7"/>
      <c r="C963" s="7" t="s">
        <v>1207</v>
      </c>
      <c r="D963" s="7" t="n">
        <v>2450</v>
      </c>
      <c r="E963" s="7" t="s">
        <v>50</v>
      </c>
      <c r="F963" s="10" t="b">
        <f aca="false">FALSE()</f>
        <v>0</v>
      </c>
      <c r="G963" s="7" t="s">
        <v>360</v>
      </c>
      <c r="H963" s="7" t="s">
        <v>237</v>
      </c>
      <c r="I963" s="7" t="n">
        <v>2</v>
      </c>
      <c r="J963" s="7" t="s">
        <v>71</v>
      </c>
      <c r="K963" s="7" t="s">
        <v>1208</v>
      </c>
      <c r="L963" s="7" t="n">
        <v>270</v>
      </c>
      <c r="M963" s="10" t="b">
        <f aca="false">FALSE()</f>
        <v>0</v>
      </c>
      <c r="N963" s="7" t="s">
        <v>76</v>
      </c>
      <c r="O963" s="7" t="n">
        <v>-30.317931</v>
      </c>
      <c r="P963" s="7" t="n">
        <v>153.089723</v>
      </c>
    </row>
    <row r="964" customFormat="false" ht="15" hidden="false" customHeight="false" outlineLevel="0" collapsed="false">
      <c r="A964" s="7" t="n">
        <v>963</v>
      </c>
      <c r="B964" s="7"/>
      <c r="C964" s="7" t="s">
        <v>1209</v>
      </c>
      <c r="D964" s="7" t="n">
        <v>2134</v>
      </c>
      <c r="E964" s="7" t="s">
        <v>50</v>
      </c>
      <c r="F964" s="10" t="b">
        <f aca="false">FALSE()</f>
        <v>0</v>
      </c>
      <c r="G964" s="7" t="s">
        <v>421</v>
      </c>
      <c r="H964" s="7" t="s">
        <v>252</v>
      </c>
      <c r="I964" s="7" t="n">
        <v>2</v>
      </c>
      <c r="J964" s="7" t="s">
        <v>71</v>
      </c>
      <c r="K964" s="7" t="s">
        <v>190</v>
      </c>
      <c r="L964" s="7" t="n">
        <v>60</v>
      </c>
      <c r="M964" s="10" t="b">
        <f aca="false">FALSE()</f>
        <v>0</v>
      </c>
      <c r="N964" s="7" t="s">
        <v>76</v>
      </c>
      <c r="O964" s="7" t="n">
        <v>-33.869791</v>
      </c>
      <c r="P964" s="7" t="n">
        <v>151.110668</v>
      </c>
    </row>
    <row r="965" customFormat="false" ht="15" hidden="false" customHeight="false" outlineLevel="0" collapsed="false">
      <c r="A965" s="7" t="n">
        <v>964</v>
      </c>
      <c r="B965" s="7"/>
      <c r="C965" s="7" t="s">
        <v>1210</v>
      </c>
      <c r="D965" s="7" t="n">
        <v>2750</v>
      </c>
      <c r="E965" s="7" t="s">
        <v>50</v>
      </c>
      <c r="F965" s="10" t="b">
        <f aca="false">FALSE()</f>
        <v>0</v>
      </c>
      <c r="G965" s="7" t="s">
        <v>472</v>
      </c>
      <c r="H965" s="7" t="s">
        <v>287</v>
      </c>
      <c r="I965" s="7" t="n">
        <v>1</v>
      </c>
      <c r="J965" s="7" t="s">
        <v>71</v>
      </c>
      <c r="K965" s="7" t="s">
        <v>288</v>
      </c>
      <c r="L965" s="7" t="n">
        <v>25</v>
      </c>
      <c r="M965" s="10" t="b">
        <f aca="false">FALSE()</f>
        <v>0</v>
      </c>
      <c r="N965" s="7" t="s">
        <v>1107</v>
      </c>
      <c r="O965" s="7" t="n">
        <v>-33.750304</v>
      </c>
      <c r="P965" s="7" t="n">
        <v>150.694089</v>
      </c>
    </row>
    <row r="966" customFormat="false" ht="15" hidden="false" customHeight="false" outlineLevel="0" collapsed="false">
      <c r="A966" s="7" t="n">
        <v>965</v>
      </c>
      <c r="B966" s="7"/>
      <c r="C966" s="7" t="s">
        <v>1211</v>
      </c>
      <c r="D966" s="7" t="n">
        <v>2260</v>
      </c>
      <c r="E966" s="7" t="s">
        <v>50</v>
      </c>
      <c r="F966" s="10" t="b">
        <f aca="false">FALSE()</f>
        <v>0</v>
      </c>
      <c r="G966" s="7" t="s">
        <v>276</v>
      </c>
      <c r="H966" s="7" t="s">
        <v>239</v>
      </c>
      <c r="I966" s="7" t="n">
        <v>4</v>
      </c>
      <c r="J966" s="7" t="s">
        <v>107</v>
      </c>
      <c r="K966" s="7" t="s">
        <v>108</v>
      </c>
      <c r="L966" s="7" t="n">
        <v>22</v>
      </c>
      <c r="M966" s="10" t="b">
        <f aca="false">FALSE()</f>
        <v>0</v>
      </c>
      <c r="N966" s="7" t="s">
        <v>109</v>
      </c>
      <c r="O966" s="7" t="n">
        <v>-33.448123</v>
      </c>
      <c r="P966" s="7" t="n">
        <v>151.445305</v>
      </c>
    </row>
    <row r="967" customFormat="false" ht="15" hidden="false" customHeight="false" outlineLevel="0" collapsed="false">
      <c r="A967" s="7" t="n">
        <v>966</v>
      </c>
      <c r="B967" s="7"/>
      <c r="C967" s="7" t="s">
        <v>1212</v>
      </c>
      <c r="D967" s="7" t="n">
        <v>2101</v>
      </c>
      <c r="E967" s="7" t="s">
        <v>50</v>
      </c>
      <c r="F967" s="10" t="b">
        <f aca="false">FALSE()</f>
        <v>0</v>
      </c>
      <c r="G967" s="7" t="s">
        <v>286</v>
      </c>
      <c r="H967" s="7" t="s">
        <v>287</v>
      </c>
      <c r="I967" s="7" t="n">
        <v>2</v>
      </c>
      <c r="J967" s="7" t="s">
        <v>71</v>
      </c>
      <c r="K967" s="7" t="s">
        <v>288</v>
      </c>
      <c r="L967" s="7" t="n">
        <v>25</v>
      </c>
      <c r="M967" s="10" t="b">
        <f aca="false">FALSE()</f>
        <v>0</v>
      </c>
      <c r="N967" s="7" t="s">
        <v>76</v>
      </c>
      <c r="O967" s="7" t="n">
        <v>-33.713764</v>
      </c>
      <c r="P967" s="7" t="n">
        <v>151.297142</v>
      </c>
    </row>
    <row r="968" customFormat="false" ht="15" hidden="false" customHeight="false" outlineLevel="0" collapsed="false">
      <c r="A968" s="7" t="n">
        <v>967</v>
      </c>
      <c r="B968" s="7"/>
      <c r="C968" s="7" t="s">
        <v>1213</v>
      </c>
      <c r="D968" s="7" t="n">
        <v>2065</v>
      </c>
      <c r="E968" s="7" t="s">
        <v>50</v>
      </c>
      <c r="F968" s="10" t="b">
        <f aca="false">FALSE()</f>
        <v>0</v>
      </c>
      <c r="G968" s="7" t="s">
        <v>332</v>
      </c>
      <c r="H968" s="7" t="s">
        <v>244</v>
      </c>
      <c r="I968" s="7" t="n">
        <v>4</v>
      </c>
      <c r="J968" s="7" t="s">
        <v>71</v>
      </c>
      <c r="K968" s="7" t="s">
        <v>83</v>
      </c>
      <c r="L968" s="7" t="n">
        <v>75</v>
      </c>
      <c r="M968" s="10" t="b">
        <f aca="false">FALSE()</f>
        <v>0</v>
      </c>
      <c r="N968" s="7" t="s">
        <v>76</v>
      </c>
      <c r="O968" s="7" t="n">
        <v>-33.824622</v>
      </c>
      <c r="P968" s="7" t="n">
        <v>151.199767</v>
      </c>
    </row>
    <row r="969" customFormat="false" ht="15" hidden="false" customHeight="false" outlineLevel="0" collapsed="false">
      <c r="A969" s="7" t="n">
        <v>968</v>
      </c>
      <c r="B969" s="7"/>
      <c r="C969" s="7" t="s">
        <v>1214</v>
      </c>
      <c r="D969" s="7" t="n">
        <v>2250</v>
      </c>
      <c r="E969" s="7" t="s">
        <v>50</v>
      </c>
      <c r="F969" s="10" t="b">
        <f aca="false">FALSE()</f>
        <v>0</v>
      </c>
      <c r="G969" s="7" t="s">
        <v>276</v>
      </c>
      <c r="H969" s="7" t="s">
        <v>252</v>
      </c>
      <c r="I969" s="7" t="n">
        <v>4</v>
      </c>
      <c r="J969" s="7" t="s">
        <v>107</v>
      </c>
      <c r="K969" s="7" t="s">
        <v>277</v>
      </c>
      <c r="L969" s="7" t="n">
        <v>6</v>
      </c>
      <c r="M969" s="10" t="b">
        <f aca="false">FALSE()</f>
        <v>0</v>
      </c>
      <c r="N969" s="7" t="s">
        <v>109</v>
      </c>
      <c r="O969" s="7" t="n">
        <v>-33.403226</v>
      </c>
      <c r="P969" s="7" t="n">
        <v>151.192505</v>
      </c>
    </row>
    <row r="970" customFormat="false" ht="15" hidden="false" customHeight="false" outlineLevel="0" collapsed="false">
      <c r="A970" s="7" t="n">
        <v>969</v>
      </c>
      <c r="B970" s="7"/>
      <c r="C970" s="7" t="s">
        <v>1215</v>
      </c>
      <c r="D970" s="7" t="n">
        <v>2073</v>
      </c>
      <c r="E970" s="7" t="s">
        <v>50</v>
      </c>
      <c r="F970" s="10" t="b">
        <f aca="false">FALSE()</f>
        <v>0</v>
      </c>
      <c r="G970" s="7" t="s">
        <v>236</v>
      </c>
      <c r="H970" s="7" t="s">
        <v>260</v>
      </c>
      <c r="I970" s="7" t="n">
        <v>2</v>
      </c>
      <c r="J970" s="7" t="s">
        <v>71</v>
      </c>
      <c r="K970" s="7" t="s">
        <v>190</v>
      </c>
      <c r="L970" s="7" t="n">
        <v>60</v>
      </c>
      <c r="M970" s="10" t="b">
        <f aca="false">FALSE()</f>
        <v>0</v>
      </c>
      <c r="N970" s="7" t="s">
        <v>76</v>
      </c>
      <c r="O970" s="7" t="n">
        <v>-33.763576</v>
      </c>
      <c r="P970" s="7" t="n">
        <v>151.133625</v>
      </c>
    </row>
    <row r="971" customFormat="false" ht="15" hidden="false" customHeight="false" outlineLevel="0" collapsed="false">
      <c r="A971" s="7" t="n">
        <v>970</v>
      </c>
      <c r="B971" s="7"/>
      <c r="C971" s="7" t="s">
        <v>1216</v>
      </c>
      <c r="D971" s="7" t="n">
        <v>2534</v>
      </c>
      <c r="E971" s="7" t="s">
        <v>50</v>
      </c>
      <c r="F971" s="10" t="b">
        <f aca="false">FALSE()</f>
        <v>0</v>
      </c>
      <c r="G971" s="7" t="s">
        <v>446</v>
      </c>
      <c r="H971" s="7" t="s">
        <v>758</v>
      </c>
      <c r="I971" s="7" t="n">
        <v>2</v>
      </c>
      <c r="J971" s="7" t="s">
        <v>107</v>
      </c>
      <c r="K971" s="7" t="s">
        <v>485</v>
      </c>
      <c r="L971" s="7" t="n">
        <v>11</v>
      </c>
      <c r="M971" s="10" t="b">
        <f aca="false">FALSE()</f>
        <v>0</v>
      </c>
      <c r="N971" s="7" t="s">
        <v>109</v>
      </c>
      <c r="O971" s="7" t="n">
        <v>-34.724385</v>
      </c>
      <c r="P971" s="7" t="n">
        <v>150.842311</v>
      </c>
    </row>
    <row r="972" customFormat="false" ht="15" hidden="false" customHeight="false" outlineLevel="0" collapsed="false">
      <c r="A972" s="7" t="n">
        <v>971</v>
      </c>
      <c r="B972" s="7"/>
      <c r="C972" s="7" t="s">
        <v>1217</v>
      </c>
      <c r="D972" s="7" t="n">
        <v>2539</v>
      </c>
      <c r="E972" s="7" t="s">
        <v>50</v>
      </c>
      <c r="F972" s="10" t="b">
        <f aca="false">FALSE()</f>
        <v>0</v>
      </c>
      <c r="G972" s="7" t="s">
        <v>92</v>
      </c>
      <c r="H972" s="7" t="s">
        <v>260</v>
      </c>
      <c r="I972" s="7" t="n">
        <v>4</v>
      </c>
      <c r="J972" s="7" t="s">
        <v>107</v>
      </c>
      <c r="K972" s="7" t="s">
        <v>108</v>
      </c>
      <c r="L972" s="7" t="n">
        <v>22</v>
      </c>
      <c r="M972" s="10" t="b">
        <f aca="false">FALSE()</f>
        <v>0</v>
      </c>
      <c r="N972" s="7" t="s">
        <v>109</v>
      </c>
      <c r="O972" s="7" t="n">
        <v>-35.368421</v>
      </c>
      <c r="P972" s="7" t="n">
        <v>150.470609</v>
      </c>
    </row>
    <row r="973" customFormat="false" ht="15" hidden="false" customHeight="false" outlineLevel="0" collapsed="false">
      <c r="A973" s="7" t="n">
        <v>972</v>
      </c>
      <c r="B973" s="7"/>
      <c r="C973" s="7" t="s">
        <v>1218</v>
      </c>
      <c r="D973" s="7" t="n">
        <v>2147</v>
      </c>
      <c r="E973" s="7" t="s">
        <v>50</v>
      </c>
      <c r="F973" s="10" t="b">
        <f aca="false">FALSE()</f>
        <v>0</v>
      </c>
      <c r="G973" s="7" t="s">
        <v>232</v>
      </c>
      <c r="H973" s="7" t="s">
        <v>230</v>
      </c>
      <c r="I973" s="7" t="n">
        <v>1</v>
      </c>
      <c r="J973" s="7" t="s">
        <v>107</v>
      </c>
      <c r="K973" s="7" t="s">
        <v>108</v>
      </c>
      <c r="L973" s="7" t="n">
        <v>22</v>
      </c>
      <c r="M973" s="10" t="b">
        <f aca="false">FALSE()</f>
        <v>0</v>
      </c>
      <c r="N973" s="7" t="s">
        <v>109</v>
      </c>
      <c r="O973" s="7" t="n">
        <v>-33.775803</v>
      </c>
      <c r="P973" s="7" t="n">
        <v>150.933571</v>
      </c>
    </row>
    <row r="974" customFormat="false" ht="15" hidden="false" customHeight="false" outlineLevel="0" collapsed="false">
      <c r="A974" s="7" t="n">
        <v>973</v>
      </c>
      <c r="B974" s="7"/>
      <c r="C974" s="7" t="s">
        <v>1219</v>
      </c>
      <c r="D974" s="7" t="n">
        <v>2026</v>
      </c>
      <c r="E974" s="7" t="s">
        <v>50</v>
      </c>
      <c r="F974" s="10" t="b">
        <f aca="false">FALSE()</f>
        <v>0</v>
      </c>
      <c r="G974" s="7" t="s">
        <v>295</v>
      </c>
      <c r="H974" s="7" t="s">
        <v>237</v>
      </c>
      <c r="I974" s="7" t="n">
        <v>6</v>
      </c>
      <c r="J974" s="7" t="s">
        <v>107</v>
      </c>
      <c r="K974" s="7" t="s">
        <v>277</v>
      </c>
      <c r="L974" s="7" t="n">
        <v>6</v>
      </c>
      <c r="M974" s="10" t="b">
        <f aca="false">FALSE()</f>
        <v>0</v>
      </c>
      <c r="N974" s="7" t="s">
        <v>109</v>
      </c>
      <c r="O974" s="7" t="n">
        <v>-33.890781</v>
      </c>
      <c r="P974" s="7" t="n">
        <v>151.276309</v>
      </c>
    </row>
    <row r="975" customFormat="false" ht="15" hidden="false" customHeight="false" outlineLevel="0" collapsed="false">
      <c r="A975" s="7" t="n">
        <v>974</v>
      </c>
      <c r="B975" s="7"/>
      <c r="C975" s="7" t="s">
        <v>1220</v>
      </c>
      <c r="D975" s="7" t="n">
        <v>2067</v>
      </c>
      <c r="E975" s="7" t="s">
        <v>50</v>
      </c>
      <c r="F975" s="10" t="b">
        <f aca="false">FALSE()</f>
        <v>0</v>
      </c>
      <c r="G975" s="7" t="s">
        <v>258</v>
      </c>
      <c r="H975" s="7" t="s">
        <v>237</v>
      </c>
      <c r="I975" s="7" t="n">
        <v>2</v>
      </c>
      <c r="J975" s="7" t="s">
        <v>107</v>
      </c>
      <c r="K975" s="7" t="s">
        <v>277</v>
      </c>
      <c r="L975" s="7" t="n">
        <v>6</v>
      </c>
      <c r="M975" s="10" t="b">
        <f aca="false">FALSE()</f>
        <v>0</v>
      </c>
      <c r="N975" s="7" t="s">
        <v>109</v>
      </c>
      <c r="O975" s="7" t="n">
        <v>-33.79441</v>
      </c>
      <c r="P975" s="7" t="n">
        <v>151.180162</v>
      </c>
    </row>
    <row r="976" customFormat="false" ht="15" hidden="false" customHeight="false" outlineLevel="0" collapsed="false">
      <c r="A976" s="7" t="n">
        <v>975</v>
      </c>
      <c r="B976" s="7"/>
      <c r="C976" s="7" t="s">
        <v>1221</v>
      </c>
      <c r="D976" s="7" t="n">
        <v>2440</v>
      </c>
      <c r="E976" s="7" t="s">
        <v>50</v>
      </c>
      <c r="F976" s="10" t="b">
        <f aca="false">FALSE()</f>
        <v>0</v>
      </c>
      <c r="G976" s="7" t="s">
        <v>533</v>
      </c>
      <c r="H976" s="7" t="s">
        <v>302</v>
      </c>
      <c r="I976" s="7" t="n">
        <v>2</v>
      </c>
      <c r="J976" s="7" t="s">
        <v>107</v>
      </c>
      <c r="K976" s="7" t="s">
        <v>108</v>
      </c>
      <c r="L976" s="7" t="n">
        <v>22</v>
      </c>
      <c r="M976" s="10" t="b">
        <f aca="false">FALSE()</f>
        <v>0</v>
      </c>
      <c r="N976" s="7" t="s">
        <v>109</v>
      </c>
      <c r="O976" s="7" t="n">
        <v>-31.189684</v>
      </c>
      <c r="P976" s="7" t="n">
        <v>152.978444</v>
      </c>
    </row>
    <row r="977" customFormat="false" ht="15" hidden="false" customHeight="false" outlineLevel="0" collapsed="false">
      <c r="A977" s="7" t="n">
        <v>976</v>
      </c>
      <c r="B977" s="7"/>
      <c r="C977" s="7" t="s">
        <v>1222</v>
      </c>
      <c r="D977" s="7" t="n">
        <v>2308</v>
      </c>
      <c r="E977" s="7" t="s">
        <v>50</v>
      </c>
      <c r="F977" s="10" t="b">
        <f aca="false">FALSE()</f>
        <v>0</v>
      </c>
      <c r="G977" s="7" t="s">
        <v>141</v>
      </c>
      <c r="H977" s="7" t="s">
        <v>237</v>
      </c>
      <c r="I977" s="7" t="n">
        <v>4</v>
      </c>
      <c r="J977" s="7" t="s">
        <v>107</v>
      </c>
      <c r="K977" s="7" t="s">
        <v>108</v>
      </c>
      <c r="L977" s="7" t="n">
        <v>22</v>
      </c>
      <c r="M977" s="10" t="b">
        <f aca="false">FALSE()</f>
        <v>0</v>
      </c>
      <c r="N977" s="7" t="s">
        <v>109</v>
      </c>
      <c r="O977" s="7" t="n">
        <v>-32.891885</v>
      </c>
      <c r="P977" s="7" t="n">
        <v>151.701979</v>
      </c>
    </row>
    <row r="978" customFormat="false" ht="15" hidden="false" customHeight="false" outlineLevel="0" collapsed="false">
      <c r="A978" s="7" t="n">
        <v>977</v>
      </c>
      <c r="B978" s="7"/>
      <c r="C978" s="7" t="s">
        <v>1223</v>
      </c>
      <c r="D978" s="7" t="n">
        <v>2035</v>
      </c>
      <c r="E978" s="7" t="s">
        <v>50</v>
      </c>
      <c r="F978" s="10" t="b">
        <f aca="false">FALSE()</f>
        <v>0</v>
      </c>
      <c r="G978" s="7" t="s">
        <v>355</v>
      </c>
      <c r="H978" s="7" t="s">
        <v>237</v>
      </c>
      <c r="I978" s="7" t="n">
        <v>2</v>
      </c>
      <c r="J978" s="7" t="s">
        <v>107</v>
      </c>
      <c r="K978" s="7" t="s">
        <v>900</v>
      </c>
      <c r="L978" s="7" t="n">
        <v>7</v>
      </c>
      <c r="M978" s="10" t="b">
        <f aca="false">FALSE()</f>
        <v>0</v>
      </c>
      <c r="N978" s="7" t="s">
        <v>109</v>
      </c>
      <c r="O978" s="7" t="n">
        <v>-33.950307</v>
      </c>
      <c r="P978" s="7" t="n">
        <v>151.238428</v>
      </c>
    </row>
    <row r="979" customFormat="false" ht="15" hidden="false" customHeight="false" outlineLevel="0" collapsed="false">
      <c r="A979" s="7" t="n">
        <v>978</v>
      </c>
      <c r="B979" s="7"/>
      <c r="C979" s="7" t="s">
        <v>1224</v>
      </c>
      <c r="D979" s="7" t="n">
        <v>2372</v>
      </c>
      <c r="E979" s="7" t="s">
        <v>50</v>
      </c>
      <c r="F979" s="10" t="b">
        <f aca="false">FALSE()</f>
        <v>0</v>
      </c>
      <c r="G979" s="7" t="s">
        <v>96</v>
      </c>
      <c r="H979" s="7" t="s">
        <v>239</v>
      </c>
      <c r="I979" s="7" t="n">
        <v>2</v>
      </c>
      <c r="J979" s="7" t="s">
        <v>107</v>
      </c>
      <c r="K979" s="7" t="s">
        <v>277</v>
      </c>
      <c r="L979" s="7" t="n">
        <v>6</v>
      </c>
      <c r="M979" s="10" t="b">
        <f aca="false">FALSE()</f>
        <v>0</v>
      </c>
      <c r="N979" s="7" t="s">
        <v>109</v>
      </c>
      <c r="O979" s="7" t="n">
        <v>-29.000386</v>
      </c>
      <c r="P979" s="7" t="n">
        <v>152.023976</v>
      </c>
    </row>
    <row r="980" customFormat="false" ht="15" hidden="false" customHeight="false" outlineLevel="0" collapsed="false">
      <c r="A980" s="7" t="n">
        <v>979</v>
      </c>
      <c r="B980" s="7"/>
      <c r="C980" s="7" t="s">
        <v>1225</v>
      </c>
      <c r="D980" s="7" t="n">
        <v>2069</v>
      </c>
      <c r="E980" s="7" t="s">
        <v>50</v>
      </c>
      <c r="F980" s="10" t="b">
        <f aca="false">FALSE()</f>
        <v>0</v>
      </c>
      <c r="G980" s="7" t="s">
        <v>236</v>
      </c>
      <c r="H980" s="7" t="s">
        <v>287</v>
      </c>
      <c r="I980" s="7" t="n">
        <v>1</v>
      </c>
      <c r="J980" s="7" t="s">
        <v>71</v>
      </c>
      <c r="K980" s="7" t="s">
        <v>288</v>
      </c>
      <c r="L980" s="7" t="n">
        <v>25</v>
      </c>
      <c r="M980" s="10" t="b">
        <f aca="false">FALSE()</f>
        <v>0</v>
      </c>
      <c r="N980" s="7" t="s">
        <v>1107</v>
      </c>
      <c r="O980" s="7" t="n">
        <v>-33.782904</v>
      </c>
      <c r="P980" s="7" t="n">
        <v>151.175213</v>
      </c>
    </row>
    <row r="981" customFormat="false" ht="15" hidden="false" customHeight="false" outlineLevel="0" collapsed="false">
      <c r="A981" s="7" t="n">
        <v>980</v>
      </c>
      <c r="B981" s="7"/>
      <c r="C981" s="7" t="s">
        <v>1226</v>
      </c>
      <c r="D981" s="7" t="n">
        <v>2580</v>
      </c>
      <c r="E981" s="7" t="s">
        <v>50</v>
      </c>
      <c r="F981" s="10" t="b">
        <f aca="false">FALSE()</f>
        <v>0</v>
      </c>
      <c r="G981" s="7" t="s">
        <v>481</v>
      </c>
      <c r="H981" s="7" t="s">
        <v>358</v>
      </c>
      <c r="I981" s="7" t="n">
        <v>1</v>
      </c>
      <c r="J981" s="7" t="s">
        <v>107</v>
      </c>
      <c r="K981" s="7" t="s">
        <v>696</v>
      </c>
      <c r="L981" s="7" t="n">
        <v>3</v>
      </c>
      <c r="M981" s="10" t="b">
        <f aca="false">FALSE()</f>
        <v>0</v>
      </c>
      <c r="N981" s="7" t="s">
        <v>109</v>
      </c>
      <c r="O981" s="7" t="n">
        <v>-34.730257</v>
      </c>
      <c r="P981" s="7" t="n">
        <v>149.742497</v>
      </c>
    </row>
    <row r="982" customFormat="false" ht="15" hidden="false" customHeight="false" outlineLevel="0" collapsed="false">
      <c r="A982" s="7" t="n">
        <v>981</v>
      </c>
      <c r="B982" s="7"/>
      <c r="C982" s="7" t="s">
        <v>1227</v>
      </c>
      <c r="D982" s="7" t="n">
        <v>2154</v>
      </c>
      <c r="E982" s="7" t="s">
        <v>50</v>
      </c>
      <c r="F982" s="10" t="b">
        <f aca="false">FALSE()</f>
        <v>0</v>
      </c>
      <c r="G982" s="7" t="s">
        <v>299</v>
      </c>
      <c r="H982" s="7" t="s">
        <v>758</v>
      </c>
      <c r="I982" s="7" t="n">
        <v>2</v>
      </c>
      <c r="J982" s="7" t="s">
        <v>107</v>
      </c>
      <c r="K982" s="7" t="s">
        <v>485</v>
      </c>
      <c r="L982" s="7" t="n">
        <v>11</v>
      </c>
      <c r="M982" s="10" t="b">
        <f aca="false">FALSE()</f>
        <v>0</v>
      </c>
      <c r="N982" s="7" t="s">
        <v>109</v>
      </c>
      <c r="O982" s="7" t="n">
        <v>-33.730282</v>
      </c>
      <c r="P982" s="7" t="n">
        <v>150.973411</v>
      </c>
    </row>
    <row r="983" customFormat="false" ht="15" hidden="false" customHeight="false" outlineLevel="0" collapsed="false">
      <c r="A983" s="7" t="n">
        <v>982</v>
      </c>
      <c r="B983" s="7"/>
      <c r="C983" s="7" t="s">
        <v>1228</v>
      </c>
      <c r="D983" s="7" t="n">
        <v>2113</v>
      </c>
      <c r="E983" s="7" t="s">
        <v>50</v>
      </c>
      <c r="F983" s="10" t="b">
        <f aca="false">FALSE()</f>
        <v>0</v>
      </c>
      <c r="G983" s="7" t="s">
        <v>364</v>
      </c>
      <c r="H983" s="7" t="s">
        <v>237</v>
      </c>
      <c r="I983" s="7" t="n">
        <v>2</v>
      </c>
      <c r="J983" s="7" t="s">
        <v>107</v>
      </c>
      <c r="K983" s="7" t="s">
        <v>108</v>
      </c>
      <c r="L983" s="7" t="n">
        <v>22</v>
      </c>
      <c r="M983" s="10" t="b">
        <f aca="false">FALSE()</f>
        <v>0</v>
      </c>
      <c r="N983" s="7" t="s">
        <v>109</v>
      </c>
      <c r="O983" s="7" t="n">
        <v>-33.773191</v>
      </c>
      <c r="P983" s="7" t="n">
        <v>151.116038</v>
      </c>
    </row>
    <row r="984" customFormat="false" ht="15" hidden="false" customHeight="false" outlineLevel="0" collapsed="false">
      <c r="A984" s="7" t="n">
        <v>983</v>
      </c>
      <c r="B984" s="7"/>
      <c r="C984" s="7" t="s">
        <v>1229</v>
      </c>
      <c r="D984" s="7" t="n">
        <v>2020</v>
      </c>
      <c r="E984" s="7" t="s">
        <v>50</v>
      </c>
      <c r="F984" s="10" t="b">
        <f aca="false">FALSE()</f>
        <v>0</v>
      </c>
      <c r="G984" s="7" t="s">
        <v>380</v>
      </c>
      <c r="H984" s="7" t="s">
        <v>239</v>
      </c>
      <c r="I984" s="7" t="n">
        <v>2</v>
      </c>
      <c r="J984" s="7" t="s">
        <v>107</v>
      </c>
      <c r="K984" s="7" t="s">
        <v>277</v>
      </c>
      <c r="L984" s="7" t="n">
        <v>6</v>
      </c>
      <c r="M984" s="10" t="b">
        <f aca="false">FALSE()</f>
        <v>0</v>
      </c>
      <c r="N984" s="7" t="s">
        <v>109</v>
      </c>
      <c r="O984" s="7" t="n">
        <v>-33.932786</v>
      </c>
      <c r="P984" s="7" t="n">
        <v>151.180293</v>
      </c>
    </row>
    <row r="985" customFormat="false" ht="15" hidden="false" customHeight="false" outlineLevel="0" collapsed="false">
      <c r="A985" s="7" t="n">
        <v>984</v>
      </c>
      <c r="B985" s="7"/>
      <c r="C985" s="7" t="s">
        <v>1230</v>
      </c>
      <c r="D985" s="7" t="n">
        <v>2289</v>
      </c>
      <c r="E985" s="7" t="s">
        <v>50</v>
      </c>
      <c r="F985" s="10" t="b">
        <f aca="false">FALSE()</f>
        <v>0</v>
      </c>
      <c r="G985" s="7" t="s">
        <v>141</v>
      </c>
      <c r="H985" s="7" t="s">
        <v>260</v>
      </c>
      <c r="I985" s="7" t="n">
        <v>4</v>
      </c>
      <c r="J985" s="7" t="s">
        <v>71</v>
      </c>
      <c r="K985" s="7" t="s">
        <v>190</v>
      </c>
      <c r="L985" s="7" t="n">
        <v>60</v>
      </c>
      <c r="M985" s="10" t="b">
        <f aca="false">FALSE()</f>
        <v>0</v>
      </c>
      <c r="N985" s="7" t="s">
        <v>76</v>
      </c>
      <c r="O985" s="7" t="n">
        <v>-32.940794</v>
      </c>
      <c r="P985" s="7" t="n">
        <v>151.71055</v>
      </c>
    </row>
    <row r="986" customFormat="false" ht="15" hidden="false" customHeight="false" outlineLevel="0" collapsed="false">
      <c r="A986" s="7" t="n">
        <v>985</v>
      </c>
      <c r="B986" s="7"/>
      <c r="C986" s="7" t="s">
        <v>1231</v>
      </c>
      <c r="D986" s="7" t="n">
        <v>2303</v>
      </c>
      <c r="E986" s="7" t="s">
        <v>50</v>
      </c>
      <c r="F986" s="10" t="b">
        <f aca="false">FALSE()</f>
        <v>0</v>
      </c>
      <c r="G986" s="7" t="s">
        <v>141</v>
      </c>
      <c r="H986" s="7" t="s">
        <v>237</v>
      </c>
      <c r="I986" s="7" t="n">
        <v>4</v>
      </c>
      <c r="J986" s="7" t="s">
        <v>107</v>
      </c>
      <c r="K986" s="7" t="s">
        <v>108</v>
      </c>
      <c r="L986" s="7" t="n">
        <v>22</v>
      </c>
      <c r="M986" s="10" t="b">
        <f aca="false">FALSE()</f>
        <v>0</v>
      </c>
      <c r="N986" s="7" t="s">
        <v>109</v>
      </c>
      <c r="O986" s="7" t="n">
        <v>-32.930158</v>
      </c>
      <c r="P986" s="7" t="n">
        <v>151.760634</v>
      </c>
    </row>
    <row r="987" customFormat="false" ht="15" hidden="false" customHeight="false" outlineLevel="0" collapsed="false">
      <c r="A987" s="7" t="n">
        <v>986</v>
      </c>
      <c r="B987" s="7"/>
      <c r="C987" s="7" t="s">
        <v>1232</v>
      </c>
      <c r="D987" s="7" t="n">
        <v>2174</v>
      </c>
      <c r="E987" s="7" t="s">
        <v>50</v>
      </c>
      <c r="F987" s="10" t="b">
        <f aca="false">FALSE()</f>
        <v>0</v>
      </c>
      <c r="G987" s="7" t="s">
        <v>130</v>
      </c>
      <c r="H987" s="7" t="s">
        <v>237</v>
      </c>
      <c r="I987" s="7" t="n">
        <v>10</v>
      </c>
      <c r="J987" s="7" t="s">
        <v>107</v>
      </c>
      <c r="K987" s="7" t="s">
        <v>108</v>
      </c>
      <c r="L987" s="7" t="n">
        <v>22</v>
      </c>
      <c r="M987" s="10" t="b">
        <f aca="false">FALSE()</f>
        <v>0</v>
      </c>
      <c r="N987" s="7" t="s">
        <v>109</v>
      </c>
      <c r="O987" s="7" t="n">
        <v>-33.969097</v>
      </c>
      <c r="P987" s="7" t="n">
        <v>150.86157</v>
      </c>
    </row>
    <row r="988" customFormat="false" ht="15" hidden="false" customHeight="false" outlineLevel="0" collapsed="false">
      <c r="A988" s="7" t="n">
        <v>987</v>
      </c>
      <c r="B988" s="7"/>
      <c r="C988" s="7" t="s">
        <v>1233</v>
      </c>
      <c r="D988" s="7" t="n">
        <v>2317</v>
      </c>
      <c r="E988" s="7" t="s">
        <v>50</v>
      </c>
      <c r="F988" s="10" t="b">
        <f aca="false">FALSE()</f>
        <v>0</v>
      </c>
      <c r="G988" s="7" t="s">
        <v>309</v>
      </c>
      <c r="H988" s="7" t="s">
        <v>758</v>
      </c>
      <c r="I988" s="7" t="n">
        <v>4</v>
      </c>
      <c r="J988" s="7" t="s">
        <v>107</v>
      </c>
      <c r="K988" s="7" t="s">
        <v>485</v>
      </c>
      <c r="L988" s="7" t="n">
        <v>11</v>
      </c>
      <c r="M988" s="10" t="b">
        <f aca="false">FALSE()</f>
        <v>0</v>
      </c>
      <c r="N988" s="7" t="s">
        <v>109</v>
      </c>
      <c r="O988" s="7" t="n">
        <v>-32.711414</v>
      </c>
      <c r="P988" s="7" t="n">
        <v>152.072093</v>
      </c>
    </row>
    <row r="989" customFormat="false" ht="15" hidden="false" customHeight="false" outlineLevel="0" collapsed="false">
      <c r="A989" s="7" t="n">
        <v>988</v>
      </c>
      <c r="B989" s="7"/>
      <c r="C989" s="7" t="s">
        <v>1234</v>
      </c>
      <c r="D989" s="7" t="n">
        <v>2650</v>
      </c>
      <c r="E989" s="7" t="s">
        <v>50</v>
      </c>
      <c r="F989" s="10" t="b">
        <f aca="false">FALSE()</f>
        <v>0</v>
      </c>
      <c r="G989" s="7" t="s">
        <v>147</v>
      </c>
      <c r="H989" s="7" t="s">
        <v>252</v>
      </c>
      <c r="I989" s="7" t="n">
        <v>2</v>
      </c>
      <c r="J989" s="7" t="s">
        <v>71</v>
      </c>
      <c r="K989" s="7" t="s">
        <v>288</v>
      </c>
      <c r="L989" s="7" t="n">
        <v>25</v>
      </c>
      <c r="M989" s="10" t="b">
        <f aca="false">FALSE()</f>
        <v>0</v>
      </c>
      <c r="N989" s="7" t="s">
        <v>76</v>
      </c>
      <c r="O989" s="7" t="n">
        <v>-35.123479</v>
      </c>
      <c r="P989" s="7" t="n">
        <v>147.399228</v>
      </c>
    </row>
    <row r="990" customFormat="false" ht="15" hidden="false" customHeight="false" outlineLevel="0" collapsed="false">
      <c r="A990" s="7" t="n">
        <v>989</v>
      </c>
      <c r="B990" s="7"/>
      <c r="C990" s="7" t="s">
        <v>1235</v>
      </c>
      <c r="D990" s="7" t="n">
        <v>2317</v>
      </c>
      <c r="E990" s="7" t="s">
        <v>50</v>
      </c>
      <c r="F990" s="10" t="b">
        <f aca="false">FALSE()</f>
        <v>0</v>
      </c>
      <c r="G990" s="7" t="s">
        <v>309</v>
      </c>
      <c r="H990" s="7" t="s">
        <v>237</v>
      </c>
      <c r="I990" s="7" t="n">
        <v>2</v>
      </c>
      <c r="J990" s="7" t="s">
        <v>71</v>
      </c>
      <c r="K990" s="7" t="s">
        <v>405</v>
      </c>
      <c r="L990" s="7" t="n">
        <v>24</v>
      </c>
      <c r="M990" s="10" t="b">
        <f aca="false">FALSE()</f>
        <v>0</v>
      </c>
      <c r="N990" s="7" t="s">
        <v>76</v>
      </c>
      <c r="O990" s="7" t="n">
        <v>-32.701388</v>
      </c>
      <c r="P990" s="7" t="n">
        <v>152.062647</v>
      </c>
    </row>
    <row r="991" customFormat="false" ht="15" hidden="false" customHeight="false" outlineLevel="0" collapsed="false">
      <c r="A991" s="7" t="n">
        <v>990</v>
      </c>
      <c r="B991" s="7"/>
      <c r="C991" s="7" t="s">
        <v>1236</v>
      </c>
      <c r="D991" s="7" t="n">
        <v>2000</v>
      </c>
      <c r="E991" s="7" t="s">
        <v>50</v>
      </c>
      <c r="F991" s="10" t="b">
        <f aca="false">FALSE()</f>
        <v>0</v>
      </c>
      <c r="G991" s="7" t="s">
        <v>182</v>
      </c>
      <c r="H991" s="7" t="s">
        <v>252</v>
      </c>
      <c r="I991" s="7" t="n">
        <v>1</v>
      </c>
      <c r="J991" s="7" t="s">
        <v>107</v>
      </c>
      <c r="K991" s="7" t="s">
        <v>108</v>
      </c>
      <c r="L991" s="7" t="n">
        <v>22</v>
      </c>
      <c r="M991" s="10" t="b">
        <f aca="false">FALSE()</f>
        <v>0</v>
      </c>
      <c r="N991" s="7" t="s">
        <v>109</v>
      </c>
      <c r="O991" s="7" t="n">
        <v>-33.870523</v>
      </c>
      <c r="P991" s="7" t="n">
        <v>151.203846</v>
      </c>
    </row>
    <row r="992" customFormat="false" ht="15" hidden="false" customHeight="false" outlineLevel="0" collapsed="false">
      <c r="A992" s="7" t="n">
        <v>991</v>
      </c>
      <c r="B992" s="7"/>
      <c r="C992" s="7" t="s">
        <v>1237</v>
      </c>
      <c r="D992" s="7" t="n">
        <v>2550</v>
      </c>
      <c r="E992" s="7" t="s">
        <v>50</v>
      </c>
      <c r="F992" s="10" t="b">
        <f aca="false">FALSE()</f>
        <v>0</v>
      </c>
      <c r="G992" s="7" t="s">
        <v>188</v>
      </c>
      <c r="H992" s="7" t="s">
        <v>237</v>
      </c>
      <c r="I992" s="7" t="n">
        <v>2</v>
      </c>
      <c r="J992" s="7" t="s">
        <v>107</v>
      </c>
      <c r="K992" s="7" t="s">
        <v>108</v>
      </c>
      <c r="L992" s="7" t="n">
        <v>22</v>
      </c>
      <c r="M992" s="10" t="b">
        <f aca="false">FALSE()</f>
        <v>0</v>
      </c>
      <c r="N992" s="7" t="s">
        <v>109</v>
      </c>
      <c r="O992" s="7" t="n">
        <v>-36.712545</v>
      </c>
      <c r="P992" s="7" t="n">
        <v>149.976018</v>
      </c>
    </row>
    <row r="993" customFormat="false" ht="15" hidden="false" customHeight="false" outlineLevel="0" collapsed="false">
      <c r="A993" s="7" t="n">
        <v>992</v>
      </c>
      <c r="B993" s="7"/>
      <c r="C993" s="7" t="s">
        <v>1238</v>
      </c>
      <c r="D993" s="7" t="n">
        <v>2216</v>
      </c>
      <c r="E993" s="7" t="s">
        <v>50</v>
      </c>
      <c r="F993" s="10" t="b">
        <f aca="false">FALSE()</f>
        <v>0</v>
      </c>
      <c r="G993" s="7" t="s">
        <v>380</v>
      </c>
      <c r="H993" s="7" t="s">
        <v>260</v>
      </c>
      <c r="I993" s="7" t="n">
        <v>1</v>
      </c>
      <c r="J993" s="7" t="s">
        <v>107</v>
      </c>
      <c r="K993" s="7" t="s">
        <v>108</v>
      </c>
      <c r="L993" s="7" t="n">
        <v>22</v>
      </c>
      <c r="M993" s="10" t="b">
        <f aca="false">FALSE()</f>
        <v>0</v>
      </c>
      <c r="N993" s="7" t="s">
        <v>109</v>
      </c>
      <c r="O993" s="7" t="n">
        <v>-33.96125</v>
      </c>
      <c r="P993" s="7" t="n">
        <v>151.154957</v>
      </c>
    </row>
    <row r="994" customFormat="false" ht="15" hidden="false" customHeight="false" outlineLevel="0" collapsed="false">
      <c r="A994" s="7" t="n">
        <v>993</v>
      </c>
      <c r="B994" s="7"/>
      <c r="C994" s="7" t="s">
        <v>1239</v>
      </c>
      <c r="D994" s="7" t="n">
        <v>2500</v>
      </c>
      <c r="E994" s="7" t="s">
        <v>50</v>
      </c>
      <c r="F994" s="10" t="b">
        <f aca="false">FALSE()</f>
        <v>0</v>
      </c>
      <c r="G994" s="7" t="s">
        <v>102</v>
      </c>
      <c r="H994" s="7" t="s">
        <v>237</v>
      </c>
      <c r="I994" s="7" t="n">
        <v>2</v>
      </c>
      <c r="J994" s="7" t="s">
        <v>107</v>
      </c>
      <c r="K994" s="7" t="s">
        <v>108</v>
      </c>
      <c r="L994" s="7" t="n">
        <v>22</v>
      </c>
      <c r="M994" s="10" t="b">
        <f aca="false">FALSE()</f>
        <v>0</v>
      </c>
      <c r="N994" s="7" t="s">
        <v>109</v>
      </c>
      <c r="O994" s="7" t="n">
        <v>-34.4077</v>
      </c>
      <c r="P994" s="7" t="n">
        <v>150.88064</v>
      </c>
    </row>
    <row r="995" customFormat="false" ht="15" hidden="false" customHeight="false" outlineLevel="0" collapsed="false">
      <c r="A995" s="7" t="n">
        <v>994</v>
      </c>
      <c r="B995" s="7"/>
      <c r="C995" s="7" t="s">
        <v>1240</v>
      </c>
      <c r="D995" s="7" t="n">
        <v>2539</v>
      </c>
      <c r="E995" s="7" t="s">
        <v>50</v>
      </c>
      <c r="F995" s="10" t="b">
        <f aca="false">FALSE()</f>
        <v>0</v>
      </c>
      <c r="G995" s="7" t="s">
        <v>92</v>
      </c>
      <c r="H995" s="7" t="s">
        <v>239</v>
      </c>
      <c r="I995" s="7" t="n">
        <v>1</v>
      </c>
      <c r="J995" s="7" t="s">
        <v>107</v>
      </c>
      <c r="K995" s="7" t="s">
        <v>277</v>
      </c>
      <c r="L995" s="7" t="n">
        <v>6</v>
      </c>
      <c r="M995" s="10" t="b">
        <f aca="false">FALSE()</f>
        <v>0</v>
      </c>
      <c r="N995" s="7" t="s">
        <v>109</v>
      </c>
      <c r="O995" s="7" t="n">
        <v>-35.33529</v>
      </c>
      <c r="P995" s="7" t="n">
        <v>150.47244</v>
      </c>
    </row>
    <row r="996" customFormat="false" ht="15" hidden="false" customHeight="false" outlineLevel="0" collapsed="false">
      <c r="A996" s="7" t="n">
        <v>995</v>
      </c>
      <c r="B996" s="7"/>
      <c r="C996" s="7" t="s">
        <v>1241</v>
      </c>
      <c r="D996" s="7" t="n">
        <v>2308</v>
      </c>
      <c r="E996" s="7" t="s">
        <v>50</v>
      </c>
      <c r="F996" s="10" t="b">
        <f aca="false">FALSE()</f>
        <v>0</v>
      </c>
      <c r="G996" s="7" t="s">
        <v>141</v>
      </c>
      <c r="H996" s="7" t="s">
        <v>237</v>
      </c>
      <c r="I996" s="7" t="n">
        <v>6</v>
      </c>
      <c r="J996" s="7" t="s">
        <v>107</v>
      </c>
      <c r="K996" s="7" t="s">
        <v>108</v>
      </c>
      <c r="L996" s="7" t="n">
        <v>22</v>
      </c>
      <c r="M996" s="10" t="b">
        <f aca="false">FALSE()</f>
        <v>0</v>
      </c>
      <c r="N996" s="7" t="s">
        <v>109</v>
      </c>
      <c r="O996" s="7" t="n">
        <v>-32.895543</v>
      </c>
      <c r="P996" s="7" t="n">
        <v>151.703996</v>
      </c>
    </row>
    <row r="997" customFormat="false" ht="15" hidden="false" customHeight="false" outlineLevel="0" collapsed="false">
      <c r="A997" s="7" t="n">
        <v>996</v>
      </c>
      <c r="B997" s="7"/>
      <c r="C997" s="7" t="s">
        <v>1242</v>
      </c>
      <c r="D997" s="7" t="n">
        <v>2522</v>
      </c>
      <c r="E997" s="7" t="s">
        <v>50</v>
      </c>
      <c r="F997" s="10" t="b">
        <f aca="false">FALSE()</f>
        <v>0</v>
      </c>
      <c r="G997" s="7" t="s">
        <v>102</v>
      </c>
      <c r="H997" s="7" t="s">
        <v>237</v>
      </c>
      <c r="I997" s="7" t="n">
        <v>6</v>
      </c>
      <c r="J997" s="7" t="s">
        <v>71</v>
      </c>
      <c r="K997" s="7" t="s">
        <v>117</v>
      </c>
      <c r="L997" s="7" t="n">
        <v>175</v>
      </c>
      <c r="M997" s="10" t="b">
        <f aca="false">FALSE()</f>
        <v>0</v>
      </c>
      <c r="N997" s="7" t="s">
        <v>658</v>
      </c>
      <c r="O997" s="7" t="n">
        <v>-34.407957</v>
      </c>
      <c r="P997" s="7" t="n">
        <v>150.877135</v>
      </c>
    </row>
    <row r="998" customFormat="false" ht="15" hidden="false" customHeight="false" outlineLevel="0" collapsed="false">
      <c r="A998" s="7" t="n">
        <v>997</v>
      </c>
      <c r="B998" s="7"/>
      <c r="C998" s="7" t="s">
        <v>1243</v>
      </c>
      <c r="D998" s="7" t="n">
        <v>2678</v>
      </c>
      <c r="E998" s="7" t="s">
        <v>50</v>
      </c>
      <c r="F998" s="10" t="b">
        <f aca="false">FALSE()</f>
        <v>0</v>
      </c>
      <c r="G998" s="7" t="s">
        <v>147</v>
      </c>
      <c r="H998" s="7" t="s">
        <v>260</v>
      </c>
      <c r="I998" s="7" t="n">
        <v>2</v>
      </c>
      <c r="J998" s="7" t="s">
        <v>71</v>
      </c>
      <c r="K998" s="7" t="s">
        <v>438</v>
      </c>
      <c r="L998" s="7" t="n">
        <v>120</v>
      </c>
      <c r="M998" s="10" t="b">
        <f aca="false">FALSE()</f>
        <v>0</v>
      </c>
      <c r="N998" s="7" t="s">
        <v>76</v>
      </c>
      <c r="O998" s="7" t="n">
        <v>-35.056934</v>
      </c>
      <c r="P998" s="7" t="n">
        <v>147.351259</v>
      </c>
    </row>
    <row r="999" customFormat="false" ht="15" hidden="false" customHeight="false" outlineLevel="0" collapsed="false">
      <c r="A999" s="7" t="n">
        <v>998</v>
      </c>
      <c r="B999" s="7"/>
      <c r="C999" s="7" t="s">
        <v>1244</v>
      </c>
      <c r="D999" s="7" t="n">
        <v>2729</v>
      </c>
      <c r="E999" s="7" t="s">
        <v>50</v>
      </c>
      <c r="F999" s="10" t="b">
        <f aca="false">FALSE()</f>
        <v>0</v>
      </c>
      <c r="G999" s="7" t="s">
        <v>456</v>
      </c>
      <c r="H999" s="7" t="s">
        <v>237</v>
      </c>
      <c r="I999" s="7" t="n">
        <v>2</v>
      </c>
      <c r="J999" s="7" t="s">
        <v>107</v>
      </c>
      <c r="K999" s="7" t="s">
        <v>108</v>
      </c>
      <c r="L999" s="7" t="n">
        <v>22</v>
      </c>
      <c r="M999" s="10" t="b">
        <f aca="false">FALSE()</f>
        <v>0</v>
      </c>
      <c r="N999" s="7" t="s">
        <v>109</v>
      </c>
      <c r="O999" s="7" t="n">
        <v>-35.306255</v>
      </c>
      <c r="P999" s="7" t="n">
        <v>148.064293</v>
      </c>
    </row>
    <row r="1000" customFormat="false" ht="15" hidden="false" customHeight="false" outlineLevel="0" collapsed="false">
      <c r="A1000" s="7" t="n">
        <v>999</v>
      </c>
      <c r="B1000" s="7"/>
      <c r="C1000" s="7" t="s">
        <v>1245</v>
      </c>
      <c r="D1000" s="7" t="n">
        <v>2330</v>
      </c>
      <c r="E1000" s="7" t="s">
        <v>50</v>
      </c>
      <c r="F1000" s="10" t="b">
        <f aca="false">FALSE()</f>
        <v>0</v>
      </c>
      <c r="G1000" s="7" t="s">
        <v>336</v>
      </c>
      <c r="H1000" s="7" t="s">
        <v>252</v>
      </c>
      <c r="I1000" s="7" t="n">
        <v>2</v>
      </c>
      <c r="J1000" s="7" t="s">
        <v>71</v>
      </c>
      <c r="K1000" s="7" t="s">
        <v>72</v>
      </c>
      <c r="L1000" s="7" t="n">
        <v>50</v>
      </c>
      <c r="M1000" s="10" t="b">
        <f aca="false">FALSE()</f>
        <v>0</v>
      </c>
      <c r="N1000" s="7" t="s">
        <v>76</v>
      </c>
      <c r="O1000" s="7" t="n">
        <v>-32.576986</v>
      </c>
      <c r="P1000" s="7" t="n">
        <v>151.184214</v>
      </c>
    </row>
    <row r="1001" customFormat="false" ht="15" hidden="false" customHeight="false" outlineLevel="0" collapsed="false">
      <c r="A1001" s="7" t="n">
        <v>1000</v>
      </c>
      <c r="B1001" s="7"/>
      <c r="C1001" s="7" t="s">
        <v>1246</v>
      </c>
      <c r="D1001" s="7" t="n">
        <v>2800</v>
      </c>
      <c r="E1001" s="7" t="s">
        <v>50</v>
      </c>
      <c r="F1001" s="10" t="b">
        <f aca="false">FALSE()</f>
        <v>0</v>
      </c>
      <c r="G1001" s="7" t="s">
        <v>167</v>
      </c>
      <c r="H1001" s="7" t="s">
        <v>758</v>
      </c>
      <c r="I1001" s="7" t="n">
        <v>1</v>
      </c>
      <c r="J1001" s="7" t="s">
        <v>107</v>
      </c>
      <c r="K1001" s="7" t="s">
        <v>485</v>
      </c>
      <c r="L1001" s="7" t="n">
        <v>11</v>
      </c>
      <c r="M1001" s="10" t="b">
        <f aca="false">FALSE()</f>
        <v>0</v>
      </c>
      <c r="N1001" s="7" t="s">
        <v>109</v>
      </c>
      <c r="O1001" s="7" t="n">
        <v>-33.333684</v>
      </c>
      <c r="P1001" s="7" t="n">
        <v>149.043536</v>
      </c>
    </row>
    <row r="1002" customFormat="false" ht="15" hidden="false" customHeight="false" outlineLevel="0" collapsed="false">
      <c r="A1002" s="7" t="n">
        <v>1001</v>
      </c>
      <c r="B1002" s="7"/>
      <c r="C1002" s="7" t="s">
        <v>1247</v>
      </c>
      <c r="D1002" s="7" t="n">
        <v>2766</v>
      </c>
      <c r="E1002" s="7" t="s">
        <v>50</v>
      </c>
      <c r="F1002" s="10" t="b">
        <f aca="false">FALSE()</f>
        <v>0</v>
      </c>
      <c r="G1002" s="7" t="s">
        <v>232</v>
      </c>
      <c r="H1002" s="7" t="s">
        <v>330</v>
      </c>
      <c r="I1002" s="7" t="n">
        <v>15</v>
      </c>
      <c r="J1002" s="7" t="s">
        <v>71</v>
      </c>
      <c r="K1002" s="7" t="s">
        <v>1248</v>
      </c>
      <c r="L1002" s="7" t="n">
        <v>240</v>
      </c>
      <c r="M1002" s="10" t="b">
        <f aca="false">FALSE()</f>
        <v>0</v>
      </c>
      <c r="N1002" s="7" t="s">
        <v>76</v>
      </c>
      <c r="O1002" s="7" t="n">
        <v>-33.801549</v>
      </c>
      <c r="P1002" s="7" t="n">
        <v>150.886</v>
      </c>
    </row>
    <row r="1003" customFormat="false" ht="15" hidden="false" customHeight="false" outlineLevel="0" collapsed="false">
      <c r="A1003" s="7" t="n">
        <v>1002</v>
      </c>
      <c r="B1003" s="7"/>
      <c r="C1003" s="7" t="s">
        <v>1249</v>
      </c>
      <c r="D1003" s="7" t="n">
        <v>2046</v>
      </c>
      <c r="E1003" s="7" t="s">
        <v>50</v>
      </c>
      <c r="F1003" s="10" t="b">
        <f aca="false">FALSE()</f>
        <v>0</v>
      </c>
      <c r="G1003" s="7" t="s">
        <v>297</v>
      </c>
      <c r="H1003" s="7" t="s">
        <v>244</v>
      </c>
      <c r="I1003" s="7" t="n">
        <v>2</v>
      </c>
      <c r="J1003" s="7" t="s">
        <v>71</v>
      </c>
      <c r="K1003" s="7" t="s">
        <v>83</v>
      </c>
      <c r="L1003" s="7" t="n">
        <v>75</v>
      </c>
      <c r="M1003" s="10" t="b">
        <f aca="false">FALSE()</f>
        <v>0</v>
      </c>
      <c r="N1003" s="7" t="s">
        <v>76</v>
      </c>
      <c r="O1003" s="7" t="n">
        <v>-33.868643</v>
      </c>
      <c r="P1003" s="7" t="n">
        <v>151.118584</v>
      </c>
    </row>
    <row r="1004" customFormat="false" ht="15" hidden="false" customHeight="false" outlineLevel="0" collapsed="false">
      <c r="A1004" s="7" t="n">
        <v>1003</v>
      </c>
      <c r="B1004" s="7"/>
      <c r="C1004" s="7" t="s">
        <v>1250</v>
      </c>
      <c r="D1004" s="7" t="n">
        <v>2790</v>
      </c>
      <c r="E1004" s="7" t="s">
        <v>50</v>
      </c>
      <c r="F1004" s="10" t="b">
        <f aca="false">FALSE()</f>
        <v>0</v>
      </c>
      <c r="G1004" s="7" t="s">
        <v>139</v>
      </c>
      <c r="H1004" s="7" t="s">
        <v>1147</v>
      </c>
      <c r="I1004" s="7" t="n">
        <v>1</v>
      </c>
      <c r="J1004" s="7" t="s">
        <v>107</v>
      </c>
      <c r="K1004" s="7" t="s">
        <v>485</v>
      </c>
      <c r="L1004" s="7" t="n">
        <v>11</v>
      </c>
      <c r="M1004" s="10" t="b">
        <f aca="false">FALSE()</f>
        <v>0</v>
      </c>
      <c r="N1004" s="7" t="s">
        <v>109</v>
      </c>
      <c r="O1004" s="7" t="n">
        <v>-33.227352</v>
      </c>
      <c r="P1004" s="7" t="n">
        <v>150.192444</v>
      </c>
    </row>
    <row r="1005" customFormat="false" ht="15" hidden="false" customHeight="false" outlineLevel="0" collapsed="false">
      <c r="A1005" s="7" t="n">
        <v>1004</v>
      </c>
      <c r="B1005" s="7"/>
      <c r="C1005" s="7" t="s">
        <v>1251</v>
      </c>
      <c r="D1005" s="7" t="n">
        <v>2481</v>
      </c>
      <c r="E1005" s="7" t="s">
        <v>50</v>
      </c>
      <c r="F1005" s="10" t="b">
        <f aca="false">FALSE()</f>
        <v>0</v>
      </c>
      <c r="G1005" s="7" t="s">
        <v>82</v>
      </c>
      <c r="H1005" s="7" t="s">
        <v>302</v>
      </c>
      <c r="I1005" s="7" t="n">
        <v>2</v>
      </c>
      <c r="J1005" s="7" t="s">
        <v>107</v>
      </c>
      <c r="K1005" s="7" t="s">
        <v>108</v>
      </c>
      <c r="L1005" s="7" t="n">
        <v>22</v>
      </c>
      <c r="M1005" s="10" t="b">
        <f aca="false">FALSE()</f>
        <v>0</v>
      </c>
      <c r="N1005" s="7" t="s">
        <v>109</v>
      </c>
      <c r="O1005" s="7" t="n">
        <v>-28.642051</v>
      </c>
      <c r="P1005" s="7" t="n">
        <v>153.609753</v>
      </c>
    </row>
    <row r="1006" customFormat="false" ht="15" hidden="false" customHeight="false" outlineLevel="0" collapsed="false">
      <c r="A1006" s="7" t="n">
        <v>1005</v>
      </c>
      <c r="B1006" s="7"/>
      <c r="C1006" s="7" t="s">
        <v>1252</v>
      </c>
      <c r="D1006" s="7" t="n">
        <v>2261</v>
      </c>
      <c r="E1006" s="7" t="s">
        <v>50</v>
      </c>
      <c r="F1006" s="10" t="b">
        <f aca="false">FALSE()</f>
        <v>0</v>
      </c>
      <c r="G1006" s="7" t="s">
        <v>276</v>
      </c>
      <c r="H1006" s="7" t="s">
        <v>233</v>
      </c>
      <c r="I1006" s="7" t="n">
        <v>2</v>
      </c>
      <c r="J1006" s="7" t="s">
        <v>71</v>
      </c>
      <c r="K1006" s="7" t="s">
        <v>83</v>
      </c>
      <c r="L1006" s="7" t="n">
        <v>75</v>
      </c>
      <c r="M1006" s="10" t="b">
        <f aca="false">FALSE()</f>
        <v>0</v>
      </c>
      <c r="N1006" s="7" t="s">
        <v>76</v>
      </c>
      <c r="O1006" s="7" t="n">
        <v>-33.362845</v>
      </c>
      <c r="P1006" s="7" t="n">
        <v>151.444289</v>
      </c>
    </row>
    <row r="1007" customFormat="false" ht="15" hidden="false" customHeight="false" outlineLevel="0" collapsed="false">
      <c r="A1007" s="7" t="n">
        <v>1006</v>
      </c>
      <c r="B1007" s="7" t="s">
        <v>1253</v>
      </c>
      <c r="C1007" s="7" t="s">
        <v>1254</v>
      </c>
      <c r="D1007" s="7" t="n">
        <v>2320</v>
      </c>
      <c r="E1007" s="7" t="s">
        <v>50</v>
      </c>
      <c r="F1007" s="10" t="b">
        <f aca="false">FALSE()</f>
        <v>0</v>
      </c>
      <c r="G1007" s="7" t="s">
        <v>111</v>
      </c>
      <c r="H1007" s="7" t="s">
        <v>398</v>
      </c>
      <c r="I1007" s="7" t="n">
        <v>1</v>
      </c>
      <c r="J1007" s="7" t="s">
        <v>107</v>
      </c>
      <c r="K1007" s="7" t="s">
        <v>107</v>
      </c>
      <c r="L1007" s="7"/>
      <c r="M1007" s="10" t="b">
        <f aca="false">FALSE()</f>
        <v>0</v>
      </c>
      <c r="N1007" s="7" t="s">
        <v>109</v>
      </c>
      <c r="O1007" s="7" t="n">
        <v>-32.716558</v>
      </c>
      <c r="P1007" s="7" t="n">
        <v>151.257288</v>
      </c>
    </row>
    <row r="1008" customFormat="false" ht="15" hidden="false" customHeight="false" outlineLevel="0" collapsed="false">
      <c r="A1008" s="7" t="n">
        <v>1007</v>
      </c>
      <c r="B1008" s="7" t="s">
        <v>1255</v>
      </c>
      <c r="C1008" s="7" t="s">
        <v>1256</v>
      </c>
      <c r="D1008" s="7" t="n">
        <v>2250</v>
      </c>
      <c r="E1008" s="7" t="s">
        <v>50</v>
      </c>
      <c r="F1008" s="10" t="b">
        <f aca="false">FALSE()</f>
        <v>0</v>
      </c>
      <c r="G1008" s="7" t="s">
        <v>276</v>
      </c>
      <c r="H1008" s="7" t="s">
        <v>398</v>
      </c>
      <c r="I1008" s="7" t="n">
        <v>1</v>
      </c>
      <c r="J1008" s="7" t="s">
        <v>107</v>
      </c>
      <c r="K1008" s="7" t="s">
        <v>107</v>
      </c>
      <c r="L1008" s="7"/>
      <c r="M1008" s="10" t="b">
        <f aca="false">FALSE()</f>
        <v>0</v>
      </c>
      <c r="N1008" s="7" t="s">
        <v>109</v>
      </c>
      <c r="O1008" s="7" t="n">
        <v>-33.393116</v>
      </c>
      <c r="P1008" s="7" t="n">
        <v>151.328631</v>
      </c>
    </row>
    <row r="1009" customFormat="false" ht="15" hidden="false" customHeight="false" outlineLevel="0" collapsed="false">
      <c r="A1009" s="7" t="n">
        <v>1008</v>
      </c>
      <c r="B1009" s="7" t="s">
        <v>1257</v>
      </c>
      <c r="C1009" s="7" t="s">
        <v>1258</v>
      </c>
      <c r="D1009" s="7" t="n">
        <v>2680</v>
      </c>
      <c r="E1009" s="7" t="s">
        <v>50</v>
      </c>
      <c r="F1009" s="10" t="b">
        <f aca="false">FALSE()</f>
        <v>0</v>
      </c>
      <c r="G1009" s="7" t="s">
        <v>270</v>
      </c>
      <c r="H1009" s="7" t="s">
        <v>398</v>
      </c>
      <c r="I1009" s="7" t="n">
        <v>2</v>
      </c>
      <c r="J1009" s="7" t="s">
        <v>107</v>
      </c>
      <c r="K1009" s="7" t="s">
        <v>107</v>
      </c>
      <c r="L1009" s="7"/>
      <c r="M1009" s="10" t="b">
        <f aca="false">FALSE()</f>
        <v>0</v>
      </c>
      <c r="N1009" s="7" t="s">
        <v>109</v>
      </c>
      <c r="O1009" s="7" t="n">
        <v>-34.286631</v>
      </c>
      <c r="P1009" s="7" t="n">
        <v>146.044525</v>
      </c>
    </row>
    <row r="1010" customFormat="false" ht="15" hidden="false" customHeight="false" outlineLevel="0" collapsed="false">
      <c r="A1010" s="7" t="n">
        <v>1009</v>
      </c>
      <c r="B1010" s="7"/>
      <c r="C1010" s="7" t="s">
        <v>1259</v>
      </c>
      <c r="D1010" s="7" t="n">
        <v>2064</v>
      </c>
      <c r="E1010" s="7" t="s">
        <v>50</v>
      </c>
      <c r="F1010" s="10" t="b">
        <f aca="false">FALSE()</f>
        <v>0</v>
      </c>
      <c r="G1010" s="7"/>
      <c r="H1010" s="7" t="s">
        <v>1260</v>
      </c>
      <c r="I1010" s="7" t="n">
        <v>4</v>
      </c>
      <c r="J1010" s="7" t="s">
        <v>52</v>
      </c>
      <c r="K1010" s="7" t="s">
        <v>53</v>
      </c>
      <c r="L1010" s="7" t="n">
        <v>350</v>
      </c>
      <c r="M1010" s="10" t="b">
        <f aca="false">TRUE()</f>
        <v>1</v>
      </c>
      <c r="N1010" s="7"/>
      <c r="O1010" s="7" t="n">
        <v>-33.811419</v>
      </c>
      <c r="P1010" s="7" t="n">
        <v>151.175608</v>
      </c>
    </row>
    <row r="1011" customFormat="false" ht="15" hidden="false" customHeight="false" outlineLevel="0" collapsed="false">
      <c r="A1011" s="7" t="n">
        <v>1010</v>
      </c>
      <c r="B1011" s="7"/>
      <c r="C1011" s="7" t="s">
        <v>1261</v>
      </c>
      <c r="D1011" s="7" t="n">
        <v>2460</v>
      </c>
      <c r="E1011" s="7" t="s">
        <v>50</v>
      </c>
      <c r="F1011" s="10" t="b">
        <f aca="false">FALSE()</f>
        <v>0</v>
      </c>
      <c r="G1011" s="7"/>
      <c r="H1011" s="7" t="s">
        <v>657</v>
      </c>
      <c r="I1011" s="7" t="n">
        <v>4</v>
      </c>
      <c r="J1011" s="7" t="s">
        <v>52</v>
      </c>
      <c r="K1011" s="7" t="s">
        <v>53</v>
      </c>
      <c r="L1011" s="7" t="n">
        <v>350</v>
      </c>
      <c r="M1011" s="10" t="b">
        <f aca="false">TRUE()</f>
        <v>1</v>
      </c>
      <c r="N1011" s="7"/>
      <c r="O1011" s="7" t="n">
        <v>-29.934883</v>
      </c>
      <c r="P1011" s="7" t="n">
        <v>153.094795</v>
      </c>
    </row>
    <row r="1012" customFormat="false" ht="15" hidden="false" customHeight="false" outlineLevel="0" collapsed="false">
      <c r="A1012" s="7" t="n">
        <v>1011</v>
      </c>
      <c r="B1012" s="7"/>
      <c r="C1012" s="7" t="s">
        <v>1262</v>
      </c>
      <c r="D1012" s="7" t="n">
        <v>2207</v>
      </c>
      <c r="E1012" s="7" t="s">
        <v>50</v>
      </c>
      <c r="F1012" s="10" t="b">
        <f aca="false">FALSE()</f>
        <v>0</v>
      </c>
      <c r="G1012" s="7"/>
      <c r="H1012" s="7" t="s">
        <v>1263</v>
      </c>
      <c r="I1012" s="7" t="n">
        <v>4</v>
      </c>
      <c r="J1012" s="7" t="s">
        <v>52</v>
      </c>
      <c r="K1012" s="7" t="s">
        <v>53</v>
      </c>
      <c r="L1012" s="7" t="n">
        <v>350</v>
      </c>
      <c r="M1012" s="10" t="b">
        <f aca="false">TRUE()</f>
        <v>1</v>
      </c>
      <c r="N1012" s="7"/>
      <c r="O1012" s="7" t="n">
        <v>-33.949337</v>
      </c>
      <c r="P1012" s="7" t="n">
        <v>151.116336</v>
      </c>
    </row>
    <row r="1013" customFormat="false" ht="15" hidden="false" customHeight="false" outlineLevel="0" collapsed="false">
      <c r="A1013" s="7" t="n">
        <v>1012</v>
      </c>
      <c r="B1013" s="7"/>
      <c r="C1013" s="7" t="s">
        <v>1264</v>
      </c>
      <c r="D1013" s="7" t="n">
        <v>2324</v>
      </c>
      <c r="E1013" s="7" t="s">
        <v>50</v>
      </c>
      <c r="F1013" s="10" t="b">
        <f aca="false">FALSE()</f>
        <v>0</v>
      </c>
      <c r="G1013" s="7"/>
      <c r="H1013" s="7" t="s">
        <v>1265</v>
      </c>
      <c r="I1013" s="7" t="n">
        <v>10</v>
      </c>
      <c r="J1013" s="7" t="s">
        <v>52</v>
      </c>
      <c r="K1013" s="7" t="s">
        <v>55</v>
      </c>
      <c r="L1013" s="7" t="n">
        <v>350</v>
      </c>
      <c r="M1013" s="10" t="b">
        <f aca="false">TRUE()</f>
        <v>1</v>
      </c>
      <c r="N1013" s="7"/>
      <c r="O1013" s="7" t="n">
        <v>-32.783057</v>
      </c>
      <c r="P1013" s="7" t="n">
        <v>151.737598</v>
      </c>
    </row>
    <row r="1014" customFormat="false" ht="15" hidden="false" customHeight="false" outlineLevel="0" collapsed="false">
      <c r="A1014" s="7" t="n">
        <v>1013</v>
      </c>
      <c r="B1014" s="7"/>
      <c r="C1014" s="7" t="s">
        <v>1266</v>
      </c>
      <c r="D1014" s="7" t="n">
        <v>2020</v>
      </c>
      <c r="E1014" s="7" t="s">
        <v>50</v>
      </c>
      <c r="F1014" s="10" t="b">
        <f aca="false">FALSE()</f>
        <v>0</v>
      </c>
      <c r="G1014" s="7"/>
      <c r="H1014" s="7" t="s">
        <v>1265</v>
      </c>
      <c r="I1014" s="7" t="n">
        <v>6</v>
      </c>
      <c r="J1014" s="7" t="s">
        <v>52</v>
      </c>
      <c r="K1014" s="7" t="s">
        <v>53</v>
      </c>
      <c r="L1014" s="7" t="n">
        <v>350</v>
      </c>
      <c r="M1014" s="10" t="b">
        <f aca="false">TRUE()</f>
        <v>1</v>
      </c>
      <c r="N1014" s="7"/>
      <c r="O1014" s="7" t="n">
        <v>-33.938008</v>
      </c>
      <c r="P1014" s="7" t="n">
        <v>151.192479</v>
      </c>
    </row>
    <row r="1015" customFormat="false" ht="15" hidden="false" customHeight="false" outlineLevel="0" collapsed="false">
      <c r="A1015" s="7" t="n">
        <v>1014</v>
      </c>
      <c r="B1015" s="7"/>
      <c r="C1015" s="7" t="s">
        <v>1267</v>
      </c>
      <c r="D1015" s="7" t="n">
        <v>2130</v>
      </c>
      <c r="E1015" s="7" t="s">
        <v>50</v>
      </c>
      <c r="F1015" s="10" t="b">
        <f aca="false">FALSE()</f>
        <v>0</v>
      </c>
      <c r="G1015" s="7"/>
      <c r="H1015" s="7" t="s">
        <v>1260</v>
      </c>
      <c r="I1015" s="7" t="n">
        <v>4</v>
      </c>
      <c r="J1015" s="7" t="s">
        <v>52</v>
      </c>
      <c r="K1015" s="7" t="s">
        <v>53</v>
      </c>
      <c r="L1015" s="7" t="n">
        <v>350</v>
      </c>
      <c r="M1015" s="10" t="b">
        <f aca="false">TRUE()</f>
        <v>1</v>
      </c>
      <c r="N1015" s="7"/>
      <c r="O1015" s="7" t="n">
        <v>-33.892348</v>
      </c>
      <c r="P1015" s="7" t="n">
        <v>151.143119</v>
      </c>
    </row>
    <row r="1016" customFormat="false" ht="15" hidden="false" customHeight="false" outlineLevel="0" collapsed="false">
      <c r="A1016" s="7" t="n">
        <v>1015</v>
      </c>
      <c r="B1016" s="7"/>
      <c r="C1016" s="7" t="s">
        <v>1268</v>
      </c>
      <c r="D1016" s="7" t="n">
        <v>2161</v>
      </c>
      <c r="E1016" s="7" t="s">
        <v>50</v>
      </c>
      <c r="F1016" s="10" t="b">
        <f aca="false">FALSE()</f>
        <v>0</v>
      </c>
      <c r="G1016" s="7"/>
      <c r="H1016" s="7" t="s">
        <v>1263</v>
      </c>
      <c r="I1016" s="7" t="n">
        <v>8</v>
      </c>
      <c r="J1016" s="7" t="s">
        <v>52</v>
      </c>
      <c r="K1016" s="7" t="s">
        <v>55</v>
      </c>
      <c r="L1016" s="7" t="n">
        <v>350</v>
      </c>
      <c r="M1016" s="10" t="b">
        <f aca="false">TRUE()</f>
        <v>1</v>
      </c>
      <c r="N1016" s="7"/>
      <c r="O1016" s="7" t="n">
        <v>-33.850991</v>
      </c>
      <c r="P1016" s="7" t="n">
        <v>150.959781</v>
      </c>
    </row>
    <row r="1017" customFormat="false" ht="15" hidden="false" customHeight="false" outlineLevel="0" collapsed="false">
      <c r="A1017" s="7" t="n">
        <v>1016</v>
      </c>
      <c r="B1017" s="7"/>
      <c r="C1017" s="7" t="s">
        <v>1269</v>
      </c>
      <c r="D1017" s="7" t="n">
        <v>2026</v>
      </c>
      <c r="E1017" s="7" t="s">
        <v>50</v>
      </c>
      <c r="F1017" s="10" t="b">
        <f aca="false">FALSE()</f>
        <v>0</v>
      </c>
      <c r="G1017" s="7"/>
      <c r="H1017" s="7" t="s">
        <v>1263</v>
      </c>
      <c r="I1017" s="7" t="n">
        <v>8</v>
      </c>
      <c r="J1017" s="7" t="s">
        <v>52</v>
      </c>
      <c r="K1017" s="7" t="s">
        <v>55</v>
      </c>
      <c r="L1017" s="7" t="n">
        <v>350</v>
      </c>
      <c r="M1017" s="10" t="b">
        <f aca="false">TRUE()</f>
        <v>1</v>
      </c>
      <c r="N1017" s="7"/>
      <c r="O1017" s="7" t="n">
        <v>-33.889729</v>
      </c>
      <c r="P1017" s="7" t="n">
        <v>151.279759</v>
      </c>
    </row>
    <row r="1018" customFormat="false" ht="15" hidden="false" customHeight="false" outlineLevel="0" collapsed="false">
      <c r="A1018" s="7" t="n">
        <v>1017</v>
      </c>
      <c r="B1018" s="7"/>
      <c r="C1018" s="7" t="s">
        <v>1270</v>
      </c>
      <c r="D1018" s="7" t="n">
        <v>2481</v>
      </c>
      <c r="E1018" s="7" t="s">
        <v>50</v>
      </c>
      <c r="F1018" s="10" t="b">
        <f aca="false">FALSE()</f>
        <v>0</v>
      </c>
      <c r="G1018" s="7"/>
      <c r="H1018" s="7" t="s">
        <v>1265</v>
      </c>
      <c r="I1018" s="7" t="n">
        <v>10</v>
      </c>
      <c r="J1018" s="7" t="s">
        <v>52</v>
      </c>
      <c r="K1018" s="7" t="s">
        <v>53</v>
      </c>
      <c r="L1018" s="7" t="n">
        <v>350</v>
      </c>
      <c r="M1018" s="10" t="b">
        <f aca="false">TRUE()</f>
        <v>1</v>
      </c>
      <c r="N1018" s="7"/>
      <c r="O1018" s="7" t="n">
        <v>-28.638015</v>
      </c>
      <c r="P1018" s="7" t="n">
        <v>153.585927</v>
      </c>
    </row>
    <row r="1019" customFormat="false" ht="15" hidden="false" customHeight="false" outlineLevel="0" collapsed="false">
      <c r="A1019" s="7" t="n">
        <v>1018</v>
      </c>
      <c r="B1019" s="7"/>
      <c r="C1019" s="7" t="s">
        <v>1271</v>
      </c>
      <c r="D1019" s="7" t="n">
        <v>2259</v>
      </c>
      <c r="E1019" s="7" t="s">
        <v>50</v>
      </c>
      <c r="F1019" s="10" t="b">
        <f aca="false">FALSE()</f>
        <v>0</v>
      </c>
      <c r="G1019" s="7"/>
      <c r="H1019" s="7" t="s">
        <v>1260</v>
      </c>
      <c r="I1019" s="7" t="n">
        <v>6</v>
      </c>
      <c r="J1019" s="7" t="s">
        <v>52</v>
      </c>
      <c r="K1019" s="7" t="s">
        <v>53</v>
      </c>
      <c r="L1019" s="7" t="n">
        <v>350</v>
      </c>
      <c r="M1019" s="10" t="b">
        <f aca="false">TRUE()</f>
        <v>1</v>
      </c>
      <c r="N1019" s="7"/>
      <c r="O1019" s="7" t="n">
        <v>-33.305876</v>
      </c>
      <c r="P1019" s="7" t="n">
        <v>151.419746</v>
      </c>
    </row>
    <row r="1020" customFormat="false" ht="15" hidden="false" customHeight="false" outlineLevel="0" collapsed="false">
      <c r="A1020" s="7" t="n">
        <v>1019</v>
      </c>
      <c r="B1020" s="7"/>
      <c r="C1020" s="7" t="s">
        <v>1272</v>
      </c>
      <c r="D1020" s="7" t="n">
        <v>2290</v>
      </c>
      <c r="E1020" s="7" t="s">
        <v>50</v>
      </c>
      <c r="F1020" s="10" t="b">
        <f aca="false">FALSE()</f>
        <v>0</v>
      </c>
      <c r="G1020" s="7"/>
      <c r="H1020" s="7" t="s">
        <v>1260</v>
      </c>
      <c r="I1020" s="7" t="n">
        <v>8</v>
      </c>
      <c r="J1020" s="7" t="s">
        <v>52</v>
      </c>
      <c r="K1020" s="7" t="s">
        <v>53</v>
      </c>
      <c r="L1020" s="7" t="n">
        <v>350</v>
      </c>
      <c r="M1020" s="10" t="b">
        <f aca="false">TRUE()</f>
        <v>1</v>
      </c>
      <c r="N1020" s="7"/>
      <c r="O1020" s="7" t="n">
        <v>-32.984761</v>
      </c>
      <c r="P1020" s="7" t="n">
        <v>151.672435</v>
      </c>
    </row>
    <row r="1021" customFormat="false" ht="15" hidden="false" customHeight="false" outlineLevel="0" collapsed="false">
      <c r="A1021" s="7" t="n">
        <v>1020</v>
      </c>
      <c r="B1021" s="7" t="s">
        <v>556</v>
      </c>
      <c r="C1021" s="7" t="s">
        <v>1273</v>
      </c>
      <c r="D1021" s="7" t="n">
        <v>2131</v>
      </c>
      <c r="E1021" s="7" t="s">
        <v>50</v>
      </c>
      <c r="F1021" s="10" t="b">
        <f aca="false">FALSE()</f>
        <v>0</v>
      </c>
      <c r="G1021" s="7"/>
      <c r="H1021" s="7" t="s">
        <v>556</v>
      </c>
      <c r="I1021" s="7" t="n">
        <v>2</v>
      </c>
      <c r="J1021" s="7" t="s">
        <v>107</v>
      </c>
      <c r="K1021" s="7" t="s">
        <v>1274</v>
      </c>
      <c r="L1021" s="7"/>
      <c r="M1021" s="10" t="b">
        <f aca="false">FALSE()</f>
        <v>0</v>
      </c>
      <c r="N1021" s="7"/>
      <c r="O1021" s="7" t="n">
        <v>-33.885391</v>
      </c>
      <c r="P1021" s="7" t="n">
        <v>151.132238</v>
      </c>
    </row>
    <row r="1022" customFormat="false" ht="15" hidden="false" customHeight="false" outlineLevel="0" collapsed="false">
      <c r="A1022" s="7" t="n">
        <v>1021</v>
      </c>
      <c r="B1022" s="7"/>
      <c r="C1022" s="7" t="s">
        <v>1275</v>
      </c>
      <c r="D1022" s="7" t="n">
        <v>2137</v>
      </c>
      <c r="E1022" s="7" t="s">
        <v>50</v>
      </c>
      <c r="F1022" s="10" t="b">
        <f aca="false">FALSE()</f>
        <v>0</v>
      </c>
      <c r="G1022" s="7"/>
      <c r="H1022" s="7" t="s">
        <v>1265</v>
      </c>
      <c r="I1022" s="7" t="n">
        <v>6</v>
      </c>
      <c r="J1022" s="7" t="s">
        <v>52</v>
      </c>
      <c r="K1022" s="7" t="s">
        <v>53</v>
      </c>
      <c r="L1022" s="7" t="n">
        <v>350</v>
      </c>
      <c r="M1022" s="10" t="b">
        <f aca="false">TRUE()</f>
        <v>1</v>
      </c>
      <c r="N1022" s="7"/>
      <c r="O1022" s="7" t="n">
        <v>-33.84215</v>
      </c>
      <c r="P1022" s="7" t="n">
        <v>151.10819</v>
      </c>
    </row>
    <row r="1023" customFormat="false" ht="15" hidden="false" customHeight="false" outlineLevel="0" collapsed="false">
      <c r="A1023" s="7" t="n">
        <v>1022</v>
      </c>
      <c r="B1023" s="7"/>
      <c r="C1023" s="7" t="s">
        <v>1276</v>
      </c>
      <c r="D1023" s="7" t="n">
        <v>2830</v>
      </c>
      <c r="E1023" s="7" t="s">
        <v>50</v>
      </c>
      <c r="F1023" s="10" t="b">
        <f aca="false">FALSE()</f>
        <v>0</v>
      </c>
      <c r="G1023" s="7"/>
      <c r="H1023" s="7" t="s">
        <v>1260</v>
      </c>
      <c r="I1023" s="7" t="n">
        <v>6</v>
      </c>
      <c r="J1023" s="7" t="s">
        <v>52</v>
      </c>
      <c r="K1023" s="7" t="s">
        <v>53</v>
      </c>
      <c r="L1023" s="7" t="n">
        <v>350</v>
      </c>
      <c r="M1023" s="10" t="b">
        <f aca="false">TRUE()</f>
        <v>1</v>
      </c>
      <c r="N1023" s="7"/>
      <c r="O1023" s="7" t="n">
        <v>-32.24445</v>
      </c>
      <c r="P1023" s="7" t="n">
        <v>148.611354</v>
      </c>
    </row>
    <row r="1024" customFormat="false" ht="15" hidden="false" customHeight="false" outlineLevel="0" collapsed="false">
      <c r="A1024" s="7" t="n">
        <v>1023</v>
      </c>
      <c r="B1024" s="7"/>
      <c r="C1024" s="7" t="s">
        <v>1277</v>
      </c>
      <c r="D1024" s="7" t="n">
        <v>2071</v>
      </c>
      <c r="E1024" s="7" t="s">
        <v>50</v>
      </c>
      <c r="F1024" s="10" t="b">
        <f aca="false">FALSE()</f>
        <v>0</v>
      </c>
      <c r="G1024" s="7"/>
      <c r="H1024" s="7" t="s">
        <v>1260</v>
      </c>
      <c r="I1024" s="7" t="n">
        <v>12</v>
      </c>
      <c r="J1024" s="7" t="s">
        <v>52</v>
      </c>
      <c r="K1024" s="7" t="s">
        <v>53</v>
      </c>
      <c r="L1024" s="7" t="n">
        <v>350</v>
      </c>
      <c r="M1024" s="10" t="b">
        <f aca="false">TRUE()</f>
        <v>1</v>
      </c>
      <c r="N1024" s="7"/>
      <c r="O1024" s="7" t="n">
        <v>-33.771928</v>
      </c>
      <c r="P1024" s="7" t="n">
        <v>151.161376</v>
      </c>
    </row>
    <row r="1025" customFormat="false" ht="15" hidden="false" customHeight="false" outlineLevel="0" collapsed="false">
      <c r="A1025" s="7" t="n">
        <v>1024</v>
      </c>
      <c r="B1025" s="7"/>
      <c r="C1025" s="7" t="s">
        <v>1278</v>
      </c>
      <c r="D1025" s="7" t="n">
        <v>2088</v>
      </c>
      <c r="E1025" s="7" t="s">
        <v>50</v>
      </c>
      <c r="F1025" s="10" t="b">
        <f aca="false">FALSE()</f>
        <v>0</v>
      </c>
      <c r="G1025" s="7"/>
      <c r="H1025" s="7" t="s">
        <v>1265</v>
      </c>
      <c r="I1025" s="7" t="n">
        <v>8</v>
      </c>
      <c r="J1025" s="7" t="s">
        <v>52</v>
      </c>
      <c r="K1025" s="7" t="s">
        <v>55</v>
      </c>
      <c r="L1025" s="7" t="n">
        <v>350</v>
      </c>
      <c r="M1025" s="10" t="b">
        <f aca="false">TRUE()</f>
        <v>1</v>
      </c>
      <c r="N1025" s="7"/>
      <c r="O1025" s="7" t="n">
        <v>-33.823985</v>
      </c>
      <c r="P1025" s="7" t="n">
        <v>151.240391</v>
      </c>
    </row>
    <row r="1026" customFormat="false" ht="15" hidden="false" customHeight="false" outlineLevel="0" collapsed="false">
      <c r="A1026" s="7" t="n">
        <v>1025</v>
      </c>
      <c r="B1026" s="7"/>
      <c r="C1026" s="7" t="s">
        <v>1279</v>
      </c>
      <c r="D1026" s="7" t="n">
        <v>2795</v>
      </c>
      <c r="E1026" s="7" t="s">
        <v>50</v>
      </c>
      <c r="F1026" s="10" t="b">
        <f aca="false">FALSE()</f>
        <v>0</v>
      </c>
      <c r="G1026" s="7"/>
      <c r="H1026" s="7" t="s">
        <v>1260</v>
      </c>
      <c r="I1026" s="7" t="n">
        <v>6</v>
      </c>
      <c r="J1026" s="7" t="s">
        <v>52</v>
      </c>
      <c r="K1026" s="7" t="s">
        <v>53</v>
      </c>
      <c r="L1026" s="7" t="n">
        <v>350</v>
      </c>
      <c r="M1026" s="10" t="b">
        <f aca="false">TRUE()</f>
        <v>1</v>
      </c>
      <c r="N1026" s="7"/>
      <c r="O1026" s="7" t="n">
        <v>-33.419125</v>
      </c>
      <c r="P1026" s="7" t="n">
        <v>149.622005</v>
      </c>
    </row>
    <row r="1027" customFormat="false" ht="15" hidden="false" customHeight="false" outlineLevel="0" collapsed="false">
      <c r="A1027" s="7" t="n">
        <v>1026</v>
      </c>
      <c r="B1027" s="7"/>
      <c r="C1027" s="7" t="s">
        <v>1280</v>
      </c>
      <c r="D1027" s="7" t="n">
        <v>2103</v>
      </c>
      <c r="E1027" s="7" t="s">
        <v>50</v>
      </c>
      <c r="F1027" s="10" t="b">
        <f aca="false">FALSE()</f>
        <v>0</v>
      </c>
      <c r="G1027" s="7"/>
      <c r="H1027" s="7" t="s">
        <v>1263</v>
      </c>
      <c r="I1027" s="7" t="n">
        <v>4</v>
      </c>
      <c r="J1027" s="7" t="s">
        <v>52</v>
      </c>
      <c r="K1027" s="7" t="s">
        <v>53</v>
      </c>
      <c r="L1027" s="7" t="n">
        <v>350</v>
      </c>
      <c r="M1027" s="10" t="b">
        <f aca="false">TRUE()</f>
        <v>1</v>
      </c>
      <c r="N1027" s="7"/>
      <c r="O1027" s="7" t="n">
        <v>-33.675388</v>
      </c>
      <c r="P1027" s="7" t="n">
        <v>151.304839</v>
      </c>
    </row>
    <row r="1028" customFormat="false" ht="15" hidden="false" customHeight="false" outlineLevel="0" collapsed="false">
      <c r="A1028" s="7" t="n">
        <v>1027</v>
      </c>
      <c r="B1028" s="7"/>
      <c r="C1028" s="7" t="s">
        <v>1281</v>
      </c>
      <c r="D1028" s="7" t="n">
        <v>2594</v>
      </c>
      <c r="E1028" s="7" t="s">
        <v>50</v>
      </c>
      <c r="F1028" s="10" t="b">
        <f aca="false">FALSE()</f>
        <v>0</v>
      </c>
      <c r="G1028" s="7"/>
      <c r="H1028" s="7" t="s">
        <v>1260</v>
      </c>
      <c r="I1028" s="7" t="n">
        <v>4</v>
      </c>
      <c r="J1028" s="7" t="s">
        <v>52</v>
      </c>
      <c r="K1028" s="7" t="s">
        <v>53</v>
      </c>
      <c r="L1028" s="7" t="n">
        <v>350</v>
      </c>
      <c r="M1028" s="10" t="b">
        <f aca="false">TRUE()</f>
        <v>1</v>
      </c>
      <c r="N1028" s="7"/>
      <c r="O1028" s="7" t="n">
        <v>-34.313401</v>
      </c>
      <c r="P1028" s="7" t="n">
        <v>148.297936</v>
      </c>
    </row>
    <row r="1029" customFormat="false" ht="15" hidden="false" customHeight="false" outlineLevel="0" collapsed="false">
      <c r="A1029" s="7" t="n">
        <v>1028</v>
      </c>
      <c r="B1029" s="7" t="s">
        <v>533</v>
      </c>
      <c r="C1029" s="7" t="s">
        <v>1282</v>
      </c>
      <c r="D1029" s="7" t="n">
        <v>2431</v>
      </c>
      <c r="E1029" s="7" t="s">
        <v>50</v>
      </c>
      <c r="F1029" s="10" t="b">
        <f aca="false">FALSE()</f>
        <v>0</v>
      </c>
      <c r="G1029" s="7"/>
      <c r="H1029" s="7" t="s">
        <v>260</v>
      </c>
      <c r="I1029" s="7" t="n">
        <v>2</v>
      </c>
      <c r="J1029" s="7" t="s">
        <v>107</v>
      </c>
      <c r="K1029" s="7" t="s">
        <v>1274</v>
      </c>
      <c r="L1029" s="7"/>
      <c r="M1029" s="10" t="b">
        <f aca="false">FALSE()</f>
        <v>0</v>
      </c>
      <c r="N1029" s="7"/>
      <c r="O1029" s="7" t="n">
        <v>-30.88653</v>
      </c>
      <c r="P1029" s="7" t="n">
        <v>153.037957</v>
      </c>
    </row>
    <row r="1030" customFormat="false" ht="15" hidden="false" customHeight="false" outlineLevel="0" collapsed="false">
      <c r="A1030" s="7" t="n">
        <v>1029</v>
      </c>
      <c r="B1030" s="7"/>
      <c r="C1030" s="7" t="s">
        <v>1283</v>
      </c>
      <c r="D1030" s="7" t="n">
        <v>2154</v>
      </c>
      <c r="E1030" s="7" t="s">
        <v>50</v>
      </c>
      <c r="F1030" s="10" t="b">
        <f aca="false">FALSE()</f>
        <v>0</v>
      </c>
      <c r="G1030" s="7"/>
      <c r="H1030" s="7" t="s">
        <v>1263</v>
      </c>
      <c r="I1030" s="7" t="n">
        <v>4</v>
      </c>
      <c r="J1030" s="7" t="s">
        <v>52</v>
      </c>
      <c r="K1030" s="7" t="s">
        <v>53</v>
      </c>
      <c r="L1030" s="7" t="n">
        <v>350</v>
      </c>
      <c r="M1030" s="10" t="b">
        <f aca="false">TRUE()</f>
        <v>1</v>
      </c>
      <c r="N1030" s="7"/>
      <c r="O1030" s="7" t="n">
        <v>-33.733177</v>
      </c>
      <c r="P1030" s="7" t="n">
        <v>151.00585</v>
      </c>
    </row>
    <row r="1031" customFormat="false" ht="15" hidden="false" customHeight="false" outlineLevel="0" collapsed="false">
      <c r="A1031" s="7" t="n">
        <v>1030</v>
      </c>
      <c r="B1031" s="7"/>
      <c r="C1031" s="7" t="s">
        <v>1284</v>
      </c>
      <c r="D1031" s="7" t="n">
        <v>2200</v>
      </c>
      <c r="E1031" s="7" t="s">
        <v>50</v>
      </c>
      <c r="F1031" s="10" t="b">
        <f aca="false">FALSE()</f>
        <v>0</v>
      </c>
      <c r="G1031" s="7"/>
      <c r="H1031" s="7" t="s">
        <v>1285</v>
      </c>
      <c r="I1031" s="7" t="n">
        <v>4</v>
      </c>
      <c r="J1031" s="7" t="s">
        <v>52</v>
      </c>
      <c r="K1031" s="7" t="s">
        <v>53</v>
      </c>
      <c r="L1031" s="7" t="n">
        <v>350</v>
      </c>
      <c r="M1031" s="10" t="b">
        <f aca="false">TRUE()</f>
        <v>1</v>
      </c>
      <c r="N1031" s="7"/>
      <c r="O1031" s="7" t="n">
        <v>-33.920988</v>
      </c>
      <c r="P1031" s="7" t="n">
        <v>151.038948</v>
      </c>
    </row>
    <row r="1032" customFormat="false" ht="15" hidden="false" customHeight="false" outlineLevel="0" collapsed="false">
      <c r="A1032" s="7" t="n">
        <v>1031</v>
      </c>
      <c r="B1032" s="7"/>
      <c r="C1032" s="7" t="s">
        <v>1286</v>
      </c>
      <c r="D1032" s="7" t="n">
        <v>2299</v>
      </c>
      <c r="E1032" s="7" t="s">
        <v>50</v>
      </c>
      <c r="F1032" s="10" t="b">
        <f aca="false">FALSE()</f>
        <v>0</v>
      </c>
      <c r="G1032" s="7"/>
      <c r="H1032" s="7" t="s">
        <v>1263</v>
      </c>
      <c r="I1032" s="7" t="n">
        <v>4</v>
      </c>
      <c r="J1032" s="7" t="s">
        <v>52</v>
      </c>
      <c r="K1032" s="7" t="s">
        <v>53</v>
      </c>
      <c r="L1032" s="7" t="n">
        <v>350</v>
      </c>
      <c r="M1032" s="10" t="b">
        <f aca="false">TRUE()</f>
        <v>1</v>
      </c>
      <c r="N1032" s="7"/>
      <c r="O1032" s="7" t="n">
        <v>-32.902459</v>
      </c>
      <c r="P1032" s="7" t="n">
        <v>151.689787</v>
      </c>
    </row>
    <row r="1033" customFormat="false" ht="15" hidden="false" customHeight="false" outlineLevel="0" collapsed="false">
      <c r="A1033" s="7" t="n">
        <v>1032</v>
      </c>
      <c r="B1033" s="7"/>
      <c r="C1033" s="7" t="s">
        <v>1287</v>
      </c>
      <c r="D1033" s="7" t="n">
        <v>2141</v>
      </c>
      <c r="E1033" s="7" t="s">
        <v>50</v>
      </c>
      <c r="F1033" s="10" t="b">
        <f aca="false">FALSE()</f>
        <v>0</v>
      </c>
      <c r="G1033" s="7"/>
      <c r="H1033" s="7" t="s">
        <v>1288</v>
      </c>
      <c r="I1033" s="7" t="n">
        <v>5</v>
      </c>
      <c r="J1033" s="7" t="s">
        <v>52</v>
      </c>
      <c r="K1033" s="7" t="s">
        <v>53</v>
      </c>
      <c r="L1033" s="7" t="n">
        <v>350</v>
      </c>
      <c r="M1033" s="10" t="b">
        <f aca="false">TRUE()</f>
        <v>1</v>
      </c>
      <c r="N1033" s="7"/>
      <c r="O1033" s="7" t="n">
        <v>-33.853473</v>
      </c>
      <c r="P1033" s="7" t="n">
        <v>151.061542</v>
      </c>
    </row>
    <row r="1034" customFormat="false" ht="15" hidden="false" customHeight="false" outlineLevel="0" collapsed="false">
      <c r="A1034" s="7" t="n">
        <v>1033</v>
      </c>
      <c r="B1034" s="7"/>
      <c r="C1034" s="7" t="s">
        <v>1289</v>
      </c>
      <c r="D1034" s="7" t="n">
        <v>2530</v>
      </c>
      <c r="E1034" s="7" t="s">
        <v>50</v>
      </c>
      <c r="F1034" s="10" t="b">
        <f aca="false">FALSE()</f>
        <v>0</v>
      </c>
      <c r="G1034" s="7"/>
      <c r="H1034" s="7" t="s">
        <v>657</v>
      </c>
      <c r="I1034" s="7" t="n">
        <v>4</v>
      </c>
      <c r="J1034" s="7" t="s">
        <v>52</v>
      </c>
      <c r="K1034" s="7" t="s">
        <v>53</v>
      </c>
      <c r="L1034" s="7" t="n">
        <v>350</v>
      </c>
      <c r="M1034" s="10" t="b">
        <f aca="false">TRUE()</f>
        <v>1</v>
      </c>
      <c r="N1034" s="7"/>
      <c r="O1034" s="7" t="n">
        <v>-34.541225</v>
      </c>
      <c r="P1034" s="7" t="n">
        <v>150.785577</v>
      </c>
    </row>
    <row r="1035" customFormat="false" ht="15" hidden="false" customHeight="false" outlineLevel="0" collapsed="false">
      <c r="A1035" s="7" t="n">
        <v>1034</v>
      </c>
      <c r="B1035" s="7"/>
      <c r="C1035" s="7" t="s">
        <v>1290</v>
      </c>
      <c r="D1035" s="7" t="n">
        <v>2114</v>
      </c>
      <c r="E1035" s="7" t="s">
        <v>50</v>
      </c>
      <c r="F1035" s="10" t="b">
        <f aca="false">FALSE()</f>
        <v>0</v>
      </c>
      <c r="G1035" s="7"/>
      <c r="H1035" s="7" t="s">
        <v>1263</v>
      </c>
      <c r="I1035" s="7" t="n">
        <v>4</v>
      </c>
      <c r="J1035" s="7" t="s">
        <v>52</v>
      </c>
      <c r="K1035" s="7" t="s">
        <v>53</v>
      </c>
      <c r="L1035" s="7" t="n">
        <v>350</v>
      </c>
      <c r="M1035" s="10" t="b">
        <f aca="false">TRUE()</f>
        <v>1</v>
      </c>
      <c r="N1035" s="7"/>
      <c r="O1035" s="7" t="n">
        <v>-33.806464</v>
      </c>
      <c r="P1035" s="7" t="n">
        <v>151.088302</v>
      </c>
    </row>
    <row r="1036" customFormat="false" ht="15" hidden="false" customHeight="false" outlineLevel="0" collapsed="false">
      <c r="A1036" s="7" t="n">
        <v>1035</v>
      </c>
      <c r="B1036" s="7"/>
      <c r="C1036" s="7" t="s">
        <v>1291</v>
      </c>
      <c r="D1036" s="7" t="n">
        <v>2234</v>
      </c>
      <c r="E1036" s="7" t="s">
        <v>50</v>
      </c>
      <c r="F1036" s="10" t="b">
        <f aca="false">FALSE()</f>
        <v>0</v>
      </c>
      <c r="G1036" s="7"/>
      <c r="H1036" s="7" t="s">
        <v>1263</v>
      </c>
      <c r="I1036" s="7" t="n">
        <v>4</v>
      </c>
      <c r="J1036" s="7" t="s">
        <v>52</v>
      </c>
      <c r="K1036" s="7" t="s">
        <v>53</v>
      </c>
      <c r="L1036" s="7" t="n">
        <v>350</v>
      </c>
      <c r="M1036" s="10" t="b">
        <f aca="false">TRUE()</f>
        <v>1</v>
      </c>
      <c r="N1036" s="7"/>
      <c r="O1036" s="7" t="n">
        <v>-33.997136</v>
      </c>
      <c r="P1036" s="7" t="n">
        <v>151.042223</v>
      </c>
    </row>
    <row r="1037" customFormat="false" ht="15" hidden="false" customHeight="false" outlineLevel="0" collapsed="false">
      <c r="A1037" s="7" t="n">
        <v>1036</v>
      </c>
      <c r="B1037" s="7" t="s">
        <v>194</v>
      </c>
      <c r="C1037" s="7" t="s">
        <v>1292</v>
      </c>
      <c r="D1037" s="7" t="n">
        <v>2640</v>
      </c>
      <c r="E1037" s="7" t="s">
        <v>50</v>
      </c>
      <c r="F1037" s="10" t="b">
        <f aca="false">FALSE()</f>
        <v>0</v>
      </c>
      <c r="G1037" s="7"/>
      <c r="H1037" s="7" t="s">
        <v>260</v>
      </c>
      <c r="I1037" s="7" t="n">
        <v>2</v>
      </c>
      <c r="J1037" s="7" t="s">
        <v>107</v>
      </c>
      <c r="K1037" s="7" t="s">
        <v>1293</v>
      </c>
      <c r="L1037" s="7"/>
      <c r="M1037" s="10" t="b">
        <f aca="false">FALSE()</f>
        <v>0</v>
      </c>
      <c r="N1037" s="7"/>
      <c r="O1037" s="7" t="n">
        <v>-36.08195</v>
      </c>
      <c r="P1037" s="7" t="n">
        <v>146.916891</v>
      </c>
    </row>
    <row r="1038" customFormat="false" ht="15" hidden="false" customHeight="false" outlineLevel="0" collapsed="false">
      <c r="A1038" s="7" t="n">
        <v>1037</v>
      </c>
      <c r="B1038" s="7"/>
      <c r="C1038" s="7" t="s">
        <v>1294</v>
      </c>
      <c r="D1038" s="7" t="n">
        <v>2140</v>
      </c>
      <c r="E1038" s="7" t="s">
        <v>50</v>
      </c>
      <c r="F1038" s="10" t="b">
        <f aca="false">FALSE()</f>
        <v>0</v>
      </c>
      <c r="G1038" s="7"/>
      <c r="H1038" s="7" t="s">
        <v>1265</v>
      </c>
      <c r="I1038" s="7" t="n">
        <v>8</v>
      </c>
      <c r="J1038" s="7" t="s">
        <v>52</v>
      </c>
      <c r="K1038" s="7" t="s">
        <v>55</v>
      </c>
      <c r="L1038" s="7" t="n">
        <v>350</v>
      </c>
      <c r="M1038" s="10" t="b">
        <f aca="false">TRUE()</f>
        <v>1</v>
      </c>
      <c r="N1038" s="7"/>
      <c r="O1038" s="7" t="n">
        <v>-33.855622</v>
      </c>
      <c r="P1038" s="7" t="n">
        <v>151.076795</v>
      </c>
    </row>
    <row r="1039" customFormat="false" ht="15" hidden="false" customHeight="false" outlineLevel="0" collapsed="false">
      <c r="A1039" s="7" t="n">
        <v>1038</v>
      </c>
      <c r="B1039" s="7"/>
      <c r="C1039" s="7" t="s">
        <v>1295</v>
      </c>
      <c r="D1039" s="7" t="n">
        <v>2487</v>
      </c>
      <c r="E1039" s="7" t="s">
        <v>50</v>
      </c>
      <c r="F1039" s="10" t="b">
        <f aca="false">FALSE()</f>
        <v>0</v>
      </c>
      <c r="G1039" s="7"/>
      <c r="H1039" s="7" t="s">
        <v>1265</v>
      </c>
      <c r="I1039" s="7" t="n">
        <v>10</v>
      </c>
      <c r="J1039" s="7" t="s">
        <v>52</v>
      </c>
      <c r="K1039" s="7" t="s">
        <v>53</v>
      </c>
      <c r="L1039" s="7" t="n">
        <v>350</v>
      </c>
      <c r="M1039" s="10" t="b">
        <f aca="false">TRUE()</f>
        <v>1</v>
      </c>
      <c r="N1039" s="7"/>
      <c r="O1039" s="7" t="n">
        <v>-28.244405</v>
      </c>
      <c r="P1039" s="7" t="n">
        <v>153.557447</v>
      </c>
    </row>
    <row r="1040" customFormat="false" ht="15" hidden="false" customHeight="false" outlineLevel="0" collapsed="false">
      <c r="A1040" s="7" t="n">
        <v>1039</v>
      </c>
      <c r="B1040" s="7"/>
      <c r="C1040" s="7" t="s">
        <v>1296</v>
      </c>
      <c r="D1040" s="7" t="n">
        <v>2620</v>
      </c>
      <c r="E1040" s="7" t="s">
        <v>50</v>
      </c>
      <c r="F1040" s="10" t="b">
        <f aca="false">FALSE()</f>
        <v>0</v>
      </c>
      <c r="G1040" s="7"/>
      <c r="H1040" s="7" t="s">
        <v>1260</v>
      </c>
      <c r="I1040" s="7" t="n">
        <v>8</v>
      </c>
      <c r="J1040" s="7" t="s">
        <v>52</v>
      </c>
      <c r="K1040" s="7" t="s">
        <v>53</v>
      </c>
      <c r="L1040" s="7" t="n">
        <v>350</v>
      </c>
      <c r="M1040" s="10" t="b">
        <f aca="false">TRUE()</f>
        <v>1</v>
      </c>
      <c r="N1040" s="7"/>
      <c r="O1040" s="7" t="n">
        <v>-35.351952</v>
      </c>
      <c r="P1040" s="7" t="n">
        <v>149.235013</v>
      </c>
    </row>
    <row r="1041" customFormat="false" ht="15" hidden="false" customHeight="false" outlineLevel="0" collapsed="false">
      <c r="A1041" s="7" t="n">
        <v>1040</v>
      </c>
      <c r="B1041" s="7"/>
      <c r="C1041" s="7" t="s">
        <v>1297</v>
      </c>
      <c r="D1041" s="7" t="n">
        <v>2020</v>
      </c>
      <c r="E1041" s="7" t="s">
        <v>50</v>
      </c>
      <c r="F1041" s="10" t="b">
        <f aca="false">FALSE()</f>
        <v>0</v>
      </c>
      <c r="G1041" s="7"/>
      <c r="H1041" s="7" t="s">
        <v>1260</v>
      </c>
      <c r="I1041" s="7" t="n">
        <v>6</v>
      </c>
      <c r="J1041" s="7" t="s">
        <v>52</v>
      </c>
      <c r="K1041" s="7" t="s">
        <v>53</v>
      </c>
      <c r="L1041" s="7" t="n">
        <v>350</v>
      </c>
      <c r="M1041" s="10" t="b">
        <f aca="false">TRUE()</f>
        <v>1</v>
      </c>
      <c r="N1041" s="7"/>
      <c r="O1041" s="7" t="n">
        <v>-33.944035</v>
      </c>
      <c r="P1041" s="7" t="n">
        <v>151.185568</v>
      </c>
    </row>
    <row r="1042" customFormat="false" ht="15" hidden="false" customHeight="false" outlineLevel="0" collapsed="false">
      <c r="A1042" s="7" t="n">
        <v>1041</v>
      </c>
      <c r="B1042" s="7"/>
      <c r="C1042" s="7" t="s">
        <v>1298</v>
      </c>
      <c r="D1042" s="7" t="n">
        <v>2447</v>
      </c>
      <c r="E1042" s="7" t="s">
        <v>50</v>
      </c>
      <c r="F1042" s="10" t="b">
        <f aca="false">FALSE()</f>
        <v>0</v>
      </c>
      <c r="G1042" s="7"/>
      <c r="H1042" s="7" t="s">
        <v>1265</v>
      </c>
      <c r="I1042" s="7" t="n">
        <v>6</v>
      </c>
      <c r="J1042" s="7" t="s">
        <v>52</v>
      </c>
      <c r="K1042" s="7" t="s">
        <v>53</v>
      </c>
      <c r="L1042" s="7" t="n">
        <v>350</v>
      </c>
      <c r="M1042" s="10" t="b">
        <f aca="false">TRUE()</f>
        <v>1</v>
      </c>
      <c r="N1042" s="7"/>
      <c r="O1042" s="7" t="n">
        <v>-30.712644</v>
      </c>
      <c r="P1042" s="7" t="n">
        <v>152.921879</v>
      </c>
    </row>
    <row r="1043" customFormat="false" ht="15" hidden="false" customHeight="false" outlineLevel="0" collapsed="false">
      <c r="A1043" s="7" t="n">
        <v>1042</v>
      </c>
      <c r="B1043" s="7" t="s">
        <v>1299</v>
      </c>
      <c r="C1043" s="7" t="s">
        <v>1300</v>
      </c>
      <c r="D1043" s="7" t="n">
        <v>2450</v>
      </c>
      <c r="E1043" s="7" t="s">
        <v>50</v>
      </c>
      <c r="F1043" s="10" t="b">
        <f aca="false">FALSE()</f>
        <v>0</v>
      </c>
      <c r="G1043" s="7"/>
      <c r="H1043" s="7" t="s">
        <v>1301</v>
      </c>
      <c r="I1043" s="7" t="n">
        <v>4</v>
      </c>
      <c r="J1043" s="7" t="s">
        <v>52</v>
      </c>
      <c r="K1043" s="7" t="s">
        <v>1274</v>
      </c>
      <c r="L1043" s="7"/>
      <c r="M1043" s="10" t="b">
        <f aca="false">TRUE()</f>
        <v>1</v>
      </c>
      <c r="N1043" s="7"/>
      <c r="O1043" s="7" t="n">
        <v>-30.274696</v>
      </c>
      <c r="P1043" s="7" t="n">
        <v>153.13382</v>
      </c>
    </row>
    <row r="1044" customFormat="false" ht="15" hidden="false" customHeight="false" outlineLevel="0" collapsed="false">
      <c r="A1044" s="7" t="n">
        <v>1043</v>
      </c>
      <c r="B1044" s="7"/>
      <c r="C1044" s="7" t="s">
        <v>1302</v>
      </c>
      <c r="D1044" s="7" t="n">
        <v>2190</v>
      </c>
      <c r="E1044" s="7" t="s">
        <v>50</v>
      </c>
      <c r="F1044" s="10" t="b">
        <f aca="false">FALSE()</f>
        <v>0</v>
      </c>
      <c r="G1044" s="7"/>
      <c r="H1044" s="7" t="s">
        <v>657</v>
      </c>
      <c r="I1044" s="7" t="n">
        <v>4</v>
      </c>
      <c r="J1044" s="7" t="s">
        <v>52</v>
      </c>
      <c r="K1044" s="7" t="s">
        <v>53</v>
      </c>
      <c r="L1044" s="7" t="n">
        <v>350</v>
      </c>
      <c r="M1044" s="10" t="b">
        <f aca="false">TRUE()</f>
        <v>1</v>
      </c>
      <c r="N1044" s="7"/>
      <c r="O1044" s="7" t="n">
        <v>-33.894487</v>
      </c>
      <c r="P1044" s="7" t="n">
        <v>151.066696</v>
      </c>
    </row>
    <row r="1045" customFormat="false" ht="15" hidden="false" customHeight="false" outlineLevel="0" collapsed="false">
      <c r="A1045" s="7" t="n">
        <v>1044</v>
      </c>
      <c r="B1045" s="7"/>
      <c r="C1045" s="7" t="s">
        <v>1303</v>
      </c>
      <c r="D1045" s="7" t="n">
        <v>2036</v>
      </c>
      <c r="E1045" s="7" t="s">
        <v>50</v>
      </c>
      <c r="F1045" s="10" t="b">
        <f aca="false">FALSE()</f>
        <v>0</v>
      </c>
      <c r="G1045" s="7"/>
      <c r="H1045" s="7" t="s">
        <v>1263</v>
      </c>
      <c r="I1045" s="7" t="n">
        <v>4</v>
      </c>
      <c r="J1045" s="7" t="s">
        <v>52</v>
      </c>
      <c r="K1045" s="7" t="s">
        <v>53</v>
      </c>
      <c r="L1045" s="7" t="n">
        <v>350</v>
      </c>
      <c r="M1045" s="10" t="b">
        <f aca="false">TRUE()</f>
        <v>1</v>
      </c>
      <c r="N1045" s="7"/>
      <c r="O1045" s="7" t="n">
        <v>-33.95198</v>
      </c>
      <c r="P1045" s="7" t="n">
        <v>151.231009</v>
      </c>
    </row>
    <row r="1046" customFormat="false" ht="15" hidden="false" customHeight="false" outlineLevel="0" collapsed="false">
      <c r="A1046" s="7" t="n">
        <v>1045</v>
      </c>
      <c r="B1046" s="7"/>
      <c r="C1046" s="7" t="s">
        <v>1304</v>
      </c>
      <c r="D1046" s="7" t="n">
        <v>2619</v>
      </c>
      <c r="E1046" s="7" t="s">
        <v>50</v>
      </c>
      <c r="F1046" s="10" t="b">
        <f aca="false">FALSE()</f>
        <v>0</v>
      </c>
      <c r="G1046" s="7"/>
      <c r="H1046" s="7" t="s">
        <v>1265</v>
      </c>
      <c r="I1046" s="7" t="n">
        <v>6</v>
      </c>
      <c r="J1046" s="7" t="s">
        <v>52</v>
      </c>
      <c r="K1046" s="7" t="s">
        <v>53</v>
      </c>
      <c r="L1046" s="7" t="n">
        <v>350</v>
      </c>
      <c r="M1046" s="10" t="b">
        <f aca="false">TRUE()</f>
        <v>1</v>
      </c>
      <c r="N1046" s="7"/>
      <c r="O1046" s="7" t="n">
        <v>-35.380636</v>
      </c>
      <c r="P1046" s="7" t="n">
        <v>149.196683</v>
      </c>
    </row>
    <row r="1047" customFormat="false" ht="15" hidden="false" customHeight="false" outlineLevel="0" collapsed="false">
      <c r="A1047" s="7" t="n">
        <v>1046</v>
      </c>
      <c r="B1047" s="7"/>
      <c r="C1047" s="7" t="s">
        <v>1305</v>
      </c>
      <c r="D1047" s="7" t="n">
        <v>2280</v>
      </c>
      <c r="E1047" s="7" t="s">
        <v>50</v>
      </c>
      <c r="F1047" s="10" t="b">
        <f aca="false">FALSE()</f>
        <v>0</v>
      </c>
      <c r="G1047" s="7"/>
      <c r="H1047" s="7" t="s">
        <v>657</v>
      </c>
      <c r="I1047" s="7" t="n">
        <v>4</v>
      </c>
      <c r="J1047" s="7" t="s">
        <v>52</v>
      </c>
      <c r="K1047" s="7" t="s">
        <v>53</v>
      </c>
      <c r="L1047" s="7" t="n">
        <v>350</v>
      </c>
      <c r="M1047" s="10" t="b">
        <f aca="false">TRUE()</f>
        <v>1</v>
      </c>
      <c r="N1047" s="7"/>
      <c r="O1047" s="7" t="n">
        <v>-33.050962</v>
      </c>
      <c r="P1047" s="7" t="n">
        <v>151.655218</v>
      </c>
    </row>
    <row r="1048" customFormat="false" ht="15" hidden="false" customHeight="false" outlineLevel="0" collapsed="false">
      <c r="A1048" s="7" t="n">
        <v>1047</v>
      </c>
      <c r="B1048" s="7"/>
      <c r="C1048" s="7" t="s">
        <v>1306</v>
      </c>
      <c r="D1048" s="7" t="n">
        <v>2763</v>
      </c>
      <c r="E1048" s="7" t="s">
        <v>50</v>
      </c>
      <c r="F1048" s="10" t="b">
        <f aca="false">FALSE()</f>
        <v>0</v>
      </c>
      <c r="G1048" s="7"/>
      <c r="H1048" s="7" t="s">
        <v>1260</v>
      </c>
      <c r="I1048" s="7" t="n">
        <v>4</v>
      </c>
      <c r="J1048" s="7" t="s">
        <v>52</v>
      </c>
      <c r="K1048" s="7" t="s">
        <v>53</v>
      </c>
      <c r="L1048" s="7" t="n">
        <v>350</v>
      </c>
      <c r="M1048" s="10" t="b">
        <f aca="false">TRUE()</f>
        <v>1</v>
      </c>
      <c r="N1048" s="7"/>
      <c r="O1048" s="7" t="n">
        <v>-33.729964</v>
      </c>
      <c r="P1048" s="7" t="n">
        <v>150.902284</v>
      </c>
    </row>
    <row r="1049" customFormat="false" ht="15" hidden="false" customHeight="false" outlineLevel="0" collapsed="false">
      <c r="A1049" s="7" t="n">
        <v>1048</v>
      </c>
      <c r="B1049" s="7"/>
      <c r="C1049" s="7" t="s">
        <v>1307</v>
      </c>
      <c r="D1049" s="7" t="n">
        <v>2575</v>
      </c>
      <c r="E1049" s="7" t="s">
        <v>50</v>
      </c>
      <c r="F1049" s="10" t="b">
        <f aca="false">FALSE()</f>
        <v>0</v>
      </c>
      <c r="G1049" s="7"/>
      <c r="H1049" s="7" t="s">
        <v>1263</v>
      </c>
      <c r="I1049" s="7" t="n">
        <v>4</v>
      </c>
      <c r="J1049" s="7" t="s">
        <v>52</v>
      </c>
      <c r="K1049" s="7" t="s">
        <v>53</v>
      </c>
      <c r="L1049" s="7" t="n">
        <v>350</v>
      </c>
      <c r="M1049" s="10" t="b">
        <f aca="false">TRUE()</f>
        <v>1</v>
      </c>
      <c r="N1049" s="7"/>
      <c r="O1049" s="7" t="n">
        <v>-34.447063</v>
      </c>
      <c r="P1049" s="7" t="n">
        <v>150.436873</v>
      </c>
    </row>
    <row r="1050" customFormat="false" ht="15" hidden="false" customHeight="false" outlineLevel="0" collapsed="false">
      <c r="A1050" s="7" t="n">
        <v>1049</v>
      </c>
      <c r="B1050" s="7" t="s">
        <v>1308</v>
      </c>
      <c r="C1050" s="7" t="s">
        <v>1309</v>
      </c>
      <c r="D1050" s="7" t="n">
        <v>2257</v>
      </c>
      <c r="E1050" s="7" t="s">
        <v>50</v>
      </c>
      <c r="F1050" s="10" t="b">
        <f aca="false">FALSE()</f>
        <v>0</v>
      </c>
      <c r="G1050" s="7"/>
      <c r="H1050" s="7" t="s">
        <v>398</v>
      </c>
      <c r="I1050" s="7" t="n">
        <v>2</v>
      </c>
      <c r="J1050" s="7" t="s">
        <v>107</v>
      </c>
      <c r="K1050" s="7" t="s">
        <v>1274</v>
      </c>
      <c r="L1050" s="7"/>
      <c r="M1050" s="10" t="b">
        <f aca="false">FALSE()</f>
        <v>0</v>
      </c>
      <c r="N1050" s="7"/>
      <c r="O1050" s="7" t="n">
        <v>-33.521031</v>
      </c>
      <c r="P1050" s="7" t="n">
        <v>151.374641</v>
      </c>
    </row>
    <row r="1051" customFormat="false" ht="15" hidden="false" customHeight="false" outlineLevel="0" collapsed="false">
      <c r="A1051" s="7" t="n">
        <v>1050</v>
      </c>
      <c r="B1051" s="7"/>
      <c r="C1051" s="7" t="s">
        <v>1310</v>
      </c>
      <c r="D1051" s="7" t="n">
        <v>2032</v>
      </c>
      <c r="E1051" s="7" t="s">
        <v>50</v>
      </c>
      <c r="F1051" s="10" t="b">
        <f aca="false">FALSE()</f>
        <v>0</v>
      </c>
      <c r="G1051" s="7"/>
      <c r="H1051" s="7" t="s">
        <v>657</v>
      </c>
      <c r="I1051" s="7" t="n">
        <v>4</v>
      </c>
      <c r="J1051" s="7" t="s">
        <v>52</v>
      </c>
      <c r="K1051" s="7" t="s">
        <v>53</v>
      </c>
      <c r="L1051" s="7" t="n">
        <v>350</v>
      </c>
      <c r="M1051" s="10" t="b">
        <f aca="false">TRUE()</f>
        <v>1</v>
      </c>
      <c r="N1051" s="7"/>
      <c r="O1051" s="7" t="n">
        <v>-33.925037</v>
      </c>
      <c r="P1051" s="7" t="n">
        <v>151.225745</v>
      </c>
    </row>
    <row r="1052" customFormat="false" ht="15" hidden="false" customHeight="false" outlineLevel="0" collapsed="false">
      <c r="A1052" s="7" t="n">
        <v>1051</v>
      </c>
      <c r="B1052" s="7" t="s">
        <v>1069</v>
      </c>
      <c r="C1052" s="7" t="s">
        <v>1311</v>
      </c>
      <c r="D1052" s="7" t="n">
        <v>2032</v>
      </c>
      <c r="E1052" s="7" t="s">
        <v>50</v>
      </c>
      <c r="F1052" s="10" t="b">
        <f aca="false">FALSE()</f>
        <v>0</v>
      </c>
      <c r="G1052" s="7"/>
      <c r="H1052" s="7" t="s">
        <v>1069</v>
      </c>
      <c r="I1052" s="7" t="n">
        <v>2</v>
      </c>
      <c r="J1052" s="7" t="s">
        <v>71</v>
      </c>
      <c r="K1052" s="7" t="s">
        <v>1312</v>
      </c>
      <c r="L1052" s="7"/>
      <c r="M1052" s="10" t="b">
        <f aca="false">FALSE()</f>
        <v>0</v>
      </c>
      <c r="N1052" s="7"/>
      <c r="O1052" s="7" t="n">
        <v>-33.924232</v>
      </c>
      <c r="P1052" s="7" t="n">
        <v>151.226679</v>
      </c>
    </row>
    <row r="1053" customFormat="false" ht="15" hidden="false" customHeight="false" outlineLevel="0" collapsed="false">
      <c r="A1053" s="7" t="n">
        <v>1052</v>
      </c>
      <c r="B1053" s="7"/>
      <c r="C1053" s="7" t="s">
        <v>1313</v>
      </c>
      <c r="D1053" s="7" t="n">
        <v>2131</v>
      </c>
      <c r="E1053" s="7" t="s">
        <v>50</v>
      </c>
      <c r="F1053" s="10" t="b">
        <f aca="false">FALSE()</f>
        <v>0</v>
      </c>
      <c r="G1053" s="7"/>
      <c r="H1053" s="7" t="s">
        <v>1265</v>
      </c>
      <c r="I1053" s="7" t="n">
        <v>8</v>
      </c>
      <c r="J1053" s="7" t="s">
        <v>52</v>
      </c>
      <c r="K1053" s="7" t="s">
        <v>55</v>
      </c>
      <c r="L1053" s="7" t="n">
        <v>350</v>
      </c>
      <c r="M1053" s="10" t="b">
        <f aca="false">TRUE()</f>
        <v>1</v>
      </c>
      <c r="N1053" s="7"/>
      <c r="O1053" s="7" t="n">
        <v>-33.889437</v>
      </c>
      <c r="P1053" s="7" t="n">
        <v>151.124118</v>
      </c>
    </row>
    <row r="1054" customFormat="false" ht="15" hidden="false" customHeight="false" outlineLevel="0" collapsed="false">
      <c r="A1054" s="7" t="n">
        <v>1053</v>
      </c>
      <c r="B1054" s="7"/>
      <c r="C1054" s="7" t="s">
        <v>1314</v>
      </c>
      <c r="D1054" s="7" t="n">
        <v>2063</v>
      </c>
      <c r="E1054" s="7" t="s">
        <v>50</v>
      </c>
      <c r="F1054" s="10" t="b">
        <f aca="false">FALSE()</f>
        <v>0</v>
      </c>
      <c r="G1054" s="7"/>
      <c r="H1054" s="7" t="s">
        <v>1265</v>
      </c>
      <c r="I1054" s="7" t="n">
        <v>6</v>
      </c>
      <c r="J1054" s="7" t="s">
        <v>52</v>
      </c>
      <c r="K1054" s="7" t="s">
        <v>53</v>
      </c>
      <c r="L1054" s="7" t="n">
        <v>350</v>
      </c>
      <c r="M1054" s="10" t="b">
        <f aca="false">TRUE()</f>
        <v>1</v>
      </c>
      <c r="N1054" s="7"/>
      <c r="O1054" s="7" t="n">
        <v>-33.810115</v>
      </c>
      <c r="P1054" s="7" t="n">
        <v>151.208816</v>
      </c>
    </row>
    <row r="1055" customFormat="false" ht="15" hidden="false" customHeight="false" outlineLevel="0" collapsed="false">
      <c r="A1055" s="7" t="n">
        <v>1054</v>
      </c>
      <c r="B1055" s="7"/>
      <c r="C1055" s="7" t="s">
        <v>1315</v>
      </c>
      <c r="D1055" s="7" t="n">
        <v>2627</v>
      </c>
      <c r="E1055" s="7" t="s">
        <v>50</v>
      </c>
      <c r="F1055" s="10" t="b">
        <f aca="false">FALSE()</f>
        <v>0</v>
      </c>
      <c r="G1055" s="7"/>
      <c r="H1055" s="7" t="s">
        <v>1265</v>
      </c>
      <c r="I1055" s="7" t="n">
        <v>6</v>
      </c>
      <c r="J1055" s="7" t="s">
        <v>52</v>
      </c>
      <c r="K1055" s="7" t="s">
        <v>53</v>
      </c>
      <c r="L1055" s="7" t="n">
        <v>350</v>
      </c>
      <c r="M1055" s="10" t="b">
        <f aca="false">TRUE()</f>
        <v>1</v>
      </c>
      <c r="N1055" s="7"/>
      <c r="O1055" s="7" t="n">
        <v>-36.43725</v>
      </c>
      <c r="P1055" s="7" t="n">
        <v>148.601355</v>
      </c>
    </row>
    <row r="1056" customFormat="false" ht="15" hidden="false" customHeight="false" outlineLevel="0" collapsed="false">
      <c r="A1056" s="7" t="n">
        <v>1055</v>
      </c>
      <c r="B1056" s="7"/>
      <c r="C1056" s="7" t="s">
        <v>1316</v>
      </c>
      <c r="D1056" s="7" t="n">
        <v>2502</v>
      </c>
      <c r="E1056" s="7" t="s">
        <v>50</v>
      </c>
      <c r="F1056" s="10" t="b">
        <f aca="false">FALSE()</f>
        <v>0</v>
      </c>
      <c r="G1056" s="7"/>
      <c r="H1056" s="7" t="s">
        <v>1260</v>
      </c>
      <c r="I1056" s="7" t="n">
        <v>8</v>
      </c>
      <c r="J1056" s="7" t="s">
        <v>52</v>
      </c>
      <c r="K1056" s="7" t="s">
        <v>53</v>
      </c>
      <c r="L1056" s="7" t="n">
        <v>350</v>
      </c>
      <c r="M1056" s="10" t="b">
        <f aca="false">TRUE()</f>
        <v>1</v>
      </c>
      <c r="N1056" s="7"/>
      <c r="O1056" s="7" t="n">
        <v>-34.488179</v>
      </c>
      <c r="P1056" s="7" t="n">
        <v>150.888074</v>
      </c>
    </row>
    <row r="1057" customFormat="false" ht="15" hidden="false" customHeight="false" outlineLevel="0" collapsed="false">
      <c r="A1057" s="7" t="n">
        <v>1056</v>
      </c>
      <c r="B1057" s="7"/>
      <c r="C1057" s="7" t="s">
        <v>1317</v>
      </c>
      <c r="D1057" s="7" t="n">
        <v>2000</v>
      </c>
      <c r="E1057" s="7" t="s">
        <v>50</v>
      </c>
      <c r="F1057" s="10" t="b">
        <f aca="false">FALSE()</f>
        <v>0</v>
      </c>
      <c r="G1057" s="7"/>
      <c r="H1057" s="7" t="s">
        <v>1265</v>
      </c>
      <c r="I1057" s="7" t="n">
        <v>6</v>
      </c>
      <c r="J1057" s="7" t="s">
        <v>52</v>
      </c>
      <c r="K1057" s="7" t="s">
        <v>53</v>
      </c>
      <c r="L1057" s="7" t="n">
        <v>350</v>
      </c>
      <c r="M1057" s="10" t="b">
        <f aca="false">TRUE()</f>
        <v>1</v>
      </c>
      <c r="N1057" s="7"/>
      <c r="O1057" s="7" t="n">
        <v>-33.875882</v>
      </c>
      <c r="P1057" s="7" t="n">
        <v>151.205792</v>
      </c>
    </row>
    <row r="1058" customFormat="false" ht="15" hidden="false" customHeight="false" outlineLevel="0" collapsed="false">
      <c r="A1058" s="7" t="n">
        <v>1057</v>
      </c>
      <c r="B1058" s="7" t="s">
        <v>1318</v>
      </c>
      <c r="C1058" s="7" t="s">
        <v>1319</v>
      </c>
      <c r="D1058" s="7" t="n">
        <v>2315</v>
      </c>
      <c r="E1058" s="7" t="s">
        <v>50</v>
      </c>
      <c r="F1058" s="10" t="b">
        <f aca="false">FALSE()</f>
        <v>0</v>
      </c>
      <c r="G1058" s="7"/>
      <c r="H1058" s="7" t="s">
        <v>1301</v>
      </c>
      <c r="I1058" s="7" t="n">
        <v>2</v>
      </c>
      <c r="J1058" s="7" t="s">
        <v>52</v>
      </c>
      <c r="K1058" s="7" t="s">
        <v>1293</v>
      </c>
      <c r="L1058" s="7"/>
      <c r="M1058" s="10" t="b">
        <f aca="false">TRUE()</f>
        <v>1</v>
      </c>
      <c r="N1058" s="7"/>
      <c r="O1058" s="7" t="n">
        <v>-32.721112</v>
      </c>
      <c r="P1058" s="7" t="n">
        <v>152.172841</v>
      </c>
    </row>
    <row r="1059" customFormat="false" ht="15" hidden="false" customHeight="false" outlineLevel="0" collapsed="false">
      <c r="A1059" s="7" t="n">
        <v>1058</v>
      </c>
      <c r="B1059" s="7"/>
      <c r="C1059" s="7" t="s">
        <v>1320</v>
      </c>
      <c r="D1059" s="7" t="n">
        <v>2250</v>
      </c>
      <c r="E1059" s="7" t="s">
        <v>50</v>
      </c>
      <c r="F1059" s="10" t="b">
        <f aca="false">FALSE()</f>
        <v>0</v>
      </c>
      <c r="G1059" s="7"/>
      <c r="H1059" s="7" t="s">
        <v>1263</v>
      </c>
      <c r="I1059" s="7" t="n">
        <v>4</v>
      </c>
      <c r="J1059" s="7" t="s">
        <v>52</v>
      </c>
      <c r="K1059" s="7" t="s">
        <v>53</v>
      </c>
      <c r="L1059" s="7" t="n">
        <v>350</v>
      </c>
      <c r="M1059" s="10" t="b">
        <f aca="false">TRUE()</f>
        <v>1</v>
      </c>
      <c r="N1059" s="7"/>
      <c r="O1059" s="7" t="n">
        <v>-33.436606</v>
      </c>
      <c r="P1059" s="7" t="n">
        <v>151.392541</v>
      </c>
    </row>
    <row r="1060" customFormat="false" ht="15" hidden="false" customHeight="false" outlineLevel="0" collapsed="false">
      <c r="A1060" s="7" t="n">
        <v>1059</v>
      </c>
      <c r="B1060" s="7"/>
      <c r="C1060" s="7" t="s">
        <v>1321</v>
      </c>
      <c r="D1060" s="7" t="n">
        <v>2118</v>
      </c>
      <c r="E1060" s="7" t="s">
        <v>50</v>
      </c>
      <c r="F1060" s="10" t="b">
        <f aca="false">FALSE()</f>
        <v>0</v>
      </c>
      <c r="G1060" s="7"/>
      <c r="H1060" s="7" t="s">
        <v>1260</v>
      </c>
      <c r="I1060" s="7" t="n">
        <v>4</v>
      </c>
      <c r="J1060" s="7" t="s">
        <v>52</v>
      </c>
      <c r="K1060" s="7" t="s">
        <v>53</v>
      </c>
      <c r="L1060" s="7" t="n">
        <v>350</v>
      </c>
      <c r="M1060" s="10" t="b">
        <f aca="false">TRUE()</f>
        <v>1</v>
      </c>
      <c r="N1060" s="7"/>
      <c r="O1060" s="7" t="n">
        <v>-33.763645</v>
      </c>
      <c r="P1060" s="7" t="n">
        <v>151.047408</v>
      </c>
    </row>
    <row r="1061" customFormat="false" ht="15" hidden="false" customHeight="false" outlineLevel="0" collapsed="false">
      <c r="A1061" s="7" t="n">
        <v>1060</v>
      </c>
      <c r="B1061" s="7"/>
      <c r="C1061" s="7" t="s">
        <v>1322</v>
      </c>
      <c r="D1061" s="7" t="n">
        <v>2485</v>
      </c>
      <c r="E1061" s="7" t="s">
        <v>50</v>
      </c>
      <c r="F1061" s="10" t="b">
        <f aca="false">FALSE()</f>
        <v>0</v>
      </c>
      <c r="G1061" s="7"/>
      <c r="H1061" s="7" t="s">
        <v>1260</v>
      </c>
      <c r="I1061" s="7" t="n">
        <v>4</v>
      </c>
      <c r="J1061" s="7" t="s">
        <v>52</v>
      </c>
      <c r="K1061" s="7" t="s">
        <v>53</v>
      </c>
      <c r="L1061" s="7" t="n">
        <v>350</v>
      </c>
      <c r="M1061" s="10" t="b">
        <f aca="false">TRUE()</f>
        <v>1</v>
      </c>
      <c r="N1061" s="7"/>
      <c r="O1061" s="7" t="n">
        <v>-28.1859</v>
      </c>
      <c r="P1061" s="7" t="n">
        <v>153.525987</v>
      </c>
    </row>
    <row r="1062" customFormat="false" ht="15" hidden="false" customHeight="false" outlineLevel="0" collapsed="false">
      <c r="A1062" s="7" t="n">
        <v>1061</v>
      </c>
      <c r="B1062" s="7"/>
      <c r="C1062" s="7" t="s">
        <v>1323</v>
      </c>
      <c r="D1062" s="7" t="n">
        <v>2028</v>
      </c>
      <c r="E1062" s="7" t="s">
        <v>50</v>
      </c>
      <c r="F1062" s="10" t="b">
        <f aca="false">FALSE()</f>
        <v>0</v>
      </c>
      <c r="G1062" s="7"/>
      <c r="H1062" s="7" t="s">
        <v>1263</v>
      </c>
      <c r="I1062" s="7" t="n">
        <v>4</v>
      </c>
      <c r="J1062" s="7" t="s">
        <v>52</v>
      </c>
      <c r="K1062" s="7" t="s">
        <v>53</v>
      </c>
      <c r="L1062" s="7" t="n">
        <v>350</v>
      </c>
      <c r="M1062" s="10" t="b">
        <f aca="false">TRUE()</f>
        <v>1</v>
      </c>
      <c r="N1062" s="7"/>
      <c r="O1062" s="7" t="n">
        <v>-33.878037</v>
      </c>
      <c r="P1062" s="7" t="n">
        <v>151.243956</v>
      </c>
    </row>
    <row r="1063" customFormat="false" ht="15" hidden="false" customHeight="false" outlineLevel="0" collapsed="false">
      <c r="A1063" s="7" t="n">
        <v>1062</v>
      </c>
      <c r="B1063" s="7"/>
      <c r="C1063" s="7" t="s">
        <v>1324</v>
      </c>
      <c r="D1063" s="7" t="n">
        <v>2064</v>
      </c>
      <c r="E1063" s="7" t="s">
        <v>50</v>
      </c>
      <c r="F1063" s="10" t="b">
        <f aca="false">FALSE()</f>
        <v>0</v>
      </c>
      <c r="G1063" s="7"/>
      <c r="H1063" s="7" t="s">
        <v>1263</v>
      </c>
      <c r="I1063" s="7" t="n">
        <v>8</v>
      </c>
      <c r="J1063" s="7" t="s">
        <v>52</v>
      </c>
      <c r="K1063" s="7" t="s">
        <v>55</v>
      </c>
      <c r="L1063" s="7" t="n">
        <v>350</v>
      </c>
      <c r="M1063" s="10" t="b">
        <f aca="false">TRUE()</f>
        <v>1</v>
      </c>
      <c r="N1063" s="7"/>
      <c r="O1063" s="7" t="n">
        <v>-33.817079</v>
      </c>
      <c r="P1063" s="7" t="n">
        <v>151.188936</v>
      </c>
    </row>
    <row r="1064" customFormat="false" ht="15" hidden="false" customHeight="false" outlineLevel="0" collapsed="false">
      <c r="A1064" s="7" t="n">
        <v>1063</v>
      </c>
      <c r="B1064" s="7" t="s">
        <v>1325</v>
      </c>
      <c r="C1064" s="7" t="s">
        <v>1326</v>
      </c>
      <c r="D1064" s="7" t="n">
        <v>2642</v>
      </c>
      <c r="E1064" s="7" t="s">
        <v>50</v>
      </c>
      <c r="F1064" s="10" t="b">
        <f aca="false">FALSE()</f>
        <v>0</v>
      </c>
      <c r="G1064" s="7"/>
      <c r="H1064" s="7" t="s">
        <v>1301</v>
      </c>
      <c r="I1064" s="7" t="n">
        <v>4</v>
      </c>
      <c r="J1064" s="7" t="s">
        <v>52</v>
      </c>
      <c r="K1064" s="7" t="s">
        <v>1274</v>
      </c>
      <c r="L1064" s="7"/>
      <c r="M1064" s="10" t="b">
        <f aca="false">TRUE()</f>
        <v>1</v>
      </c>
      <c r="N1064" s="7"/>
      <c r="O1064" s="7" t="n">
        <v>-36.214074</v>
      </c>
      <c r="P1064" s="7" t="n">
        <v>148.132409</v>
      </c>
    </row>
    <row r="1065" customFormat="false" ht="15" hidden="false" customHeight="false" outlineLevel="0" collapsed="false">
      <c r="A1065" s="7" t="n">
        <v>1064</v>
      </c>
      <c r="B1065" s="7"/>
      <c r="C1065" s="7" t="s">
        <v>546</v>
      </c>
      <c r="D1065" s="7" t="n">
        <v>2093</v>
      </c>
      <c r="E1065" s="7" t="s">
        <v>50</v>
      </c>
      <c r="F1065" s="10" t="b">
        <f aca="false">FALSE()</f>
        <v>0</v>
      </c>
      <c r="G1065" s="7"/>
      <c r="H1065" s="7" t="s">
        <v>1265</v>
      </c>
      <c r="I1065" s="7" t="n">
        <v>6</v>
      </c>
      <c r="J1065" s="7" t="s">
        <v>71</v>
      </c>
      <c r="K1065" s="7" t="s">
        <v>53</v>
      </c>
      <c r="L1065" s="7" t="n">
        <v>350</v>
      </c>
      <c r="M1065" s="10" t="b">
        <f aca="false">FALSE()</f>
        <v>0</v>
      </c>
      <c r="N1065" s="7"/>
      <c r="O1065" s="7" t="n">
        <v>-33.792912</v>
      </c>
      <c r="P1065" s="7" t="n">
        <v>151.26453</v>
      </c>
    </row>
    <row r="1066" customFormat="false" ht="15" hidden="false" customHeight="false" outlineLevel="0" collapsed="false">
      <c r="A1066" s="7" t="n">
        <v>1065</v>
      </c>
      <c r="B1066" s="7" t="s">
        <v>302</v>
      </c>
      <c r="C1066" s="7" t="s">
        <v>1327</v>
      </c>
      <c r="D1066" s="7" t="n">
        <v>2068</v>
      </c>
      <c r="E1066" s="7" t="s">
        <v>50</v>
      </c>
      <c r="F1066" s="10" t="b">
        <f aca="false">FALSE()</f>
        <v>0</v>
      </c>
      <c r="G1066" s="7"/>
      <c r="H1066" s="7" t="s">
        <v>302</v>
      </c>
      <c r="I1066" s="7" t="n">
        <v>2</v>
      </c>
      <c r="J1066" s="7" t="s">
        <v>107</v>
      </c>
      <c r="K1066" s="7" t="s">
        <v>1274</v>
      </c>
      <c r="L1066" s="7"/>
      <c r="M1066" s="10" t="b">
        <f aca="false">FALSE()</f>
        <v>0</v>
      </c>
      <c r="N1066" s="7"/>
      <c r="O1066" s="7" t="n">
        <v>-33.807393</v>
      </c>
      <c r="P1066" s="7" t="n">
        <v>151.200067</v>
      </c>
    </row>
    <row r="1067" customFormat="false" ht="15" hidden="false" customHeight="false" outlineLevel="0" collapsed="false">
      <c r="A1067" s="7" t="n">
        <v>1066</v>
      </c>
      <c r="B1067" s="7"/>
      <c r="C1067" s="7" t="s">
        <v>1328</v>
      </c>
      <c r="D1067" s="7" t="n">
        <v>2541</v>
      </c>
      <c r="E1067" s="7" t="s">
        <v>50</v>
      </c>
      <c r="F1067" s="10" t="b">
        <f aca="false">FALSE()</f>
        <v>0</v>
      </c>
      <c r="G1067" s="7"/>
      <c r="H1067" s="7" t="s">
        <v>1265</v>
      </c>
      <c r="I1067" s="7" t="n">
        <v>10</v>
      </c>
      <c r="J1067" s="7" t="s">
        <v>52</v>
      </c>
      <c r="K1067" s="7" t="s">
        <v>55</v>
      </c>
      <c r="L1067" s="7" t="n">
        <v>350</v>
      </c>
      <c r="M1067" s="10" t="b">
        <f aca="false">TRUE()</f>
        <v>1</v>
      </c>
      <c r="N1067" s="7"/>
      <c r="O1067" s="7" t="n">
        <v>-34.915856</v>
      </c>
      <c r="P1067" s="7" t="n">
        <v>150.60423</v>
      </c>
    </row>
    <row r="1068" customFormat="false" ht="15" hidden="false" customHeight="false" outlineLevel="0" collapsed="false">
      <c r="A1068" s="7" t="n">
        <v>1067</v>
      </c>
      <c r="B1068" s="7"/>
      <c r="C1068" s="7" t="s">
        <v>1329</v>
      </c>
      <c r="D1068" s="7" t="n">
        <v>2039</v>
      </c>
      <c r="E1068" s="7" t="s">
        <v>50</v>
      </c>
      <c r="F1068" s="10" t="b">
        <f aca="false">FALSE()</f>
        <v>0</v>
      </c>
      <c r="G1068" s="7"/>
      <c r="H1068" s="7" t="s">
        <v>1260</v>
      </c>
      <c r="I1068" s="7" t="n">
        <v>4</v>
      </c>
      <c r="J1068" s="7" t="s">
        <v>52</v>
      </c>
      <c r="K1068" s="7" t="s">
        <v>53</v>
      </c>
      <c r="L1068" s="7" t="n">
        <v>350</v>
      </c>
      <c r="M1068" s="10" t="b">
        <f aca="false">TRUE()</f>
        <v>1</v>
      </c>
      <c r="N1068" s="7"/>
      <c r="O1068" s="7" t="n">
        <v>-33.8653</v>
      </c>
      <c r="P1068" s="7" t="n">
        <v>151.1716</v>
      </c>
    </row>
    <row r="1069" customFormat="false" ht="15" hidden="false" customHeight="false" outlineLevel="0" collapsed="false">
      <c r="A1069" s="7" t="n">
        <v>1068</v>
      </c>
      <c r="B1069" s="7"/>
      <c r="C1069" s="7" t="s">
        <v>1330</v>
      </c>
      <c r="D1069" s="7" t="n">
        <v>2765</v>
      </c>
      <c r="E1069" s="7" t="s">
        <v>50</v>
      </c>
      <c r="F1069" s="10" t="b">
        <f aca="false">FALSE()</f>
        <v>0</v>
      </c>
      <c r="G1069" s="7"/>
      <c r="H1069" s="7" t="s">
        <v>1260</v>
      </c>
      <c r="I1069" s="7" t="n">
        <v>4</v>
      </c>
      <c r="J1069" s="7" t="s">
        <v>52</v>
      </c>
      <c r="K1069" s="7" t="s">
        <v>53</v>
      </c>
      <c r="L1069" s="7" t="n">
        <v>350</v>
      </c>
      <c r="M1069" s="10" t="b">
        <f aca="false">TRUE()</f>
        <v>1</v>
      </c>
      <c r="N1069" s="7"/>
      <c r="O1069" s="7" t="n">
        <v>-33.719523</v>
      </c>
      <c r="P1069" s="7" t="n">
        <v>150.844918</v>
      </c>
    </row>
    <row r="1070" customFormat="false" ht="15" hidden="false" customHeight="false" outlineLevel="0" collapsed="false">
      <c r="A1070" s="7" t="n">
        <v>1069</v>
      </c>
      <c r="B1070" s="7"/>
      <c r="C1070" s="7" t="s">
        <v>1331</v>
      </c>
      <c r="D1070" s="7" t="n">
        <v>2339</v>
      </c>
      <c r="E1070" s="7" t="s">
        <v>50</v>
      </c>
      <c r="F1070" s="10" t="b">
        <f aca="false">FALSE()</f>
        <v>0</v>
      </c>
      <c r="G1070" s="7"/>
      <c r="H1070" s="7" t="s">
        <v>1265</v>
      </c>
      <c r="I1070" s="7" t="n">
        <v>6</v>
      </c>
      <c r="J1070" s="7" t="s">
        <v>52</v>
      </c>
      <c r="K1070" s="7" t="s">
        <v>53</v>
      </c>
      <c r="L1070" s="7" t="n">
        <v>350</v>
      </c>
      <c r="M1070" s="10" t="b">
        <f aca="false">TRUE()</f>
        <v>1</v>
      </c>
      <c r="N1070" s="7"/>
      <c r="O1070" s="7" t="n">
        <v>-31.649138</v>
      </c>
      <c r="P1070" s="7" t="n">
        <v>150.72663</v>
      </c>
    </row>
    <row r="1071" customFormat="false" ht="15" hidden="false" customHeight="false" outlineLevel="0" collapsed="false">
      <c r="A1071" s="7" t="n">
        <v>1070</v>
      </c>
      <c r="B1071" s="7" t="s">
        <v>556</v>
      </c>
      <c r="C1071" s="7" t="s">
        <v>1332</v>
      </c>
      <c r="D1071" s="7" t="n">
        <v>2203</v>
      </c>
      <c r="E1071" s="7" t="s">
        <v>1333</v>
      </c>
      <c r="F1071" s="10" t="b">
        <f aca="false">FALSE()</f>
        <v>0</v>
      </c>
      <c r="G1071" s="7"/>
      <c r="H1071" s="7" t="s">
        <v>556</v>
      </c>
      <c r="I1071" s="7" t="n">
        <v>2</v>
      </c>
      <c r="J1071" s="7" t="s">
        <v>107</v>
      </c>
      <c r="K1071" s="7" t="s">
        <v>1274</v>
      </c>
      <c r="L1071" s="7"/>
      <c r="M1071" s="10" t="b">
        <f aca="false">FALSE()</f>
        <v>0</v>
      </c>
      <c r="N1071" s="7"/>
      <c r="O1071" s="7" t="n">
        <v>-33.909859</v>
      </c>
      <c r="P1071" s="7" t="n">
        <v>151.141688</v>
      </c>
    </row>
    <row r="1072" customFormat="false" ht="15" hidden="false" customHeight="false" outlineLevel="0" collapsed="false">
      <c r="A1072" s="7" t="n">
        <v>1071</v>
      </c>
      <c r="B1072" s="7"/>
      <c r="C1072" s="7" t="s">
        <v>1334</v>
      </c>
      <c r="D1072" s="7" t="n">
        <v>2850</v>
      </c>
      <c r="E1072" s="7" t="s">
        <v>50</v>
      </c>
      <c r="F1072" s="10" t="b">
        <f aca="false">FALSE()</f>
        <v>0</v>
      </c>
      <c r="G1072" s="7"/>
      <c r="H1072" s="7" t="s">
        <v>1265</v>
      </c>
      <c r="I1072" s="7" t="n">
        <v>6</v>
      </c>
      <c r="J1072" s="7" t="s">
        <v>52</v>
      </c>
      <c r="K1072" s="7" t="s">
        <v>53</v>
      </c>
      <c r="L1072" s="7" t="n">
        <v>350</v>
      </c>
      <c r="M1072" s="10" t="b">
        <f aca="false">TRUE()</f>
        <v>1</v>
      </c>
      <c r="N1072" s="7"/>
      <c r="O1072" s="7" t="n">
        <v>-32.592674</v>
      </c>
      <c r="P1072" s="7" t="n">
        <v>149.586973</v>
      </c>
    </row>
    <row r="1073" customFormat="false" ht="15" hidden="false" customHeight="false" outlineLevel="0" collapsed="false">
      <c r="A1073" s="7" t="n">
        <v>1072</v>
      </c>
      <c r="B1073" s="7"/>
      <c r="C1073" s="7" t="s">
        <v>1335</v>
      </c>
      <c r="D1073" s="7" t="n">
        <v>2117</v>
      </c>
      <c r="E1073" s="7" t="s">
        <v>50</v>
      </c>
      <c r="F1073" s="10" t="b">
        <f aca="false">FALSE()</f>
        <v>0</v>
      </c>
      <c r="G1073" s="7"/>
      <c r="H1073" s="7" t="s">
        <v>1260</v>
      </c>
      <c r="I1073" s="7" t="n">
        <v>4</v>
      </c>
      <c r="J1073" s="7" t="s">
        <v>52</v>
      </c>
      <c r="K1073" s="7" t="s">
        <v>53</v>
      </c>
      <c r="L1073" s="7" t="n">
        <v>350</v>
      </c>
      <c r="M1073" s="10" t="b">
        <f aca="false">TRUE()</f>
        <v>1</v>
      </c>
      <c r="N1073" s="7"/>
      <c r="O1073" s="7" t="n">
        <v>-33.798925</v>
      </c>
      <c r="P1073" s="7" t="n">
        <v>151.054377</v>
      </c>
    </row>
    <row r="1074" customFormat="false" ht="15" hidden="false" customHeight="false" outlineLevel="0" collapsed="false">
      <c r="A1074" s="7" t="n">
        <v>1073</v>
      </c>
      <c r="B1074" s="7" t="s">
        <v>302</v>
      </c>
      <c r="C1074" s="7" t="s">
        <v>1336</v>
      </c>
      <c r="D1074" s="7" t="n">
        <v>2094</v>
      </c>
      <c r="E1074" s="7" t="s">
        <v>50</v>
      </c>
      <c r="F1074" s="10" t="b">
        <f aca="false">FALSE()</f>
        <v>0</v>
      </c>
      <c r="G1074" s="7"/>
      <c r="H1074" s="7" t="s">
        <v>302</v>
      </c>
      <c r="I1074" s="7" t="n">
        <v>2</v>
      </c>
      <c r="J1074" s="7" t="s">
        <v>107</v>
      </c>
      <c r="K1074" s="7" t="s">
        <v>1274</v>
      </c>
      <c r="L1074" s="7"/>
      <c r="M1074" s="10" t="b">
        <f aca="false">FALSE()</f>
        <v>0</v>
      </c>
      <c r="N1074" s="7"/>
      <c r="O1074" s="7" t="n">
        <v>-33.796445</v>
      </c>
      <c r="P1074" s="7" t="n">
        <v>151.275449</v>
      </c>
    </row>
    <row r="1075" customFormat="false" ht="15" hidden="false" customHeight="false" outlineLevel="0" collapsed="false">
      <c r="A1075" s="7" t="n">
        <v>1074</v>
      </c>
      <c r="B1075" s="7"/>
      <c r="C1075" s="7" t="s">
        <v>1337</v>
      </c>
      <c r="D1075" s="7" t="n">
        <v>2320</v>
      </c>
      <c r="E1075" s="7" t="s">
        <v>50</v>
      </c>
      <c r="F1075" s="10" t="b">
        <f aca="false">FALSE()</f>
        <v>0</v>
      </c>
      <c r="G1075" s="7"/>
      <c r="H1075" s="7" t="s">
        <v>1260</v>
      </c>
      <c r="I1075" s="7" t="n">
        <v>8</v>
      </c>
      <c r="J1075" s="7" t="s">
        <v>52</v>
      </c>
      <c r="K1075" s="7" t="s">
        <v>53</v>
      </c>
      <c r="L1075" s="7" t="n">
        <v>350</v>
      </c>
      <c r="M1075" s="10" t="b">
        <f aca="false">TRUE()</f>
        <v>1</v>
      </c>
      <c r="N1075" s="7"/>
      <c r="O1075" s="7" t="n">
        <v>-32.715609</v>
      </c>
      <c r="P1075" s="7" t="n">
        <v>151.526582</v>
      </c>
    </row>
    <row r="1076" customFormat="false" ht="15" hidden="false" customHeight="false" outlineLevel="0" collapsed="false">
      <c r="A1076" s="7" t="n">
        <v>1075</v>
      </c>
      <c r="B1076" s="7"/>
      <c r="C1076" s="7" t="s">
        <v>1242</v>
      </c>
      <c r="D1076" s="7" t="n">
        <v>2522</v>
      </c>
      <c r="E1076" s="7" t="s">
        <v>50</v>
      </c>
      <c r="F1076" s="10" t="b">
        <f aca="false">FALSE()</f>
        <v>0</v>
      </c>
      <c r="G1076" s="7"/>
      <c r="H1076" s="7" t="s">
        <v>1338</v>
      </c>
      <c r="I1076" s="7" t="n">
        <v>6</v>
      </c>
      <c r="J1076" s="7" t="s">
        <v>71</v>
      </c>
      <c r="K1076" s="7" t="s">
        <v>53</v>
      </c>
      <c r="L1076" s="7" t="n">
        <v>350</v>
      </c>
      <c r="M1076" s="10" t="b">
        <f aca="false">FALSE()</f>
        <v>0</v>
      </c>
      <c r="N1076" s="7"/>
      <c r="O1076" s="7" t="n">
        <v>-34.407957</v>
      </c>
      <c r="P1076" s="7" t="n">
        <v>150.877135</v>
      </c>
    </row>
    <row r="1077" customFormat="false" ht="15" hidden="false" customHeight="false" outlineLevel="0" collapsed="false">
      <c r="A1077" s="7" t="n">
        <v>1076</v>
      </c>
      <c r="B1077" s="7"/>
      <c r="C1077" s="7" t="s">
        <v>1339</v>
      </c>
      <c r="D1077" s="7" t="n">
        <v>2759</v>
      </c>
      <c r="E1077" s="7" t="s">
        <v>50</v>
      </c>
      <c r="F1077" s="10" t="b">
        <f aca="false">FALSE()</f>
        <v>0</v>
      </c>
      <c r="G1077" s="7"/>
      <c r="H1077" s="7" t="s">
        <v>1263</v>
      </c>
      <c r="I1077" s="7" t="n">
        <v>4</v>
      </c>
      <c r="J1077" s="7" t="s">
        <v>52</v>
      </c>
      <c r="K1077" s="7" t="s">
        <v>53</v>
      </c>
      <c r="L1077" s="7" t="n">
        <v>350</v>
      </c>
      <c r="M1077" s="10" t="b">
        <f aca="false">TRUE()</f>
        <v>1</v>
      </c>
      <c r="N1077" s="7"/>
      <c r="O1077" s="7" t="n">
        <v>-33.804118</v>
      </c>
      <c r="P1077" s="7" t="n">
        <v>150.798898</v>
      </c>
    </row>
    <row r="1078" customFormat="false" ht="15" hidden="false" customHeight="false" outlineLevel="0" collapsed="false">
      <c r="A1078" s="7" t="n">
        <v>1077</v>
      </c>
      <c r="B1078" s="7" t="s">
        <v>1340</v>
      </c>
      <c r="C1078" s="7" t="s">
        <v>1341</v>
      </c>
      <c r="D1078" s="7" t="n">
        <v>2508</v>
      </c>
      <c r="E1078" s="7" t="s">
        <v>50</v>
      </c>
      <c r="F1078" s="10" t="b">
        <f aca="false">FALSE()</f>
        <v>0</v>
      </c>
      <c r="G1078" s="7"/>
      <c r="H1078" s="7" t="s">
        <v>1301</v>
      </c>
      <c r="I1078" s="7" t="n">
        <v>4</v>
      </c>
      <c r="J1078" s="7" t="s">
        <v>107</v>
      </c>
      <c r="K1078" s="7" t="s">
        <v>1274</v>
      </c>
      <c r="L1078" s="7"/>
      <c r="M1078" s="10" t="b">
        <f aca="false">FALSE()</f>
        <v>0</v>
      </c>
      <c r="N1078" s="7"/>
      <c r="O1078" s="7" t="n">
        <v>-34.205571</v>
      </c>
      <c r="P1078" s="7" t="n">
        <v>150.968919</v>
      </c>
    </row>
    <row r="1079" customFormat="false" ht="15" hidden="false" customHeight="false" outlineLevel="0" collapsed="false">
      <c r="A1079" s="7" t="n">
        <v>1078</v>
      </c>
      <c r="B1079" s="7" t="s">
        <v>1342</v>
      </c>
      <c r="C1079" s="7" t="s">
        <v>1343</v>
      </c>
      <c r="D1079" s="7" t="n">
        <v>2328</v>
      </c>
      <c r="E1079" s="7" t="s">
        <v>50</v>
      </c>
      <c r="F1079" s="10" t="b">
        <f aca="false">FALSE()</f>
        <v>0</v>
      </c>
      <c r="G1079" s="7"/>
      <c r="H1079" s="7" t="s">
        <v>1301</v>
      </c>
      <c r="I1079" s="7" t="n">
        <v>2</v>
      </c>
      <c r="J1079" s="7" t="s">
        <v>107</v>
      </c>
      <c r="K1079" s="7" t="s">
        <v>1293</v>
      </c>
      <c r="L1079" s="7"/>
      <c r="M1079" s="10" t="b">
        <f aca="false">FALSE()</f>
        <v>0</v>
      </c>
      <c r="N1079" s="7"/>
      <c r="O1079" s="7" t="n">
        <v>-32.394176</v>
      </c>
      <c r="P1079" s="7" t="n">
        <v>150.684487</v>
      </c>
    </row>
    <row r="1080" customFormat="false" ht="15" hidden="false" customHeight="false" outlineLevel="0" collapsed="false">
      <c r="A1080" s="7" t="n">
        <v>1079</v>
      </c>
      <c r="B1080" s="7"/>
      <c r="C1080" s="7" t="s">
        <v>1344</v>
      </c>
      <c r="D1080" s="7" t="n">
        <v>2571</v>
      </c>
      <c r="E1080" s="7" t="s">
        <v>50</v>
      </c>
      <c r="F1080" s="10" t="b">
        <f aca="false">FALSE()</f>
        <v>0</v>
      </c>
      <c r="G1080" s="7"/>
      <c r="H1080" s="7" t="s">
        <v>1260</v>
      </c>
      <c r="I1080" s="7" t="n">
        <v>6</v>
      </c>
      <c r="J1080" s="7" t="s">
        <v>52</v>
      </c>
      <c r="K1080" s="7" t="s">
        <v>53</v>
      </c>
      <c r="L1080" s="7" t="n">
        <v>350</v>
      </c>
      <c r="M1080" s="10" t="b">
        <f aca="false">TRUE()</f>
        <v>1</v>
      </c>
      <c r="N1080" s="7"/>
      <c r="O1080" s="7" t="n">
        <v>-34.18809</v>
      </c>
      <c r="P1080" s="7" t="n">
        <v>150.607034</v>
      </c>
    </row>
    <row r="1081" customFormat="false" ht="15" hidden="false" customHeight="false" outlineLevel="0" collapsed="false">
      <c r="A1081" s="7" t="n">
        <v>1080</v>
      </c>
      <c r="B1081" s="7"/>
      <c r="C1081" s="7" t="s">
        <v>1345</v>
      </c>
      <c r="D1081" s="7" t="n">
        <v>2223</v>
      </c>
      <c r="E1081" s="7" t="s">
        <v>50</v>
      </c>
      <c r="F1081" s="10" t="b">
        <f aca="false">FALSE()</f>
        <v>0</v>
      </c>
      <c r="G1081" s="7"/>
      <c r="H1081" s="7" t="s">
        <v>1260</v>
      </c>
      <c r="I1081" s="7" t="n">
        <v>4</v>
      </c>
      <c r="J1081" s="7" t="s">
        <v>52</v>
      </c>
      <c r="K1081" s="7" t="s">
        <v>53</v>
      </c>
      <c r="L1081" s="7" t="n">
        <v>350</v>
      </c>
      <c r="M1081" s="10" t="b">
        <f aca="false">TRUE()</f>
        <v>1</v>
      </c>
      <c r="N1081" s="7"/>
      <c r="O1081" s="7" t="n">
        <v>-33.970669</v>
      </c>
      <c r="P1081" s="7" t="n">
        <v>151.073689</v>
      </c>
    </row>
    <row r="1082" customFormat="false" ht="15" hidden="false" customHeight="false" outlineLevel="0" collapsed="false">
      <c r="A1082" s="7" t="n">
        <v>1081</v>
      </c>
      <c r="B1082" s="7" t="s">
        <v>1346</v>
      </c>
      <c r="C1082" s="7" t="s">
        <v>1347</v>
      </c>
      <c r="D1082" s="7" t="n">
        <v>2404</v>
      </c>
      <c r="E1082" s="7" t="s">
        <v>50</v>
      </c>
      <c r="F1082" s="10" t="b">
        <f aca="false">FALSE()</f>
        <v>0</v>
      </c>
      <c r="G1082" s="7"/>
      <c r="H1082" s="7" t="s">
        <v>1301</v>
      </c>
      <c r="I1082" s="7" t="n">
        <v>2</v>
      </c>
      <c r="J1082" s="7" t="s">
        <v>107</v>
      </c>
      <c r="K1082" s="7" t="s">
        <v>1274</v>
      </c>
      <c r="L1082" s="7"/>
      <c r="M1082" s="10" t="b">
        <f aca="false">FALSE()</f>
        <v>0</v>
      </c>
      <c r="N1082" s="7"/>
      <c r="O1082" s="7" t="n">
        <v>-29.869128</v>
      </c>
      <c r="P1082" s="7" t="n">
        <v>150.571434</v>
      </c>
    </row>
    <row r="1083" customFormat="false" ht="15" hidden="false" customHeight="false" outlineLevel="0" collapsed="false">
      <c r="A1083" s="7" t="n">
        <v>1082</v>
      </c>
      <c r="B1083" s="7"/>
      <c r="C1083" s="7" t="s">
        <v>1348</v>
      </c>
      <c r="D1083" s="7" t="n">
        <v>2085</v>
      </c>
      <c r="E1083" s="7" t="s">
        <v>50</v>
      </c>
      <c r="F1083" s="10" t="b">
        <f aca="false">FALSE()</f>
        <v>0</v>
      </c>
      <c r="G1083" s="7"/>
      <c r="H1083" s="7" t="s">
        <v>1265</v>
      </c>
      <c r="I1083" s="7" t="n">
        <v>6</v>
      </c>
      <c r="J1083" s="7" t="s">
        <v>52</v>
      </c>
      <c r="K1083" s="7" t="s">
        <v>53</v>
      </c>
      <c r="L1083" s="7" t="n">
        <v>350</v>
      </c>
      <c r="M1083" s="10" t="b">
        <f aca="false">TRUE()</f>
        <v>1</v>
      </c>
      <c r="N1083" s="7"/>
      <c r="O1083" s="7" t="n">
        <v>-33.703477</v>
      </c>
      <c r="P1083" s="7" t="n">
        <v>151.213149</v>
      </c>
    </row>
    <row r="1084" customFormat="false" ht="15" hidden="false" customHeight="false" outlineLevel="0" collapsed="false">
      <c r="A1084" s="7" t="n">
        <v>1083</v>
      </c>
      <c r="B1084" s="7"/>
      <c r="C1084" s="7" t="s">
        <v>1349</v>
      </c>
      <c r="D1084" s="7" t="n">
        <v>2550</v>
      </c>
      <c r="E1084" s="7" t="s">
        <v>50</v>
      </c>
      <c r="F1084" s="10" t="b">
        <f aca="false">FALSE()</f>
        <v>0</v>
      </c>
      <c r="G1084" s="7"/>
      <c r="H1084" s="7" t="s">
        <v>1265</v>
      </c>
      <c r="I1084" s="7" t="n">
        <v>6</v>
      </c>
      <c r="J1084" s="7" t="s">
        <v>52</v>
      </c>
      <c r="K1084" s="7" t="s">
        <v>53</v>
      </c>
      <c r="L1084" s="7" t="n">
        <v>350</v>
      </c>
      <c r="M1084" s="10" t="b">
        <f aca="false">TRUE()</f>
        <v>1</v>
      </c>
      <c r="N1084" s="7"/>
      <c r="O1084" s="7" t="n">
        <v>-36.678476</v>
      </c>
      <c r="P1084" s="7" t="n">
        <v>149.839777</v>
      </c>
    </row>
    <row r="1085" customFormat="false" ht="15" hidden="false" customHeight="false" outlineLevel="0" collapsed="false">
      <c r="A1085" s="7" t="n">
        <v>1084</v>
      </c>
      <c r="B1085" s="7"/>
      <c r="C1085" s="7" t="s">
        <v>1350</v>
      </c>
      <c r="D1085" s="7" t="n">
        <v>2450</v>
      </c>
      <c r="E1085" s="7" t="s">
        <v>50</v>
      </c>
      <c r="F1085" s="10" t="b">
        <f aca="false">FALSE()</f>
        <v>0</v>
      </c>
      <c r="G1085" s="7"/>
      <c r="H1085" s="7" t="s">
        <v>1265</v>
      </c>
      <c r="I1085" s="7" t="n">
        <v>15</v>
      </c>
      <c r="J1085" s="7" t="s">
        <v>52</v>
      </c>
      <c r="K1085" s="7" t="s">
        <v>53</v>
      </c>
      <c r="L1085" s="7" t="n">
        <v>350</v>
      </c>
      <c r="M1085" s="10" t="b">
        <f aca="false">TRUE()</f>
        <v>1</v>
      </c>
      <c r="N1085" s="7"/>
      <c r="O1085" s="7" t="n">
        <v>-30.295588</v>
      </c>
      <c r="P1085" s="7" t="n">
        <v>153.114628</v>
      </c>
    </row>
    <row r="1086" customFormat="false" ht="15" hidden="false" customHeight="false" outlineLevel="0" collapsed="false">
      <c r="A1086" s="7" t="n">
        <v>1085</v>
      </c>
      <c r="B1086" s="7" t="s">
        <v>89</v>
      </c>
      <c r="C1086" s="7" t="s">
        <v>1351</v>
      </c>
      <c r="D1086" s="7" t="n">
        <v>2711</v>
      </c>
      <c r="E1086" s="7" t="s">
        <v>50</v>
      </c>
      <c r="F1086" s="10" t="b">
        <f aca="false">FALSE()</f>
        <v>0</v>
      </c>
      <c r="G1086" s="7"/>
      <c r="H1086" s="7" t="s">
        <v>260</v>
      </c>
      <c r="I1086" s="7" t="n">
        <v>2</v>
      </c>
      <c r="J1086" s="7" t="s">
        <v>107</v>
      </c>
      <c r="K1086" s="7" t="s">
        <v>1274</v>
      </c>
      <c r="L1086" s="7"/>
      <c r="M1086" s="10" t="b">
        <f aca="false">FALSE()</f>
        <v>0</v>
      </c>
      <c r="N1086" s="7"/>
      <c r="O1086" s="7" t="n">
        <v>-34.508956</v>
      </c>
      <c r="P1086" s="7" t="n">
        <v>144.842843</v>
      </c>
    </row>
    <row r="1087" customFormat="false" ht="15" hidden="false" customHeight="false" outlineLevel="0" collapsed="false">
      <c r="A1087" s="7" t="n">
        <v>1086</v>
      </c>
      <c r="B1087" s="7" t="s">
        <v>302</v>
      </c>
      <c r="C1087" s="7" t="s">
        <v>1352</v>
      </c>
      <c r="D1087" s="7" t="n">
        <v>2025</v>
      </c>
      <c r="E1087" s="7" t="s">
        <v>50</v>
      </c>
      <c r="F1087" s="10" t="b">
        <f aca="false">FALSE()</f>
        <v>0</v>
      </c>
      <c r="G1087" s="7"/>
      <c r="H1087" s="7" t="s">
        <v>302</v>
      </c>
      <c r="I1087" s="7" t="n">
        <v>2</v>
      </c>
      <c r="J1087" s="7" t="s">
        <v>107</v>
      </c>
      <c r="K1087" s="7" t="s">
        <v>1274</v>
      </c>
      <c r="L1087" s="7"/>
      <c r="M1087" s="10" t="b">
        <f aca="false">FALSE()</f>
        <v>0</v>
      </c>
      <c r="N1087" s="7"/>
      <c r="O1087" s="7" t="n">
        <v>-33.888574</v>
      </c>
      <c r="P1087" s="7" t="n">
        <v>151.24441</v>
      </c>
    </row>
    <row r="1088" customFormat="false" ht="15" hidden="false" customHeight="false" outlineLevel="0" collapsed="false">
      <c r="A1088" s="7" t="n">
        <v>1087</v>
      </c>
      <c r="B1088" s="7"/>
      <c r="C1088" s="7" t="s">
        <v>603</v>
      </c>
      <c r="D1088" s="7" t="n">
        <v>2560</v>
      </c>
      <c r="E1088" s="7" t="s">
        <v>50</v>
      </c>
      <c r="F1088" s="10" t="b">
        <f aca="false">FALSE()</f>
        <v>0</v>
      </c>
      <c r="G1088" s="7"/>
      <c r="H1088" s="7" t="s">
        <v>1265</v>
      </c>
      <c r="I1088" s="7" t="n">
        <v>12</v>
      </c>
      <c r="J1088" s="7" t="s">
        <v>71</v>
      </c>
      <c r="K1088" s="7" t="s">
        <v>53</v>
      </c>
      <c r="L1088" s="7" t="n">
        <v>350</v>
      </c>
      <c r="M1088" s="10" t="b">
        <f aca="false">FALSE()</f>
        <v>0</v>
      </c>
      <c r="N1088" s="7"/>
      <c r="O1088" s="7" t="n">
        <v>-34.072203</v>
      </c>
      <c r="P1088" s="7" t="n">
        <v>150.806816</v>
      </c>
    </row>
    <row r="1089" customFormat="false" ht="15" hidden="false" customHeight="false" outlineLevel="0" collapsed="false">
      <c r="A1089" s="7" t="n">
        <v>1088</v>
      </c>
      <c r="B1089" s="7" t="s">
        <v>1353</v>
      </c>
      <c r="C1089" s="7" t="s">
        <v>1354</v>
      </c>
      <c r="D1089" s="7" t="n">
        <v>2586</v>
      </c>
      <c r="E1089" s="7" t="s">
        <v>50</v>
      </c>
      <c r="F1089" s="10" t="b">
        <f aca="false">FALSE()</f>
        <v>0</v>
      </c>
      <c r="G1089" s="7"/>
      <c r="H1089" s="7" t="s">
        <v>1355</v>
      </c>
      <c r="I1089" s="7" t="n">
        <v>2</v>
      </c>
      <c r="J1089" s="7" t="s">
        <v>107</v>
      </c>
      <c r="K1089" s="7" t="s">
        <v>1274</v>
      </c>
      <c r="L1089" s="7"/>
      <c r="M1089" s="10" t="b">
        <f aca="false">FALSE()</f>
        <v>0</v>
      </c>
      <c r="N1089" s="7"/>
      <c r="O1089" s="7" t="n">
        <v>-34.436689</v>
      </c>
      <c r="P1089" s="7" t="n">
        <v>148.723424</v>
      </c>
    </row>
    <row r="1090" customFormat="false" ht="15" hidden="false" customHeight="false" outlineLevel="0" collapsed="false">
      <c r="A1090" s="7" t="n">
        <v>1089</v>
      </c>
      <c r="B1090" s="7"/>
      <c r="C1090" s="7" t="s">
        <v>1356</v>
      </c>
      <c r="D1090" s="7" t="n">
        <v>2145</v>
      </c>
      <c r="E1090" s="7" t="s">
        <v>50</v>
      </c>
      <c r="F1090" s="10" t="b">
        <f aca="false">FALSE()</f>
        <v>0</v>
      </c>
      <c r="G1090" s="7"/>
      <c r="H1090" s="7" t="s">
        <v>1260</v>
      </c>
      <c r="I1090" s="7" t="n">
        <v>6</v>
      </c>
      <c r="J1090" s="7" t="s">
        <v>52</v>
      </c>
      <c r="K1090" s="7" t="s">
        <v>53</v>
      </c>
      <c r="L1090" s="7" t="n">
        <v>350</v>
      </c>
      <c r="M1090" s="10" t="b">
        <f aca="false">TRUE()</f>
        <v>1</v>
      </c>
      <c r="N1090" s="7"/>
      <c r="O1090" s="7" t="n">
        <v>-33.815838</v>
      </c>
      <c r="P1090" s="7" t="n">
        <v>150.968757</v>
      </c>
    </row>
    <row r="1091" customFormat="false" ht="15" hidden="false" customHeight="false" outlineLevel="0" collapsed="false">
      <c r="A1091" s="7" t="n">
        <v>1090</v>
      </c>
      <c r="B1091" s="7"/>
      <c r="C1091" s="7" t="s">
        <v>1357</v>
      </c>
      <c r="D1091" s="7" t="n">
        <v>2135</v>
      </c>
      <c r="E1091" s="7" t="s">
        <v>50</v>
      </c>
      <c r="F1091" s="10" t="b">
        <f aca="false">FALSE()</f>
        <v>0</v>
      </c>
      <c r="G1091" s="7"/>
      <c r="H1091" s="7" t="s">
        <v>1265</v>
      </c>
      <c r="I1091" s="7" t="n">
        <v>8</v>
      </c>
      <c r="J1091" s="7" t="s">
        <v>52</v>
      </c>
      <c r="K1091" s="7" t="s">
        <v>55</v>
      </c>
      <c r="L1091" s="7" t="n">
        <v>350</v>
      </c>
      <c r="M1091" s="10" t="b">
        <f aca="false">TRUE()</f>
        <v>1</v>
      </c>
      <c r="N1091" s="7"/>
      <c r="O1091" s="7" t="n">
        <v>-33.873225</v>
      </c>
      <c r="P1091" s="7" t="n">
        <v>151.093107</v>
      </c>
    </row>
    <row r="1092" customFormat="false" ht="15" hidden="false" customHeight="false" outlineLevel="0" collapsed="false">
      <c r="A1092" s="7" t="n">
        <v>1091</v>
      </c>
      <c r="B1092" s="7"/>
      <c r="C1092" s="7" t="s">
        <v>1358</v>
      </c>
      <c r="D1092" s="7" t="n">
        <v>2116</v>
      </c>
      <c r="E1092" s="7" t="s">
        <v>50</v>
      </c>
      <c r="F1092" s="10" t="b">
        <f aca="false">FALSE()</f>
        <v>0</v>
      </c>
      <c r="G1092" s="7"/>
      <c r="H1092" s="7" t="s">
        <v>1260</v>
      </c>
      <c r="I1092" s="7" t="n">
        <v>4</v>
      </c>
      <c r="J1092" s="7" t="s">
        <v>52</v>
      </c>
      <c r="K1092" s="7" t="s">
        <v>53</v>
      </c>
      <c r="L1092" s="7" t="n">
        <v>350</v>
      </c>
      <c r="M1092" s="10" t="b">
        <f aca="false">TRUE()</f>
        <v>1</v>
      </c>
      <c r="N1092" s="7"/>
      <c r="O1092" s="7" t="n">
        <v>-33.811893</v>
      </c>
      <c r="P1092" s="7" t="n">
        <v>151.094727</v>
      </c>
    </row>
    <row r="1093" customFormat="false" ht="15" hidden="false" customHeight="false" outlineLevel="0" collapsed="false">
      <c r="A1093" s="7" t="n">
        <v>1092</v>
      </c>
      <c r="B1093" s="7"/>
      <c r="C1093" s="7" t="s">
        <v>1359</v>
      </c>
      <c r="D1093" s="7" t="n">
        <v>2171</v>
      </c>
      <c r="E1093" s="7" t="s">
        <v>50</v>
      </c>
      <c r="F1093" s="10" t="b">
        <f aca="false">FALSE()</f>
        <v>0</v>
      </c>
      <c r="G1093" s="7"/>
      <c r="H1093" s="7" t="s">
        <v>1260</v>
      </c>
      <c r="I1093" s="7" t="n">
        <v>8</v>
      </c>
      <c r="J1093" s="7" t="s">
        <v>52</v>
      </c>
      <c r="K1093" s="7" t="s">
        <v>53</v>
      </c>
      <c r="L1093" s="7" t="n">
        <v>350</v>
      </c>
      <c r="M1093" s="10" t="b">
        <f aca="false">TRUE()</f>
        <v>1</v>
      </c>
      <c r="N1093" s="7"/>
      <c r="O1093" s="7" t="n">
        <v>-33.936058</v>
      </c>
      <c r="P1093" s="7" t="n">
        <v>150.845041</v>
      </c>
    </row>
    <row r="1094" customFormat="false" ht="15" hidden="false" customHeight="false" outlineLevel="0" collapsed="false">
      <c r="A1094" s="7" t="n">
        <v>1093</v>
      </c>
      <c r="B1094" s="7" t="s">
        <v>1360</v>
      </c>
      <c r="C1094" s="7" t="s">
        <v>1361</v>
      </c>
      <c r="D1094" s="7" t="n">
        <v>2587</v>
      </c>
      <c r="E1094" s="7" t="s">
        <v>50</v>
      </c>
      <c r="F1094" s="10" t="b">
        <f aca="false">FALSE()</f>
        <v>0</v>
      </c>
      <c r="G1094" s="7"/>
      <c r="H1094" s="7" t="s">
        <v>1301</v>
      </c>
      <c r="I1094" s="7" t="n">
        <v>4</v>
      </c>
      <c r="J1094" s="7" t="s">
        <v>52</v>
      </c>
      <c r="K1094" s="7" t="s">
        <v>1274</v>
      </c>
      <c r="L1094" s="7"/>
      <c r="M1094" s="10" t="b">
        <f aca="false">TRUE()</f>
        <v>1</v>
      </c>
      <c r="N1094" s="7"/>
      <c r="O1094" s="7" t="n">
        <v>-34.562407</v>
      </c>
      <c r="P1094" s="7" t="n">
        <v>148.364106</v>
      </c>
    </row>
    <row r="1095" customFormat="false" ht="15" hidden="false" customHeight="false" outlineLevel="0" collapsed="false">
      <c r="A1095" s="7" t="n">
        <v>1094</v>
      </c>
      <c r="B1095" s="7"/>
      <c r="C1095" s="7" t="s">
        <v>1362</v>
      </c>
      <c r="D1095" s="7" t="n">
        <v>2177</v>
      </c>
      <c r="E1095" s="7" t="s">
        <v>50</v>
      </c>
      <c r="F1095" s="10" t="b">
        <f aca="false">FALSE()</f>
        <v>0</v>
      </c>
      <c r="G1095" s="7"/>
      <c r="H1095" s="7" t="s">
        <v>1260</v>
      </c>
      <c r="I1095" s="7" t="n">
        <v>4</v>
      </c>
      <c r="J1095" s="7" t="s">
        <v>52</v>
      </c>
      <c r="K1095" s="7" t="s">
        <v>53</v>
      </c>
      <c r="L1095" s="7" t="n">
        <v>350</v>
      </c>
      <c r="M1095" s="10" t="b">
        <f aca="false">TRUE()</f>
        <v>1</v>
      </c>
      <c r="N1095" s="7"/>
      <c r="O1095" s="7" t="n">
        <v>-33.894281</v>
      </c>
      <c r="P1095" s="7" t="n">
        <v>150.857951</v>
      </c>
    </row>
    <row r="1096" customFormat="false" ht="15" hidden="false" customHeight="false" outlineLevel="0" collapsed="false">
      <c r="A1096" s="7" t="n">
        <v>1095</v>
      </c>
      <c r="B1096" s="7"/>
      <c r="C1096" s="7" t="s">
        <v>1363</v>
      </c>
      <c r="D1096" s="7" t="n">
        <v>2170</v>
      </c>
      <c r="E1096" s="7" t="s">
        <v>50</v>
      </c>
      <c r="F1096" s="10" t="b">
        <f aca="false">FALSE()</f>
        <v>0</v>
      </c>
      <c r="G1096" s="7"/>
      <c r="H1096" s="7" t="s">
        <v>1260</v>
      </c>
      <c r="I1096" s="7" t="n">
        <v>4</v>
      </c>
      <c r="J1096" s="7" t="s">
        <v>52</v>
      </c>
      <c r="K1096" s="7" t="s">
        <v>53</v>
      </c>
      <c r="L1096" s="7" t="n">
        <v>350</v>
      </c>
      <c r="M1096" s="10" t="b">
        <f aca="false">TRUE()</f>
        <v>1</v>
      </c>
      <c r="N1096" s="7"/>
      <c r="O1096" s="7" t="n">
        <v>-33.929333</v>
      </c>
      <c r="P1096" s="7" t="n">
        <v>150.953202</v>
      </c>
    </row>
    <row r="1097" customFormat="false" ht="15" hidden="false" customHeight="false" outlineLevel="0" collapsed="false">
      <c r="A1097" s="7" t="n">
        <v>1096</v>
      </c>
      <c r="B1097" s="7"/>
      <c r="C1097" s="7" t="s">
        <v>1364</v>
      </c>
      <c r="D1097" s="7" t="n">
        <v>2199</v>
      </c>
      <c r="E1097" s="7" t="s">
        <v>50</v>
      </c>
      <c r="F1097" s="10" t="b">
        <f aca="false">FALSE()</f>
        <v>0</v>
      </c>
      <c r="G1097" s="7"/>
      <c r="H1097" s="7" t="s">
        <v>1260</v>
      </c>
      <c r="I1097" s="7" t="n">
        <v>4</v>
      </c>
      <c r="J1097" s="7" t="s">
        <v>52</v>
      </c>
      <c r="K1097" s="7" t="s">
        <v>53</v>
      </c>
      <c r="L1097" s="7" t="n">
        <v>350</v>
      </c>
      <c r="M1097" s="10" t="b">
        <f aca="false">TRUE()</f>
        <v>1</v>
      </c>
      <c r="N1097" s="7"/>
      <c r="O1097" s="7" t="n">
        <v>-33.893399</v>
      </c>
      <c r="P1097" s="7" t="n">
        <v>151.038903</v>
      </c>
    </row>
    <row r="1098" customFormat="false" ht="15" hidden="false" customHeight="false" outlineLevel="0" collapsed="false">
      <c r="A1098" s="7" t="n">
        <v>1097</v>
      </c>
      <c r="B1098" s="7"/>
      <c r="C1098" s="7" t="s">
        <v>656</v>
      </c>
      <c r="D1098" s="7" t="n">
        <v>2567</v>
      </c>
      <c r="E1098" s="7" t="s">
        <v>50</v>
      </c>
      <c r="F1098" s="10" t="b">
        <f aca="false">FALSE()</f>
        <v>0</v>
      </c>
      <c r="G1098" s="7"/>
      <c r="H1098" s="7" t="s">
        <v>657</v>
      </c>
      <c r="I1098" s="7" t="n">
        <v>4</v>
      </c>
      <c r="J1098" s="7" t="s">
        <v>71</v>
      </c>
      <c r="K1098" s="7" t="s">
        <v>53</v>
      </c>
      <c r="L1098" s="7" t="n">
        <v>350</v>
      </c>
      <c r="M1098" s="10" t="b">
        <f aca="false">FALSE()</f>
        <v>0</v>
      </c>
      <c r="N1098" s="7"/>
      <c r="O1098" s="7" t="n">
        <v>-34.049537</v>
      </c>
      <c r="P1098" s="7" t="n">
        <v>150.760113</v>
      </c>
    </row>
    <row r="1099" customFormat="false" ht="15" hidden="false" customHeight="false" outlineLevel="0" collapsed="false">
      <c r="A1099" s="7" t="n">
        <v>1098</v>
      </c>
      <c r="B1099" s="7" t="s">
        <v>194</v>
      </c>
      <c r="C1099" s="7" t="s">
        <v>1365</v>
      </c>
      <c r="D1099" s="7" t="n">
        <v>2640</v>
      </c>
      <c r="E1099" s="7" t="s">
        <v>50</v>
      </c>
      <c r="F1099" s="10" t="b">
        <f aca="false">FALSE()</f>
        <v>0</v>
      </c>
      <c r="G1099" s="7"/>
      <c r="H1099" s="7" t="s">
        <v>260</v>
      </c>
      <c r="I1099" s="7" t="n">
        <v>2</v>
      </c>
      <c r="J1099" s="7" t="s">
        <v>107</v>
      </c>
      <c r="K1099" s="7" t="s">
        <v>1293</v>
      </c>
      <c r="L1099" s="7"/>
      <c r="M1099" s="10" t="b">
        <f aca="false">FALSE()</f>
        <v>0</v>
      </c>
      <c r="N1099" s="7"/>
      <c r="O1099" s="7" t="n">
        <v>-36.080635</v>
      </c>
      <c r="P1099" s="7" t="n">
        <v>146.921609</v>
      </c>
    </row>
    <row r="1100" customFormat="false" ht="15" hidden="false" customHeight="false" outlineLevel="0" collapsed="false">
      <c r="A1100" s="7" t="n">
        <v>1099</v>
      </c>
      <c r="B1100" s="7"/>
      <c r="C1100" s="7" t="s">
        <v>536</v>
      </c>
      <c r="D1100" s="7" t="n">
        <v>2525</v>
      </c>
      <c r="E1100" s="7" t="s">
        <v>50</v>
      </c>
      <c r="F1100" s="10" t="b">
        <f aca="false">FALSE()</f>
        <v>0</v>
      </c>
      <c r="G1100" s="7"/>
      <c r="H1100" s="7" t="s">
        <v>1265</v>
      </c>
      <c r="I1100" s="7" t="n">
        <v>6</v>
      </c>
      <c r="J1100" s="7" t="s">
        <v>71</v>
      </c>
      <c r="K1100" s="7" t="s">
        <v>53</v>
      </c>
      <c r="L1100" s="7" t="n">
        <v>350</v>
      </c>
      <c r="M1100" s="10" t="b">
        <f aca="false">FALSE()</f>
        <v>0</v>
      </c>
      <c r="N1100" s="7"/>
      <c r="O1100" s="7" t="n">
        <v>-34.436615</v>
      </c>
      <c r="P1100" s="7" t="n">
        <v>150.863298</v>
      </c>
    </row>
    <row r="1101" customFormat="false" ht="15" hidden="false" customHeight="false" outlineLevel="0" collapsed="false">
      <c r="A1101" s="7" t="n">
        <v>1100</v>
      </c>
      <c r="B1101" s="7"/>
      <c r="C1101" s="7" t="s">
        <v>1366</v>
      </c>
      <c r="D1101" s="7" t="n">
        <v>2330</v>
      </c>
      <c r="E1101" s="7" t="s">
        <v>50</v>
      </c>
      <c r="F1101" s="10" t="b">
        <f aca="false">FALSE()</f>
        <v>0</v>
      </c>
      <c r="G1101" s="7"/>
      <c r="H1101" s="7" t="s">
        <v>1288</v>
      </c>
      <c r="I1101" s="7" t="n">
        <v>5</v>
      </c>
      <c r="J1101" s="7" t="s">
        <v>52</v>
      </c>
      <c r="K1101" s="7" t="s">
        <v>53</v>
      </c>
      <c r="L1101" s="7" t="n">
        <v>350</v>
      </c>
      <c r="M1101" s="10" t="b">
        <f aca="false">TRUE()</f>
        <v>1</v>
      </c>
      <c r="N1101" s="7"/>
      <c r="O1101" s="7" t="n">
        <v>-32.56947</v>
      </c>
      <c r="P1101" s="7" t="n">
        <v>151.179984</v>
      </c>
    </row>
    <row r="1102" customFormat="false" ht="15" hidden="false" customHeight="false" outlineLevel="0" collapsed="false">
      <c r="A1102" s="7" t="n">
        <v>1101</v>
      </c>
      <c r="B1102" s="7"/>
      <c r="C1102" s="7" t="s">
        <v>1367</v>
      </c>
      <c r="D1102" s="7" t="n">
        <v>2095</v>
      </c>
      <c r="E1102" s="7" t="s">
        <v>50</v>
      </c>
      <c r="F1102" s="10" t="b">
        <f aca="false">FALSE()</f>
        <v>0</v>
      </c>
      <c r="G1102" s="7"/>
      <c r="H1102" s="7" t="s">
        <v>1263</v>
      </c>
      <c r="I1102" s="7" t="n">
        <v>4</v>
      </c>
      <c r="J1102" s="7" t="s">
        <v>52</v>
      </c>
      <c r="K1102" s="7" t="s">
        <v>53</v>
      </c>
      <c r="L1102" s="7" t="n">
        <v>350</v>
      </c>
      <c r="M1102" s="10" t="b">
        <f aca="false">TRUE()</f>
        <v>1</v>
      </c>
      <c r="N1102" s="7"/>
      <c r="O1102" s="7" t="n">
        <v>-33.787031</v>
      </c>
      <c r="P1102" s="7" t="n">
        <v>151.281275</v>
      </c>
    </row>
    <row r="1103" customFormat="false" ht="15" hidden="false" customHeight="false" outlineLevel="0" collapsed="false">
      <c r="A1103" s="7" t="n">
        <v>1102</v>
      </c>
      <c r="B1103" s="7"/>
      <c r="C1103" s="7" t="s">
        <v>1368</v>
      </c>
      <c r="D1103" s="7" t="n">
        <v>2076</v>
      </c>
      <c r="E1103" s="7" t="s">
        <v>50</v>
      </c>
      <c r="F1103" s="10" t="b">
        <f aca="false">FALSE()</f>
        <v>0</v>
      </c>
      <c r="G1103" s="7"/>
      <c r="H1103" s="7" t="s">
        <v>1260</v>
      </c>
      <c r="I1103" s="7" t="n">
        <v>4</v>
      </c>
      <c r="J1103" s="7" t="s">
        <v>52</v>
      </c>
      <c r="K1103" s="7" t="s">
        <v>53</v>
      </c>
      <c r="L1103" s="7" t="n">
        <v>350</v>
      </c>
      <c r="M1103" s="10" t="b">
        <f aca="false">TRUE()</f>
        <v>1</v>
      </c>
      <c r="N1103" s="7"/>
      <c r="O1103" s="7" t="n">
        <v>-33.7245</v>
      </c>
      <c r="P1103" s="7" t="n">
        <v>151.0901</v>
      </c>
    </row>
    <row r="1104" customFormat="false" ht="15" hidden="false" customHeight="false" outlineLevel="0" collapsed="false">
      <c r="A1104" s="7" t="n">
        <v>1103</v>
      </c>
      <c r="B1104" s="7"/>
      <c r="C1104" s="7" t="s">
        <v>1369</v>
      </c>
      <c r="D1104" s="7" t="n">
        <v>2127</v>
      </c>
      <c r="E1104" s="7" t="s">
        <v>50</v>
      </c>
      <c r="F1104" s="10" t="b">
        <f aca="false">FALSE()</f>
        <v>0</v>
      </c>
      <c r="G1104" s="7"/>
      <c r="H1104" s="7" t="s">
        <v>1263</v>
      </c>
      <c r="I1104" s="7" t="n">
        <v>4</v>
      </c>
      <c r="J1104" s="7" t="s">
        <v>52</v>
      </c>
      <c r="K1104" s="7" t="s">
        <v>53</v>
      </c>
      <c r="L1104" s="7" t="n">
        <v>350</v>
      </c>
      <c r="M1104" s="10" t="b">
        <f aca="false">TRUE()</f>
        <v>1</v>
      </c>
      <c r="N1104" s="7"/>
      <c r="O1104" s="7" t="n">
        <v>-33.834299</v>
      </c>
      <c r="P1104" s="7" t="n">
        <v>151.056437</v>
      </c>
    </row>
    <row r="1105" customFormat="false" ht="15" hidden="false" customHeight="false" outlineLevel="0" collapsed="false">
      <c r="A1105" s="7" t="n">
        <v>1104</v>
      </c>
      <c r="B1105" s="7"/>
      <c r="C1105" s="7" t="s">
        <v>1370</v>
      </c>
      <c r="D1105" s="7" t="n">
        <v>2040</v>
      </c>
      <c r="E1105" s="7" t="s">
        <v>50</v>
      </c>
      <c r="F1105" s="10" t="b">
        <f aca="false">FALSE()</f>
        <v>0</v>
      </c>
      <c r="G1105" s="7"/>
      <c r="H1105" s="7" t="s">
        <v>1265</v>
      </c>
      <c r="I1105" s="7" t="n">
        <v>8</v>
      </c>
      <c r="J1105" s="7" t="s">
        <v>52</v>
      </c>
      <c r="K1105" s="7" t="s">
        <v>55</v>
      </c>
      <c r="L1105" s="7" t="n">
        <v>350</v>
      </c>
      <c r="M1105" s="10" t="b">
        <f aca="false">TRUE()</f>
        <v>1</v>
      </c>
      <c r="N1105" s="7"/>
      <c r="O1105" s="7" t="n">
        <v>-33.885932</v>
      </c>
      <c r="P1105" s="7" t="n">
        <v>151.15798</v>
      </c>
    </row>
    <row r="1106" customFormat="false" ht="15" hidden="false" customHeight="false" outlineLevel="0" collapsed="false">
      <c r="A1106" s="7" t="n">
        <v>1105</v>
      </c>
      <c r="B1106" s="7" t="s">
        <v>1371</v>
      </c>
      <c r="C1106" s="7" t="s">
        <v>1372</v>
      </c>
      <c r="D1106" s="7" t="n">
        <v>2041</v>
      </c>
      <c r="E1106" s="7" t="s">
        <v>50</v>
      </c>
      <c r="F1106" s="10" t="b">
        <f aca="false">FALSE()</f>
        <v>0</v>
      </c>
      <c r="G1106" s="7"/>
      <c r="H1106" s="7" t="s">
        <v>1371</v>
      </c>
      <c r="I1106" s="7" t="n">
        <v>1</v>
      </c>
      <c r="J1106" s="7" t="s">
        <v>107</v>
      </c>
      <c r="K1106" s="7" t="s">
        <v>1293</v>
      </c>
      <c r="L1106" s="7"/>
      <c r="M1106" s="10" t="b">
        <f aca="false">FALSE()</f>
        <v>0</v>
      </c>
      <c r="N1106" s="7"/>
      <c r="O1106" s="7" t="n">
        <v>-33.858428</v>
      </c>
      <c r="P1106" s="7" t="n">
        <v>151.186886</v>
      </c>
    </row>
    <row r="1107" customFormat="false" ht="15" hidden="false" customHeight="false" outlineLevel="0" collapsed="false">
      <c r="A1107" s="7" t="n">
        <v>1106</v>
      </c>
      <c r="B1107" s="7"/>
      <c r="C1107" s="7" t="s">
        <v>653</v>
      </c>
      <c r="D1107" s="7" t="n">
        <v>2282</v>
      </c>
      <c r="E1107" s="7" t="s">
        <v>50</v>
      </c>
      <c r="F1107" s="10" t="b">
        <f aca="false">FALSE()</f>
        <v>0</v>
      </c>
      <c r="G1107" s="7"/>
      <c r="H1107" s="7" t="s">
        <v>1263</v>
      </c>
      <c r="I1107" s="7" t="n">
        <v>4</v>
      </c>
      <c r="J1107" s="7" t="s">
        <v>52</v>
      </c>
      <c r="K1107" s="7" t="s">
        <v>53</v>
      </c>
      <c r="L1107" s="7" t="n">
        <v>350</v>
      </c>
      <c r="M1107" s="10" t="b">
        <f aca="false">TRUE()</f>
        <v>1</v>
      </c>
      <c r="N1107" s="7"/>
      <c r="O1107" s="7" t="n">
        <v>-32.963798</v>
      </c>
      <c r="P1107" s="7" t="n">
        <v>151.662073</v>
      </c>
    </row>
    <row r="1108" customFormat="false" ht="15" hidden="false" customHeight="false" outlineLevel="0" collapsed="false">
      <c r="A1108" s="7" t="n">
        <v>1107</v>
      </c>
      <c r="B1108" s="7"/>
      <c r="C1108" s="7" t="s">
        <v>1373</v>
      </c>
      <c r="D1108" s="7" t="n">
        <v>2120</v>
      </c>
      <c r="E1108" s="7" t="s">
        <v>50</v>
      </c>
      <c r="F1108" s="10" t="b">
        <f aca="false">FALSE()</f>
        <v>0</v>
      </c>
      <c r="G1108" s="7"/>
      <c r="H1108" s="7" t="s">
        <v>657</v>
      </c>
      <c r="I1108" s="7" t="n">
        <v>4</v>
      </c>
      <c r="J1108" s="7" t="s">
        <v>52</v>
      </c>
      <c r="K1108" s="7" t="s">
        <v>53</v>
      </c>
      <c r="L1108" s="7" t="n">
        <v>350</v>
      </c>
      <c r="M1108" s="10" t="b">
        <f aca="false">TRUE()</f>
        <v>1</v>
      </c>
      <c r="N1108" s="7"/>
      <c r="O1108" s="7" t="n">
        <v>-33.739314</v>
      </c>
      <c r="P1108" s="7" t="n">
        <v>151.06797</v>
      </c>
    </row>
    <row r="1109" customFormat="false" ht="15" hidden="false" customHeight="false" outlineLevel="0" collapsed="false">
      <c r="A1109" s="7" t="n">
        <v>1108</v>
      </c>
      <c r="B1109" s="7"/>
      <c r="C1109" s="7" t="s">
        <v>1374</v>
      </c>
      <c r="D1109" s="7" t="n">
        <v>2165</v>
      </c>
      <c r="E1109" s="7" t="s">
        <v>50</v>
      </c>
      <c r="F1109" s="10" t="b">
        <f aca="false">FALSE()</f>
        <v>0</v>
      </c>
      <c r="G1109" s="7"/>
      <c r="H1109" s="7" t="s">
        <v>1265</v>
      </c>
      <c r="I1109" s="7" t="n">
        <v>12</v>
      </c>
      <c r="J1109" s="7" t="s">
        <v>52</v>
      </c>
      <c r="K1109" s="7" t="s">
        <v>55</v>
      </c>
      <c r="L1109" s="7" t="n">
        <v>350</v>
      </c>
      <c r="M1109" s="10" t="b">
        <f aca="false">TRUE()</f>
        <v>1</v>
      </c>
      <c r="N1109" s="7"/>
      <c r="O1109" s="7" t="n">
        <v>-33.872915</v>
      </c>
      <c r="P1109" s="7" t="n">
        <v>150.958792</v>
      </c>
    </row>
    <row r="1110" customFormat="false" ht="15" hidden="false" customHeight="false" outlineLevel="0" collapsed="false">
      <c r="A1110" s="7" t="n">
        <v>1109</v>
      </c>
      <c r="B1110" s="7" t="s">
        <v>237</v>
      </c>
      <c r="C1110" s="7" t="s">
        <v>1375</v>
      </c>
      <c r="D1110" s="7" t="n">
        <v>2293</v>
      </c>
      <c r="E1110" s="7" t="s">
        <v>50</v>
      </c>
      <c r="F1110" s="10" t="b">
        <f aca="false">FALSE()</f>
        <v>0</v>
      </c>
      <c r="G1110" s="7"/>
      <c r="H1110" s="7" t="s">
        <v>237</v>
      </c>
      <c r="I1110" s="7" t="n">
        <v>2</v>
      </c>
      <c r="J1110" s="7" t="s">
        <v>107</v>
      </c>
      <c r="K1110" s="7" t="s">
        <v>1274</v>
      </c>
      <c r="L1110" s="7"/>
      <c r="M1110" s="10" t="b">
        <f aca="false">FALSE()</f>
        <v>0</v>
      </c>
      <c r="N1110" s="7"/>
      <c r="O1110" s="7" t="n">
        <v>-32.923023</v>
      </c>
      <c r="P1110" s="7" t="n">
        <v>151.757234</v>
      </c>
    </row>
    <row r="1111" customFormat="false" ht="15" hidden="false" customHeight="false" outlineLevel="0" collapsed="false">
      <c r="A1111" s="7" t="n">
        <v>1110</v>
      </c>
      <c r="B1111" s="7"/>
      <c r="C1111" s="7" t="s">
        <v>1376</v>
      </c>
      <c r="D1111" s="7" t="n">
        <v>2153</v>
      </c>
      <c r="E1111" s="7" t="s">
        <v>50</v>
      </c>
      <c r="F1111" s="10" t="b">
        <f aca="false">FALSE()</f>
        <v>0</v>
      </c>
      <c r="G1111" s="7"/>
      <c r="H1111" s="7" t="s">
        <v>1260</v>
      </c>
      <c r="I1111" s="7" t="n">
        <v>4</v>
      </c>
      <c r="J1111" s="7" t="s">
        <v>52</v>
      </c>
      <c r="K1111" s="7" t="s">
        <v>53</v>
      </c>
      <c r="L1111" s="7" t="n">
        <v>350</v>
      </c>
      <c r="M1111" s="10" t="b">
        <f aca="false">TRUE()</f>
        <v>1</v>
      </c>
      <c r="N1111" s="7"/>
      <c r="O1111" s="7" t="n">
        <v>-33.761573</v>
      </c>
      <c r="P1111" s="7" t="n">
        <v>150.973758</v>
      </c>
    </row>
    <row r="1112" customFormat="false" ht="15" hidden="false" customHeight="false" outlineLevel="0" collapsed="false">
      <c r="A1112" s="7" t="n">
        <v>1111</v>
      </c>
      <c r="B1112" s="7" t="s">
        <v>1377</v>
      </c>
      <c r="C1112" s="7" t="s">
        <v>1378</v>
      </c>
      <c r="D1112" s="7" t="n">
        <v>2640</v>
      </c>
      <c r="E1112" s="7" t="s">
        <v>50</v>
      </c>
      <c r="F1112" s="10" t="b">
        <f aca="false">FALSE()</f>
        <v>0</v>
      </c>
      <c r="G1112" s="7"/>
      <c r="H1112" s="7" t="s">
        <v>230</v>
      </c>
      <c r="I1112" s="7" t="n">
        <v>4</v>
      </c>
      <c r="J1112" s="7" t="s">
        <v>107</v>
      </c>
      <c r="K1112" s="7" t="s">
        <v>1274</v>
      </c>
      <c r="L1112" s="7"/>
      <c r="M1112" s="10" t="b">
        <f aca="false">FALSE()</f>
        <v>0</v>
      </c>
      <c r="N1112" s="7"/>
      <c r="O1112" s="7" t="n">
        <v>-36.077714</v>
      </c>
      <c r="P1112" s="7" t="n">
        <v>146.943785</v>
      </c>
    </row>
    <row r="1113" customFormat="false" ht="15" hidden="false" customHeight="false" outlineLevel="0" collapsed="false">
      <c r="A1113" s="7" t="n">
        <v>1112</v>
      </c>
      <c r="B1113" s="7"/>
      <c r="C1113" s="7" t="s">
        <v>1379</v>
      </c>
      <c r="D1113" s="7" t="n">
        <v>2018</v>
      </c>
      <c r="E1113" s="7" t="s">
        <v>50</v>
      </c>
      <c r="F1113" s="10" t="b">
        <f aca="false">FALSE()</f>
        <v>0</v>
      </c>
      <c r="G1113" s="7"/>
      <c r="H1113" s="7" t="s">
        <v>1265</v>
      </c>
      <c r="I1113" s="7" t="n">
        <v>8</v>
      </c>
      <c r="J1113" s="7" t="s">
        <v>52</v>
      </c>
      <c r="K1113" s="7" t="s">
        <v>55</v>
      </c>
      <c r="L1113" s="7" t="n">
        <v>350</v>
      </c>
      <c r="M1113" s="10" t="b">
        <f aca="false">TRUE()</f>
        <v>1</v>
      </c>
      <c r="N1113" s="7"/>
      <c r="O1113" s="7" t="n">
        <v>-33.924379</v>
      </c>
      <c r="P1113" s="7" t="n">
        <v>151.210394</v>
      </c>
    </row>
    <row r="1114" customFormat="false" ht="15" hidden="false" customHeight="false" outlineLevel="0" collapsed="false">
      <c r="A1114" s="7" t="n">
        <v>1113</v>
      </c>
      <c r="B1114" s="7"/>
      <c r="C1114" s="7" t="s">
        <v>1380</v>
      </c>
      <c r="D1114" s="7" t="n">
        <v>2033</v>
      </c>
      <c r="E1114" s="7" t="s">
        <v>50</v>
      </c>
      <c r="F1114" s="10" t="b">
        <f aca="false">FALSE()</f>
        <v>0</v>
      </c>
      <c r="G1114" s="7"/>
      <c r="H1114" s="7" t="s">
        <v>1265</v>
      </c>
      <c r="I1114" s="7" t="n">
        <v>6</v>
      </c>
      <c r="J1114" s="7" t="s">
        <v>52</v>
      </c>
      <c r="K1114" s="7" t="s">
        <v>53</v>
      </c>
      <c r="L1114" s="7" t="n">
        <v>350</v>
      </c>
      <c r="M1114" s="10" t="b">
        <f aca="false">TRUE()</f>
        <v>1</v>
      </c>
      <c r="N1114" s="7"/>
      <c r="O1114" s="7" t="n">
        <v>-33.91683</v>
      </c>
      <c r="P1114" s="7" t="n">
        <v>151.225362</v>
      </c>
    </row>
    <row r="1115" customFormat="false" ht="15" hidden="false" customHeight="false" outlineLevel="0" collapsed="false">
      <c r="A1115" s="7" t="n">
        <v>1114</v>
      </c>
      <c r="B1115" s="7" t="s">
        <v>1381</v>
      </c>
      <c r="C1115" s="7" t="s">
        <v>1382</v>
      </c>
      <c r="D1115" s="7" t="n">
        <v>2487</v>
      </c>
      <c r="E1115" s="7" t="s">
        <v>50</v>
      </c>
      <c r="F1115" s="10" t="b">
        <f aca="false">FALSE()</f>
        <v>0</v>
      </c>
      <c r="G1115" s="7" t="s">
        <v>164</v>
      </c>
      <c r="H1115" s="7" t="s">
        <v>398</v>
      </c>
      <c r="I1115" s="7" t="n">
        <v>2</v>
      </c>
      <c r="J1115" s="7" t="s">
        <v>107</v>
      </c>
      <c r="K1115" s="7" t="s">
        <v>107</v>
      </c>
      <c r="L1115" s="7"/>
      <c r="M1115" s="10" t="b">
        <f aca="false">FALSE()</f>
        <v>0</v>
      </c>
      <c r="N1115" s="7" t="s">
        <v>109</v>
      </c>
      <c r="O1115" s="7" t="n">
        <v>-28.285569</v>
      </c>
      <c r="P1115" s="7" t="n">
        <v>153.52529</v>
      </c>
    </row>
    <row r="1116" customFormat="false" ht="15" hidden="false" customHeight="false" outlineLevel="0" collapsed="false">
      <c r="A1116" s="7" t="n">
        <v>1115</v>
      </c>
      <c r="B1116" s="7" t="s">
        <v>1383</v>
      </c>
      <c r="C1116" s="7" t="s">
        <v>1384</v>
      </c>
      <c r="D1116" s="7" t="n">
        <v>2478</v>
      </c>
      <c r="E1116" s="7" t="s">
        <v>50</v>
      </c>
      <c r="F1116" s="10" t="b">
        <f aca="false">FALSE()</f>
        <v>0</v>
      </c>
      <c r="G1116" s="7" t="s">
        <v>495</v>
      </c>
      <c r="H1116" s="7" t="s">
        <v>398</v>
      </c>
      <c r="I1116" s="7" t="n">
        <v>1</v>
      </c>
      <c r="J1116" s="7" t="s">
        <v>107</v>
      </c>
      <c r="K1116" s="7" t="s">
        <v>107</v>
      </c>
      <c r="L1116" s="7"/>
      <c r="M1116" s="10" t="b">
        <f aca="false">FALSE()</f>
        <v>0</v>
      </c>
      <c r="N1116" s="7" t="s">
        <v>109</v>
      </c>
      <c r="O1116" s="7" t="n">
        <v>-28.846856</v>
      </c>
      <c r="P1116" s="7" t="n">
        <v>153.555184</v>
      </c>
    </row>
    <row r="1117" customFormat="false" ht="15" hidden="false" customHeight="false" outlineLevel="0" collapsed="false">
      <c r="A1117" s="7" t="n">
        <v>1116</v>
      </c>
      <c r="B1117" s="7" t="s">
        <v>1385</v>
      </c>
      <c r="C1117" s="7" t="s">
        <v>1386</v>
      </c>
      <c r="D1117" s="7" t="n">
        <v>2474</v>
      </c>
      <c r="E1117" s="7" t="s">
        <v>50</v>
      </c>
      <c r="F1117" s="10" t="b">
        <f aca="false">FALSE()</f>
        <v>0</v>
      </c>
      <c r="G1117" s="7" t="s">
        <v>801</v>
      </c>
      <c r="H1117" s="7" t="s">
        <v>398</v>
      </c>
      <c r="I1117" s="7" t="n">
        <v>3</v>
      </c>
      <c r="J1117" s="7" t="s">
        <v>107</v>
      </c>
      <c r="K1117" s="7" t="s">
        <v>107</v>
      </c>
      <c r="L1117" s="7"/>
      <c r="M1117" s="10" t="b">
        <f aca="false">FALSE()</f>
        <v>0</v>
      </c>
      <c r="N1117" s="7" t="s">
        <v>399</v>
      </c>
      <c r="O1117" s="7" t="n">
        <v>-28.615544</v>
      </c>
      <c r="P1117" s="7" t="n">
        <v>152.990109</v>
      </c>
    </row>
    <row r="1118" customFormat="false" ht="15" hidden="false" customHeight="false" outlineLevel="0" collapsed="false">
      <c r="A1118" s="7" t="n">
        <v>1117</v>
      </c>
      <c r="B1118" s="7" t="s">
        <v>1387</v>
      </c>
      <c r="C1118" s="7" t="s">
        <v>1388</v>
      </c>
      <c r="D1118" s="7" t="n">
        <v>2480</v>
      </c>
      <c r="E1118" s="7" t="s">
        <v>50</v>
      </c>
      <c r="F1118" s="10" t="b">
        <f aca="false">FALSE()</f>
        <v>0</v>
      </c>
      <c r="G1118" s="7" t="s">
        <v>655</v>
      </c>
      <c r="H1118" s="7" t="s">
        <v>398</v>
      </c>
      <c r="I1118" s="7" t="n">
        <v>2</v>
      </c>
      <c r="J1118" s="7" t="s">
        <v>107</v>
      </c>
      <c r="K1118" s="7" t="s">
        <v>107</v>
      </c>
      <c r="L1118" s="7"/>
      <c r="M1118" s="10" t="b">
        <f aca="false">FALSE()</f>
        <v>0</v>
      </c>
      <c r="N1118" s="7" t="s">
        <v>109</v>
      </c>
      <c r="O1118" s="7" t="n">
        <v>-28.595333</v>
      </c>
      <c r="P1118" s="7" t="n">
        <v>153.226753</v>
      </c>
    </row>
    <row r="1119" customFormat="false" ht="15" hidden="false" customHeight="false" outlineLevel="0" collapsed="false">
      <c r="A1119" s="7" t="n">
        <v>1118</v>
      </c>
      <c r="B1119" s="7" t="s">
        <v>1389</v>
      </c>
      <c r="C1119" s="7" t="s">
        <v>1390</v>
      </c>
      <c r="D1119" s="7" t="n">
        <v>2481</v>
      </c>
      <c r="E1119" s="7" t="s">
        <v>50</v>
      </c>
      <c r="F1119" s="10" t="b">
        <f aca="false">FALSE()</f>
        <v>0</v>
      </c>
      <c r="G1119" s="7" t="s">
        <v>82</v>
      </c>
      <c r="H1119" s="7" t="s">
        <v>398</v>
      </c>
      <c r="I1119" s="7" t="n">
        <v>2</v>
      </c>
      <c r="J1119" s="7" t="s">
        <v>107</v>
      </c>
      <c r="K1119" s="7" t="s">
        <v>107</v>
      </c>
      <c r="L1119" s="7"/>
      <c r="M1119" s="10" t="b">
        <f aca="false">FALSE()</f>
        <v>0</v>
      </c>
      <c r="N1119" s="7" t="s">
        <v>109</v>
      </c>
      <c r="O1119" s="7" t="n">
        <v>-28.625887</v>
      </c>
      <c r="P1119" s="7" t="n">
        <v>153.587066</v>
      </c>
    </row>
    <row r="1120" customFormat="false" ht="15" hidden="false" customHeight="false" outlineLevel="0" collapsed="false">
      <c r="A1120" s="7" t="n">
        <v>1119</v>
      </c>
      <c r="B1120" s="7" t="s">
        <v>1391</v>
      </c>
      <c r="C1120" s="7" t="s">
        <v>1392</v>
      </c>
      <c r="D1120" s="7" t="n">
        <v>2463</v>
      </c>
      <c r="E1120" s="7" t="s">
        <v>50</v>
      </c>
      <c r="F1120" s="10" t="b">
        <f aca="false">FALSE()</f>
        <v>0</v>
      </c>
      <c r="G1120" s="7" t="s">
        <v>87</v>
      </c>
      <c r="H1120" s="7" t="s">
        <v>398</v>
      </c>
      <c r="I1120" s="7" t="n">
        <v>2</v>
      </c>
      <c r="J1120" s="7" t="s">
        <v>107</v>
      </c>
      <c r="K1120" s="7" t="s">
        <v>107</v>
      </c>
      <c r="L1120" s="7"/>
      <c r="M1120" s="10" t="b">
        <f aca="false">FALSE()</f>
        <v>0</v>
      </c>
      <c r="N1120" s="7" t="s">
        <v>109</v>
      </c>
      <c r="O1120" s="7" t="n">
        <v>-29.39484</v>
      </c>
      <c r="P1120" s="7" t="n">
        <v>153.312118</v>
      </c>
    </row>
    <row r="1121" customFormat="false" ht="15" hidden="false" customHeight="false" outlineLevel="0" collapsed="false">
      <c r="A1121" s="7" t="n">
        <v>1120</v>
      </c>
      <c r="B1121" s="7" t="s">
        <v>1393</v>
      </c>
      <c r="C1121" s="7" t="s">
        <v>1394</v>
      </c>
      <c r="D1121" s="7" t="n">
        <v>2357</v>
      </c>
      <c r="E1121" s="7" t="s">
        <v>50</v>
      </c>
      <c r="F1121" s="10" t="b">
        <f aca="false">FALSE()</f>
        <v>0</v>
      </c>
      <c r="G1121" s="7" t="s">
        <v>175</v>
      </c>
      <c r="H1121" s="7" t="s">
        <v>398</v>
      </c>
      <c r="I1121" s="7" t="n">
        <v>1</v>
      </c>
      <c r="J1121" s="7" t="s">
        <v>107</v>
      </c>
      <c r="K1121" s="7" t="s">
        <v>107</v>
      </c>
      <c r="L1121" s="7"/>
      <c r="M1121" s="10" t="b">
        <f aca="false">FALSE()</f>
        <v>0</v>
      </c>
      <c r="N1121" s="7" t="s">
        <v>109</v>
      </c>
      <c r="O1121" s="7" t="n">
        <v>-31.273104</v>
      </c>
      <c r="P1121" s="7" t="n">
        <v>149.279218</v>
      </c>
    </row>
    <row r="1122" customFormat="false" ht="15" hidden="false" customHeight="false" outlineLevel="0" collapsed="false">
      <c r="A1122" s="7" t="n">
        <v>1121</v>
      </c>
      <c r="B1122" s="7" t="s">
        <v>1395</v>
      </c>
      <c r="C1122" s="7" t="s">
        <v>1396</v>
      </c>
      <c r="D1122" s="7" t="n">
        <v>2390</v>
      </c>
      <c r="E1122" s="7" t="s">
        <v>1397</v>
      </c>
      <c r="F1122" s="10" t="b">
        <f aca="false">FALSE()</f>
        <v>0</v>
      </c>
      <c r="G1122" s="7" t="s">
        <v>986</v>
      </c>
      <c r="H1122" s="7" t="s">
        <v>398</v>
      </c>
      <c r="I1122" s="7" t="n">
        <v>1</v>
      </c>
      <c r="J1122" s="7" t="s">
        <v>107</v>
      </c>
      <c r="K1122" s="7" t="s">
        <v>107</v>
      </c>
      <c r="L1122" s="7"/>
      <c r="M1122" s="10" t="b">
        <f aca="false">FALSE()</f>
        <v>0</v>
      </c>
      <c r="N1122" s="7" t="s">
        <v>109</v>
      </c>
      <c r="O1122" s="7" t="n">
        <v>-30.327861</v>
      </c>
      <c r="P1122" s="7" t="n">
        <v>149.785666</v>
      </c>
    </row>
    <row r="1123" customFormat="false" ht="15" hidden="false" customHeight="false" outlineLevel="0" collapsed="false">
      <c r="A1123" s="7" t="n">
        <v>1122</v>
      </c>
      <c r="B1123" s="7" t="s">
        <v>1398</v>
      </c>
      <c r="C1123" s="7" t="s">
        <v>1399</v>
      </c>
      <c r="D1123" s="7" t="n">
        <v>2340</v>
      </c>
      <c r="E1123" s="7" t="s">
        <v>50</v>
      </c>
      <c r="F1123" s="10" t="b">
        <f aca="false">FALSE()</f>
        <v>0</v>
      </c>
      <c r="G1123" s="7" t="s">
        <v>192</v>
      </c>
      <c r="H1123" s="7" t="s">
        <v>398</v>
      </c>
      <c r="I1123" s="7" t="n">
        <v>1</v>
      </c>
      <c r="J1123" s="7" t="s">
        <v>107</v>
      </c>
      <c r="K1123" s="7" t="s">
        <v>107</v>
      </c>
      <c r="L1123" s="7"/>
      <c r="M1123" s="10" t="b">
        <f aca="false">FALSE()</f>
        <v>0</v>
      </c>
      <c r="N1123" s="7" t="s">
        <v>109</v>
      </c>
      <c r="O1123" s="7" t="n">
        <v>-31.100102</v>
      </c>
      <c r="P1123" s="7" t="n">
        <v>150.940734</v>
      </c>
    </row>
    <row r="1124" customFormat="false" ht="15" hidden="false" customHeight="false" outlineLevel="0" collapsed="false">
      <c r="A1124" s="7" t="n">
        <v>1123</v>
      </c>
      <c r="B1124" s="7" t="s">
        <v>1400</v>
      </c>
      <c r="C1124" s="7" t="s">
        <v>1401</v>
      </c>
      <c r="D1124" s="7" t="n">
        <v>2428</v>
      </c>
      <c r="E1124" s="7" t="s">
        <v>50</v>
      </c>
      <c r="F1124" s="10" t="b">
        <f aca="false">FALSE()</f>
        <v>0</v>
      </c>
      <c r="G1124" s="7" t="s">
        <v>128</v>
      </c>
      <c r="H1124" s="7" t="s">
        <v>398</v>
      </c>
      <c r="I1124" s="7" t="n">
        <v>1</v>
      </c>
      <c r="J1124" s="7" t="s">
        <v>107</v>
      </c>
      <c r="K1124" s="7" t="s">
        <v>107</v>
      </c>
      <c r="L1124" s="7"/>
      <c r="M1124" s="10" t="b">
        <f aca="false">FALSE()</f>
        <v>0</v>
      </c>
      <c r="N1124" s="7" t="s">
        <v>109</v>
      </c>
      <c r="O1124" s="7" t="n">
        <v>-32.186889</v>
      </c>
      <c r="P1124" s="7" t="n">
        <v>152.527904</v>
      </c>
    </row>
    <row r="1125" customFormat="false" ht="15" hidden="false" customHeight="false" outlineLevel="0" collapsed="false">
      <c r="A1125" s="7" t="n">
        <v>1124</v>
      </c>
      <c r="B1125" s="7" t="s">
        <v>1402</v>
      </c>
      <c r="C1125" s="7" t="s">
        <v>1403</v>
      </c>
      <c r="D1125" s="7" t="n">
        <v>2430</v>
      </c>
      <c r="E1125" s="7" t="s">
        <v>50</v>
      </c>
      <c r="F1125" s="10" t="b">
        <f aca="false">FALSE()</f>
        <v>0</v>
      </c>
      <c r="G1125" s="7" t="s">
        <v>128</v>
      </c>
      <c r="H1125" s="7" t="s">
        <v>398</v>
      </c>
      <c r="I1125" s="7" t="n">
        <v>2</v>
      </c>
      <c r="J1125" s="7" t="s">
        <v>107</v>
      </c>
      <c r="K1125" s="7" t="s">
        <v>107</v>
      </c>
      <c r="L1125" s="7"/>
      <c r="M1125" s="10" t="b">
        <f aca="false">FALSE()</f>
        <v>0</v>
      </c>
      <c r="N1125" s="7" t="s">
        <v>109</v>
      </c>
      <c r="O1125" s="7" t="n">
        <v>-31.915015</v>
      </c>
      <c r="P1125" s="7" t="n">
        <v>152.459983</v>
      </c>
    </row>
    <row r="1126" customFormat="false" ht="15" hidden="false" customHeight="false" outlineLevel="0" collapsed="false">
      <c r="A1126" s="7" t="n">
        <v>1125</v>
      </c>
      <c r="B1126" s="7" t="s">
        <v>1404</v>
      </c>
      <c r="C1126" s="7" t="s">
        <v>1405</v>
      </c>
      <c r="D1126" s="7" t="n">
        <v>2444</v>
      </c>
      <c r="E1126" s="7" t="s">
        <v>50</v>
      </c>
      <c r="F1126" s="10" t="b">
        <f aca="false">FALSE()</f>
        <v>0</v>
      </c>
      <c r="G1126" s="7" t="s">
        <v>135</v>
      </c>
      <c r="H1126" s="7" t="s">
        <v>398</v>
      </c>
      <c r="I1126" s="7" t="n">
        <v>3</v>
      </c>
      <c r="J1126" s="7" t="s">
        <v>107</v>
      </c>
      <c r="K1126" s="7" t="s">
        <v>107</v>
      </c>
      <c r="L1126" s="7"/>
      <c r="M1126" s="10" t="b">
        <f aca="false">FALSE()</f>
        <v>0</v>
      </c>
      <c r="N1126" s="7" t="s">
        <v>399</v>
      </c>
      <c r="O1126" s="7" t="n">
        <v>-31.45128</v>
      </c>
      <c r="P1126" s="7" t="n">
        <v>152.886164</v>
      </c>
    </row>
    <row r="1127" customFormat="false" ht="15" hidden="false" customHeight="false" outlineLevel="0" collapsed="false">
      <c r="A1127" s="7" t="n">
        <v>1126</v>
      </c>
      <c r="B1127" s="7" t="s">
        <v>1406</v>
      </c>
      <c r="C1127" s="7" t="s">
        <v>1407</v>
      </c>
      <c r="D1127" s="7" t="n">
        <v>2333</v>
      </c>
      <c r="E1127" s="7" t="s">
        <v>50</v>
      </c>
      <c r="F1127" s="10" t="b">
        <f aca="false">FALSE()</f>
        <v>0</v>
      </c>
      <c r="G1127" s="7" t="s">
        <v>229</v>
      </c>
      <c r="H1127" s="7" t="s">
        <v>398</v>
      </c>
      <c r="I1127" s="7" t="n">
        <v>1</v>
      </c>
      <c r="J1127" s="7" t="s">
        <v>107</v>
      </c>
      <c r="K1127" s="7" t="s">
        <v>107</v>
      </c>
      <c r="L1127" s="7"/>
      <c r="M1127" s="10" t="b">
        <f aca="false">FALSE()</f>
        <v>0</v>
      </c>
      <c r="N1127" s="7" t="s">
        <v>109</v>
      </c>
      <c r="O1127" s="7" t="n">
        <v>-32.283618</v>
      </c>
      <c r="P1127" s="7" t="n">
        <v>150.895286</v>
      </c>
    </row>
    <row r="1128" customFormat="false" ht="15" hidden="false" customHeight="false" outlineLevel="0" collapsed="false">
      <c r="A1128" s="7" t="n">
        <v>1127</v>
      </c>
      <c r="B1128" s="7" t="s">
        <v>1408</v>
      </c>
      <c r="C1128" s="7" t="s">
        <v>1409</v>
      </c>
      <c r="D1128" s="7" t="n">
        <v>2444</v>
      </c>
      <c r="E1128" s="7" t="s">
        <v>50</v>
      </c>
      <c r="F1128" s="10" t="b">
        <f aca="false">FALSE()</f>
        <v>0</v>
      </c>
      <c r="G1128" s="7" t="s">
        <v>135</v>
      </c>
      <c r="H1128" s="7" t="s">
        <v>398</v>
      </c>
      <c r="I1128" s="7" t="n">
        <v>6</v>
      </c>
      <c r="J1128" s="7" t="s">
        <v>107</v>
      </c>
      <c r="K1128" s="7" t="s">
        <v>107</v>
      </c>
      <c r="L1128" s="7"/>
      <c r="M1128" s="10" t="b">
        <f aca="false">FALSE()</f>
        <v>0</v>
      </c>
      <c r="N1128" s="7" t="s">
        <v>109</v>
      </c>
      <c r="O1128" s="7" t="n">
        <v>-31.443168</v>
      </c>
      <c r="P1128" s="7" t="n">
        <v>152.923258</v>
      </c>
    </row>
    <row r="1129" customFormat="false" ht="15" hidden="false" customHeight="false" outlineLevel="0" collapsed="false">
      <c r="A1129" s="7" t="n">
        <v>1128</v>
      </c>
      <c r="B1129" s="7" t="s">
        <v>1402</v>
      </c>
      <c r="C1129" s="7" t="s">
        <v>1410</v>
      </c>
      <c r="D1129" s="7" t="n">
        <v>2430</v>
      </c>
      <c r="E1129" s="7" t="s">
        <v>50</v>
      </c>
      <c r="F1129" s="10" t="b">
        <f aca="false">FALSE()</f>
        <v>0</v>
      </c>
      <c r="G1129" s="7" t="s">
        <v>128</v>
      </c>
      <c r="H1129" s="7" t="s">
        <v>398</v>
      </c>
      <c r="I1129" s="7" t="n">
        <v>2</v>
      </c>
      <c r="J1129" s="7" t="s">
        <v>107</v>
      </c>
      <c r="K1129" s="7" t="s">
        <v>107</v>
      </c>
      <c r="L1129" s="7"/>
      <c r="M1129" s="10" t="b">
        <f aca="false">FALSE()</f>
        <v>0</v>
      </c>
      <c r="N1129" s="7" t="s">
        <v>109</v>
      </c>
      <c r="O1129" s="7" t="n">
        <v>-31.934185</v>
      </c>
      <c r="P1129" s="7" t="n">
        <v>152.464983</v>
      </c>
    </row>
    <row r="1130" customFormat="false" ht="15" hidden="false" customHeight="false" outlineLevel="0" collapsed="false">
      <c r="A1130" s="7" t="n">
        <v>1129</v>
      </c>
      <c r="B1130" s="7" t="s">
        <v>1411</v>
      </c>
      <c r="C1130" s="7" t="s">
        <v>1412</v>
      </c>
      <c r="D1130" s="7" t="n">
        <v>2850</v>
      </c>
      <c r="E1130" s="7" t="s">
        <v>50</v>
      </c>
      <c r="F1130" s="10" t="b">
        <f aca="false">FALSE()</f>
        <v>0</v>
      </c>
      <c r="G1130" s="7" t="s">
        <v>199</v>
      </c>
      <c r="H1130" s="7" t="s">
        <v>398</v>
      </c>
      <c r="I1130" s="7" t="n">
        <v>2</v>
      </c>
      <c r="J1130" s="7" t="s">
        <v>107</v>
      </c>
      <c r="K1130" s="7" t="s">
        <v>107</v>
      </c>
      <c r="L1130" s="7"/>
      <c r="M1130" s="10" t="b">
        <f aca="false">FALSE()</f>
        <v>0</v>
      </c>
      <c r="N1130" s="7" t="s">
        <v>109</v>
      </c>
      <c r="O1130" s="7" t="n">
        <v>-32.681111</v>
      </c>
      <c r="P1130" s="7" t="n">
        <v>149.705102</v>
      </c>
    </row>
    <row r="1131" customFormat="false" ht="15" hidden="false" customHeight="false" outlineLevel="0" collapsed="false">
      <c r="A1131" s="7" t="n">
        <v>1130</v>
      </c>
      <c r="B1131" s="7" t="s">
        <v>1413</v>
      </c>
      <c r="C1131" s="7" t="s">
        <v>1414</v>
      </c>
      <c r="D1131" s="7" t="n">
        <v>2850</v>
      </c>
      <c r="E1131" s="7" t="s">
        <v>50</v>
      </c>
      <c r="F1131" s="10" t="b">
        <f aca="false">FALSE()</f>
        <v>0</v>
      </c>
      <c r="G1131" s="7" t="s">
        <v>199</v>
      </c>
      <c r="H1131" s="7" t="s">
        <v>398</v>
      </c>
      <c r="I1131" s="7" t="n">
        <v>2</v>
      </c>
      <c r="J1131" s="7" t="s">
        <v>107</v>
      </c>
      <c r="K1131" s="7" t="s">
        <v>107</v>
      </c>
      <c r="L1131" s="7"/>
      <c r="M1131" s="10" t="b">
        <f aca="false">FALSE()</f>
        <v>0</v>
      </c>
      <c r="N1131" s="7" t="s">
        <v>399</v>
      </c>
      <c r="O1131" s="7" t="n">
        <v>-32.612219</v>
      </c>
      <c r="P1131" s="7" t="n">
        <v>149.595867</v>
      </c>
    </row>
    <row r="1132" customFormat="false" ht="15" hidden="false" customHeight="false" outlineLevel="0" collapsed="false">
      <c r="A1132" s="7" t="n">
        <v>1131</v>
      </c>
      <c r="B1132" s="7" t="s">
        <v>1415</v>
      </c>
      <c r="C1132" s="7" t="s">
        <v>1416</v>
      </c>
      <c r="D1132" s="7" t="n">
        <v>2850</v>
      </c>
      <c r="E1132" s="7" t="s">
        <v>50</v>
      </c>
      <c r="F1132" s="10" t="b">
        <f aca="false">FALSE()</f>
        <v>0</v>
      </c>
      <c r="G1132" s="7" t="s">
        <v>199</v>
      </c>
      <c r="H1132" s="7" t="s">
        <v>398</v>
      </c>
      <c r="I1132" s="7" t="n">
        <v>1</v>
      </c>
      <c r="J1132" s="7" t="s">
        <v>107</v>
      </c>
      <c r="K1132" s="7" t="s">
        <v>107</v>
      </c>
      <c r="L1132" s="7"/>
      <c r="M1132" s="10" t="b">
        <f aca="false">FALSE()</f>
        <v>0</v>
      </c>
      <c r="N1132" s="7" t="s">
        <v>399</v>
      </c>
      <c r="O1132" s="7" t="n">
        <v>-32.56084</v>
      </c>
      <c r="P1132" s="7" t="n">
        <v>149.62468</v>
      </c>
    </row>
    <row r="1133" customFormat="false" ht="15" hidden="false" customHeight="false" outlineLevel="0" collapsed="false">
      <c r="A1133" s="7" t="n">
        <v>1132</v>
      </c>
      <c r="B1133" s="7" t="s">
        <v>1417</v>
      </c>
      <c r="C1133" s="7" t="s">
        <v>1418</v>
      </c>
      <c r="D1133" s="7" t="n">
        <v>2850</v>
      </c>
      <c r="E1133" s="7" t="s">
        <v>50</v>
      </c>
      <c r="F1133" s="10" t="b">
        <f aca="false">FALSE()</f>
        <v>0</v>
      </c>
      <c r="G1133" s="7" t="s">
        <v>199</v>
      </c>
      <c r="H1133" s="7" t="s">
        <v>398</v>
      </c>
      <c r="I1133" s="7" t="n">
        <v>1</v>
      </c>
      <c r="J1133" s="7" t="s">
        <v>107</v>
      </c>
      <c r="K1133" s="7" t="s">
        <v>107</v>
      </c>
      <c r="L1133" s="7"/>
      <c r="M1133" s="10" t="b">
        <f aca="false">FALSE()</f>
        <v>0</v>
      </c>
      <c r="N1133" s="7" t="s">
        <v>109</v>
      </c>
      <c r="O1133" s="7" t="n">
        <v>-32.606438</v>
      </c>
      <c r="P1133" s="7" t="n">
        <v>149.598797</v>
      </c>
    </row>
    <row r="1134" customFormat="false" ht="15" hidden="false" customHeight="false" outlineLevel="0" collapsed="false">
      <c r="A1134" s="7" t="n">
        <v>1133</v>
      </c>
      <c r="B1134" s="7" t="s">
        <v>1419</v>
      </c>
      <c r="C1134" s="7" t="s">
        <v>1420</v>
      </c>
      <c r="D1134" s="7" t="n">
        <v>2335</v>
      </c>
      <c r="E1134" s="7" t="s">
        <v>50</v>
      </c>
      <c r="F1134" s="10" t="b">
        <f aca="false">FALSE()</f>
        <v>0</v>
      </c>
      <c r="G1134" s="7" t="s">
        <v>111</v>
      </c>
      <c r="H1134" s="7" t="s">
        <v>398</v>
      </c>
      <c r="I1134" s="7" t="n">
        <v>2</v>
      </c>
      <c r="J1134" s="7" t="s">
        <v>107</v>
      </c>
      <c r="K1134" s="7" t="s">
        <v>107</v>
      </c>
      <c r="L1134" s="7"/>
      <c r="M1134" s="10" t="b">
        <f aca="false">FALSE()</f>
        <v>0</v>
      </c>
      <c r="N1134" s="7" t="s">
        <v>109</v>
      </c>
      <c r="O1134" s="7" t="n">
        <v>-32.669893</v>
      </c>
      <c r="P1134" s="7" t="n">
        <v>151.350755</v>
      </c>
    </row>
    <row r="1135" customFormat="false" ht="15" hidden="false" customHeight="false" outlineLevel="0" collapsed="false">
      <c r="A1135" s="7" t="n">
        <v>1134</v>
      </c>
      <c r="B1135" s="7" t="s">
        <v>1421</v>
      </c>
      <c r="C1135" s="7" t="s">
        <v>1422</v>
      </c>
      <c r="D1135" s="7" t="n">
        <v>2320</v>
      </c>
      <c r="E1135" s="7" t="s">
        <v>50</v>
      </c>
      <c r="F1135" s="10" t="b">
        <f aca="false">FALSE()</f>
        <v>0</v>
      </c>
      <c r="G1135" s="7" t="s">
        <v>336</v>
      </c>
      <c r="H1135" s="7" t="s">
        <v>398</v>
      </c>
      <c r="I1135" s="7" t="n">
        <v>4</v>
      </c>
      <c r="J1135" s="7" t="s">
        <v>107</v>
      </c>
      <c r="K1135" s="7" t="s">
        <v>107</v>
      </c>
      <c r="L1135" s="7"/>
      <c r="M1135" s="10" t="b">
        <f aca="false">FALSE()</f>
        <v>0</v>
      </c>
      <c r="N1135" s="7" t="s">
        <v>399</v>
      </c>
      <c r="O1135" s="7" t="n">
        <v>-32.702698</v>
      </c>
      <c r="P1135" s="7" t="n">
        <v>151.258256</v>
      </c>
    </row>
    <row r="1136" customFormat="false" ht="15" hidden="false" customHeight="false" outlineLevel="0" collapsed="false">
      <c r="A1136" s="7" t="n">
        <v>1135</v>
      </c>
      <c r="B1136" s="7" t="s">
        <v>1423</v>
      </c>
      <c r="C1136" s="7" t="s">
        <v>1424</v>
      </c>
      <c r="D1136" s="7" t="n">
        <v>2320</v>
      </c>
      <c r="E1136" s="7" t="s">
        <v>50</v>
      </c>
      <c r="F1136" s="10" t="b">
        <f aca="false">FALSE()</f>
        <v>0</v>
      </c>
      <c r="G1136" s="7" t="s">
        <v>336</v>
      </c>
      <c r="H1136" s="7" t="s">
        <v>398</v>
      </c>
      <c r="I1136" s="7" t="n">
        <v>1</v>
      </c>
      <c r="J1136" s="7" t="s">
        <v>107</v>
      </c>
      <c r="K1136" s="7" t="s">
        <v>107</v>
      </c>
      <c r="L1136" s="7"/>
      <c r="M1136" s="10" t="b">
        <f aca="false">FALSE()</f>
        <v>0</v>
      </c>
      <c r="N1136" s="7" t="s">
        <v>399</v>
      </c>
      <c r="O1136" s="7" t="n">
        <v>-32.693746</v>
      </c>
      <c r="P1136" s="7" t="n">
        <v>151.262329</v>
      </c>
    </row>
    <row r="1137" customFormat="false" ht="15" hidden="false" customHeight="false" outlineLevel="0" collapsed="false">
      <c r="A1137" s="7" t="n">
        <v>1136</v>
      </c>
      <c r="B1137" s="7" t="s">
        <v>1425</v>
      </c>
      <c r="C1137" s="7" t="s">
        <v>1426</v>
      </c>
      <c r="D1137" s="7" t="n">
        <v>2319</v>
      </c>
      <c r="E1137" s="7" t="s">
        <v>50</v>
      </c>
      <c r="F1137" s="10" t="b">
        <f aca="false">FALSE()</f>
        <v>0</v>
      </c>
      <c r="G1137" s="7" t="s">
        <v>309</v>
      </c>
      <c r="H1137" s="7" t="s">
        <v>398</v>
      </c>
      <c r="I1137" s="7" t="n">
        <v>2</v>
      </c>
      <c r="J1137" s="7" t="s">
        <v>107</v>
      </c>
      <c r="K1137" s="7" t="s">
        <v>107</v>
      </c>
      <c r="L1137" s="7"/>
      <c r="M1137" s="10" t="b">
        <f aca="false">FALSE()</f>
        <v>0</v>
      </c>
      <c r="N1137" s="7" t="s">
        <v>109</v>
      </c>
      <c r="O1137" s="7" t="n">
        <v>-32.731023</v>
      </c>
      <c r="P1137" s="7" t="n">
        <v>152.039877</v>
      </c>
    </row>
    <row r="1138" customFormat="false" ht="15" hidden="false" customHeight="false" outlineLevel="0" collapsed="false">
      <c r="A1138" s="7" t="n">
        <v>1137</v>
      </c>
      <c r="B1138" s="7" t="s">
        <v>1427</v>
      </c>
      <c r="C1138" s="7" t="s">
        <v>1428</v>
      </c>
      <c r="D1138" s="7" t="n">
        <v>2328</v>
      </c>
      <c r="E1138" s="7" t="s">
        <v>50</v>
      </c>
      <c r="F1138" s="10" t="b">
        <f aca="false">FALSE()</f>
        <v>0</v>
      </c>
      <c r="G1138" s="7" t="s">
        <v>229</v>
      </c>
      <c r="H1138" s="7" t="s">
        <v>398</v>
      </c>
      <c r="I1138" s="7" t="n">
        <v>3</v>
      </c>
      <c r="J1138" s="7" t="s">
        <v>107</v>
      </c>
      <c r="K1138" s="7" t="s">
        <v>107</v>
      </c>
      <c r="L1138" s="7"/>
      <c r="M1138" s="10" t="b">
        <f aca="false">FALSE()</f>
        <v>0</v>
      </c>
      <c r="N1138" s="7" t="s">
        <v>109</v>
      </c>
      <c r="O1138" s="7" t="n">
        <v>-32.383189</v>
      </c>
      <c r="P1138" s="7" t="n">
        <v>150.68188</v>
      </c>
    </row>
    <row r="1139" customFormat="false" ht="15" hidden="false" customHeight="false" outlineLevel="0" collapsed="false">
      <c r="A1139" s="7" t="n">
        <v>1138</v>
      </c>
      <c r="B1139" s="7" t="s">
        <v>1429</v>
      </c>
      <c r="C1139" s="7" t="s">
        <v>1430</v>
      </c>
      <c r="D1139" s="7" t="n">
        <v>2790</v>
      </c>
      <c r="E1139" s="7" t="s">
        <v>50</v>
      </c>
      <c r="F1139" s="10" t="b">
        <f aca="false">FALSE()</f>
        <v>0</v>
      </c>
      <c r="G1139" s="7" t="s">
        <v>139</v>
      </c>
      <c r="H1139" s="7" t="s">
        <v>398</v>
      </c>
      <c r="I1139" s="7" t="n">
        <v>2</v>
      </c>
      <c r="J1139" s="7" t="s">
        <v>107</v>
      </c>
      <c r="K1139" s="7" t="s">
        <v>107</v>
      </c>
      <c r="L1139" s="7"/>
      <c r="M1139" s="10" t="b">
        <f aca="false">FALSE()</f>
        <v>0</v>
      </c>
      <c r="N1139" s="7" t="s">
        <v>109</v>
      </c>
      <c r="O1139" s="7" t="n">
        <v>-33.477304</v>
      </c>
      <c r="P1139" s="7" t="n">
        <v>150.221031</v>
      </c>
    </row>
    <row r="1140" customFormat="false" ht="15" hidden="false" customHeight="false" outlineLevel="0" collapsed="false">
      <c r="A1140" s="7" t="n">
        <v>1139</v>
      </c>
      <c r="B1140" s="7" t="s">
        <v>1431</v>
      </c>
      <c r="C1140" s="7" t="s">
        <v>1432</v>
      </c>
      <c r="D1140" s="7" t="n">
        <v>2800</v>
      </c>
      <c r="E1140" s="7" t="s">
        <v>50</v>
      </c>
      <c r="F1140" s="10" t="b">
        <f aca="false">FALSE()</f>
        <v>0</v>
      </c>
      <c r="G1140" s="7" t="s">
        <v>185</v>
      </c>
      <c r="H1140" s="7" t="s">
        <v>398</v>
      </c>
      <c r="I1140" s="7" t="n">
        <v>6</v>
      </c>
      <c r="J1140" s="7" t="s">
        <v>107</v>
      </c>
      <c r="K1140" s="7" t="s">
        <v>107</v>
      </c>
      <c r="L1140" s="7"/>
      <c r="M1140" s="10" t="b">
        <f aca="false">FALSE()</f>
        <v>0</v>
      </c>
      <c r="N1140" s="7" t="s">
        <v>109</v>
      </c>
      <c r="O1140" s="7" t="n">
        <v>-33.315586</v>
      </c>
      <c r="P1140" s="7" t="n">
        <v>149.090134</v>
      </c>
    </row>
    <row r="1141" customFormat="false" ht="15" hidden="false" customHeight="false" outlineLevel="0" collapsed="false">
      <c r="A1141" s="7" t="n">
        <v>1140</v>
      </c>
      <c r="B1141" s="7" t="s">
        <v>1433</v>
      </c>
      <c r="C1141" s="7" t="s">
        <v>1434</v>
      </c>
      <c r="D1141" s="7" t="n">
        <v>2798</v>
      </c>
      <c r="E1141" s="7" t="s">
        <v>50</v>
      </c>
      <c r="F1141" s="10" t="b">
        <f aca="false">FALSE()</f>
        <v>0</v>
      </c>
      <c r="G1141" s="7" t="s">
        <v>1435</v>
      </c>
      <c r="H1141" s="7" t="s">
        <v>398</v>
      </c>
      <c r="I1141" s="7" t="n">
        <v>1</v>
      </c>
      <c r="J1141" s="7" t="s">
        <v>107</v>
      </c>
      <c r="K1141" s="7" t="s">
        <v>107</v>
      </c>
      <c r="L1141" s="7"/>
      <c r="M1141" s="10" t="b">
        <f aca="false">FALSE()</f>
        <v>0</v>
      </c>
      <c r="N1141" s="7" t="s">
        <v>109</v>
      </c>
      <c r="O1141" s="7" t="n">
        <v>-33.445766</v>
      </c>
      <c r="P1141" s="7" t="n">
        <v>149.184589</v>
      </c>
    </row>
    <row r="1142" customFormat="false" ht="15" hidden="false" customHeight="false" outlineLevel="0" collapsed="false">
      <c r="A1142" s="7" t="n">
        <v>1141</v>
      </c>
      <c r="B1142" s="7" t="s">
        <v>1436</v>
      </c>
      <c r="C1142" s="7" t="s">
        <v>1437</v>
      </c>
      <c r="D1142" s="7" t="n">
        <v>2284</v>
      </c>
      <c r="E1142" s="7" t="s">
        <v>50</v>
      </c>
      <c r="F1142" s="10" t="b">
        <f aca="false">FALSE()</f>
        <v>0</v>
      </c>
      <c r="G1142" s="7" t="s">
        <v>377</v>
      </c>
      <c r="H1142" s="7" t="s">
        <v>398</v>
      </c>
      <c r="I1142" s="7" t="n">
        <v>2</v>
      </c>
      <c r="J1142" s="7" t="s">
        <v>107</v>
      </c>
      <c r="K1142" s="7" t="s">
        <v>107</v>
      </c>
      <c r="L1142" s="7"/>
      <c r="M1142" s="10" t="b">
        <f aca="false">FALSE()</f>
        <v>0</v>
      </c>
      <c r="N1142" s="7" t="s">
        <v>109</v>
      </c>
      <c r="O1142" s="7" t="n">
        <v>-32.968337</v>
      </c>
      <c r="P1142" s="7" t="n">
        <v>151.606128</v>
      </c>
    </row>
    <row r="1143" customFormat="false" ht="15" hidden="false" customHeight="false" outlineLevel="0" collapsed="false">
      <c r="A1143" s="7" t="n">
        <v>1142</v>
      </c>
      <c r="B1143" s="7" t="s">
        <v>1438</v>
      </c>
      <c r="C1143" s="7" t="s">
        <v>1439</v>
      </c>
      <c r="D1143" s="7" t="n">
        <v>2325</v>
      </c>
      <c r="E1143" s="7" t="s">
        <v>50</v>
      </c>
      <c r="F1143" s="10" t="b">
        <f aca="false">FALSE()</f>
        <v>0</v>
      </c>
      <c r="G1143" s="7" t="s">
        <v>111</v>
      </c>
      <c r="H1143" s="7" t="s">
        <v>398</v>
      </c>
      <c r="I1143" s="7" t="n">
        <v>1</v>
      </c>
      <c r="J1143" s="7" t="s">
        <v>107</v>
      </c>
      <c r="K1143" s="7" t="s">
        <v>107</v>
      </c>
      <c r="L1143" s="7"/>
      <c r="M1143" s="10" t="b">
        <f aca="false">FALSE()</f>
        <v>0</v>
      </c>
      <c r="N1143" s="7" t="s">
        <v>109</v>
      </c>
      <c r="O1143" s="7" t="n">
        <v>-32.990431</v>
      </c>
      <c r="P1143" s="7" t="n">
        <v>151.130706</v>
      </c>
    </row>
    <row r="1144" customFormat="false" ht="15" hidden="false" customHeight="false" outlineLevel="0" collapsed="false">
      <c r="A1144" s="7" t="n">
        <v>1143</v>
      </c>
      <c r="B1144" s="7" t="s">
        <v>1440</v>
      </c>
      <c r="C1144" s="7" t="s">
        <v>1441</v>
      </c>
      <c r="D1144" s="7" t="n">
        <v>2307</v>
      </c>
      <c r="E1144" s="7" t="s">
        <v>50</v>
      </c>
      <c r="F1144" s="10" t="b">
        <f aca="false">FALSE()</f>
        <v>0</v>
      </c>
      <c r="G1144" s="7" t="s">
        <v>141</v>
      </c>
      <c r="H1144" s="7" t="s">
        <v>398</v>
      </c>
      <c r="I1144" s="7" t="n">
        <v>2</v>
      </c>
      <c r="J1144" s="7" t="s">
        <v>107</v>
      </c>
      <c r="K1144" s="7" t="s">
        <v>107</v>
      </c>
      <c r="L1144" s="7"/>
      <c r="M1144" s="10" t="b">
        <f aca="false">FALSE()</f>
        <v>0</v>
      </c>
      <c r="N1144" s="7" t="s">
        <v>109</v>
      </c>
      <c r="O1144" s="7" t="n">
        <v>-32.876347</v>
      </c>
      <c r="P1144" s="7" t="n">
        <v>151.696633</v>
      </c>
    </row>
    <row r="1145" customFormat="false" ht="15" hidden="false" customHeight="false" outlineLevel="0" collapsed="false">
      <c r="A1145" s="7" t="n">
        <v>1144</v>
      </c>
      <c r="B1145" s="7" t="s">
        <v>1442</v>
      </c>
      <c r="C1145" s="7" t="s">
        <v>1443</v>
      </c>
      <c r="D1145" s="7" t="n">
        <v>2280</v>
      </c>
      <c r="E1145" s="7" t="s">
        <v>50</v>
      </c>
      <c r="F1145" s="10" t="b">
        <f aca="false">FALSE()</f>
        <v>0</v>
      </c>
      <c r="G1145" s="7" t="s">
        <v>377</v>
      </c>
      <c r="H1145" s="7" t="s">
        <v>398</v>
      </c>
      <c r="I1145" s="7" t="n">
        <v>2</v>
      </c>
      <c r="J1145" s="7" t="s">
        <v>107</v>
      </c>
      <c r="K1145" s="7" t="s">
        <v>107</v>
      </c>
      <c r="L1145" s="7"/>
      <c r="M1145" s="10" t="b">
        <f aca="false">FALSE()</f>
        <v>0</v>
      </c>
      <c r="N1145" s="7" t="s">
        <v>109</v>
      </c>
      <c r="O1145" s="7" t="n">
        <v>-33.010143</v>
      </c>
      <c r="P1145" s="7" t="n">
        <v>151.672687</v>
      </c>
    </row>
    <row r="1146" customFormat="false" ht="15" hidden="false" customHeight="false" outlineLevel="0" collapsed="false">
      <c r="A1146" s="7" t="n">
        <v>1145</v>
      </c>
      <c r="B1146" s="7" t="s">
        <v>1444</v>
      </c>
      <c r="C1146" s="7" t="s">
        <v>1445</v>
      </c>
      <c r="D1146" s="7" t="n">
        <v>2281</v>
      </c>
      <c r="E1146" s="7" t="s">
        <v>50</v>
      </c>
      <c r="F1146" s="10" t="b">
        <f aca="false">FALSE()</f>
        <v>0</v>
      </c>
      <c r="G1146" s="7" t="s">
        <v>377</v>
      </c>
      <c r="H1146" s="7" t="s">
        <v>398</v>
      </c>
      <c r="I1146" s="7" t="n">
        <v>4</v>
      </c>
      <c r="J1146" s="7" t="s">
        <v>107</v>
      </c>
      <c r="K1146" s="7" t="s">
        <v>107</v>
      </c>
      <c r="L1146" s="7"/>
      <c r="M1146" s="10" t="b">
        <f aca="false">FALSE()</f>
        <v>0</v>
      </c>
      <c r="N1146" s="7" t="s">
        <v>109</v>
      </c>
      <c r="O1146" s="7" t="n">
        <v>-33.104721</v>
      </c>
      <c r="P1146" s="7" t="n">
        <v>151.64765</v>
      </c>
    </row>
    <row r="1147" customFormat="false" ht="15" hidden="false" customHeight="false" outlineLevel="0" collapsed="false">
      <c r="A1147" s="7" t="n">
        <v>1146</v>
      </c>
      <c r="B1147" s="7" t="s">
        <v>1446</v>
      </c>
      <c r="C1147" s="7" t="s">
        <v>1447</v>
      </c>
      <c r="D1147" s="7" t="n">
        <v>2083</v>
      </c>
      <c r="E1147" s="7" t="s">
        <v>50</v>
      </c>
      <c r="F1147" s="10" t="b">
        <f aca="false">FALSE()</f>
        <v>0</v>
      </c>
      <c r="G1147" s="7" t="s">
        <v>340</v>
      </c>
      <c r="H1147" s="7" t="s">
        <v>398</v>
      </c>
      <c r="I1147" s="7" t="n">
        <v>1</v>
      </c>
      <c r="J1147" s="7" t="s">
        <v>107</v>
      </c>
      <c r="K1147" s="7" t="s">
        <v>107</v>
      </c>
      <c r="L1147" s="7"/>
      <c r="M1147" s="10" t="b">
        <f aca="false">FALSE()</f>
        <v>0</v>
      </c>
      <c r="N1147" s="7" t="s">
        <v>109</v>
      </c>
      <c r="O1147" s="7" t="n">
        <v>-33.549392</v>
      </c>
      <c r="P1147" s="7" t="n">
        <v>151.201616</v>
      </c>
    </row>
    <row r="1148" customFormat="false" ht="15" hidden="false" customHeight="false" outlineLevel="0" collapsed="false">
      <c r="A1148" s="7" t="n">
        <v>1147</v>
      </c>
      <c r="B1148" s="7"/>
      <c r="C1148" s="7" t="s">
        <v>1448</v>
      </c>
      <c r="D1148" s="7" t="n">
        <v>2640</v>
      </c>
      <c r="E1148" s="7" t="s">
        <v>50</v>
      </c>
      <c r="F1148" s="10" t="b">
        <f aca="false">FALSE()</f>
        <v>0</v>
      </c>
      <c r="G1148" s="7" t="s">
        <v>173</v>
      </c>
      <c r="H1148" s="7" t="s">
        <v>398</v>
      </c>
      <c r="I1148" s="7" t="n">
        <v>1</v>
      </c>
      <c r="J1148" s="7" t="s">
        <v>107</v>
      </c>
      <c r="K1148" s="7" t="s">
        <v>107</v>
      </c>
      <c r="L1148" s="7"/>
      <c r="M1148" s="10" t="b">
        <f aca="false">FALSE()</f>
        <v>0</v>
      </c>
      <c r="N1148" s="7" t="s">
        <v>374</v>
      </c>
      <c r="O1148" s="7" t="n">
        <v>-35.915114</v>
      </c>
      <c r="P1148" s="7" t="n">
        <v>147.322613</v>
      </c>
    </row>
    <row r="1149" customFormat="false" ht="15" hidden="false" customHeight="false" outlineLevel="0" collapsed="false">
      <c r="A1149" s="7" t="n">
        <v>1148</v>
      </c>
      <c r="B1149" s="7" t="s">
        <v>1449</v>
      </c>
      <c r="C1149" s="7" t="s">
        <v>1450</v>
      </c>
      <c r="D1149" s="7" t="n">
        <v>2538</v>
      </c>
      <c r="E1149" s="7" t="s">
        <v>50</v>
      </c>
      <c r="F1149" s="10" t="b">
        <f aca="false">FALSE()</f>
        <v>0</v>
      </c>
      <c r="G1149" s="7" t="s">
        <v>92</v>
      </c>
      <c r="H1149" s="7" t="s">
        <v>398</v>
      </c>
      <c r="I1149" s="7" t="n">
        <v>1</v>
      </c>
      <c r="J1149" s="7" t="s">
        <v>107</v>
      </c>
      <c r="K1149" s="7" t="s">
        <v>107</v>
      </c>
      <c r="L1149" s="7"/>
      <c r="M1149" s="10" t="b">
        <f aca="false">FALSE()</f>
        <v>0</v>
      </c>
      <c r="N1149" s="7" t="s">
        <v>109</v>
      </c>
      <c r="O1149" s="7" t="n">
        <v>-35.334356</v>
      </c>
      <c r="P1149" s="7" t="n">
        <v>150.416016</v>
      </c>
    </row>
    <row r="1150" customFormat="false" ht="15" hidden="false" customHeight="false" outlineLevel="0" collapsed="false">
      <c r="A1150" s="7" t="n">
        <v>1149</v>
      </c>
      <c r="B1150" s="7" t="s">
        <v>1451</v>
      </c>
      <c r="C1150" s="7" t="s">
        <v>1452</v>
      </c>
      <c r="D1150" s="7" t="n">
        <v>2620</v>
      </c>
      <c r="E1150" s="7" t="s">
        <v>50</v>
      </c>
      <c r="F1150" s="10" t="b">
        <f aca="false">FALSE()</f>
        <v>0</v>
      </c>
      <c r="G1150" s="7" t="s">
        <v>94</v>
      </c>
      <c r="H1150" s="7" t="s">
        <v>398</v>
      </c>
      <c r="I1150" s="7" t="n">
        <v>20</v>
      </c>
      <c r="J1150" s="7" t="s">
        <v>107</v>
      </c>
      <c r="K1150" s="7" t="s">
        <v>107</v>
      </c>
      <c r="L1150" s="7"/>
      <c r="M1150" s="10" t="b">
        <f aca="false">FALSE()</f>
        <v>0</v>
      </c>
      <c r="N1150" s="7" t="s">
        <v>109</v>
      </c>
      <c r="O1150" s="7" t="n">
        <v>-35.354755</v>
      </c>
      <c r="P1150" s="7" t="n">
        <v>149.233936</v>
      </c>
    </row>
    <row r="1151" customFormat="false" ht="15" hidden="false" customHeight="false" outlineLevel="0" collapsed="false">
      <c r="A1151" s="7" t="n">
        <v>1150</v>
      </c>
      <c r="B1151" s="7" t="s">
        <v>1453</v>
      </c>
      <c r="C1151" s="7" t="s">
        <v>1454</v>
      </c>
      <c r="D1151" s="7" t="n">
        <v>2537</v>
      </c>
      <c r="E1151" s="7" t="s">
        <v>50</v>
      </c>
      <c r="F1151" s="10" t="b">
        <f aca="false">FALSE()</f>
        <v>0</v>
      </c>
      <c r="G1151" s="7" t="s">
        <v>123</v>
      </c>
      <c r="H1151" s="7" t="s">
        <v>398</v>
      </c>
      <c r="I1151" s="7" t="n">
        <v>2</v>
      </c>
      <c r="J1151" s="7" t="s">
        <v>107</v>
      </c>
      <c r="K1151" s="7" t="s">
        <v>107</v>
      </c>
      <c r="L1151" s="7"/>
      <c r="M1151" s="10" t="b">
        <f aca="false">FALSE()</f>
        <v>0</v>
      </c>
      <c r="N1151" s="7" t="s">
        <v>374</v>
      </c>
      <c r="O1151" s="7" t="n">
        <v>-35.848315</v>
      </c>
      <c r="P1151" s="7" t="n">
        <v>150.175825</v>
      </c>
    </row>
    <row r="1152" customFormat="false" ht="15" hidden="false" customHeight="false" outlineLevel="0" collapsed="false">
      <c r="A1152" s="7" t="n">
        <v>1151</v>
      </c>
      <c r="B1152" s="7" t="s">
        <v>1455</v>
      </c>
      <c r="C1152" s="7" t="s">
        <v>1456</v>
      </c>
      <c r="D1152" s="7" t="n">
        <v>2539</v>
      </c>
      <c r="E1152" s="7" t="s">
        <v>50</v>
      </c>
      <c r="F1152" s="10" t="b">
        <f aca="false">FALSE()</f>
        <v>0</v>
      </c>
      <c r="G1152" s="7" t="s">
        <v>92</v>
      </c>
      <c r="H1152" s="7" t="s">
        <v>398</v>
      </c>
      <c r="I1152" s="7" t="n">
        <v>1</v>
      </c>
      <c r="J1152" s="7" t="s">
        <v>107</v>
      </c>
      <c r="K1152" s="7" t="s">
        <v>107</v>
      </c>
      <c r="L1152" s="7"/>
      <c r="M1152" s="10" t="b">
        <f aca="false">FALSE()</f>
        <v>0</v>
      </c>
      <c r="N1152" s="7" t="s">
        <v>109</v>
      </c>
      <c r="O1152" s="7" t="n">
        <v>-35.341299</v>
      </c>
      <c r="P1152" s="7" t="n">
        <v>150.464988</v>
      </c>
    </row>
    <row r="1153" customFormat="false" ht="15" hidden="false" customHeight="false" outlineLevel="0" collapsed="false">
      <c r="A1153" s="7" t="n">
        <v>1152</v>
      </c>
      <c r="B1153" s="7" t="s">
        <v>1457</v>
      </c>
      <c r="C1153" s="7" t="s">
        <v>1458</v>
      </c>
      <c r="D1153" s="7" t="n">
        <v>2640</v>
      </c>
      <c r="E1153" s="7" t="s">
        <v>50</v>
      </c>
      <c r="F1153" s="10" t="b">
        <f aca="false">FALSE()</f>
        <v>0</v>
      </c>
      <c r="G1153" s="7" t="s">
        <v>194</v>
      </c>
      <c r="H1153" s="7" t="s">
        <v>398</v>
      </c>
      <c r="I1153" s="7" t="n">
        <v>1</v>
      </c>
      <c r="J1153" s="7" t="s">
        <v>107</v>
      </c>
      <c r="K1153" s="7" t="s">
        <v>107</v>
      </c>
      <c r="L1153" s="7"/>
      <c r="M1153" s="10" t="b">
        <f aca="false">FALSE()</f>
        <v>0</v>
      </c>
      <c r="N1153" s="7" t="s">
        <v>109</v>
      </c>
      <c r="O1153" s="7" t="n">
        <v>-36.090319</v>
      </c>
      <c r="P1153" s="7" t="n">
        <v>146.914596</v>
      </c>
    </row>
    <row r="1154" customFormat="false" ht="15" hidden="false" customHeight="false" outlineLevel="0" collapsed="false">
      <c r="A1154" s="7" t="n">
        <v>1153</v>
      </c>
      <c r="B1154" s="7" t="s">
        <v>1459</v>
      </c>
      <c r="C1154" s="7" t="s">
        <v>1460</v>
      </c>
      <c r="D1154" s="7" t="n">
        <v>2720</v>
      </c>
      <c r="E1154" s="7" t="s">
        <v>50</v>
      </c>
      <c r="F1154" s="10" t="b">
        <f aca="false">FALSE()</f>
        <v>0</v>
      </c>
      <c r="G1154" s="7" t="s">
        <v>456</v>
      </c>
      <c r="H1154" s="7" t="s">
        <v>398</v>
      </c>
      <c r="I1154" s="7" t="n">
        <v>1</v>
      </c>
      <c r="J1154" s="7" t="s">
        <v>107</v>
      </c>
      <c r="K1154" s="7" t="s">
        <v>107</v>
      </c>
      <c r="L1154" s="7"/>
      <c r="M1154" s="10" t="b">
        <f aca="false">FALSE()</f>
        <v>0</v>
      </c>
      <c r="N1154" s="7" t="s">
        <v>109</v>
      </c>
      <c r="O1154" s="7" t="n">
        <v>-35.583485</v>
      </c>
      <c r="P1154" s="7" t="n">
        <v>148.296641</v>
      </c>
    </row>
    <row r="1155" customFormat="false" ht="15" hidden="false" customHeight="false" outlineLevel="0" collapsed="false">
      <c r="A1155" s="7" t="n">
        <v>1154</v>
      </c>
      <c r="B1155" s="7" t="s">
        <v>1461</v>
      </c>
      <c r="C1155" s="7" t="s">
        <v>1462</v>
      </c>
      <c r="D1155" s="7" t="n">
        <v>2622</v>
      </c>
      <c r="E1155" s="7" t="s">
        <v>50</v>
      </c>
      <c r="F1155" s="10" t="b">
        <f aca="false">FALSE()</f>
        <v>0</v>
      </c>
      <c r="G1155" s="7" t="s">
        <v>94</v>
      </c>
      <c r="H1155" s="7" t="s">
        <v>398</v>
      </c>
      <c r="I1155" s="7" t="n">
        <v>1</v>
      </c>
      <c r="J1155" s="7" t="s">
        <v>107</v>
      </c>
      <c r="K1155" s="7" t="s">
        <v>107</v>
      </c>
      <c r="L1155" s="7"/>
      <c r="M1155" s="10" t="b">
        <f aca="false">FALSE()</f>
        <v>0</v>
      </c>
      <c r="N1155" s="7" t="s">
        <v>399</v>
      </c>
      <c r="O1155" s="7" t="n">
        <v>-35.163405</v>
      </c>
      <c r="P1155" s="7" t="n">
        <v>149.95818</v>
      </c>
    </row>
    <row r="1156" customFormat="false" ht="15" hidden="false" customHeight="false" outlineLevel="0" collapsed="false">
      <c r="A1156" s="7" t="n">
        <v>1155</v>
      </c>
      <c r="B1156" s="7" t="s">
        <v>1463</v>
      </c>
      <c r="C1156" s="7" t="s">
        <v>1464</v>
      </c>
      <c r="D1156" s="7" t="n">
        <v>2579</v>
      </c>
      <c r="E1156" s="7" t="s">
        <v>50</v>
      </c>
      <c r="F1156" s="10" t="b">
        <f aca="false">FALSE()</f>
        <v>0</v>
      </c>
      <c r="G1156" s="7" t="s">
        <v>161</v>
      </c>
      <c r="H1156" s="7" t="s">
        <v>398</v>
      </c>
      <c r="I1156" s="7" t="n">
        <v>1</v>
      </c>
      <c r="J1156" s="7" t="s">
        <v>107</v>
      </c>
      <c r="K1156" s="7" t="s">
        <v>107</v>
      </c>
      <c r="L1156" s="7"/>
      <c r="M1156" s="10" t="b">
        <f aca="false">FALSE()</f>
        <v>0</v>
      </c>
      <c r="N1156" s="7" t="s">
        <v>109</v>
      </c>
      <c r="O1156" s="7" t="n">
        <v>-34.67272</v>
      </c>
      <c r="P1156" s="7" t="n">
        <v>150.212398</v>
      </c>
    </row>
    <row r="1157" customFormat="false" ht="15" hidden="false" customHeight="false" outlineLevel="0" collapsed="false">
      <c r="A1157" s="7" t="n">
        <v>1156</v>
      </c>
      <c r="B1157" s="7" t="s">
        <v>1465</v>
      </c>
      <c r="C1157" s="7" t="s">
        <v>1466</v>
      </c>
      <c r="D1157" s="7" t="n">
        <v>2533</v>
      </c>
      <c r="E1157" s="7" t="s">
        <v>50</v>
      </c>
      <c r="F1157" s="10" t="b">
        <f aca="false">FALSE()</f>
        <v>0</v>
      </c>
      <c r="G1157" s="7" t="s">
        <v>446</v>
      </c>
      <c r="H1157" s="7" t="s">
        <v>398</v>
      </c>
      <c r="I1157" s="7" t="n">
        <v>2</v>
      </c>
      <c r="J1157" s="7" t="s">
        <v>107</v>
      </c>
      <c r="K1157" s="7" t="s">
        <v>107</v>
      </c>
      <c r="L1157" s="7"/>
      <c r="M1157" s="10" t="b">
        <f aca="false">FALSE()</f>
        <v>0</v>
      </c>
      <c r="N1157" s="7" t="s">
        <v>109</v>
      </c>
      <c r="O1157" s="7" t="n">
        <v>-34.677374</v>
      </c>
      <c r="P1157" s="7" t="n">
        <v>150.849718</v>
      </c>
    </row>
    <row r="1158" customFormat="false" ht="15" hidden="false" customHeight="false" outlineLevel="0" collapsed="false">
      <c r="A1158" s="7" t="n">
        <v>1157</v>
      </c>
      <c r="B1158" s="7" t="s">
        <v>1467</v>
      </c>
      <c r="C1158" s="7" t="s">
        <v>1468</v>
      </c>
      <c r="D1158" s="7" t="n">
        <v>2533</v>
      </c>
      <c r="E1158" s="7" t="s">
        <v>50</v>
      </c>
      <c r="F1158" s="10" t="b">
        <f aca="false">FALSE()</f>
        <v>0</v>
      </c>
      <c r="G1158" s="7" t="s">
        <v>446</v>
      </c>
      <c r="H1158" s="7" t="s">
        <v>398</v>
      </c>
      <c r="I1158" s="7" t="n">
        <v>1</v>
      </c>
      <c r="J1158" s="7" t="s">
        <v>107</v>
      </c>
      <c r="K1158" s="7" t="s">
        <v>107</v>
      </c>
      <c r="L1158" s="7"/>
      <c r="M1158" s="10" t="b">
        <f aca="false">FALSE()</f>
        <v>0</v>
      </c>
      <c r="N1158" s="7" t="s">
        <v>109</v>
      </c>
      <c r="O1158" s="7" t="n">
        <v>-34.680824</v>
      </c>
      <c r="P1158" s="7" t="n">
        <v>150.849409</v>
      </c>
    </row>
    <row r="1159" customFormat="false" ht="15" hidden="false" customHeight="false" outlineLevel="0" collapsed="false">
      <c r="A1159" s="7" t="n">
        <v>1158</v>
      </c>
      <c r="B1159" s="7" t="s">
        <v>1469</v>
      </c>
      <c r="C1159" s="7" t="s">
        <v>1470</v>
      </c>
      <c r="D1159" s="7" t="n">
        <v>2575</v>
      </c>
      <c r="E1159" s="7" t="s">
        <v>50</v>
      </c>
      <c r="F1159" s="10" t="b">
        <f aca="false">FALSE()</f>
        <v>0</v>
      </c>
      <c r="G1159" s="7" t="s">
        <v>161</v>
      </c>
      <c r="H1159" s="7" t="s">
        <v>398</v>
      </c>
      <c r="I1159" s="7" t="n">
        <v>1</v>
      </c>
      <c r="J1159" s="7" t="s">
        <v>107</v>
      </c>
      <c r="K1159" s="7" t="s">
        <v>107</v>
      </c>
      <c r="L1159" s="7"/>
      <c r="M1159" s="10" t="b">
        <f aca="false">FALSE()</f>
        <v>0</v>
      </c>
      <c r="N1159" s="7" t="s">
        <v>109</v>
      </c>
      <c r="O1159" s="7" t="n">
        <v>-34.449959</v>
      </c>
      <c r="P1159" s="7" t="n">
        <v>150.451961</v>
      </c>
    </row>
    <row r="1160" customFormat="false" ht="15" hidden="false" customHeight="false" outlineLevel="0" collapsed="false">
      <c r="A1160" s="7" t="n">
        <v>1159</v>
      </c>
      <c r="B1160" s="7" t="s">
        <v>1471</v>
      </c>
      <c r="C1160" s="7" t="s">
        <v>1472</v>
      </c>
      <c r="D1160" s="7" t="n">
        <v>2580</v>
      </c>
      <c r="E1160" s="7" t="s">
        <v>50</v>
      </c>
      <c r="F1160" s="10" t="b">
        <f aca="false">FALSE()</f>
        <v>0</v>
      </c>
      <c r="G1160" s="7" t="s">
        <v>1473</v>
      </c>
      <c r="H1160" s="7" t="s">
        <v>398</v>
      </c>
      <c r="I1160" s="7" t="n">
        <v>2</v>
      </c>
      <c r="J1160" s="7" t="s">
        <v>107</v>
      </c>
      <c r="K1160" s="7" t="s">
        <v>107</v>
      </c>
      <c r="L1160" s="7"/>
      <c r="M1160" s="10" t="b">
        <f aca="false">FALSE()</f>
        <v>0</v>
      </c>
      <c r="N1160" s="7" t="s">
        <v>399</v>
      </c>
      <c r="O1160" s="7" t="n">
        <v>-34.39875</v>
      </c>
      <c r="P1160" s="7" t="n">
        <v>149.819457</v>
      </c>
    </row>
    <row r="1161" customFormat="false" ht="15" hidden="false" customHeight="false" outlineLevel="0" collapsed="false">
      <c r="A1161" s="7" t="n">
        <v>1160</v>
      </c>
      <c r="B1161" s="7" t="s">
        <v>1474</v>
      </c>
      <c r="C1161" s="7" t="s">
        <v>536</v>
      </c>
      <c r="D1161" s="7" t="n">
        <v>2525</v>
      </c>
      <c r="E1161" s="7" t="s">
        <v>50</v>
      </c>
      <c r="F1161" s="10" t="b">
        <f aca="false">FALSE()</f>
        <v>0</v>
      </c>
      <c r="G1161" s="7" t="s">
        <v>102</v>
      </c>
      <c r="H1161" s="7" t="s">
        <v>398</v>
      </c>
      <c r="I1161" s="7" t="n">
        <v>2</v>
      </c>
      <c r="J1161" s="7" t="s">
        <v>107</v>
      </c>
      <c r="K1161" s="7" t="s">
        <v>107</v>
      </c>
      <c r="L1161" s="7"/>
      <c r="M1161" s="10" t="b">
        <f aca="false">FALSE()</f>
        <v>0</v>
      </c>
      <c r="N1161" s="7" t="s">
        <v>109</v>
      </c>
      <c r="O1161" s="7" t="n">
        <v>-34.436615</v>
      </c>
      <c r="P1161" s="7" t="n">
        <v>150.863298</v>
      </c>
    </row>
    <row r="1162" customFormat="false" ht="15" hidden="false" customHeight="false" outlineLevel="0" collapsed="false">
      <c r="A1162" s="7" t="n">
        <v>1161</v>
      </c>
      <c r="B1162" s="7" t="s">
        <v>1475</v>
      </c>
      <c r="C1162" s="7" t="s">
        <v>1476</v>
      </c>
      <c r="D1162" s="7" t="n">
        <v>2573</v>
      </c>
      <c r="E1162" s="7" t="s">
        <v>50</v>
      </c>
      <c r="F1162" s="10" t="b">
        <f aca="false">FALSE()</f>
        <v>0</v>
      </c>
      <c r="G1162" s="7" t="s">
        <v>224</v>
      </c>
      <c r="H1162" s="7" t="s">
        <v>398</v>
      </c>
      <c r="I1162" s="7" t="n">
        <v>3</v>
      </c>
      <c r="J1162" s="7" t="s">
        <v>107</v>
      </c>
      <c r="K1162" s="7" t="s">
        <v>107</v>
      </c>
      <c r="L1162" s="7"/>
      <c r="M1162" s="10" t="b">
        <f aca="false">FALSE()</f>
        <v>0</v>
      </c>
      <c r="N1162" s="7" t="s">
        <v>109</v>
      </c>
      <c r="O1162" s="7" t="n">
        <v>-34.223231</v>
      </c>
      <c r="P1162" s="7" t="n">
        <v>150.593042</v>
      </c>
    </row>
    <row r="1163" customFormat="false" ht="15" hidden="false" customHeight="false" outlineLevel="0" collapsed="false">
      <c r="A1163" s="7" t="n">
        <v>1162</v>
      </c>
      <c r="B1163" s="7" t="s">
        <v>1477</v>
      </c>
      <c r="C1163" s="7" t="s">
        <v>1478</v>
      </c>
      <c r="D1163" s="7" t="n">
        <v>2230</v>
      </c>
      <c r="E1163" s="7" t="s">
        <v>50</v>
      </c>
      <c r="F1163" s="10" t="b">
        <f aca="false">FALSE()</f>
        <v>0</v>
      </c>
      <c r="G1163" s="7" t="s">
        <v>628</v>
      </c>
      <c r="H1163" s="7" t="s">
        <v>398</v>
      </c>
      <c r="I1163" s="7" t="n">
        <v>4</v>
      </c>
      <c r="J1163" s="7" t="s">
        <v>107</v>
      </c>
      <c r="K1163" s="7" t="s">
        <v>107</v>
      </c>
      <c r="L1163" s="7"/>
      <c r="M1163" s="10" t="b">
        <f aca="false">FALSE()</f>
        <v>0</v>
      </c>
      <c r="N1163" s="7" t="s">
        <v>109</v>
      </c>
      <c r="O1163" s="7" t="n">
        <v>-34.038445</v>
      </c>
      <c r="P1163" s="7" t="n">
        <v>151.142967</v>
      </c>
    </row>
    <row r="1164" customFormat="false" ht="15" hidden="false" customHeight="false" outlineLevel="0" collapsed="false">
      <c r="A1164" s="7" t="n">
        <v>1163</v>
      </c>
      <c r="B1164" s="7" t="s">
        <v>1479</v>
      </c>
      <c r="C1164" s="7" t="s">
        <v>1480</v>
      </c>
      <c r="D1164" s="7" t="n">
        <v>2230</v>
      </c>
      <c r="E1164" s="7" t="s">
        <v>50</v>
      </c>
      <c r="F1164" s="10" t="b">
        <f aca="false">FALSE()</f>
        <v>0</v>
      </c>
      <c r="G1164" s="7" t="s">
        <v>628</v>
      </c>
      <c r="H1164" s="7" t="s">
        <v>398</v>
      </c>
      <c r="I1164" s="7" t="n">
        <v>2</v>
      </c>
      <c r="J1164" s="7" t="s">
        <v>107</v>
      </c>
      <c r="K1164" s="7" t="s">
        <v>107</v>
      </c>
      <c r="L1164" s="7"/>
      <c r="M1164" s="10" t="b">
        <f aca="false">FALSE()</f>
        <v>0</v>
      </c>
      <c r="N1164" s="7" t="s">
        <v>109</v>
      </c>
      <c r="O1164" s="7" t="n">
        <v>-34.062404</v>
      </c>
      <c r="P1164" s="7" t="n">
        <v>151.140517</v>
      </c>
    </row>
    <row r="1165" customFormat="false" ht="15" hidden="false" customHeight="false" outlineLevel="0" collapsed="false">
      <c r="A1165" s="7" t="n">
        <v>1164</v>
      </c>
      <c r="B1165" s="7" t="s">
        <v>1481</v>
      </c>
      <c r="C1165" s="7" t="s">
        <v>1482</v>
      </c>
      <c r="D1165" s="7" t="n">
        <v>2179</v>
      </c>
      <c r="E1165" s="7" t="s">
        <v>50</v>
      </c>
      <c r="F1165" s="10" t="b">
        <f aca="false">FALSE()</f>
        <v>0</v>
      </c>
      <c r="G1165" s="7" t="s">
        <v>338</v>
      </c>
      <c r="H1165" s="7" t="s">
        <v>398</v>
      </c>
      <c r="I1165" s="7" t="n">
        <v>2</v>
      </c>
      <c r="J1165" s="7" t="s">
        <v>107</v>
      </c>
      <c r="K1165" s="7" t="s">
        <v>107</v>
      </c>
      <c r="L1165" s="7"/>
      <c r="M1165" s="10" t="b">
        <f aca="false">FALSE()</f>
        <v>0</v>
      </c>
      <c r="N1165" s="7" t="s">
        <v>109</v>
      </c>
      <c r="O1165" s="7" t="n">
        <v>-33.99648</v>
      </c>
      <c r="P1165" s="7" t="n">
        <v>150.792441</v>
      </c>
    </row>
    <row r="1166" customFormat="false" ht="15" hidden="false" customHeight="false" outlineLevel="0" collapsed="false">
      <c r="A1166" s="7" t="n">
        <v>1165</v>
      </c>
      <c r="B1166" s="7"/>
      <c r="C1166" s="7" t="s">
        <v>1483</v>
      </c>
      <c r="D1166" s="7" t="n">
        <v>2216</v>
      </c>
      <c r="E1166" s="7" t="s">
        <v>50</v>
      </c>
      <c r="F1166" s="10" t="b">
        <f aca="false">FALSE()</f>
        <v>0</v>
      </c>
      <c r="G1166" s="7" t="s">
        <v>380</v>
      </c>
      <c r="H1166" s="7" t="s">
        <v>398</v>
      </c>
      <c r="I1166" s="7" t="n">
        <v>1</v>
      </c>
      <c r="J1166" s="7" t="s">
        <v>107</v>
      </c>
      <c r="K1166" s="7" t="s">
        <v>107</v>
      </c>
      <c r="L1166" s="7"/>
      <c r="M1166" s="10" t="b">
        <f aca="false">FALSE()</f>
        <v>0</v>
      </c>
      <c r="N1166" s="7" t="s">
        <v>109</v>
      </c>
      <c r="O1166" s="7" t="n">
        <v>-33.953397</v>
      </c>
      <c r="P1166" s="7" t="n">
        <v>151.157943</v>
      </c>
    </row>
    <row r="1167" customFormat="false" ht="15" hidden="false" customHeight="false" outlineLevel="0" collapsed="false">
      <c r="A1167" s="7" t="n">
        <v>1166</v>
      </c>
      <c r="B1167" s="7" t="s">
        <v>1484</v>
      </c>
      <c r="C1167" s="7" t="s">
        <v>1485</v>
      </c>
      <c r="D1167" s="7" t="n">
        <v>2031</v>
      </c>
      <c r="E1167" s="7" t="s">
        <v>50</v>
      </c>
      <c r="F1167" s="10" t="b">
        <f aca="false">FALSE()</f>
        <v>0</v>
      </c>
      <c r="G1167" s="7" t="s">
        <v>355</v>
      </c>
      <c r="H1167" s="7" t="s">
        <v>398</v>
      </c>
      <c r="I1167" s="7" t="n">
        <v>2</v>
      </c>
      <c r="J1167" s="7" t="s">
        <v>107</v>
      </c>
      <c r="K1167" s="7" t="s">
        <v>107</v>
      </c>
      <c r="L1167" s="7"/>
      <c r="M1167" s="10" t="b">
        <f aca="false">FALSE()</f>
        <v>0</v>
      </c>
      <c r="N1167" s="7" t="s">
        <v>109</v>
      </c>
      <c r="O1167" s="7" t="n">
        <v>-33.920121</v>
      </c>
      <c r="P1167" s="7" t="n">
        <v>151.24379</v>
      </c>
    </row>
    <row r="1168" customFormat="false" ht="15" hidden="false" customHeight="false" outlineLevel="0" collapsed="false">
      <c r="A1168" s="7" t="n">
        <v>1167</v>
      </c>
      <c r="B1168" s="7" t="s">
        <v>1486</v>
      </c>
      <c r="C1168" s="7" t="s">
        <v>1487</v>
      </c>
      <c r="D1168" s="7" t="n">
        <v>2207</v>
      </c>
      <c r="E1168" s="7" t="s">
        <v>50</v>
      </c>
      <c r="F1168" s="10" t="b">
        <f aca="false">FALSE()</f>
        <v>0</v>
      </c>
      <c r="G1168" s="7" t="s">
        <v>345</v>
      </c>
      <c r="H1168" s="7" t="s">
        <v>398</v>
      </c>
      <c r="I1168" s="7" t="n">
        <v>1</v>
      </c>
      <c r="J1168" s="7" t="s">
        <v>107</v>
      </c>
      <c r="K1168" s="7" t="s">
        <v>107</v>
      </c>
      <c r="L1168" s="7"/>
      <c r="M1168" s="10" t="b">
        <f aca="false">FALSE()</f>
        <v>0</v>
      </c>
      <c r="N1168" s="7" t="s">
        <v>109</v>
      </c>
      <c r="O1168" s="7" t="n">
        <v>-33.941275</v>
      </c>
      <c r="P1168" s="7" t="n">
        <v>151.109664</v>
      </c>
    </row>
    <row r="1169" customFormat="false" ht="15" hidden="false" customHeight="false" outlineLevel="0" collapsed="false">
      <c r="A1169" s="7" t="n">
        <v>1168</v>
      </c>
      <c r="B1169" s="7" t="s">
        <v>1488</v>
      </c>
      <c r="C1169" s="7" t="s">
        <v>1489</v>
      </c>
      <c r="D1169" s="7" t="n">
        <v>2166</v>
      </c>
      <c r="E1169" s="7" t="s">
        <v>50</v>
      </c>
      <c r="F1169" s="10" t="b">
        <f aca="false">FALSE()</f>
        <v>0</v>
      </c>
      <c r="G1169" s="7" t="s">
        <v>370</v>
      </c>
      <c r="H1169" s="7" t="s">
        <v>398</v>
      </c>
      <c r="I1169" s="7" t="n">
        <v>4</v>
      </c>
      <c r="J1169" s="7" t="s">
        <v>107</v>
      </c>
      <c r="K1169" s="7" t="s">
        <v>107</v>
      </c>
      <c r="L1169" s="7"/>
      <c r="M1169" s="10" t="b">
        <f aca="false">FALSE()</f>
        <v>0</v>
      </c>
      <c r="N1169" s="7" t="s">
        <v>109</v>
      </c>
      <c r="O1169" s="7" t="n">
        <v>-33.894012</v>
      </c>
      <c r="P1169" s="7" t="n">
        <v>150.934825</v>
      </c>
    </row>
    <row r="1170" customFormat="false" ht="15" hidden="false" customHeight="false" outlineLevel="0" collapsed="false">
      <c r="A1170" s="7" t="n">
        <v>1169</v>
      </c>
      <c r="B1170" s="7" t="s">
        <v>1490</v>
      </c>
      <c r="C1170" s="7" t="s">
        <v>1491</v>
      </c>
      <c r="D1170" s="7" t="n">
        <v>2209</v>
      </c>
      <c r="E1170" s="7" t="s">
        <v>50</v>
      </c>
      <c r="F1170" s="10" t="b">
        <f aca="false">FALSE()</f>
        <v>0</v>
      </c>
      <c r="G1170" s="7" t="s">
        <v>293</v>
      </c>
      <c r="H1170" s="7" t="s">
        <v>398</v>
      </c>
      <c r="I1170" s="7" t="n">
        <v>1</v>
      </c>
      <c r="J1170" s="7" t="s">
        <v>107</v>
      </c>
      <c r="K1170" s="7" t="s">
        <v>107</v>
      </c>
      <c r="L1170" s="7"/>
      <c r="M1170" s="10" t="b">
        <f aca="false">FALSE()</f>
        <v>0</v>
      </c>
      <c r="N1170" s="7" t="s">
        <v>109</v>
      </c>
      <c r="O1170" s="7" t="n">
        <v>-33.949402</v>
      </c>
      <c r="P1170" s="7" t="n">
        <v>151.068209</v>
      </c>
    </row>
    <row r="1171" customFormat="false" ht="15" hidden="false" customHeight="false" outlineLevel="0" collapsed="false">
      <c r="A1171" s="7" t="n">
        <v>1170</v>
      </c>
      <c r="B1171" s="7" t="s">
        <v>1492</v>
      </c>
      <c r="C1171" s="7" t="s">
        <v>1493</v>
      </c>
      <c r="D1171" s="7" t="n">
        <v>2007</v>
      </c>
      <c r="E1171" s="7" t="s">
        <v>50</v>
      </c>
      <c r="F1171" s="10" t="b">
        <f aca="false">FALSE()</f>
        <v>0</v>
      </c>
      <c r="G1171" s="7" t="s">
        <v>182</v>
      </c>
      <c r="H1171" s="7" t="s">
        <v>398</v>
      </c>
      <c r="I1171" s="7" t="n">
        <v>2</v>
      </c>
      <c r="J1171" s="7" t="s">
        <v>107</v>
      </c>
      <c r="K1171" s="7" t="s">
        <v>107</v>
      </c>
      <c r="L1171" s="7"/>
      <c r="M1171" s="10" t="b">
        <f aca="false">FALSE()</f>
        <v>0</v>
      </c>
      <c r="N1171" s="7" t="s">
        <v>109</v>
      </c>
      <c r="O1171" s="7" t="n">
        <v>-33.883247</v>
      </c>
      <c r="P1171" s="7" t="n">
        <v>151.198673</v>
      </c>
    </row>
    <row r="1172" customFormat="false" ht="15" hidden="false" customHeight="false" outlineLevel="0" collapsed="false">
      <c r="A1172" s="7" t="n">
        <v>1171</v>
      </c>
      <c r="B1172" s="7" t="s">
        <v>1494</v>
      </c>
      <c r="C1172" s="7" t="s">
        <v>1495</v>
      </c>
      <c r="D1172" s="7" t="n">
        <v>2135</v>
      </c>
      <c r="E1172" s="7" t="s">
        <v>50</v>
      </c>
      <c r="F1172" s="10" t="b">
        <f aca="false">FALSE()</f>
        <v>0</v>
      </c>
      <c r="G1172" s="7" t="s">
        <v>670</v>
      </c>
      <c r="H1172" s="7" t="s">
        <v>398</v>
      </c>
      <c r="I1172" s="7" t="n">
        <v>1</v>
      </c>
      <c r="J1172" s="7" t="s">
        <v>107</v>
      </c>
      <c r="K1172" s="7" t="s">
        <v>107</v>
      </c>
      <c r="L1172" s="7"/>
      <c r="M1172" s="10" t="b">
        <f aca="false">FALSE()</f>
        <v>0</v>
      </c>
      <c r="N1172" s="7" t="s">
        <v>109</v>
      </c>
      <c r="O1172" s="7" t="n">
        <v>-33.872198</v>
      </c>
      <c r="P1172" s="7" t="n">
        <v>151.093423</v>
      </c>
    </row>
    <row r="1173" customFormat="false" ht="15" hidden="false" customHeight="false" outlineLevel="0" collapsed="false">
      <c r="A1173" s="7" t="n">
        <v>1172</v>
      </c>
      <c r="B1173" s="7" t="s">
        <v>1496</v>
      </c>
      <c r="C1173" s="7" t="s">
        <v>1497</v>
      </c>
      <c r="D1173" s="7" t="n">
        <v>2140</v>
      </c>
      <c r="E1173" s="7" t="s">
        <v>50</v>
      </c>
      <c r="F1173" s="10" t="b">
        <f aca="false">FALSE()</f>
        <v>0</v>
      </c>
      <c r="G1173" s="7" t="s">
        <v>670</v>
      </c>
      <c r="H1173" s="7" t="s">
        <v>398</v>
      </c>
      <c r="I1173" s="7" t="n">
        <v>1</v>
      </c>
      <c r="J1173" s="7" t="s">
        <v>107</v>
      </c>
      <c r="K1173" s="7" t="s">
        <v>107</v>
      </c>
      <c r="L1173" s="7"/>
      <c r="M1173" s="10" t="b">
        <f aca="false">FALSE()</f>
        <v>0</v>
      </c>
      <c r="N1173" s="7" t="s">
        <v>109</v>
      </c>
      <c r="O1173" s="7" t="n">
        <v>-33.852894</v>
      </c>
      <c r="P1173" s="7" t="n">
        <v>151.080192</v>
      </c>
    </row>
    <row r="1174" customFormat="false" ht="15" hidden="false" customHeight="false" outlineLevel="0" collapsed="false">
      <c r="A1174" s="7" t="n">
        <v>1173</v>
      </c>
      <c r="B1174" s="7" t="s">
        <v>1498</v>
      </c>
      <c r="C1174" s="7" t="s">
        <v>1499</v>
      </c>
      <c r="D1174" s="7" t="n">
        <v>2640</v>
      </c>
      <c r="E1174" s="7" t="s">
        <v>50</v>
      </c>
      <c r="F1174" s="10" t="b">
        <f aca="false">FALSE()</f>
        <v>0</v>
      </c>
      <c r="G1174" s="7" t="s">
        <v>194</v>
      </c>
      <c r="H1174" s="7" t="s">
        <v>398</v>
      </c>
      <c r="I1174" s="7" t="n">
        <v>1</v>
      </c>
      <c r="J1174" s="7" t="s">
        <v>107</v>
      </c>
      <c r="K1174" s="7" t="s">
        <v>107</v>
      </c>
      <c r="L1174" s="7"/>
      <c r="M1174" s="10" t="b">
        <f aca="false">FALSE()</f>
        <v>0</v>
      </c>
      <c r="N1174" s="7" t="s">
        <v>399</v>
      </c>
      <c r="O1174" s="7" t="n">
        <v>-36.080212</v>
      </c>
      <c r="P1174" s="7" t="n">
        <v>146.914813</v>
      </c>
    </row>
    <row r="1175" customFormat="false" ht="15" hidden="false" customHeight="false" outlineLevel="0" collapsed="false">
      <c r="A1175" s="7" t="n">
        <v>1174</v>
      </c>
      <c r="B1175" s="7" t="s">
        <v>1500</v>
      </c>
      <c r="C1175" s="7" t="s">
        <v>1501</v>
      </c>
      <c r="D1175" s="7" t="n">
        <v>2650</v>
      </c>
      <c r="E1175" s="7" t="s">
        <v>50</v>
      </c>
      <c r="F1175" s="10" t="b">
        <f aca="false">FALSE()</f>
        <v>0</v>
      </c>
      <c r="G1175" s="7" t="s">
        <v>147</v>
      </c>
      <c r="H1175" s="7" t="s">
        <v>398</v>
      </c>
      <c r="I1175" s="7" t="n">
        <v>2</v>
      </c>
      <c r="J1175" s="7" t="s">
        <v>107</v>
      </c>
      <c r="K1175" s="7" t="s">
        <v>107</v>
      </c>
      <c r="L1175" s="7"/>
      <c r="M1175" s="10" t="b">
        <f aca="false">FALSE()</f>
        <v>0</v>
      </c>
      <c r="N1175" s="7" t="s">
        <v>109</v>
      </c>
      <c r="O1175" s="7" t="n">
        <v>-35.171168</v>
      </c>
      <c r="P1175" s="7" t="n">
        <v>147.379285</v>
      </c>
    </row>
    <row r="1176" customFormat="false" ht="15" hidden="false" customHeight="false" outlineLevel="0" collapsed="false">
      <c r="A1176" s="7" t="n">
        <v>1175</v>
      </c>
      <c r="B1176" s="7" t="s">
        <v>1502</v>
      </c>
      <c r="C1176" s="7" t="s">
        <v>1503</v>
      </c>
      <c r="D1176" s="7" t="n">
        <v>2731</v>
      </c>
      <c r="E1176" s="7" t="s">
        <v>50</v>
      </c>
      <c r="F1176" s="10" t="b">
        <f aca="false">FALSE()</f>
        <v>0</v>
      </c>
      <c r="G1176" s="7" t="s">
        <v>914</v>
      </c>
      <c r="H1176" s="7" t="s">
        <v>398</v>
      </c>
      <c r="I1176" s="7" t="n">
        <v>2</v>
      </c>
      <c r="J1176" s="7" t="s">
        <v>107</v>
      </c>
      <c r="K1176" s="7" t="s">
        <v>107</v>
      </c>
      <c r="L1176" s="7"/>
      <c r="M1176" s="10" t="b">
        <f aca="false">FALSE()</f>
        <v>0</v>
      </c>
      <c r="N1176" s="7" t="s">
        <v>399</v>
      </c>
      <c r="O1176" s="7" t="n">
        <v>-36.112753</v>
      </c>
      <c r="P1176" s="7" t="n">
        <v>144.754931</v>
      </c>
    </row>
    <row r="1177" customFormat="false" ht="15" hidden="false" customHeight="false" outlineLevel="0" collapsed="false">
      <c r="A1177" s="7" t="n">
        <v>1176</v>
      </c>
      <c r="B1177" s="7" t="s">
        <v>1504</v>
      </c>
      <c r="C1177" s="7" t="s">
        <v>1505</v>
      </c>
      <c r="D1177" s="7" t="n">
        <v>2804</v>
      </c>
      <c r="E1177" s="7" t="s">
        <v>50</v>
      </c>
      <c r="F1177" s="10" t="b">
        <f aca="false">FALSE()</f>
        <v>0</v>
      </c>
      <c r="G1177" s="7" t="s">
        <v>185</v>
      </c>
      <c r="H1177" s="7" t="s">
        <v>398</v>
      </c>
      <c r="I1177" s="7" t="n">
        <v>1</v>
      </c>
      <c r="J1177" s="7" t="s">
        <v>107</v>
      </c>
      <c r="K1177" s="7" t="s">
        <v>107</v>
      </c>
      <c r="L1177" s="7"/>
      <c r="M1177" s="10" t="b">
        <f aca="false">FALSE()</f>
        <v>0</v>
      </c>
      <c r="N1177" s="7" t="s">
        <v>109</v>
      </c>
      <c r="O1177" s="7" t="n">
        <v>-33.565527</v>
      </c>
      <c r="P1177" s="7" t="n">
        <v>148.663931</v>
      </c>
    </row>
    <row r="1178" customFormat="false" ht="15" hidden="false" customHeight="false" outlineLevel="0" collapsed="false">
      <c r="A1178" s="7" t="n">
        <v>1177</v>
      </c>
      <c r="B1178" s="7" t="s">
        <v>1506</v>
      </c>
      <c r="C1178" s="7" t="s">
        <v>1507</v>
      </c>
      <c r="D1178" s="7" t="n">
        <v>2650</v>
      </c>
      <c r="E1178" s="7" t="s">
        <v>50</v>
      </c>
      <c r="F1178" s="10" t="b">
        <f aca="false">FALSE()</f>
        <v>0</v>
      </c>
      <c r="G1178" s="7" t="s">
        <v>147</v>
      </c>
      <c r="H1178" s="7" t="s">
        <v>398</v>
      </c>
      <c r="I1178" s="7" t="n">
        <v>2</v>
      </c>
      <c r="J1178" s="7" t="s">
        <v>107</v>
      </c>
      <c r="K1178" s="7" t="s">
        <v>107</v>
      </c>
      <c r="L1178" s="7"/>
      <c r="M1178" s="10" t="b">
        <f aca="false">FALSE()</f>
        <v>0</v>
      </c>
      <c r="N1178" s="7" t="s">
        <v>109</v>
      </c>
      <c r="O1178" s="7" t="n">
        <v>-35.103675</v>
      </c>
      <c r="P1178" s="7" t="n">
        <v>147.367574</v>
      </c>
    </row>
    <row r="1179" customFormat="false" ht="15" hidden="false" customHeight="false" outlineLevel="0" collapsed="false">
      <c r="A1179" s="7" t="n">
        <v>1178</v>
      </c>
      <c r="B1179" s="7" t="s">
        <v>1508</v>
      </c>
      <c r="C1179" s="7" t="s">
        <v>1509</v>
      </c>
      <c r="D1179" s="7" t="n">
        <v>2792</v>
      </c>
      <c r="E1179" s="7" t="s">
        <v>50</v>
      </c>
      <c r="F1179" s="10" t="b">
        <f aca="false">FALSE()</f>
        <v>0</v>
      </c>
      <c r="G1179" s="7" t="s">
        <v>1435</v>
      </c>
      <c r="H1179" s="7" t="s">
        <v>398</v>
      </c>
      <c r="I1179" s="7" t="n">
        <v>1</v>
      </c>
      <c r="J1179" s="7" t="s">
        <v>107</v>
      </c>
      <c r="K1179" s="7" t="s">
        <v>107</v>
      </c>
      <c r="L1179" s="7"/>
      <c r="M1179" s="10" t="b">
        <f aca="false">FALSE()</f>
        <v>0</v>
      </c>
      <c r="N1179" s="7" t="s">
        <v>109</v>
      </c>
      <c r="O1179" s="7" t="n">
        <v>-33.648316</v>
      </c>
      <c r="P1179" s="7" t="n">
        <v>149.075088</v>
      </c>
    </row>
    <row r="1180" customFormat="false" ht="15" hidden="false" customHeight="false" outlineLevel="0" collapsed="false">
      <c r="A1180" s="7" t="n">
        <v>1179</v>
      </c>
      <c r="B1180" s="7" t="s">
        <v>1510</v>
      </c>
      <c r="C1180" s="7" t="s">
        <v>1511</v>
      </c>
      <c r="D1180" s="7" t="n">
        <v>2756</v>
      </c>
      <c r="E1180" s="7" t="s">
        <v>50</v>
      </c>
      <c r="F1180" s="10" t="b">
        <f aca="false">FALSE()</f>
        <v>0</v>
      </c>
      <c r="G1180" s="7" t="s">
        <v>566</v>
      </c>
      <c r="H1180" s="7" t="s">
        <v>398</v>
      </c>
      <c r="I1180" s="7" t="n">
        <v>4</v>
      </c>
      <c r="J1180" s="7" t="s">
        <v>107</v>
      </c>
      <c r="K1180" s="7" t="s">
        <v>107</v>
      </c>
      <c r="L1180" s="7"/>
      <c r="M1180" s="10" t="b">
        <f aca="false">FALSE()</f>
        <v>0</v>
      </c>
      <c r="N1180" s="7" t="s">
        <v>109</v>
      </c>
      <c r="O1180" s="7" t="n">
        <v>-33.628167</v>
      </c>
      <c r="P1180" s="7" t="n">
        <v>150.832627</v>
      </c>
    </row>
    <row r="1181" customFormat="false" ht="15" hidden="false" customHeight="false" outlineLevel="0" collapsed="false">
      <c r="A1181" s="7" t="n">
        <v>1180</v>
      </c>
      <c r="B1181" s="7" t="s">
        <v>1512</v>
      </c>
      <c r="C1181" s="7" t="s">
        <v>1513</v>
      </c>
      <c r="D1181" s="7" t="n">
        <v>2761</v>
      </c>
      <c r="E1181" s="7" t="s">
        <v>50</v>
      </c>
      <c r="F1181" s="10" t="b">
        <f aca="false">FALSE()</f>
        <v>0</v>
      </c>
      <c r="G1181" s="7" t="s">
        <v>472</v>
      </c>
      <c r="H1181" s="7" t="s">
        <v>398</v>
      </c>
      <c r="I1181" s="7" t="n">
        <v>2</v>
      </c>
      <c r="J1181" s="7" t="s">
        <v>107</v>
      </c>
      <c r="K1181" s="7" t="s">
        <v>107</v>
      </c>
      <c r="L1181" s="7"/>
      <c r="M1181" s="10" t="b">
        <f aca="false">FALSE()</f>
        <v>0</v>
      </c>
      <c r="N1181" s="7" t="s">
        <v>109</v>
      </c>
      <c r="O1181" s="7" t="n">
        <v>-33.75196</v>
      </c>
      <c r="P1181" s="7" t="n">
        <v>150.857878</v>
      </c>
    </row>
    <row r="1182" customFormat="false" ht="15" hidden="false" customHeight="false" outlineLevel="0" collapsed="false">
      <c r="A1182" s="7" t="n">
        <v>1181</v>
      </c>
      <c r="B1182" s="7" t="s">
        <v>1514</v>
      </c>
      <c r="C1182" s="7" t="s">
        <v>1515</v>
      </c>
      <c r="D1182" s="7" t="n">
        <v>2142</v>
      </c>
      <c r="E1182" s="7" t="s">
        <v>50</v>
      </c>
      <c r="F1182" s="10" t="b">
        <f aca="false">FALSE()</f>
        <v>0</v>
      </c>
      <c r="G1182" s="7" t="s">
        <v>554</v>
      </c>
      <c r="H1182" s="7" t="s">
        <v>398</v>
      </c>
      <c r="I1182" s="7" t="n">
        <v>3</v>
      </c>
      <c r="J1182" s="7" t="s">
        <v>107</v>
      </c>
      <c r="K1182" s="7" t="s">
        <v>107</v>
      </c>
      <c r="L1182" s="7"/>
      <c r="M1182" s="10" t="b">
        <f aca="false">FALSE()</f>
        <v>0</v>
      </c>
      <c r="N1182" s="7" t="s">
        <v>109</v>
      </c>
      <c r="O1182" s="7" t="n">
        <v>-33.832117</v>
      </c>
      <c r="P1182" s="7" t="n">
        <v>151.012986</v>
      </c>
    </row>
    <row r="1183" customFormat="false" ht="15" hidden="false" customHeight="false" outlineLevel="0" collapsed="false">
      <c r="A1183" s="7" t="n">
        <v>1182</v>
      </c>
      <c r="B1183" s="7" t="s">
        <v>1516</v>
      </c>
      <c r="C1183" s="7" t="s">
        <v>1517</v>
      </c>
      <c r="D1183" s="7" t="n">
        <v>2762</v>
      </c>
      <c r="E1183" s="7" t="s">
        <v>50</v>
      </c>
      <c r="F1183" s="10" t="b">
        <f aca="false">FALSE()</f>
        <v>0</v>
      </c>
      <c r="G1183" s="7" t="s">
        <v>472</v>
      </c>
      <c r="H1183" s="7" t="s">
        <v>398</v>
      </c>
      <c r="I1183" s="7" t="n">
        <v>35</v>
      </c>
      <c r="J1183" s="7" t="s">
        <v>107</v>
      </c>
      <c r="K1183" s="7" t="s">
        <v>107</v>
      </c>
      <c r="L1183" s="7"/>
      <c r="M1183" s="10" t="b">
        <f aca="false">FALSE()</f>
        <v>0</v>
      </c>
      <c r="N1183" s="7" t="s">
        <v>109</v>
      </c>
      <c r="O1183" s="7" t="n">
        <v>-33.692353</v>
      </c>
      <c r="P1183" s="7" t="n">
        <v>150.907068</v>
      </c>
    </row>
    <row r="1184" customFormat="false" ht="15" hidden="false" customHeight="false" outlineLevel="0" collapsed="false">
      <c r="A1184" s="7" t="n">
        <v>1183</v>
      </c>
      <c r="B1184" s="7" t="s">
        <v>1518</v>
      </c>
      <c r="C1184" s="7" t="s">
        <v>1519</v>
      </c>
      <c r="D1184" s="7" t="n">
        <v>2145</v>
      </c>
      <c r="E1184" s="7" t="s">
        <v>50</v>
      </c>
      <c r="F1184" s="10" t="b">
        <f aca="false">FALSE()</f>
        <v>0</v>
      </c>
      <c r="G1184" s="7" t="s">
        <v>554</v>
      </c>
      <c r="H1184" s="7" t="s">
        <v>398</v>
      </c>
      <c r="I1184" s="7" t="n">
        <v>3</v>
      </c>
      <c r="J1184" s="7" t="s">
        <v>107</v>
      </c>
      <c r="K1184" s="7" t="s">
        <v>107</v>
      </c>
      <c r="L1184" s="7"/>
      <c r="M1184" s="10" t="b">
        <f aca="false">FALSE()</f>
        <v>0</v>
      </c>
      <c r="N1184" s="7" t="s">
        <v>109</v>
      </c>
      <c r="O1184" s="7" t="n">
        <v>-33.812394</v>
      </c>
      <c r="P1184" s="7" t="n">
        <v>150.962918</v>
      </c>
    </row>
    <row r="1185" customFormat="false" ht="15" hidden="false" customHeight="false" outlineLevel="0" collapsed="false">
      <c r="A1185" s="7" t="n">
        <v>1184</v>
      </c>
      <c r="B1185" s="7" t="s">
        <v>1520</v>
      </c>
      <c r="C1185" s="7" t="s">
        <v>1521</v>
      </c>
      <c r="D1185" s="7" t="n">
        <v>2790</v>
      </c>
      <c r="E1185" s="7" t="s">
        <v>50</v>
      </c>
      <c r="F1185" s="10" t="b">
        <f aca="false">FALSE()</f>
        <v>0</v>
      </c>
      <c r="G1185" s="7" t="s">
        <v>139</v>
      </c>
      <c r="H1185" s="7" t="s">
        <v>398</v>
      </c>
      <c r="I1185" s="7" t="n">
        <v>3</v>
      </c>
      <c r="J1185" s="7" t="s">
        <v>107</v>
      </c>
      <c r="K1185" s="7" t="s">
        <v>107</v>
      </c>
      <c r="L1185" s="7"/>
      <c r="M1185" s="10" t="b">
        <f aca="false">FALSE()</f>
        <v>0</v>
      </c>
      <c r="N1185" s="7" t="s">
        <v>109</v>
      </c>
      <c r="O1185" s="7" t="n">
        <v>-33.567109</v>
      </c>
      <c r="P1185" s="7" t="n">
        <v>150.203535</v>
      </c>
    </row>
    <row r="1186" customFormat="false" ht="15" hidden="false" customHeight="false" outlineLevel="0" collapsed="false">
      <c r="A1186" s="7" t="n">
        <v>1185</v>
      </c>
      <c r="B1186" s="7" t="s">
        <v>1522</v>
      </c>
      <c r="C1186" s="7" t="s">
        <v>1523</v>
      </c>
      <c r="D1186" s="7" t="n">
        <v>2766</v>
      </c>
      <c r="E1186" s="7" t="s">
        <v>50</v>
      </c>
      <c r="F1186" s="10" t="b">
        <f aca="false">FALSE()</f>
        <v>0</v>
      </c>
      <c r="G1186" s="7" t="s">
        <v>472</v>
      </c>
      <c r="H1186" s="7" t="s">
        <v>398</v>
      </c>
      <c r="I1186" s="7" t="n">
        <v>3</v>
      </c>
      <c r="J1186" s="7" t="s">
        <v>107</v>
      </c>
      <c r="K1186" s="7" t="s">
        <v>107</v>
      </c>
      <c r="L1186" s="7"/>
      <c r="M1186" s="10" t="b">
        <f aca="false">FALSE()</f>
        <v>0</v>
      </c>
      <c r="N1186" s="7" t="s">
        <v>109</v>
      </c>
      <c r="O1186" s="7" t="n">
        <v>-33.786142</v>
      </c>
      <c r="P1186" s="7" t="n">
        <v>150.854099</v>
      </c>
    </row>
    <row r="1187" customFormat="false" ht="15" hidden="false" customHeight="false" outlineLevel="0" collapsed="false">
      <c r="A1187" s="7" t="n">
        <v>1186</v>
      </c>
      <c r="B1187" s="7" t="s">
        <v>1524</v>
      </c>
      <c r="C1187" s="7" t="s">
        <v>1525</v>
      </c>
      <c r="D1187" s="7" t="n">
        <v>2150</v>
      </c>
      <c r="E1187" s="7" t="s">
        <v>50</v>
      </c>
      <c r="F1187" s="10" t="b">
        <f aca="false">FALSE()</f>
        <v>0</v>
      </c>
      <c r="G1187" s="7" t="s">
        <v>202</v>
      </c>
      <c r="H1187" s="7" t="s">
        <v>398</v>
      </c>
      <c r="I1187" s="7" t="n">
        <v>3</v>
      </c>
      <c r="J1187" s="7" t="s">
        <v>107</v>
      </c>
      <c r="K1187" s="7" t="s">
        <v>107</v>
      </c>
      <c r="L1187" s="7"/>
      <c r="M1187" s="10" t="b">
        <f aca="false">FALSE()</f>
        <v>0</v>
      </c>
      <c r="N1187" s="7" t="s">
        <v>109</v>
      </c>
      <c r="O1187" s="7" t="n">
        <v>-33.819101</v>
      </c>
      <c r="P1187" s="7" t="n">
        <v>151.00456</v>
      </c>
    </row>
    <row r="1188" customFormat="false" ht="15" hidden="false" customHeight="false" outlineLevel="0" collapsed="false">
      <c r="A1188" s="7" t="n">
        <v>1187</v>
      </c>
      <c r="B1188" s="7" t="s">
        <v>1526</v>
      </c>
      <c r="C1188" s="7" t="s">
        <v>1527</v>
      </c>
      <c r="D1188" s="7" t="n">
        <v>2105</v>
      </c>
      <c r="E1188" s="7" t="s">
        <v>50</v>
      </c>
      <c r="F1188" s="10" t="b">
        <f aca="false">FALSE()</f>
        <v>0</v>
      </c>
      <c r="G1188" s="7" t="s">
        <v>286</v>
      </c>
      <c r="H1188" s="7" t="s">
        <v>398</v>
      </c>
      <c r="I1188" s="7" t="n">
        <v>2</v>
      </c>
      <c r="J1188" s="7" t="s">
        <v>107</v>
      </c>
      <c r="K1188" s="7" t="s">
        <v>107</v>
      </c>
      <c r="L1188" s="7"/>
      <c r="M1188" s="10" t="b">
        <f aca="false">FALSE()</f>
        <v>0</v>
      </c>
      <c r="N1188" s="7" t="s">
        <v>109</v>
      </c>
      <c r="O1188" s="7" t="n">
        <v>-33.651025</v>
      </c>
      <c r="P1188" s="7" t="n">
        <v>151.28913</v>
      </c>
    </row>
    <row r="1189" customFormat="false" ht="15" hidden="false" customHeight="false" outlineLevel="0" collapsed="false">
      <c r="A1189" s="7" t="n">
        <v>1188</v>
      </c>
      <c r="B1189" s="7" t="s">
        <v>1528</v>
      </c>
      <c r="C1189" s="7" t="s">
        <v>1529</v>
      </c>
      <c r="D1189" s="7" t="n">
        <v>2097</v>
      </c>
      <c r="E1189" s="7" t="s">
        <v>50</v>
      </c>
      <c r="F1189" s="10" t="b">
        <f aca="false">FALSE()</f>
        <v>0</v>
      </c>
      <c r="G1189" s="7" t="s">
        <v>286</v>
      </c>
      <c r="H1189" s="7" t="s">
        <v>398</v>
      </c>
      <c r="I1189" s="7" t="n">
        <v>2</v>
      </c>
      <c r="J1189" s="7" t="s">
        <v>107</v>
      </c>
      <c r="K1189" s="7" t="s">
        <v>107</v>
      </c>
      <c r="L1189" s="7"/>
      <c r="M1189" s="10" t="b">
        <f aca="false">FALSE()</f>
        <v>0</v>
      </c>
      <c r="N1189" s="7" t="s">
        <v>109</v>
      </c>
      <c r="O1189" s="7" t="n">
        <v>-33.730726</v>
      </c>
      <c r="P1189" s="7" t="n">
        <v>151.301064</v>
      </c>
    </row>
    <row r="1190" customFormat="false" ht="15" hidden="false" customHeight="false" outlineLevel="0" collapsed="false">
      <c r="A1190" s="7" t="n">
        <v>1189</v>
      </c>
      <c r="B1190" s="7" t="s">
        <v>1530</v>
      </c>
      <c r="C1190" s="7" t="s">
        <v>1531</v>
      </c>
      <c r="D1190" s="7" t="n">
        <v>2100</v>
      </c>
      <c r="E1190" s="7" t="s">
        <v>50</v>
      </c>
      <c r="F1190" s="10" t="b">
        <f aca="false">FALSE()</f>
        <v>0</v>
      </c>
      <c r="G1190" s="7" t="s">
        <v>286</v>
      </c>
      <c r="H1190" s="7" t="s">
        <v>398</v>
      </c>
      <c r="I1190" s="7" t="n">
        <v>1</v>
      </c>
      <c r="J1190" s="7" t="s">
        <v>107</v>
      </c>
      <c r="K1190" s="7" t="s">
        <v>107</v>
      </c>
      <c r="L1190" s="7"/>
      <c r="M1190" s="10" t="b">
        <f aca="false">FALSE()</f>
        <v>0</v>
      </c>
      <c r="N1190" s="7" t="s">
        <v>109</v>
      </c>
      <c r="O1190" s="7" t="n">
        <v>-33.760516</v>
      </c>
      <c r="P1190" s="7" t="n">
        <v>151.279858</v>
      </c>
    </row>
    <row r="1191" customFormat="false" ht="15" hidden="false" customHeight="false" outlineLevel="0" collapsed="false">
      <c r="A1191" s="7" t="n">
        <v>1190</v>
      </c>
      <c r="B1191" s="7" t="s">
        <v>1532</v>
      </c>
      <c r="C1191" s="7" t="s">
        <v>1533</v>
      </c>
      <c r="D1191" s="7" t="n">
        <v>2102</v>
      </c>
      <c r="E1191" s="7" t="s">
        <v>50</v>
      </c>
      <c r="F1191" s="10" t="b">
        <f aca="false">FALSE()</f>
        <v>0</v>
      </c>
      <c r="G1191" s="7" t="s">
        <v>286</v>
      </c>
      <c r="H1191" s="7" t="s">
        <v>398</v>
      </c>
      <c r="I1191" s="7" t="n">
        <v>2</v>
      </c>
      <c r="J1191" s="7" t="s">
        <v>107</v>
      </c>
      <c r="K1191" s="7" t="s">
        <v>107</v>
      </c>
      <c r="L1191" s="7"/>
      <c r="M1191" s="10" t="b">
        <f aca="false">FALSE()</f>
        <v>0</v>
      </c>
      <c r="N1191" s="7" t="s">
        <v>109</v>
      </c>
      <c r="O1191" s="7" t="n">
        <v>-33.677453</v>
      </c>
      <c r="P1191" s="7" t="n">
        <v>151.290911</v>
      </c>
    </row>
    <row r="1192" customFormat="false" ht="15" hidden="false" customHeight="false" outlineLevel="0" collapsed="false">
      <c r="A1192" s="7" t="n">
        <v>1191</v>
      </c>
      <c r="B1192" s="7" t="s">
        <v>1534</v>
      </c>
      <c r="C1192" s="7" t="s">
        <v>1535</v>
      </c>
      <c r="D1192" s="7" t="n">
        <v>2086</v>
      </c>
      <c r="E1192" s="7" t="s">
        <v>50</v>
      </c>
      <c r="F1192" s="10" t="b">
        <f aca="false">FALSE()</f>
        <v>0</v>
      </c>
      <c r="G1192" s="7" t="s">
        <v>286</v>
      </c>
      <c r="H1192" s="7" t="s">
        <v>398</v>
      </c>
      <c r="I1192" s="7" t="n">
        <v>1</v>
      </c>
      <c r="J1192" s="7" t="s">
        <v>107</v>
      </c>
      <c r="K1192" s="7" t="s">
        <v>107</v>
      </c>
      <c r="L1192" s="7"/>
      <c r="M1192" s="10" t="b">
        <f aca="false">FALSE()</f>
        <v>0</v>
      </c>
      <c r="N1192" s="7" t="s">
        <v>109</v>
      </c>
      <c r="O1192" s="7" t="n">
        <v>-33.751535</v>
      </c>
      <c r="P1192" s="7" t="n">
        <v>151.244171</v>
      </c>
    </row>
    <row r="1193" customFormat="false" ht="15" hidden="false" customHeight="false" outlineLevel="0" collapsed="false">
      <c r="A1193" s="7" t="n">
        <v>1192</v>
      </c>
      <c r="B1193" s="7" t="s">
        <v>1536</v>
      </c>
      <c r="C1193" s="7" t="s">
        <v>1537</v>
      </c>
      <c r="D1193" s="7" t="n">
        <v>2100</v>
      </c>
      <c r="E1193" s="7" t="s">
        <v>50</v>
      </c>
      <c r="F1193" s="10" t="b">
        <f aca="false">FALSE()</f>
        <v>0</v>
      </c>
      <c r="G1193" s="7" t="s">
        <v>286</v>
      </c>
      <c r="H1193" s="7" t="s">
        <v>398</v>
      </c>
      <c r="I1193" s="7" t="n">
        <v>2</v>
      </c>
      <c r="J1193" s="7" t="s">
        <v>107</v>
      </c>
      <c r="K1193" s="7" t="s">
        <v>107</v>
      </c>
      <c r="L1193" s="7"/>
      <c r="M1193" s="10" t="b">
        <f aca="false">FALSE()</f>
        <v>0</v>
      </c>
      <c r="N1193" s="7" t="s">
        <v>109</v>
      </c>
      <c r="O1193" s="7" t="n">
        <v>-33.764561</v>
      </c>
      <c r="P1193" s="7" t="n">
        <v>151.270573</v>
      </c>
    </row>
    <row r="1194" customFormat="false" ht="15" hidden="false" customHeight="false" outlineLevel="0" collapsed="false">
      <c r="A1194" s="7" t="n">
        <v>1193</v>
      </c>
      <c r="B1194" s="7" t="s">
        <v>1538</v>
      </c>
      <c r="C1194" s="7" t="s">
        <v>1539</v>
      </c>
      <c r="D1194" s="7" t="n">
        <v>2020</v>
      </c>
      <c r="E1194" s="7" t="s">
        <v>50</v>
      </c>
      <c r="F1194" s="10" t="b">
        <f aca="false">FALSE()</f>
        <v>0</v>
      </c>
      <c r="G1194" s="7" t="s">
        <v>380</v>
      </c>
      <c r="H1194" s="7" t="s">
        <v>398</v>
      </c>
      <c r="I1194" s="7" t="n">
        <v>2</v>
      </c>
      <c r="J1194" s="7" t="s">
        <v>107</v>
      </c>
      <c r="K1194" s="7" t="s">
        <v>107</v>
      </c>
      <c r="L1194" s="7"/>
      <c r="M1194" s="10" t="b">
        <f aca="false">FALSE()</f>
        <v>0</v>
      </c>
      <c r="N1194" s="7" t="s">
        <v>109</v>
      </c>
      <c r="O1194" s="7" t="n">
        <v>-33.927478</v>
      </c>
      <c r="P1194" s="7" t="n">
        <v>151.186967</v>
      </c>
    </row>
    <row r="1195" customFormat="false" ht="15" hidden="false" customHeight="false" outlineLevel="0" collapsed="false">
      <c r="A1195" s="7" t="n">
        <v>1194</v>
      </c>
      <c r="B1195" s="7" t="s">
        <v>1540</v>
      </c>
      <c r="C1195" s="7" t="s">
        <v>1541</v>
      </c>
      <c r="D1195" s="7" t="n">
        <v>2065</v>
      </c>
      <c r="E1195" s="7" t="s">
        <v>50</v>
      </c>
      <c r="F1195" s="10" t="b">
        <f aca="false">FALSE()</f>
        <v>0</v>
      </c>
      <c r="G1195" s="7" t="s">
        <v>332</v>
      </c>
      <c r="H1195" s="7" t="s">
        <v>398</v>
      </c>
      <c r="I1195" s="7" t="n">
        <v>2</v>
      </c>
      <c r="J1195" s="7" t="s">
        <v>107</v>
      </c>
      <c r="K1195" s="7" t="s">
        <v>107</v>
      </c>
      <c r="L1195" s="7"/>
      <c r="M1195" s="10" t="b">
        <f aca="false">FALSE()</f>
        <v>0</v>
      </c>
      <c r="N1195" s="7" t="s">
        <v>109</v>
      </c>
      <c r="O1195" s="7" t="n">
        <v>-33.818564</v>
      </c>
      <c r="P1195" s="7" t="n">
        <v>151.189419</v>
      </c>
    </row>
    <row r="1196" customFormat="false" ht="15" hidden="false" customHeight="false" outlineLevel="0" collapsed="false">
      <c r="A1196" s="7" t="n">
        <v>1195</v>
      </c>
      <c r="B1196" s="7"/>
      <c r="C1196" s="7" t="s">
        <v>1542</v>
      </c>
      <c r="D1196" s="7" t="n">
        <v>2065</v>
      </c>
      <c r="E1196" s="7" t="s">
        <v>50</v>
      </c>
      <c r="F1196" s="10" t="b">
        <f aca="false">FALSE()</f>
        <v>0</v>
      </c>
      <c r="G1196" s="7" t="s">
        <v>332</v>
      </c>
      <c r="H1196" s="7" t="s">
        <v>398</v>
      </c>
      <c r="I1196" s="7" t="n">
        <v>2</v>
      </c>
      <c r="J1196" s="7" t="s">
        <v>107</v>
      </c>
      <c r="K1196" s="7" t="s">
        <v>107</v>
      </c>
      <c r="L1196" s="7"/>
      <c r="M1196" s="10" t="b">
        <f aca="false">FALSE()</f>
        <v>0</v>
      </c>
      <c r="N1196" s="7" t="s">
        <v>109</v>
      </c>
      <c r="O1196" s="7" t="n">
        <v>-33.82693</v>
      </c>
      <c r="P1196" s="7" t="n">
        <v>151.199102</v>
      </c>
    </row>
    <row r="1197" customFormat="false" ht="15" hidden="false" customHeight="false" outlineLevel="0" collapsed="false">
      <c r="A1197" s="7" t="n">
        <v>1196</v>
      </c>
      <c r="B1197" s="7" t="s">
        <v>1543</v>
      </c>
      <c r="C1197" s="7" t="s">
        <v>1544</v>
      </c>
      <c r="D1197" s="7" t="n">
        <v>2112</v>
      </c>
      <c r="E1197" s="7" t="s">
        <v>50</v>
      </c>
      <c r="F1197" s="10" t="b">
        <f aca="false">FALSE()</f>
        <v>0</v>
      </c>
      <c r="G1197" s="7" t="s">
        <v>364</v>
      </c>
      <c r="H1197" s="7" t="s">
        <v>398</v>
      </c>
      <c r="I1197" s="7" t="n">
        <v>2</v>
      </c>
      <c r="J1197" s="7" t="s">
        <v>107</v>
      </c>
      <c r="K1197" s="7" t="s">
        <v>107</v>
      </c>
      <c r="L1197" s="7"/>
      <c r="M1197" s="10" t="b">
        <f aca="false">FALSE()</f>
        <v>0</v>
      </c>
      <c r="N1197" s="7" t="s">
        <v>109</v>
      </c>
      <c r="O1197" s="7" t="n">
        <v>-33.812306</v>
      </c>
      <c r="P1197" s="7" t="n">
        <v>151.105928</v>
      </c>
    </row>
    <row r="1198" customFormat="false" ht="15" hidden="false" customHeight="false" outlineLevel="0" collapsed="false">
      <c r="A1198" s="7" t="n">
        <v>1197</v>
      </c>
      <c r="B1198" s="7" t="s">
        <v>1545</v>
      </c>
      <c r="C1198" s="7" t="s">
        <v>1546</v>
      </c>
      <c r="D1198" s="7" t="n">
        <v>2065</v>
      </c>
      <c r="E1198" s="7" t="s">
        <v>50</v>
      </c>
      <c r="F1198" s="10" t="b">
        <f aca="false">FALSE()</f>
        <v>0</v>
      </c>
      <c r="G1198" s="7" t="s">
        <v>332</v>
      </c>
      <c r="H1198" s="7" t="s">
        <v>398</v>
      </c>
      <c r="I1198" s="7" t="n">
        <v>2</v>
      </c>
      <c r="J1198" s="7" t="s">
        <v>107</v>
      </c>
      <c r="K1198" s="7" t="s">
        <v>107</v>
      </c>
      <c r="L1198" s="7"/>
      <c r="M1198" s="10" t="b">
        <f aca="false">FALSE()</f>
        <v>0</v>
      </c>
      <c r="N1198" s="7" t="s">
        <v>109</v>
      </c>
      <c r="O1198" s="7" t="n">
        <v>-33.82444</v>
      </c>
      <c r="P1198" s="7" t="n">
        <v>151.199879</v>
      </c>
    </row>
    <row r="1199" customFormat="false" ht="15" hidden="false" customHeight="false" outlineLevel="0" collapsed="false">
      <c r="A1199" s="7" t="n">
        <v>1198</v>
      </c>
      <c r="B1199" s="7" t="s">
        <v>1547</v>
      </c>
      <c r="C1199" s="7" t="s">
        <v>1548</v>
      </c>
      <c r="D1199" s="7" t="n">
        <v>2067</v>
      </c>
      <c r="E1199" s="7" t="s">
        <v>50</v>
      </c>
      <c r="F1199" s="10" t="b">
        <f aca="false">FALSE()</f>
        <v>0</v>
      </c>
      <c r="G1199" s="7" t="s">
        <v>332</v>
      </c>
      <c r="H1199" s="7" t="s">
        <v>398</v>
      </c>
      <c r="I1199" s="7" t="n">
        <v>2</v>
      </c>
      <c r="J1199" s="7" t="s">
        <v>107</v>
      </c>
      <c r="K1199" s="7" t="s">
        <v>107</v>
      </c>
      <c r="L1199" s="7"/>
      <c r="M1199" s="10" t="b">
        <f aca="false">FALSE()</f>
        <v>0</v>
      </c>
      <c r="N1199" s="7" t="s">
        <v>109</v>
      </c>
      <c r="O1199" s="7" t="n">
        <v>-33.794945</v>
      </c>
      <c r="P1199" s="7" t="n">
        <v>151.188291</v>
      </c>
    </row>
    <row r="1200" customFormat="false" ht="15" hidden="false" customHeight="false" outlineLevel="0" collapsed="false">
      <c r="A1200" s="7" t="n">
        <v>1199</v>
      </c>
      <c r="B1200" s="7" t="s">
        <v>1549</v>
      </c>
      <c r="C1200" s="7" t="s">
        <v>1550</v>
      </c>
      <c r="D1200" s="7" t="n">
        <v>2060</v>
      </c>
      <c r="E1200" s="7" t="s">
        <v>50</v>
      </c>
      <c r="F1200" s="10" t="b">
        <f aca="false">FALSE()</f>
        <v>0</v>
      </c>
      <c r="G1200" s="7" t="s">
        <v>332</v>
      </c>
      <c r="H1200" s="7" t="s">
        <v>398</v>
      </c>
      <c r="I1200" s="7" t="n">
        <v>4</v>
      </c>
      <c r="J1200" s="7" t="s">
        <v>107</v>
      </c>
      <c r="K1200" s="7" t="s">
        <v>107</v>
      </c>
      <c r="L1200" s="7"/>
      <c r="M1200" s="10" t="b">
        <f aca="false">FALSE()</f>
        <v>0</v>
      </c>
      <c r="N1200" s="7" t="s">
        <v>109</v>
      </c>
      <c r="O1200" s="7" t="n">
        <v>-33.843209</v>
      </c>
      <c r="P1200" s="7" t="n">
        <v>151.217059</v>
      </c>
    </row>
    <row r="1201" customFormat="false" ht="15" hidden="false" customHeight="false" outlineLevel="0" collapsed="false">
      <c r="A1201" s="7" t="n">
        <v>1200</v>
      </c>
      <c r="B1201" s="7" t="s">
        <v>1551</v>
      </c>
      <c r="C1201" s="7" t="s">
        <v>1552</v>
      </c>
      <c r="D1201" s="7" t="n">
        <v>2000</v>
      </c>
      <c r="E1201" s="7" t="s">
        <v>50</v>
      </c>
      <c r="F1201" s="10" t="b">
        <f aca="false">FALSE()</f>
        <v>0</v>
      </c>
      <c r="G1201" s="7" t="s">
        <v>182</v>
      </c>
      <c r="H1201" s="7" t="s">
        <v>398</v>
      </c>
      <c r="I1201" s="7" t="n">
        <v>2</v>
      </c>
      <c r="J1201" s="7" t="s">
        <v>107</v>
      </c>
      <c r="K1201" s="7" t="s">
        <v>107</v>
      </c>
      <c r="L1201" s="7"/>
      <c r="M1201" s="10" t="b">
        <f aca="false">FALSE()</f>
        <v>0</v>
      </c>
      <c r="N1201" s="7" t="s">
        <v>109</v>
      </c>
      <c r="O1201" s="7" t="n">
        <v>-33.85934</v>
      </c>
      <c r="P1201" s="7" t="n">
        <v>151.213523</v>
      </c>
    </row>
    <row r="1202" customFormat="false" ht="15" hidden="false" customHeight="false" outlineLevel="0" collapsed="false">
      <c r="A1202" s="7" t="n">
        <v>1201</v>
      </c>
      <c r="B1202" s="7" t="s">
        <v>1553</v>
      </c>
      <c r="C1202" s="7" t="s">
        <v>1554</v>
      </c>
      <c r="D1202" s="7" t="n">
        <v>2000</v>
      </c>
      <c r="E1202" s="7" t="s">
        <v>50</v>
      </c>
      <c r="F1202" s="10" t="b">
        <f aca="false">FALSE()</f>
        <v>0</v>
      </c>
      <c r="G1202" s="7" t="s">
        <v>182</v>
      </c>
      <c r="H1202" s="7" t="s">
        <v>398</v>
      </c>
      <c r="I1202" s="7" t="n">
        <v>2</v>
      </c>
      <c r="J1202" s="7" t="s">
        <v>107</v>
      </c>
      <c r="K1202" s="7" t="s">
        <v>107</v>
      </c>
      <c r="L1202" s="7"/>
      <c r="M1202" s="10" t="b">
        <f aca="false">FALSE()</f>
        <v>0</v>
      </c>
      <c r="N1202" s="7" t="s">
        <v>109</v>
      </c>
      <c r="O1202" s="7" t="n">
        <v>-33.878274</v>
      </c>
      <c r="P1202" s="7" t="n">
        <v>151.202595</v>
      </c>
    </row>
    <row r="1203" customFormat="false" ht="15" hidden="false" customHeight="false" outlineLevel="0" collapsed="false">
      <c r="A1203" s="7" t="n">
        <v>1202</v>
      </c>
      <c r="B1203" s="7" t="s">
        <v>1555</v>
      </c>
      <c r="C1203" s="7" t="s">
        <v>1556</v>
      </c>
      <c r="D1203" s="7" t="n">
        <v>2008</v>
      </c>
      <c r="E1203" s="7" t="s">
        <v>50</v>
      </c>
      <c r="F1203" s="10" t="b">
        <f aca="false">FALSE()</f>
        <v>0</v>
      </c>
      <c r="G1203" s="7" t="s">
        <v>182</v>
      </c>
      <c r="H1203" s="7" t="s">
        <v>398</v>
      </c>
      <c r="I1203" s="7" t="n">
        <v>3</v>
      </c>
      <c r="J1203" s="7" t="s">
        <v>107</v>
      </c>
      <c r="K1203" s="7" t="s">
        <v>107</v>
      </c>
      <c r="L1203" s="7"/>
      <c r="M1203" s="10" t="b">
        <f aca="false">FALSE()</f>
        <v>0</v>
      </c>
      <c r="N1203" s="7" t="s">
        <v>109</v>
      </c>
      <c r="O1203" s="7" t="n">
        <v>-33.884713</v>
      </c>
      <c r="P1203" s="7" t="n">
        <v>151.19901</v>
      </c>
    </row>
    <row r="1204" customFormat="false" ht="15" hidden="false" customHeight="false" outlineLevel="0" collapsed="false">
      <c r="A1204" s="7" t="n">
        <v>1203</v>
      </c>
      <c r="B1204" s="7" t="s">
        <v>1557</v>
      </c>
      <c r="C1204" s="7" t="s">
        <v>1558</v>
      </c>
      <c r="D1204" s="7" t="n">
        <v>2580</v>
      </c>
      <c r="E1204" s="7" t="s">
        <v>50</v>
      </c>
      <c r="F1204" s="10" t="b">
        <f aca="false">FALSE()</f>
        <v>0</v>
      </c>
      <c r="G1204" s="7" t="s">
        <v>481</v>
      </c>
      <c r="H1204" s="7" t="s">
        <v>398</v>
      </c>
      <c r="I1204" s="7" t="n">
        <v>2</v>
      </c>
      <c r="J1204" s="7" t="s">
        <v>107</v>
      </c>
      <c r="K1204" s="7" t="s">
        <v>107</v>
      </c>
      <c r="L1204" s="7"/>
      <c r="M1204" s="10" t="b">
        <f aca="false">FALSE()</f>
        <v>0</v>
      </c>
      <c r="N1204" s="7" t="s">
        <v>374</v>
      </c>
      <c r="O1204" s="7" t="n">
        <v>-34.747564</v>
      </c>
      <c r="P1204" s="7" t="n">
        <v>149.743786</v>
      </c>
    </row>
    <row r="1205" customFormat="false" ht="15" hidden="false" customHeight="false" outlineLevel="0" collapsed="false">
      <c r="A1205" s="7" t="n">
        <v>1204</v>
      </c>
      <c r="B1205" s="7" t="s">
        <v>1559</v>
      </c>
      <c r="C1205" s="7" t="s">
        <v>1560</v>
      </c>
      <c r="D1205" s="7" t="n">
        <v>2546</v>
      </c>
      <c r="E1205" s="7" t="s">
        <v>50</v>
      </c>
      <c r="F1205" s="10" t="b">
        <f aca="false">FALSE()</f>
        <v>0</v>
      </c>
      <c r="G1205" s="7" t="s">
        <v>188</v>
      </c>
      <c r="H1205" s="7" t="s">
        <v>398</v>
      </c>
      <c r="I1205" s="7" t="n">
        <v>2</v>
      </c>
      <c r="J1205" s="7" t="s">
        <v>107</v>
      </c>
      <c r="K1205" s="7" t="s">
        <v>107</v>
      </c>
      <c r="L1205" s="7"/>
      <c r="M1205" s="10" t="b">
        <f aca="false">FALSE()</f>
        <v>0</v>
      </c>
      <c r="N1205" s="7" t="s">
        <v>399</v>
      </c>
      <c r="O1205" s="7" t="n">
        <v>-36.426337</v>
      </c>
      <c r="P1205" s="7" t="n">
        <v>150.081242</v>
      </c>
    </row>
    <row r="1206" customFormat="false" ht="15" hidden="false" customHeight="false" outlineLevel="0" collapsed="false">
      <c r="A1206" s="7" t="n">
        <v>1205</v>
      </c>
      <c r="B1206" s="7" t="s">
        <v>1561</v>
      </c>
      <c r="C1206" s="7" t="s">
        <v>1562</v>
      </c>
      <c r="D1206" s="7" t="n">
        <v>2722</v>
      </c>
      <c r="E1206" s="7" t="s">
        <v>50</v>
      </c>
      <c r="F1206" s="10" t="b">
        <f aca="false">FALSE()</f>
        <v>0</v>
      </c>
      <c r="G1206" s="7" t="s">
        <v>454</v>
      </c>
      <c r="H1206" s="7" t="s">
        <v>398</v>
      </c>
      <c r="I1206" s="7" t="n">
        <v>2</v>
      </c>
      <c r="J1206" s="7" t="s">
        <v>107</v>
      </c>
      <c r="K1206" s="7" t="s">
        <v>107</v>
      </c>
      <c r="L1206" s="7"/>
      <c r="M1206" s="10" t="b">
        <f aca="false">FALSE()</f>
        <v>0</v>
      </c>
      <c r="N1206" s="7" t="s">
        <v>399</v>
      </c>
      <c r="O1206" s="7" t="n">
        <v>-35.06431</v>
      </c>
      <c r="P1206" s="7" t="n">
        <v>148.097832</v>
      </c>
    </row>
    <row r="1207" customFormat="false" ht="15" hidden="false" customHeight="false" outlineLevel="0" collapsed="false">
      <c r="A1207" s="7" t="n">
        <v>1206</v>
      </c>
      <c r="B1207" s="7" t="s">
        <v>1563</v>
      </c>
      <c r="C1207" s="7" t="s">
        <v>1564</v>
      </c>
      <c r="D1207" s="7" t="n">
        <v>2481</v>
      </c>
      <c r="E1207" s="7" t="s">
        <v>50</v>
      </c>
      <c r="F1207" s="10" t="b">
        <f aca="false">FALSE()</f>
        <v>0</v>
      </c>
      <c r="G1207" s="7" t="s">
        <v>82</v>
      </c>
      <c r="H1207" s="7" t="s">
        <v>398</v>
      </c>
      <c r="I1207" s="7" t="n">
        <v>4</v>
      </c>
      <c r="J1207" s="7" t="s">
        <v>107</v>
      </c>
      <c r="K1207" s="7" t="s">
        <v>107</v>
      </c>
      <c r="L1207" s="7"/>
      <c r="M1207" s="10" t="b">
        <f aca="false">FALSE()</f>
        <v>0</v>
      </c>
      <c r="N1207" s="7" t="s">
        <v>374</v>
      </c>
      <c r="O1207" s="7" t="n">
        <v>-28.637344</v>
      </c>
      <c r="P1207" s="7" t="n">
        <v>153.580625</v>
      </c>
    </row>
    <row r="1208" customFormat="false" ht="15" hidden="false" customHeight="false" outlineLevel="0" collapsed="false">
      <c r="A1208" s="7" t="n">
        <v>1207</v>
      </c>
      <c r="B1208" s="7" t="s">
        <v>1565</v>
      </c>
      <c r="C1208" s="7" t="s">
        <v>1566</v>
      </c>
      <c r="D1208" s="7" t="n">
        <v>2722</v>
      </c>
      <c r="E1208" s="7" t="s">
        <v>50</v>
      </c>
      <c r="F1208" s="10" t="b">
        <f aca="false">FALSE()</f>
        <v>0</v>
      </c>
      <c r="G1208" s="7" t="s">
        <v>454</v>
      </c>
      <c r="H1208" s="7" t="s">
        <v>398</v>
      </c>
      <c r="I1208" s="7" t="n">
        <v>4</v>
      </c>
      <c r="J1208" s="7" t="s">
        <v>107</v>
      </c>
      <c r="K1208" s="7" t="s">
        <v>107</v>
      </c>
      <c r="L1208" s="7"/>
      <c r="M1208" s="10" t="b">
        <f aca="false">FALSE()</f>
        <v>0</v>
      </c>
      <c r="N1208" s="7" t="s">
        <v>399</v>
      </c>
      <c r="O1208" s="7" t="n">
        <v>-35.054226</v>
      </c>
      <c r="P1208" s="7" t="n">
        <v>148.104493</v>
      </c>
    </row>
    <row r="1209" customFormat="false" ht="15" hidden="false" customHeight="false" outlineLevel="0" collapsed="false">
      <c r="A1209" s="7" t="n">
        <v>1208</v>
      </c>
      <c r="B1209" s="7" t="s">
        <v>1567</v>
      </c>
      <c r="C1209" s="7" t="s">
        <v>1568</v>
      </c>
      <c r="D1209" s="7" t="n">
        <v>2546</v>
      </c>
      <c r="E1209" s="7" t="s">
        <v>50</v>
      </c>
      <c r="F1209" s="10" t="b">
        <f aca="false">FALSE()</f>
        <v>0</v>
      </c>
      <c r="G1209" s="7" t="s">
        <v>123</v>
      </c>
      <c r="H1209" s="7" t="s">
        <v>398</v>
      </c>
      <c r="I1209" s="7" t="n">
        <v>1</v>
      </c>
      <c r="J1209" s="7" t="s">
        <v>107</v>
      </c>
      <c r="K1209" s="7" t="s">
        <v>107</v>
      </c>
      <c r="L1209" s="7"/>
      <c r="M1209" s="10" t="b">
        <f aca="false">FALSE()</f>
        <v>0</v>
      </c>
      <c r="N1209" s="7" t="s">
        <v>399</v>
      </c>
      <c r="O1209" s="7" t="n">
        <v>-36.31205</v>
      </c>
      <c r="P1209" s="7" t="n">
        <v>150.076511</v>
      </c>
    </row>
    <row r="1210" customFormat="false" ht="15" hidden="false" customHeight="false" outlineLevel="0" collapsed="false">
      <c r="A1210" s="7" t="n">
        <v>1209</v>
      </c>
      <c r="B1210" s="7" t="s">
        <v>1569</v>
      </c>
      <c r="C1210" s="7" t="s">
        <v>1570</v>
      </c>
      <c r="D1210" s="7" t="n">
        <v>2540</v>
      </c>
      <c r="E1210" s="7" t="s">
        <v>50</v>
      </c>
      <c r="F1210" s="10" t="b">
        <f aca="false">FALSE()</f>
        <v>0</v>
      </c>
      <c r="G1210" s="7" t="s">
        <v>92</v>
      </c>
      <c r="H1210" s="7" t="s">
        <v>398</v>
      </c>
      <c r="I1210" s="7" t="n">
        <v>1</v>
      </c>
      <c r="J1210" s="7" t="s">
        <v>107</v>
      </c>
      <c r="K1210" s="7" t="s">
        <v>107</v>
      </c>
      <c r="L1210" s="7"/>
      <c r="M1210" s="10" t="b">
        <f aca="false">FALSE()</f>
        <v>0</v>
      </c>
      <c r="N1210" s="7" t="s">
        <v>399</v>
      </c>
      <c r="O1210" s="7" t="n">
        <v>-35.039918</v>
      </c>
      <c r="P1210" s="7" t="n">
        <v>150.672039</v>
      </c>
    </row>
    <row r="1211" customFormat="false" ht="15" hidden="false" customHeight="false" outlineLevel="0" collapsed="false">
      <c r="A1211" s="7" t="n">
        <v>1210</v>
      </c>
      <c r="B1211" s="7" t="s">
        <v>1571</v>
      </c>
      <c r="C1211" s="7" t="s">
        <v>1572</v>
      </c>
      <c r="D1211" s="7" t="n">
        <v>2463</v>
      </c>
      <c r="E1211" s="7" t="s">
        <v>50</v>
      </c>
      <c r="F1211" s="10" t="b">
        <f aca="false">FALSE()</f>
        <v>0</v>
      </c>
      <c r="G1211" s="7" t="s">
        <v>87</v>
      </c>
      <c r="H1211" s="7" t="s">
        <v>398</v>
      </c>
      <c r="I1211" s="7" t="n">
        <v>4</v>
      </c>
      <c r="J1211" s="7" t="s">
        <v>107</v>
      </c>
      <c r="K1211" s="7" t="s">
        <v>107</v>
      </c>
      <c r="L1211" s="7"/>
      <c r="M1211" s="10" t="b">
        <f aca="false">FALSE()</f>
        <v>0</v>
      </c>
      <c r="N1211" s="7" t="s">
        <v>399</v>
      </c>
      <c r="O1211" s="7" t="n">
        <v>-29.450129</v>
      </c>
      <c r="P1211" s="7" t="n">
        <v>153.200503</v>
      </c>
    </row>
    <row r="1212" customFormat="false" ht="15" hidden="false" customHeight="false" outlineLevel="0" collapsed="false">
      <c r="A1212" s="7" t="n">
        <v>1211</v>
      </c>
      <c r="B1212" s="7" t="s">
        <v>1573</v>
      </c>
      <c r="C1212" s="7" t="s">
        <v>1574</v>
      </c>
      <c r="D1212" s="7" t="n">
        <v>2850</v>
      </c>
      <c r="E1212" s="7" t="s">
        <v>50</v>
      </c>
      <c r="F1212" s="10" t="b">
        <f aca="false">FALSE()</f>
        <v>0</v>
      </c>
      <c r="G1212" s="7" t="s">
        <v>199</v>
      </c>
      <c r="H1212" s="7" t="s">
        <v>398</v>
      </c>
      <c r="I1212" s="7" t="n">
        <v>1</v>
      </c>
      <c r="J1212" s="7" t="s">
        <v>107</v>
      </c>
      <c r="K1212" s="7" t="s">
        <v>107</v>
      </c>
      <c r="L1212" s="7"/>
      <c r="M1212" s="10" t="b">
        <f aca="false">FALSE()</f>
        <v>0</v>
      </c>
      <c r="N1212" s="7" t="s">
        <v>399</v>
      </c>
      <c r="O1212" s="7" t="n">
        <v>-32.527193</v>
      </c>
      <c r="P1212" s="7" t="n">
        <v>149.624023</v>
      </c>
    </row>
    <row r="1213" customFormat="false" ht="15" hidden="false" customHeight="false" outlineLevel="0" collapsed="false">
      <c r="A1213" s="7" t="n">
        <v>1212</v>
      </c>
      <c r="B1213" s="7" t="s">
        <v>1575</v>
      </c>
      <c r="C1213" s="7" t="s">
        <v>397</v>
      </c>
      <c r="D1213" s="7" t="n">
        <v>2450</v>
      </c>
      <c r="E1213" s="7" t="s">
        <v>50</v>
      </c>
      <c r="F1213" s="10" t="b">
        <f aca="false">FALSE()</f>
        <v>0</v>
      </c>
      <c r="G1213" s="7" t="s">
        <v>360</v>
      </c>
      <c r="H1213" s="7" t="s">
        <v>398</v>
      </c>
      <c r="I1213" s="7" t="n">
        <v>4</v>
      </c>
      <c r="J1213" s="7" t="s">
        <v>107</v>
      </c>
      <c r="K1213" s="7" t="s">
        <v>107</v>
      </c>
      <c r="L1213" s="7"/>
      <c r="M1213" s="10" t="b">
        <f aca="false">FALSE()</f>
        <v>0</v>
      </c>
      <c r="N1213" s="7" t="s">
        <v>399</v>
      </c>
      <c r="O1213" s="7" t="n">
        <v>-30.292611</v>
      </c>
      <c r="P1213" s="7" t="n">
        <v>153.118387</v>
      </c>
    </row>
    <row r="1214" customFormat="false" ht="15" hidden="false" customHeight="false" outlineLevel="0" collapsed="false">
      <c r="A1214" s="7" t="n">
        <v>1213</v>
      </c>
      <c r="B1214" s="7"/>
      <c r="C1214" s="7" t="s">
        <v>1576</v>
      </c>
      <c r="D1214" s="7" t="n">
        <v>2539</v>
      </c>
      <c r="E1214" s="7" t="s">
        <v>50</v>
      </c>
      <c r="F1214" s="10" t="b">
        <f aca="false">FALSE()</f>
        <v>0</v>
      </c>
      <c r="G1214" s="7" t="s">
        <v>92</v>
      </c>
      <c r="H1214" s="7" t="s">
        <v>398</v>
      </c>
      <c r="I1214" s="7" t="n">
        <v>1</v>
      </c>
      <c r="J1214" s="7" t="s">
        <v>107</v>
      </c>
      <c r="K1214" s="7" t="s">
        <v>107</v>
      </c>
      <c r="L1214" s="7"/>
      <c r="M1214" s="10" t="b">
        <f aca="false">FALSE()</f>
        <v>0</v>
      </c>
      <c r="N1214" s="7" t="s">
        <v>399</v>
      </c>
      <c r="O1214" s="7" t="n">
        <v>-35.564023</v>
      </c>
      <c r="P1214" s="7" t="n">
        <v>150.368081</v>
      </c>
    </row>
    <row r="1215" customFormat="false" ht="15" hidden="false" customHeight="false" outlineLevel="0" collapsed="false">
      <c r="A1215" s="7" t="n">
        <v>1214</v>
      </c>
      <c r="B1215" s="7" t="s">
        <v>1577</v>
      </c>
      <c r="C1215" s="7" t="s">
        <v>1578</v>
      </c>
      <c r="D1215" s="7" t="n">
        <v>2785</v>
      </c>
      <c r="E1215" s="7" t="s">
        <v>50</v>
      </c>
      <c r="F1215" s="10" t="b">
        <f aca="false">FALSE()</f>
        <v>0</v>
      </c>
      <c r="G1215" s="7" t="s">
        <v>306</v>
      </c>
      <c r="H1215" s="7" t="s">
        <v>398</v>
      </c>
      <c r="I1215" s="7" t="n">
        <v>4</v>
      </c>
      <c r="J1215" s="7" t="s">
        <v>107</v>
      </c>
      <c r="K1215" s="7" t="s">
        <v>107</v>
      </c>
      <c r="L1215" s="7"/>
      <c r="M1215" s="10" t="b">
        <f aca="false">FALSE()</f>
        <v>0</v>
      </c>
      <c r="N1215" s="7" t="s">
        <v>374</v>
      </c>
      <c r="O1215" s="7" t="n">
        <v>-33.649426</v>
      </c>
      <c r="P1215" s="7" t="n">
        <v>150.287268</v>
      </c>
    </row>
    <row r="1216" customFormat="false" ht="15" hidden="false" customHeight="false" outlineLevel="0" collapsed="false">
      <c r="A1216" s="7" t="n">
        <v>1215</v>
      </c>
      <c r="B1216" s="7" t="s">
        <v>1579</v>
      </c>
      <c r="C1216" s="7" t="s">
        <v>1580</v>
      </c>
      <c r="D1216" s="7" t="n">
        <v>2333</v>
      </c>
      <c r="E1216" s="7" t="s">
        <v>50</v>
      </c>
      <c r="F1216" s="10" t="b">
        <f aca="false">FALSE()</f>
        <v>0</v>
      </c>
      <c r="G1216" s="7" t="s">
        <v>229</v>
      </c>
      <c r="H1216" s="7" t="s">
        <v>398</v>
      </c>
      <c r="I1216" s="7" t="n">
        <v>4</v>
      </c>
      <c r="J1216" s="7" t="s">
        <v>107</v>
      </c>
      <c r="K1216" s="7" t="s">
        <v>107</v>
      </c>
      <c r="L1216" s="7"/>
      <c r="M1216" s="10" t="b">
        <f aca="false">FALSE()</f>
        <v>0</v>
      </c>
      <c r="N1216" s="7" t="s">
        <v>399</v>
      </c>
      <c r="O1216" s="7" t="n">
        <v>-32.251742</v>
      </c>
      <c r="P1216" s="7" t="n">
        <v>150.891013</v>
      </c>
    </row>
    <row r="1217" customFormat="false" ht="15" hidden="false" customHeight="false" outlineLevel="0" collapsed="false">
      <c r="A1217" s="7" t="n">
        <v>1216</v>
      </c>
      <c r="B1217" s="7" t="s">
        <v>1581</v>
      </c>
      <c r="C1217" s="7" t="s">
        <v>1582</v>
      </c>
      <c r="D1217" s="7" t="n">
        <v>2631</v>
      </c>
      <c r="E1217" s="7" t="s">
        <v>50</v>
      </c>
      <c r="F1217" s="10" t="b">
        <f aca="false">FALSE()</f>
        <v>0</v>
      </c>
      <c r="G1217" s="7" t="s">
        <v>177</v>
      </c>
      <c r="H1217" s="7" t="s">
        <v>398</v>
      </c>
      <c r="I1217" s="7" t="n">
        <v>2</v>
      </c>
      <c r="J1217" s="7" t="s">
        <v>107</v>
      </c>
      <c r="K1217" s="7" t="s">
        <v>107</v>
      </c>
      <c r="L1217" s="7"/>
      <c r="M1217" s="10" t="b">
        <f aca="false">FALSE()</f>
        <v>0</v>
      </c>
      <c r="N1217" s="7" t="s">
        <v>399</v>
      </c>
      <c r="O1217" s="7" t="n">
        <v>-36.505705</v>
      </c>
      <c r="P1217" s="7" t="n">
        <v>149.284652</v>
      </c>
    </row>
    <row r="1218" customFormat="false" ht="15" hidden="false" customHeight="false" outlineLevel="0" collapsed="false">
      <c r="A1218" s="7" t="n">
        <v>1217</v>
      </c>
      <c r="B1218" s="7" t="s">
        <v>1583</v>
      </c>
      <c r="C1218" s="7" t="s">
        <v>1584</v>
      </c>
      <c r="D1218" s="7" t="n">
        <v>2711</v>
      </c>
      <c r="E1218" s="7" t="s">
        <v>50</v>
      </c>
      <c r="F1218" s="10" t="b">
        <f aca="false">FALSE()</f>
        <v>0</v>
      </c>
      <c r="G1218" s="7" t="s">
        <v>89</v>
      </c>
      <c r="H1218" s="7" t="s">
        <v>398</v>
      </c>
      <c r="I1218" s="7" t="n">
        <v>2</v>
      </c>
      <c r="J1218" s="7" t="s">
        <v>107</v>
      </c>
      <c r="K1218" s="7" t="s">
        <v>107</v>
      </c>
      <c r="L1218" s="7"/>
      <c r="M1218" s="10" t="b">
        <f aca="false">FALSE()</f>
        <v>0</v>
      </c>
      <c r="N1218" s="7" t="s">
        <v>399</v>
      </c>
      <c r="O1218" s="7" t="n">
        <v>-34.507837</v>
      </c>
      <c r="P1218" s="7" t="n">
        <v>144.84319</v>
      </c>
    </row>
    <row r="1219" customFormat="false" ht="15" hidden="false" customHeight="false" outlineLevel="0" collapsed="false">
      <c r="A1219" s="7" t="n">
        <v>1218</v>
      </c>
      <c r="B1219" s="7" t="s">
        <v>1585</v>
      </c>
      <c r="C1219" s="7" t="s">
        <v>1586</v>
      </c>
      <c r="D1219" s="7" t="n">
        <v>2700</v>
      </c>
      <c r="E1219" s="7" t="s">
        <v>50</v>
      </c>
      <c r="F1219" s="10" t="b">
        <f aca="false">FALSE()</f>
        <v>0</v>
      </c>
      <c r="G1219" s="7" t="s">
        <v>121</v>
      </c>
      <c r="H1219" s="7" t="s">
        <v>398</v>
      </c>
      <c r="I1219" s="7" t="n">
        <v>2</v>
      </c>
      <c r="J1219" s="7" t="s">
        <v>107</v>
      </c>
      <c r="K1219" s="7" t="s">
        <v>107</v>
      </c>
      <c r="L1219" s="7"/>
      <c r="M1219" s="10" t="b">
        <f aca="false">FALSE()</f>
        <v>0</v>
      </c>
      <c r="N1219" s="7" t="s">
        <v>399</v>
      </c>
      <c r="O1219" s="7" t="n">
        <v>-34.763256</v>
      </c>
      <c r="P1219" s="7" t="n">
        <v>146.537421</v>
      </c>
    </row>
    <row r="1220" customFormat="false" ht="15" hidden="false" customHeight="false" outlineLevel="0" collapsed="false">
      <c r="A1220" s="7" t="n">
        <v>1219</v>
      </c>
      <c r="B1220" s="7" t="s">
        <v>1587</v>
      </c>
      <c r="C1220" s="7" t="s">
        <v>1588</v>
      </c>
      <c r="D1220" s="7" t="n">
        <v>2257</v>
      </c>
      <c r="E1220" s="7" t="s">
        <v>50</v>
      </c>
      <c r="F1220" s="10" t="b">
        <f aca="false">FALSE()</f>
        <v>0</v>
      </c>
      <c r="G1220" s="7" t="s">
        <v>276</v>
      </c>
      <c r="H1220" s="7" t="s">
        <v>398</v>
      </c>
      <c r="I1220" s="7" t="n">
        <v>1</v>
      </c>
      <c r="J1220" s="7" t="s">
        <v>107</v>
      </c>
      <c r="K1220" s="7" t="s">
        <v>107</v>
      </c>
      <c r="L1220" s="7"/>
      <c r="M1220" s="10" t="b">
        <f aca="false">FALSE()</f>
        <v>0</v>
      </c>
      <c r="N1220" s="7" t="s">
        <v>399</v>
      </c>
      <c r="O1220" s="7" t="n">
        <v>-33.524295</v>
      </c>
      <c r="P1220" s="7" t="n">
        <v>151.375162</v>
      </c>
    </row>
    <row r="1221" customFormat="false" ht="15" hidden="false" customHeight="false" outlineLevel="0" collapsed="false">
      <c r="A1221" s="7" t="n">
        <v>1220</v>
      </c>
      <c r="B1221" s="7" t="s">
        <v>1589</v>
      </c>
      <c r="C1221" s="7" t="s">
        <v>1590</v>
      </c>
      <c r="D1221" s="7" t="n">
        <v>2580</v>
      </c>
      <c r="E1221" s="7" t="s">
        <v>50</v>
      </c>
      <c r="F1221" s="10" t="b">
        <f aca="false">FALSE()</f>
        <v>0</v>
      </c>
      <c r="G1221" s="7" t="s">
        <v>481</v>
      </c>
      <c r="H1221" s="7" t="s">
        <v>398</v>
      </c>
      <c r="I1221" s="7" t="n">
        <v>1</v>
      </c>
      <c r="J1221" s="7" t="s">
        <v>107</v>
      </c>
      <c r="K1221" s="7" t="s">
        <v>107</v>
      </c>
      <c r="L1221" s="7"/>
      <c r="M1221" s="10" t="b">
        <f aca="false">FALSE()</f>
        <v>0</v>
      </c>
      <c r="N1221" s="7" t="s">
        <v>399</v>
      </c>
      <c r="O1221" s="7" t="n">
        <v>-35.02389</v>
      </c>
      <c r="P1221" s="7" t="n">
        <v>149.829478</v>
      </c>
    </row>
    <row r="1222" customFormat="false" ht="15" hidden="false" customHeight="false" outlineLevel="0" collapsed="false">
      <c r="A1222" s="7" t="n">
        <v>1221</v>
      </c>
      <c r="B1222" s="7" t="s">
        <v>1591</v>
      </c>
      <c r="C1222" s="7" t="s">
        <v>1592</v>
      </c>
      <c r="D1222" s="7" t="n">
        <v>2551</v>
      </c>
      <c r="E1222" s="7" t="s">
        <v>50</v>
      </c>
      <c r="F1222" s="10" t="b">
        <f aca="false">FALSE()</f>
        <v>0</v>
      </c>
      <c r="G1222" s="7" t="s">
        <v>188</v>
      </c>
      <c r="H1222" s="7" t="s">
        <v>398</v>
      </c>
      <c r="I1222" s="7" t="n">
        <v>2</v>
      </c>
      <c r="J1222" s="7" t="s">
        <v>107</v>
      </c>
      <c r="K1222" s="7" t="s">
        <v>107</v>
      </c>
      <c r="L1222" s="7"/>
      <c r="M1222" s="10" t="b">
        <f aca="false">FALSE()</f>
        <v>0</v>
      </c>
      <c r="N1222" s="7" t="s">
        <v>374</v>
      </c>
      <c r="O1222" s="7" t="n">
        <v>-37.067768</v>
      </c>
      <c r="P1222" s="7" t="n">
        <v>149.908046</v>
      </c>
    </row>
    <row r="1223" customFormat="false" ht="15" hidden="false" customHeight="false" outlineLevel="0" collapsed="false">
      <c r="A1223" s="7" t="n">
        <v>1222</v>
      </c>
      <c r="B1223" s="7" t="s">
        <v>1593</v>
      </c>
      <c r="C1223" s="7" t="s">
        <v>1594</v>
      </c>
      <c r="D1223" s="7" t="n">
        <v>2473</v>
      </c>
      <c r="E1223" s="7" t="s">
        <v>50</v>
      </c>
      <c r="F1223" s="10" t="b">
        <f aca="false">FALSE()</f>
        <v>0</v>
      </c>
      <c r="G1223" s="7" t="s">
        <v>78</v>
      </c>
      <c r="H1223" s="7" t="s">
        <v>398</v>
      </c>
      <c r="I1223" s="7" t="n">
        <v>4</v>
      </c>
      <c r="J1223" s="7" t="s">
        <v>107</v>
      </c>
      <c r="K1223" s="7" t="s">
        <v>107</v>
      </c>
      <c r="L1223" s="7"/>
      <c r="M1223" s="10" t="b">
        <f aca="false">FALSE()</f>
        <v>0</v>
      </c>
      <c r="N1223" s="7" t="s">
        <v>399</v>
      </c>
      <c r="O1223" s="7" t="n">
        <v>-29.115317</v>
      </c>
      <c r="P1223" s="7" t="n">
        <v>153.433247</v>
      </c>
    </row>
    <row r="1224" customFormat="false" ht="15" hidden="false" customHeight="false" outlineLevel="0" collapsed="false">
      <c r="A1224" s="7" t="n">
        <v>1223</v>
      </c>
      <c r="B1224" s="7" t="s">
        <v>1595</v>
      </c>
      <c r="C1224" s="7" t="s">
        <v>1596</v>
      </c>
      <c r="D1224" s="7" t="n">
        <v>2261</v>
      </c>
      <c r="E1224" s="7" t="s">
        <v>50</v>
      </c>
      <c r="F1224" s="10" t="b">
        <f aca="false">FALSE()</f>
        <v>0</v>
      </c>
      <c r="G1224" s="7" t="s">
        <v>276</v>
      </c>
      <c r="H1224" s="7" t="s">
        <v>398</v>
      </c>
      <c r="I1224" s="7" t="n">
        <v>2</v>
      </c>
      <c r="J1224" s="7" t="s">
        <v>107</v>
      </c>
      <c r="K1224" s="7" t="s">
        <v>107</v>
      </c>
      <c r="L1224" s="7"/>
      <c r="M1224" s="10" t="b">
        <f aca="false">FALSE()</f>
        <v>0</v>
      </c>
      <c r="N1224" s="7" t="s">
        <v>374</v>
      </c>
      <c r="O1224" s="7" t="n">
        <v>-33.350285</v>
      </c>
      <c r="P1224" s="7" t="n">
        <v>151.492775</v>
      </c>
    </row>
    <row r="1225" customFormat="false" ht="15" hidden="false" customHeight="false" outlineLevel="0" collapsed="false">
      <c r="A1225" s="7" t="n">
        <v>1224</v>
      </c>
      <c r="B1225" s="7" t="s">
        <v>1597</v>
      </c>
      <c r="C1225" s="7" t="s">
        <v>1598</v>
      </c>
      <c r="D1225" s="7" t="n">
        <v>2732</v>
      </c>
      <c r="E1225" s="7" t="s">
        <v>50</v>
      </c>
      <c r="F1225" s="10" t="b">
        <f aca="false">FALSE()</f>
        <v>0</v>
      </c>
      <c r="G1225" s="7" t="s">
        <v>914</v>
      </c>
      <c r="H1225" s="7" t="s">
        <v>398</v>
      </c>
      <c r="I1225" s="7" t="n">
        <v>2</v>
      </c>
      <c r="J1225" s="7" t="s">
        <v>107</v>
      </c>
      <c r="K1225" s="7" t="s">
        <v>107</v>
      </c>
      <c r="L1225" s="7"/>
      <c r="M1225" s="10" t="b">
        <f aca="false">FALSE()</f>
        <v>0</v>
      </c>
      <c r="N1225" s="7" t="s">
        <v>399</v>
      </c>
      <c r="O1225" s="7" t="n">
        <v>-35.627466</v>
      </c>
      <c r="P1225" s="7" t="n">
        <v>144.125139</v>
      </c>
    </row>
    <row r="1226" customFormat="false" ht="15" hidden="false" customHeight="false" outlineLevel="0" collapsed="false">
      <c r="A1226" s="7" t="n">
        <v>1225</v>
      </c>
      <c r="B1226" s="7" t="s">
        <v>1599</v>
      </c>
      <c r="C1226" s="7" t="s">
        <v>1600</v>
      </c>
      <c r="D1226" s="7" t="n">
        <v>2325</v>
      </c>
      <c r="E1226" s="7" t="s">
        <v>50</v>
      </c>
      <c r="F1226" s="10" t="b">
        <f aca="false">FALSE()</f>
        <v>0</v>
      </c>
      <c r="G1226" s="7" t="s">
        <v>111</v>
      </c>
      <c r="H1226" s="7" t="s">
        <v>398</v>
      </c>
      <c r="I1226" s="7" t="n">
        <v>1</v>
      </c>
      <c r="J1226" s="7" t="s">
        <v>107</v>
      </c>
      <c r="K1226" s="7" t="s">
        <v>107</v>
      </c>
      <c r="L1226" s="7"/>
      <c r="M1226" s="10" t="b">
        <f aca="false">FALSE()</f>
        <v>0</v>
      </c>
      <c r="N1226" s="7" t="s">
        <v>399</v>
      </c>
      <c r="O1226" s="7" t="n">
        <v>-32.797257</v>
      </c>
      <c r="P1226" s="7" t="n">
        <v>151.368245</v>
      </c>
    </row>
    <row r="1227" customFormat="false" ht="15" hidden="false" customHeight="false" outlineLevel="0" collapsed="false">
      <c r="A1227" s="7" t="n">
        <v>1226</v>
      </c>
      <c r="B1227" s="7" t="s">
        <v>1601</v>
      </c>
      <c r="C1227" s="7" t="s">
        <v>1602</v>
      </c>
      <c r="D1227" s="7" t="n">
        <v>2360</v>
      </c>
      <c r="E1227" s="7" t="s">
        <v>50</v>
      </c>
      <c r="F1227" s="10" t="b">
        <f aca="false">FALSE()</f>
        <v>0</v>
      </c>
      <c r="G1227" s="7" t="s">
        <v>169</v>
      </c>
      <c r="H1227" s="7" t="s">
        <v>398</v>
      </c>
      <c r="I1227" s="7" t="n">
        <v>2</v>
      </c>
      <c r="J1227" s="7" t="s">
        <v>107</v>
      </c>
      <c r="K1227" s="7" t="s">
        <v>107</v>
      </c>
      <c r="L1227" s="7"/>
      <c r="M1227" s="10" t="b">
        <f aca="false">FALSE()</f>
        <v>0</v>
      </c>
      <c r="N1227" s="7" t="s">
        <v>399</v>
      </c>
      <c r="O1227" s="7" t="n">
        <v>-29.781602</v>
      </c>
      <c r="P1227" s="7" t="n">
        <v>151.132368</v>
      </c>
    </row>
    <row r="1228" customFormat="false" ht="15" hidden="false" customHeight="false" outlineLevel="0" collapsed="false">
      <c r="A1228" s="7" t="n">
        <v>1227</v>
      </c>
      <c r="B1228" s="7" t="s">
        <v>1603</v>
      </c>
      <c r="C1228" s="7" t="s">
        <v>1604</v>
      </c>
      <c r="D1228" s="7" t="n">
        <v>2550</v>
      </c>
      <c r="E1228" s="7" t="s">
        <v>50</v>
      </c>
      <c r="F1228" s="10" t="b">
        <f aca="false">FALSE()</f>
        <v>0</v>
      </c>
      <c r="G1228" s="7" t="s">
        <v>188</v>
      </c>
      <c r="H1228" s="7" t="s">
        <v>398</v>
      </c>
      <c r="I1228" s="7" t="n">
        <v>3</v>
      </c>
      <c r="J1228" s="7" t="s">
        <v>107</v>
      </c>
      <c r="K1228" s="7" t="s">
        <v>107</v>
      </c>
      <c r="L1228" s="7"/>
      <c r="M1228" s="10" t="b">
        <f aca="false">FALSE()</f>
        <v>0</v>
      </c>
      <c r="N1228" s="7" t="s">
        <v>399</v>
      </c>
      <c r="O1228" s="7" t="n">
        <v>-36.682365</v>
      </c>
      <c r="P1228" s="7" t="n">
        <v>149.839409</v>
      </c>
    </row>
    <row r="1229" customFormat="false" ht="15" hidden="false" customHeight="false" outlineLevel="0" collapsed="false">
      <c r="A1229" s="7" t="n">
        <v>1228</v>
      </c>
      <c r="B1229" s="7"/>
      <c r="C1229" s="7" t="s">
        <v>1605</v>
      </c>
      <c r="D1229" s="7" t="n">
        <v>2785</v>
      </c>
      <c r="E1229" s="7" t="s">
        <v>50</v>
      </c>
      <c r="F1229" s="10" t="b">
        <f aca="false">FALSE()</f>
        <v>0</v>
      </c>
      <c r="G1229" s="7" t="s">
        <v>306</v>
      </c>
      <c r="H1229" s="7" t="s">
        <v>398</v>
      </c>
      <c r="I1229" s="7" t="n">
        <v>4</v>
      </c>
      <c r="J1229" s="7" t="s">
        <v>107</v>
      </c>
      <c r="K1229" s="7" t="s">
        <v>107</v>
      </c>
      <c r="L1229" s="7"/>
      <c r="M1229" s="10" t="b">
        <f aca="false">FALSE()</f>
        <v>0</v>
      </c>
      <c r="N1229" s="7" t="s">
        <v>399</v>
      </c>
      <c r="O1229" s="7" t="n">
        <v>-33.640443</v>
      </c>
      <c r="P1229" s="7" t="n">
        <v>150.285698</v>
      </c>
    </row>
    <row r="1230" customFormat="false" ht="15" hidden="false" customHeight="false" outlineLevel="0" collapsed="false">
      <c r="A1230" s="7" t="n">
        <v>1229</v>
      </c>
      <c r="B1230" s="7" t="s">
        <v>1606</v>
      </c>
      <c r="C1230" s="7" t="s">
        <v>1607</v>
      </c>
      <c r="D1230" s="7" t="n">
        <v>2463</v>
      </c>
      <c r="E1230" s="7" t="s">
        <v>50</v>
      </c>
      <c r="F1230" s="10" t="b">
        <f aca="false">FALSE()</f>
        <v>0</v>
      </c>
      <c r="G1230" s="7" t="s">
        <v>87</v>
      </c>
      <c r="H1230" s="7" t="s">
        <v>398</v>
      </c>
      <c r="I1230" s="7" t="n">
        <v>2</v>
      </c>
      <c r="J1230" s="7" t="s">
        <v>107</v>
      </c>
      <c r="K1230" s="7" t="s">
        <v>107</v>
      </c>
      <c r="L1230" s="7"/>
      <c r="M1230" s="10" t="b">
        <f aca="false">FALSE()</f>
        <v>0</v>
      </c>
      <c r="N1230" s="7" t="s">
        <v>399</v>
      </c>
      <c r="O1230" s="7" t="n">
        <v>-29.45687</v>
      </c>
      <c r="P1230" s="7" t="n">
        <v>153.198811</v>
      </c>
    </row>
    <row r="1231" customFormat="false" ht="15" hidden="false" customHeight="false" outlineLevel="0" collapsed="false">
      <c r="A1231" s="7" t="n">
        <v>1230</v>
      </c>
      <c r="B1231" s="7" t="s">
        <v>1608</v>
      </c>
      <c r="C1231" s="7" t="s">
        <v>1609</v>
      </c>
      <c r="D1231" s="7" t="n">
        <v>2540</v>
      </c>
      <c r="E1231" s="7" t="s">
        <v>50</v>
      </c>
      <c r="F1231" s="10" t="b">
        <f aca="false">FALSE()</f>
        <v>0</v>
      </c>
      <c r="G1231" s="7" t="s">
        <v>92</v>
      </c>
      <c r="H1231" s="7" t="s">
        <v>398</v>
      </c>
      <c r="I1231" s="7" t="n">
        <v>1</v>
      </c>
      <c r="J1231" s="7" t="s">
        <v>107</v>
      </c>
      <c r="K1231" s="7" t="s">
        <v>107</v>
      </c>
      <c r="L1231" s="7"/>
      <c r="M1231" s="10" t="b">
        <f aca="false">FALSE()</f>
        <v>0</v>
      </c>
      <c r="N1231" s="7" t="s">
        <v>399</v>
      </c>
      <c r="O1231" s="7" t="n">
        <v>-35.048461</v>
      </c>
      <c r="P1231" s="7" t="n">
        <v>150.674738</v>
      </c>
    </row>
    <row r="1232" customFormat="false" ht="15" hidden="false" customHeight="false" outlineLevel="0" collapsed="false">
      <c r="A1232" s="7" t="n">
        <v>1231</v>
      </c>
      <c r="B1232" s="7" t="s">
        <v>1610</v>
      </c>
      <c r="C1232" s="7" t="s">
        <v>1611</v>
      </c>
      <c r="D1232" s="7" t="n">
        <v>2320</v>
      </c>
      <c r="E1232" s="7" t="s">
        <v>50</v>
      </c>
      <c r="F1232" s="10" t="b">
        <f aca="false">FALSE()</f>
        <v>0</v>
      </c>
      <c r="G1232" s="7" t="s">
        <v>111</v>
      </c>
      <c r="H1232" s="7" t="s">
        <v>398</v>
      </c>
      <c r="I1232" s="7" t="n">
        <v>4</v>
      </c>
      <c r="J1232" s="7" t="s">
        <v>107</v>
      </c>
      <c r="K1232" s="7" t="s">
        <v>107</v>
      </c>
      <c r="L1232" s="7"/>
      <c r="M1232" s="10" t="b">
        <f aca="false">FALSE()</f>
        <v>0</v>
      </c>
      <c r="N1232" s="7" t="s">
        <v>399</v>
      </c>
      <c r="O1232" s="7" t="n">
        <v>-32.753151</v>
      </c>
      <c r="P1232" s="7" t="n">
        <v>151.319067</v>
      </c>
    </row>
    <row r="1233" customFormat="false" ht="15" hidden="false" customHeight="false" outlineLevel="0" collapsed="false">
      <c r="A1233" s="7" t="n">
        <v>1232</v>
      </c>
      <c r="B1233" s="7" t="s">
        <v>1612</v>
      </c>
      <c r="C1233" s="7" t="s">
        <v>1613</v>
      </c>
      <c r="D1233" s="7" t="n">
        <v>2830</v>
      </c>
      <c r="E1233" s="7" t="s">
        <v>50</v>
      </c>
      <c r="F1233" s="10" t="b">
        <f aca="false">FALSE()</f>
        <v>0</v>
      </c>
      <c r="G1233" s="7" t="s">
        <v>227</v>
      </c>
      <c r="H1233" s="7" t="s">
        <v>398</v>
      </c>
      <c r="I1233" s="7" t="n">
        <v>2</v>
      </c>
      <c r="J1233" s="7" t="s">
        <v>107</v>
      </c>
      <c r="K1233" s="7" t="s">
        <v>107</v>
      </c>
      <c r="L1233" s="7"/>
      <c r="M1233" s="10" t="b">
        <f aca="false">FALSE()</f>
        <v>0</v>
      </c>
      <c r="N1233" s="7" t="s">
        <v>399</v>
      </c>
      <c r="O1233" s="7" t="n">
        <v>-32.250909</v>
      </c>
      <c r="P1233" s="7" t="n">
        <v>148.601418</v>
      </c>
    </row>
    <row r="1234" customFormat="false" ht="15" hidden="false" customHeight="false" outlineLevel="0" collapsed="false">
      <c r="A1234" s="7" t="n">
        <v>1233</v>
      </c>
      <c r="B1234" s="7" t="s">
        <v>1614</v>
      </c>
      <c r="C1234" s="7" t="s">
        <v>1615</v>
      </c>
      <c r="D1234" s="7" t="n">
        <v>2680</v>
      </c>
      <c r="E1234" s="7" t="s">
        <v>50</v>
      </c>
      <c r="F1234" s="10" t="b">
        <f aca="false">FALSE()</f>
        <v>0</v>
      </c>
      <c r="G1234" s="7" t="s">
        <v>270</v>
      </c>
      <c r="H1234" s="7" t="s">
        <v>398</v>
      </c>
      <c r="I1234" s="7" t="n">
        <v>2</v>
      </c>
      <c r="J1234" s="7" t="s">
        <v>107</v>
      </c>
      <c r="K1234" s="7" t="s">
        <v>107</v>
      </c>
      <c r="L1234" s="7"/>
      <c r="M1234" s="10" t="b">
        <f aca="false">FALSE()</f>
        <v>0</v>
      </c>
      <c r="N1234" s="7" t="s">
        <v>399</v>
      </c>
      <c r="O1234" s="7" t="n">
        <v>-34.266839</v>
      </c>
      <c r="P1234" s="7" t="n">
        <v>146.062046</v>
      </c>
    </row>
    <row r="1235" customFormat="false" ht="15" hidden="false" customHeight="false" outlineLevel="0" collapsed="false">
      <c r="A1235" s="7" t="n">
        <v>1234</v>
      </c>
      <c r="B1235" s="7" t="s">
        <v>1616</v>
      </c>
      <c r="C1235" s="7" t="s">
        <v>1617</v>
      </c>
      <c r="D1235" s="7" t="n">
        <v>2785</v>
      </c>
      <c r="E1235" s="7" t="s">
        <v>50</v>
      </c>
      <c r="F1235" s="10" t="b">
        <f aca="false">FALSE()</f>
        <v>0</v>
      </c>
      <c r="G1235" s="7" t="s">
        <v>306</v>
      </c>
      <c r="H1235" s="7" t="s">
        <v>398</v>
      </c>
      <c r="I1235" s="7" t="n">
        <v>1</v>
      </c>
      <c r="J1235" s="7" t="s">
        <v>107</v>
      </c>
      <c r="K1235" s="7" t="s">
        <v>107</v>
      </c>
      <c r="L1235" s="7"/>
      <c r="M1235" s="10" t="b">
        <f aca="false">FALSE()</f>
        <v>0</v>
      </c>
      <c r="N1235" s="7" t="s">
        <v>399</v>
      </c>
      <c r="O1235" s="7" t="n">
        <v>-33.632531</v>
      </c>
      <c r="P1235" s="7" t="n">
        <v>150.281671</v>
      </c>
    </row>
    <row r="1236" customFormat="false" ht="15" hidden="false" customHeight="false" outlineLevel="0" collapsed="false">
      <c r="A1236" s="7" t="n">
        <v>1235</v>
      </c>
      <c r="B1236" s="7" t="s">
        <v>1618</v>
      </c>
      <c r="C1236" s="7" t="s">
        <v>1619</v>
      </c>
      <c r="D1236" s="7" t="n">
        <v>2315</v>
      </c>
      <c r="E1236" s="7" t="s">
        <v>50</v>
      </c>
      <c r="F1236" s="10" t="b">
        <f aca="false">FALSE()</f>
        <v>0</v>
      </c>
      <c r="G1236" s="7" t="s">
        <v>309</v>
      </c>
      <c r="H1236" s="7" t="s">
        <v>398</v>
      </c>
      <c r="I1236" s="7" t="n">
        <v>1</v>
      </c>
      <c r="J1236" s="7" t="s">
        <v>107</v>
      </c>
      <c r="K1236" s="7" t="s">
        <v>107</v>
      </c>
      <c r="L1236" s="7"/>
      <c r="M1236" s="10" t="b">
        <f aca="false">FALSE()</f>
        <v>0</v>
      </c>
      <c r="N1236" s="7" t="s">
        <v>399</v>
      </c>
      <c r="O1236" s="7" t="n">
        <v>-32.750793</v>
      </c>
      <c r="P1236" s="7" t="n">
        <v>152.168761</v>
      </c>
    </row>
    <row r="1237" customFormat="false" ht="15" hidden="false" customHeight="false" outlineLevel="0" collapsed="false">
      <c r="A1237" s="7" t="n">
        <v>1236</v>
      </c>
      <c r="B1237" s="7" t="s">
        <v>1620</v>
      </c>
      <c r="C1237" s="7" t="s">
        <v>1621</v>
      </c>
      <c r="D1237" s="7" t="n">
        <v>2706</v>
      </c>
      <c r="E1237" s="7" t="s">
        <v>50</v>
      </c>
      <c r="F1237" s="10" t="b">
        <f aca="false">FALSE()</f>
        <v>0</v>
      </c>
      <c r="G1237" s="7" t="s">
        <v>1622</v>
      </c>
      <c r="H1237" s="7" t="s">
        <v>398</v>
      </c>
      <c r="I1237" s="7" t="n">
        <v>2</v>
      </c>
      <c r="J1237" s="7" t="s">
        <v>107</v>
      </c>
      <c r="K1237" s="7" t="s">
        <v>107</v>
      </c>
      <c r="L1237" s="7"/>
      <c r="M1237" s="10" t="b">
        <f aca="false">FALSE()</f>
        <v>0</v>
      </c>
      <c r="N1237" s="7" t="s">
        <v>399</v>
      </c>
      <c r="O1237" s="7" t="n">
        <v>-34.573573</v>
      </c>
      <c r="P1237" s="7" t="n">
        <v>145.992624</v>
      </c>
    </row>
    <row r="1238" customFormat="false" ht="15" hidden="false" customHeight="false" outlineLevel="0" collapsed="false">
      <c r="A1238" s="7" t="n">
        <v>1237</v>
      </c>
      <c r="B1238" s="7" t="s">
        <v>1623</v>
      </c>
      <c r="C1238" s="7" t="s">
        <v>1624</v>
      </c>
      <c r="D1238" s="7" t="n">
        <v>2323</v>
      </c>
      <c r="E1238" s="7" t="s">
        <v>50</v>
      </c>
      <c r="F1238" s="10" t="b">
        <f aca="false">FALSE()</f>
        <v>0</v>
      </c>
      <c r="G1238" s="7" t="s">
        <v>283</v>
      </c>
      <c r="H1238" s="7" t="s">
        <v>398</v>
      </c>
      <c r="I1238" s="7" t="n">
        <v>4</v>
      </c>
      <c r="J1238" s="7" t="s">
        <v>107</v>
      </c>
      <c r="K1238" s="7" t="s">
        <v>107</v>
      </c>
      <c r="L1238" s="7"/>
      <c r="M1238" s="10" t="b">
        <f aca="false">FALSE()</f>
        <v>0</v>
      </c>
      <c r="N1238" s="7" t="s">
        <v>399</v>
      </c>
      <c r="O1238" s="7" t="n">
        <v>-32.753464</v>
      </c>
      <c r="P1238" s="7" t="n">
        <v>151.586702</v>
      </c>
    </row>
    <row r="1239" customFormat="false" ht="15" hidden="false" customHeight="false" outlineLevel="0" collapsed="false">
      <c r="A1239" s="7" t="n">
        <v>1238</v>
      </c>
      <c r="B1239" s="7" t="s">
        <v>1625</v>
      </c>
      <c r="C1239" s="7" t="s">
        <v>1626</v>
      </c>
      <c r="D1239" s="7" t="n">
        <v>2320</v>
      </c>
      <c r="E1239" s="7" t="s">
        <v>50</v>
      </c>
      <c r="F1239" s="10" t="b">
        <f aca="false">FALSE()</f>
        <v>0</v>
      </c>
      <c r="G1239" s="7" t="s">
        <v>111</v>
      </c>
      <c r="H1239" s="7" t="s">
        <v>398</v>
      </c>
      <c r="I1239" s="7" t="n">
        <v>4</v>
      </c>
      <c r="J1239" s="7" t="s">
        <v>107</v>
      </c>
      <c r="K1239" s="7" t="s">
        <v>107</v>
      </c>
      <c r="L1239" s="7"/>
      <c r="M1239" s="10" t="b">
        <f aca="false">FALSE()</f>
        <v>0</v>
      </c>
      <c r="N1239" s="7" t="s">
        <v>399</v>
      </c>
      <c r="O1239" s="7" t="n">
        <v>-32.820791</v>
      </c>
      <c r="P1239" s="7" t="n">
        <v>151.297099</v>
      </c>
    </row>
    <row r="1240" customFormat="false" ht="15" hidden="false" customHeight="false" outlineLevel="0" collapsed="false">
      <c r="A1240" s="7" t="n">
        <v>1239</v>
      </c>
      <c r="B1240" s="7" t="s">
        <v>1627</v>
      </c>
      <c r="C1240" s="7" t="s">
        <v>1628</v>
      </c>
      <c r="D1240" s="7" t="n">
        <v>2540</v>
      </c>
      <c r="E1240" s="7" t="s">
        <v>50</v>
      </c>
      <c r="F1240" s="10" t="b">
        <f aca="false">FALSE()</f>
        <v>0</v>
      </c>
      <c r="G1240" s="7" t="s">
        <v>92</v>
      </c>
      <c r="H1240" s="7" t="s">
        <v>398</v>
      </c>
      <c r="I1240" s="7" t="n">
        <v>1</v>
      </c>
      <c r="J1240" s="7" t="s">
        <v>107</v>
      </c>
      <c r="K1240" s="7" t="s">
        <v>107</v>
      </c>
      <c r="L1240" s="7"/>
      <c r="M1240" s="10" t="b">
        <f aca="false">FALSE()</f>
        <v>0</v>
      </c>
      <c r="N1240" s="7" t="s">
        <v>399</v>
      </c>
      <c r="O1240" s="7" t="n">
        <v>-35.100385</v>
      </c>
      <c r="P1240" s="7" t="n">
        <v>150.689888</v>
      </c>
    </row>
    <row r="1241" customFormat="false" ht="15" hidden="false" customHeight="false" outlineLevel="0" collapsed="false">
      <c r="A1241" s="7" t="n">
        <v>1240</v>
      </c>
      <c r="B1241" s="7" t="s">
        <v>1629</v>
      </c>
      <c r="C1241" s="7" t="s">
        <v>1630</v>
      </c>
      <c r="D1241" s="7" t="n">
        <v>2548</v>
      </c>
      <c r="E1241" s="7" t="s">
        <v>50</v>
      </c>
      <c r="F1241" s="10" t="b">
        <f aca="false">FALSE()</f>
        <v>0</v>
      </c>
      <c r="G1241" s="7" t="s">
        <v>188</v>
      </c>
      <c r="H1241" s="7" t="s">
        <v>398</v>
      </c>
      <c r="I1241" s="7" t="n">
        <v>2</v>
      </c>
      <c r="J1241" s="7" t="s">
        <v>107</v>
      </c>
      <c r="K1241" s="7" t="s">
        <v>107</v>
      </c>
      <c r="L1241" s="7"/>
      <c r="M1241" s="10" t="b">
        <f aca="false">FALSE()</f>
        <v>0</v>
      </c>
      <c r="N1241" s="7" t="s">
        <v>374</v>
      </c>
      <c r="O1241" s="7" t="n">
        <v>-36.888253</v>
      </c>
      <c r="P1241" s="7" t="n">
        <v>149.907751</v>
      </c>
    </row>
    <row r="1242" customFormat="false" ht="15" hidden="false" customHeight="false" outlineLevel="0" collapsed="false">
      <c r="A1242" s="7" t="n">
        <v>1241</v>
      </c>
      <c r="B1242" s="7" t="s">
        <v>1631</v>
      </c>
      <c r="C1242" s="7" t="s">
        <v>1632</v>
      </c>
      <c r="D1242" s="7" t="n">
        <v>2839</v>
      </c>
      <c r="E1242" s="7" t="s">
        <v>50</v>
      </c>
      <c r="F1242" s="10" t="b">
        <f aca="false">FALSE()</f>
        <v>0</v>
      </c>
      <c r="G1242" s="7" t="s">
        <v>132</v>
      </c>
      <c r="H1242" s="7" t="s">
        <v>398</v>
      </c>
      <c r="I1242" s="7" t="n">
        <v>1</v>
      </c>
      <c r="J1242" s="7" t="s">
        <v>107</v>
      </c>
      <c r="K1242" s="7" t="s">
        <v>107</v>
      </c>
      <c r="L1242" s="7"/>
      <c r="M1242" s="10" t="b">
        <f aca="false">FALSE()</f>
        <v>0</v>
      </c>
      <c r="N1242" s="7" t="s">
        <v>399</v>
      </c>
      <c r="O1242" s="7" t="n">
        <v>-29.962402</v>
      </c>
      <c r="P1242" s="7" t="n">
        <v>146.856824</v>
      </c>
    </row>
    <row r="1243" customFormat="false" ht="15" hidden="false" customHeight="false" outlineLevel="0" collapsed="false">
      <c r="A1243" s="7" t="n">
        <v>1242</v>
      </c>
      <c r="B1243" s="7" t="s">
        <v>1633</v>
      </c>
      <c r="C1243" s="7" t="s">
        <v>1634</v>
      </c>
      <c r="D1243" s="7" t="n">
        <v>2428</v>
      </c>
      <c r="E1243" s="7" t="s">
        <v>50</v>
      </c>
      <c r="F1243" s="10" t="b">
        <f aca="false">FALSE()</f>
        <v>0</v>
      </c>
      <c r="G1243" s="7" t="s">
        <v>128</v>
      </c>
      <c r="H1243" s="7" t="s">
        <v>398</v>
      </c>
      <c r="I1243" s="7" t="n">
        <v>1</v>
      </c>
      <c r="J1243" s="7" t="s">
        <v>107</v>
      </c>
      <c r="K1243" s="7" t="s">
        <v>107</v>
      </c>
      <c r="L1243" s="7"/>
      <c r="M1243" s="10" t="b">
        <f aca="false">FALSE()</f>
        <v>0</v>
      </c>
      <c r="N1243" s="7" t="s">
        <v>399</v>
      </c>
      <c r="O1243" s="7" t="n">
        <v>-32.368836</v>
      </c>
      <c r="P1243" s="7" t="n">
        <v>152.481477</v>
      </c>
    </row>
    <row r="1244" customFormat="false" ht="15" hidden="false" customHeight="false" outlineLevel="0" collapsed="false">
      <c r="A1244" s="7" t="n">
        <v>1243</v>
      </c>
      <c r="B1244" s="7" t="s">
        <v>1635</v>
      </c>
      <c r="C1244" s="7" t="s">
        <v>1636</v>
      </c>
      <c r="D1244" s="7" t="n">
        <v>2340</v>
      </c>
      <c r="E1244" s="7" t="s">
        <v>50</v>
      </c>
      <c r="F1244" s="10" t="b">
        <f aca="false">FALSE()</f>
        <v>0</v>
      </c>
      <c r="G1244" s="7" t="s">
        <v>192</v>
      </c>
      <c r="H1244" s="7" t="s">
        <v>398</v>
      </c>
      <c r="I1244" s="7" t="n">
        <v>2</v>
      </c>
      <c r="J1244" s="7" t="s">
        <v>107</v>
      </c>
      <c r="K1244" s="7" t="s">
        <v>107</v>
      </c>
      <c r="L1244" s="7"/>
      <c r="M1244" s="10" t="b">
        <f aca="false">FALSE()</f>
        <v>0</v>
      </c>
      <c r="N1244" s="7" t="s">
        <v>399</v>
      </c>
      <c r="O1244" s="7" t="n">
        <v>-31.09579</v>
      </c>
      <c r="P1244" s="7" t="n">
        <v>150.911055</v>
      </c>
    </row>
    <row r="1245" customFormat="false" ht="15" hidden="false" customHeight="false" outlineLevel="0" collapsed="false">
      <c r="A1245" s="7" t="n">
        <v>1244</v>
      </c>
      <c r="B1245" s="7" t="s">
        <v>1637</v>
      </c>
      <c r="C1245" s="7" t="s">
        <v>1638</v>
      </c>
      <c r="D1245" s="7" t="n">
        <v>2464</v>
      </c>
      <c r="E1245" s="7" t="s">
        <v>50</v>
      </c>
      <c r="F1245" s="10" t="b">
        <f aca="false">FALSE()</f>
        <v>0</v>
      </c>
      <c r="G1245" s="7" t="s">
        <v>87</v>
      </c>
      <c r="H1245" s="7" t="s">
        <v>398</v>
      </c>
      <c r="I1245" s="7" t="n">
        <v>2</v>
      </c>
      <c r="J1245" s="7" t="s">
        <v>107</v>
      </c>
      <c r="K1245" s="7" t="s">
        <v>107</v>
      </c>
      <c r="L1245" s="7"/>
      <c r="M1245" s="10" t="b">
        <f aca="false">FALSE()</f>
        <v>0</v>
      </c>
      <c r="N1245" s="7" t="s">
        <v>399</v>
      </c>
      <c r="O1245" s="7" t="n">
        <v>-29.434133</v>
      </c>
      <c r="P1245" s="7" t="n">
        <v>153.342621</v>
      </c>
    </row>
    <row r="1246" customFormat="false" ht="15" hidden="false" customHeight="false" outlineLevel="0" collapsed="false">
      <c r="A1246" s="7" t="n">
        <v>1245</v>
      </c>
      <c r="B1246" s="7" t="s">
        <v>1639</v>
      </c>
      <c r="C1246" s="7" t="s">
        <v>1640</v>
      </c>
      <c r="D1246" s="7" t="n">
        <v>2427</v>
      </c>
      <c r="E1246" s="7" t="s">
        <v>50</v>
      </c>
      <c r="F1246" s="10" t="b">
        <f aca="false">FALSE()</f>
        <v>0</v>
      </c>
      <c r="G1246" s="7" t="s">
        <v>128</v>
      </c>
      <c r="H1246" s="7" t="s">
        <v>398</v>
      </c>
      <c r="I1246" s="7" t="n">
        <v>2</v>
      </c>
      <c r="J1246" s="7" t="s">
        <v>107</v>
      </c>
      <c r="K1246" s="7" t="s">
        <v>107</v>
      </c>
      <c r="L1246" s="7"/>
      <c r="M1246" s="10" t="b">
        <f aca="false">FALSE()</f>
        <v>0</v>
      </c>
      <c r="N1246" s="7" t="s">
        <v>374</v>
      </c>
      <c r="O1246" s="7" t="n">
        <v>-31.871397</v>
      </c>
      <c r="P1246" s="7" t="n">
        <v>152.686433</v>
      </c>
    </row>
    <row r="1247" customFormat="false" ht="15" hidden="false" customHeight="false" outlineLevel="0" collapsed="false">
      <c r="A1247" s="7" t="n">
        <v>1246</v>
      </c>
      <c r="B1247" s="7" t="s">
        <v>1641</v>
      </c>
      <c r="C1247" s="7" t="s">
        <v>1642</v>
      </c>
      <c r="D1247" s="7" t="n">
        <v>2540</v>
      </c>
      <c r="E1247" s="7" t="s">
        <v>50</v>
      </c>
      <c r="F1247" s="10" t="b">
        <f aca="false">FALSE()</f>
        <v>0</v>
      </c>
      <c r="G1247" s="7" t="s">
        <v>92</v>
      </c>
      <c r="H1247" s="7" t="s">
        <v>398</v>
      </c>
      <c r="I1247" s="7" t="n">
        <v>1</v>
      </c>
      <c r="J1247" s="7" t="s">
        <v>107</v>
      </c>
      <c r="K1247" s="7" t="s">
        <v>107</v>
      </c>
      <c r="L1247" s="7"/>
      <c r="M1247" s="10" t="b">
        <f aca="false">FALSE()</f>
        <v>0</v>
      </c>
      <c r="N1247" s="7" t="s">
        <v>399</v>
      </c>
      <c r="O1247" s="7" t="n">
        <v>-35.048039</v>
      </c>
      <c r="P1247" s="7" t="n">
        <v>150.674874</v>
      </c>
    </row>
    <row r="1248" customFormat="false" ht="15" hidden="false" customHeight="false" outlineLevel="0" collapsed="false">
      <c r="A1248" s="7" t="n">
        <v>1247</v>
      </c>
      <c r="B1248" s="7" t="s">
        <v>1643</v>
      </c>
      <c r="C1248" s="7" t="s">
        <v>1644</v>
      </c>
      <c r="D1248" s="7" t="n">
        <v>2444</v>
      </c>
      <c r="E1248" s="7" t="s">
        <v>50</v>
      </c>
      <c r="F1248" s="10" t="b">
        <f aca="false">FALSE()</f>
        <v>0</v>
      </c>
      <c r="G1248" s="7" t="s">
        <v>135</v>
      </c>
      <c r="H1248" s="7" t="s">
        <v>398</v>
      </c>
      <c r="I1248" s="7" t="n">
        <v>2</v>
      </c>
      <c r="J1248" s="7" t="s">
        <v>107</v>
      </c>
      <c r="K1248" s="7" t="s">
        <v>107</v>
      </c>
      <c r="L1248" s="7"/>
      <c r="M1248" s="10" t="b">
        <f aca="false">FALSE()</f>
        <v>0</v>
      </c>
      <c r="N1248" s="7" t="s">
        <v>399</v>
      </c>
      <c r="O1248" s="7" t="n">
        <v>-31.428743</v>
      </c>
      <c r="P1248" s="7" t="n">
        <v>152.910134</v>
      </c>
    </row>
    <row r="1249" customFormat="false" ht="15" hidden="false" customHeight="false" outlineLevel="0" collapsed="false">
      <c r="A1249" s="7" t="n">
        <v>1248</v>
      </c>
      <c r="B1249" s="7" t="s">
        <v>1645</v>
      </c>
      <c r="C1249" s="7" t="s">
        <v>711</v>
      </c>
      <c r="D1249" s="7" t="n">
        <v>2322</v>
      </c>
      <c r="E1249" s="7" t="s">
        <v>50</v>
      </c>
      <c r="F1249" s="10" t="b">
        <f aca="false">FALSE()</f>
        <v>0</v>
      </c>
      <c r="G1249" s="7" t="s">
        <v>141</v>
      </c>
      <c r="H1249" s="7" t="s">
        <v>398</v>
      </c>
      <c r="I1249" s="7" t="n">
        <v>3</v>
      </c>
      <c r="J1249" s="7" t="s">
        <v>107</v>
      </c>
      <c r="K1249" s="7" t="s">
        <v>107</v>
      </c>
      <c r="L1249" s="7"/>
      <c r="M1249" s="10" t="b">
        <f aca="false">FALSE()</f>
        <v>0</v>
      </c>
      <c r="N1249" s="7" t="s">
        <v>399</v>
      </c>
      <c r="O1249" s="7" t="n">
        <v>-32.803227</v>
      </c>
      <c r="P1249" s="7" t="n">
        <v>151.632758</v>
      </c>
    </row>
    <row r="1250" customFormat="false" ht="15" hidden="false" customHeight="false" outlineLevel="0" collapsed="false">
      <c r="A1250" s="7" t="n">
        <v>1249</v>
      </c>
      <c r="B1250" s="7" t="s">
        <v>1646</v>
      </c>
      <c r="C1250" s="7" t="s">
        <v>1647</v>
      </c>
      <c r="D1250" s="7" t="n">
        <v>2360</v>
      </c>
      <c r="E1250" s="7" t="s">
        <v>50</v>
      </c>
      <c r="F1250" s="10" t="b">
        <f aca="false">FALSE()</f>
        <v>0</v>
      </c>
      <c r="G1250" s="7" t="s">
        <v>169</v>
      </c>
      <c r="H1250" s="7" t="s">
        <v>398</v>
      </c>
      <c r="I1250" s="7" t="n">
        <v>2</v>
      </c>
      <c r="J1250" s="7" t="s">
        <v>107</v>
      </c>
      <c r="K1250" s="7" t="s">
        <v>107</v>
      </c>
      <c r="L1250" s="7"/>
      <c r="M1250" s="10" t="b">
        <f aca="false">FALSE()</f>
        <v>0</v>
      </c>
      <c r="N1250" s="7" t="s">
        <v>399</v>
      </c>
      <c r="O1250" s="7" t="n">
        <v>-29.779773</v>
      </c>
      <c r="P1250" s="7" t="n">
        <v>151.120363</v>
      </c>
    </row>
    <row r="1251" customFormat="false" ht="15" hidden="false" customHeight="false" outlineLevel="0" collapsed="false">
      <c r="A1251" s="7" t="n">
        <v>1250</v>
      </c>
      <c r="B1251" s="7"/>
      <c r="C1251" s="7" t="s">
        <v>1648</v>
      </c>
      <c r="D1251" s="7" t="n">
        <v>2536</v>
      </c>
      <c r="E1251" s="7" t="s">
        <v>50</v>
      </c>
      <c r="F1251" s="10" t="b">
        <f aca="false">FALSE()</f>
        <v>0</v>
      </c>
      <c r="G1251" s="7" t="s">
        <v>123</v>
      </c>
      <c r="H1251" s="7" t="s">
        <v>398</v>
      </c>
      <c r="I1251" s="7" t="n">
        <v>2</v>
      </c>
      <c r="J1251" s="7" t="s">
        <v>107</v>
      </c>
      <c r="K1251" s="7" t="s">
        <v>107</v>
      </c>
      <c r="L1251" s="7"/>
      <c r="M1251" s="10" t="b">
        <f aca="false">FALSE()</f>
        <v>0</v>
      </c>
      <c r="N1251" s="7" t="s">
        <v>399</v>
      </c>
      <c r="O1251" s="7" t="n">
        <v>-35.801038</v>
      </c>
      <c r="P1251" s="7" t="n">
        <v>150.156231</v>
      </c>
    </row>
    <row r="1252" customFormat="false" ht="15" hidden="false" customHeight="false" outlineLevel="0" collapsed="false">
      <c r="A1252" s="7" t="n">
        <v>1251</v>
      </c>
      <c r="B1252" s="7" t="s">
        <v>1649</v>
      </c>
      <c r="C1252" s="7" t="s">
        <v>1650</v>
      </c>
      <c r="D1252" s="7" t="n">
        <v>2354</v>
      </c>
      <c r="E1252" s="7" t="s">
        <v>50</v>
      </c>
      <c r="F1252" s="10" t="b">
        <f aca="false">FALSE()</f>
        <v>0</v>
      </c>
      <c r="G1252" s="7" t="s">
        <v>80</v>
      </c>
      <c r="H1252" s="7" t="s">
        <v>398</v>
      </c>
      <c r="I1252" s="7" t="n">
        <v>1</v>
      </c>
      <c r="J1252" s="7" t="s">
        <v>107</v>
      </c>
      <c r="K1252" s="7" t="s">
        <v>107</v>
      </c>
      <c r="L1252" s="7"/>
      <c r="M1252" s="10" t="b">
        <f aca="false">FALSE()</f>
        <v>0</v>
      </c>
      <c r="N1252" s="7" t="s">
        <v>399</v>
      </c>
      <c r="O1252" s="7" t="n">
        <v>-30.985481</v>
      </c>
      <c r="P1252" s="7" t="n">
        <v>151.592206</v>
      </c>
    </row>
    <row r="1253" customFormat="false" ht="15" hidden="false" customHeight="false" outlineLevel="0" collapsed="false">
      <c r="A1253" s="7" t="n">
        <v>1252</v>
      </c>
      <c r="B1253" s="7" t="s">
        <v>1651</v>
      </c>
      <c r="C1253" s="7" t="s">
        <v>1652</v>
      </c>
      <c r="D1253" s="7" t="n">
        <v>2428</v>
      </c>
      <c r="E1253" s="7" t="s">
        <v>50</v>
      </c>
      <c r="F1253" s="10" t="b">
        <f aca="false">FALSE()</f>
        <v>0</v>
      </c>
      <c r="G1253" s="7" t="s">
        <v>128</v>
      </c>
      <c r="H1253" s="7" t="s">
        <v>398</v>
      </c>
      <c r="I1253" s="7" t="n">
        <v>4</v>
      </c>
      <c r="J1253" s="7" t="s">
        <v>107</v>
      </c>
      <c r="K1253" s="7" t="s">
        <v>107</v>
      </c>
      <c r="L1253" s="7"/>
      <c r="M1253" s="10" t="b">
        <f aca="false">FALSE()</f>
        <v>0</v>
      </c>
      <c r="N1253" s="7" t="s">
        <v>399</v>
      </c>
      <c r="O1253" s="7" t="n">
        <v>-32.17236</v>
      </c>
      <c r="P1253" s="7" t="n">
        <v>152.504355</v>
      </c>
    </row>
    <row r="1254" customFormat="false" ht="15" hidden="false" customHeight="false" outlineLevel="0" collapsed="false">
      <c r="A1254" s="7" t="n">
        <v>1253</v>
      </c>
      <c r="B1254" s="7" t="s">
        <v>1653</v>
      </c>
      <c r="C1254" s="7" t="s">
        <v>1654</v>
      </c>
      <c r="D1254" s="7" t="n">
        <v>2444</v>
      </c>
      <c r="E1254" s="7" t="s">
        <v>50</v>
      </c>
      <c r="F1254" s="10" t="b">
        <f aca="false">FALSE()</f>
        <v>0</v>
      </c>
      <c r="G1254" s="7" t="s">
        <v>135</v>
      </c>
      <c r="H1254" s="7" t="s">
        <v>398</v>
      </c>
      <c r="I1254" s="7" t="n">
        <v>4</v>
      </c>
      <c r="J1254" s="7" t="s">
        <v>107</v>
      </c>
      <c r="K1254" s="7" t="s">
        <v>107</v>
      </c>
      <c r="L1254" s="7"/>
      <c r="M1254" s="10" t="b">
        <f aca="false">FALSE()</f>
        <v>0</v>
      </c>
      <c r="N1254" s="7" t="s">
        <v>374</v>
      </c>
      <c r="O1254" s="7" t="n">
        <v>-31.433792</v>
      </c>
      <c r="P1254" s="7" t="n">
        <v>152.915333</v>
      </c>
    </row>
    <row r="1255" customFormat="false" ht="15" hidden="false" customHeight="false" outlineLevel="0" collapsed="false">
      <c r="A1255" s="7" t="n">
        <v>1254</v>
      </c>
      <c r="B1255" s="7" t="s">
        <v>1655</v>
      </c>
      <c r="C1255" s="7" t="s">
        <v>1656</v>
      </c>
      <c r="D1255" s="7" t="n">
        <v>2714</v>
      </c>
      <c r="E1255" s="7" t="s">
        <v>50</v>
      </c>
      <c r="F1255" s="10" t="b">
        <f aca="false">FALSE()</f>
        <v>0</v>
      </c>
      <c r="G1255" s="7" t="s">
        <v>314</v>
      </c>
      <c r="H1255" s="7" t="s">
        <v>398</v>
      </c>
      <c r="I1255" s="7" t="n">
        <v>2</v>
      </c>
      <c r="J1255" s="7" t="s">
        <v>107</v>
      </c>
      <c r="K1255" s="7" t="s">
        <v>107</v>
      </c>
      <c r="L1255" s="7"/>
      <c r="M1255" s="10" t="b">
        <f aca="false">FALSE()</f>
        <v>0</v>
      </c>
      <c r="N1255" s="7" t="s">
        <v>399</v>
      </c>
      <c r="O1255" s="7" t="n">
        <v>-35.820038</v>
      </c>
      <c r="P1255" s="7" t="n">
        <v>145.579125</v>
      </c>
    </row>
    <row r="1256" customFormat="false" ht="15" hidden="false" customHeight="false" outlineLevel="0" collapsed="false">
      <c r="A1256" s="7" t="n">
        <v>1255</v>
      </c>
      <c r="B1256" s="7"/>
      <c r="C1256" s="7" t="s">
        <v>1657</v>
      </c>
      <c r="D1256" s="7" t="n">
        <v>2257</v>
      </c>
      <c r="E1256" s="7" t="s">
        <v>50</v>
      </c>
      <c r="F1256" s="10" t="b">
        <f aca="false">FALSE()</f>
        <v>0</v>
      </c>
      <c r="G1256" s="7" t="s">
        <v>276</v>
      </c>
      <c r="H1256" s="7" t="s">
        <v>398</v>
      </c>
      <c r="I1256" s="7" t="n">
        <v>2</v>
      </c>
      <c r="J1256" s="7" t="s">
        <v>107</v>
      </c>
      <c r="K1256" s="7" t="s">
        <v>107</v>
      </c>
      <c r="L1256" s="7"/>
      <c r="M1256" s="10" t="b">
        <f aca="false">FALSE()</f>
        <v>0</v>
      </c>
      <c r="N1256" s="7" t="s">
        <v>399</v>
      </c>
      <c r="O1256" s="7" t="n">
        <v>-33.528721</v>
      </c>
      <c r="P1256" s="7" t="n">
        <v>151.3436</v>
      </c>
    </row>
    <row r="1257" customFormat="false" ht="15" hidden="false" customHeight="false" outlineLevel="0" collapsed="false">
      <c r="A1257" s="7" t="n">
        <v>1256</v>
      </c>
      <c r="B1257" s="7" t="s">
        <v>1658</v>
      </c>
      <c r="C1257" s="7" t="s">
        <v>1659</v>
      </c>
      <c r="D1257" s="7" t="n">
        <v>2646</v>
      </c>
      <c r="E1257" s="7" t="s">
        <v>50</v>
      </c>
      <c r="F1257" s="10" t="b">
        <f aca="false">FALSE()</f>
        <v>0</v>
      </c>
      <c r="G1257" s="7" t="s">
        <v>477</v>
      </c>
      <c r="H1257" s="7" t="s">
        <v>398</v>
      </c>
      <c r="I1257" s="7" t="n">
        <v>2</v>
      </c>
      <c r="J1257" s="7" t="s">
        <v>107</v>
      </c>
      <c r="K1257" s="7" t="s">
        <v>107</v>
      </c>
      <c r="L1257" s="7"/>
      <c r="M1257" s="10" t="b">
        <f aca="false">FALSE()</f>
        <v>0</v>
      </c>
      <c r="N1257" s="7" t="s">
        <v>399</v>
      </c>
      <c r="O1257" s="7" t="n">
        <v>-35.98758</v>
      </c>
      <c r="P1257" s="7" t="n">
        <v>146.398336</v>
      </c>
    </row>
    <row r="1258" customFormat="false" ht="15" hidden="false" customHeight="false" outlineLevel="0" collapsed="false">
      <c r="A1258" s="7" t="n">
        <v>1257</v>
      </c>
      <c r="B1258" s="7" t="s">
        <v>1660</v>
      </c>
      <c r="C1258" s="7" t="s">
        <v>1661</v>
      </c>
      <c r="D1258" s="7" t="n">
        <v>2350</v>
      </c>
      <c r="E1258" s="7" t="s">
        <v>50</v>
      </c>
      <c r="F1258" s="10" t="b">
        <f aca="false">FALSE()</f>
        <v>0</v>
      </c>
      <c r="G1258" s="7" t="s">
        <v>155</v>
      </c>
      <c r="H1258" s="7" t="s">
        <v>398</v>
      </c>
      <c r="I1258" s="7" t="n">
        <v>2</v>
      </c>
      <c r="J1258" s="7" t="s">
        <v>107</v>
      </c>
      <c r="K1258" s="7" t="s">
        <v>107</v>
      </c>
      <c r="L1258" s="7"/>
      <c r="M1258" s="10" t="b">
        <f aca="false">FALSE()</f>
        <v>0</v>
      </c>
      <c r="N1258" s="7" t="s">
        <v>399</v>
      </c>
      <c r="O1258" s="7" t="n">
        <v>-30.506123</v>
      </c>
      <c r="P1258" s="7" t="n">
        <v>151.671657</v>
      </c>
    </row>
    <row r="1259" customFormat="false" ht="15" hidden="false" customHeight="false" outlineLevel="0" collapsed="false">
      <c r="A1259" s="7" t="n">
        <v>1258</v>
      </c>
      <c r="B1259" s="7" t="s">
        <v>1346</v>
      </c>
      <c r="C1259" s="7" t="s">
        <v>1662</v>
      </c>
      <c r="D1259" s="7" t="n">
        <v>2653</v>
      </c>
      <c r="E1259" s="7" t="s">
        <v>50</v>
      </c>
      <c r="F1259" s="10" t="b">
        <f aca="false">FALSE()</f>
        <v>0</v>
      </c>
      <c r="G1259" s="7" t="s">
        <v>456</v>
      </c>
      <c r="H1259" s="7" t="s">
        <v>398</v>
      </c>
      <c r="I1259" s="7" t="n">
        <v>2</v>
      </c>
      <c r="J1259" s="7" t="s">
        <v>107</v>
      </c>
      <c r="K1259" s="7" t="s">
        <v>107</v>
      </c>
      <c r="L1259" s="7"/>
      <c r="M1259" s="10" t="b">
        <f aca="false">FALSE()</f>
        <v>0</v>
      </c>
      <c r="N1259" s="7" t="s">
        <v>399</v>
      </c>
      <c r="O1259" s="7" t="n">
        <v>-35.803917</v>
      </c>
      <c r="P1259" s="7" t="n">
        <v>147.934187</v>
      </c>
    </row>
    <row r="1260" customFormat="false" ht="15" hidden="false" customHeight="false" outlineLevel="0" collapsed="false">
      <c r="A1260" s="7" t="n">
        <v>1259</v>
      </c>
      <c r="B1260" s="7" t="s">
        <v>1663</v>
      </c>
      <c r="C1260" s="7" t="s">
        <v>1664</v>
      </c>
      <c r="D1260" s="7" t="n">
        <v>2537</v>
      </c>
      <c r="E1260" s="7" t="s">
        <v>50</v>
      </c>
      <c r="F1260" s="10" t="b">
        <f aca="false">FALSE()</f>
        <v>0</v>
      </c>
      <c r="G1260" s="7" t="s">
        <v>123</v>
      </c>
      <c r="H1260" s="7" t="s">
        <v>398</v>
      </c>
      <c r="I1260" s="7" t="n">
        <v>2</v>
      </c>
      <c r="J1260" s="7" t="s">
        <v>107</v>
      </c>
      <c r="K1260" s="7" t="s">
        <v>107</v>
      </c>
      <c r="L1260" s="7"/>
      <c r="M1260" s="10" t="b">
        <f aca="false">FALSE()</f>
        <v>0</v>
      </c>
      <c r="N1260" s="7" t="s">
        <v>374</v>
      </c>
      <c r="O1260" s="7" t="n">
        <v>-35.90861</v>
      </c>
      <c r="P1260" s="7" t="n">
        <v>150.081586</v>
      </c>
    </row>
    <row r="1261" customFormat="false" ht="15" hidden="false" customHeight="false" outlineLevel="0" collapsed="false">
      <c r="A1261" s="7" t="n">
        <v>1260</v>
      </c>
      <c r="B1261" s="7"/>
      <c r="C1261" s="7" t="s">
        <v>1665</v>
      </c>
      <c r="D1261" s="7" t="n">
        <v>2722</v>
      </c>
      <c r="E1261" s="7" t="s">
        <v>50</v>
      </c>
      <c r="F1261" s="10" t="b">
        <f aca="false">FALSE()</f>
        <v>0</v>
      </c>
      <c r="G1261" s="7" t="s">
        <v>454</v>
      </c>
      <c r="H1261" s="7" t="s">
        <v>398</v>
      </c>
      <c r="I1261" s="7" t="n">
        <v>4</v>
      </c>
      <c r="J1261" s="7" t="s">
        <v>107</v>
      </c>
      <c r="K1261" s="7" t="s">
        <v>107</v>
      </c>
      <c r="L1261" s="7"/>
      <c r="M1261" s="10" t="b">
        <f aca="false">FALSE()</f>
        <v>0</v>
      </c>
      <c r="N1261" s="7" t="s">
        <v>399</v>
      </c>
      <c r="O1261" s="7" t="n">
        <v>-35.061314</v>
      </c>
      <c r="P1261" s="7" t="n">
        <v>148.101937</v>
      </c>
    </row>
    <row r="1262" customFormat="false" ht="15" hidden="false" customHeight="false" outlineLevel="0" collapsed="false">
      <c r="A1262" s="7" t="n">
        <v>1261</v>
      </c>
      <c r="B1262" s="7"/>
      <c r="C1262" s="7" t="s">
        <v>1666</v>
      </c>
      <c r="D1262" s="7" t="n">
        <v>2533</v>
      </c>
      <c r="E1262" s="7" t="s">
        <v>50</v>
      </c>
      <c r="F1262" s="10" t="b">
        <f aca="false">FALSE()</f>
        <v>0</v>
      </c>
      <c r="G1262" s="7" t="s">
        <v>1667</v>
      </c>
      <c r="H1262" s="7" t="s">
        <v>398</v>
      </c>
      <c r="I1262" s="7" t="n">
        <v>3</v>
      </c>
      <c r="J1262" s="7" t="s">
        <v>107</v>
      </c>
      <c r="K1262" s="7" t="s">
        <v>107</v>
      </c>
      <c r="L1262" s="7"/>
      <c r="M1262" s="10" t="b">
        <f aca="false">FALSE()</f>
        <v>0</v>
      </c>
      <c r="N1262" s="7" t="s">
        <v>399</v>
      </c>
      <c r="O1262" s="7" t="n">
        <v>-34.673079</v>
      </c>
      <c r="P1262" s="7" t="n">
        <v>150.821348</v>
      </c>
    </row>
    <row r="1263" customFormat="false" ht="15" hidden="false" customHeight="false" outlineLevel="0" collapsed="false">
      <c r="A1263" s="7" t="n">
        <v>1262</v>
      </c>
      <c r="B1263" s="7" t="s">
        <v>1668</v>
      </c>
      <c r="C1263" s="7" t="s">
        <v>1669</v>
      </c>
      <c r="D1263" s="7" t="n">
        <v>2800</v>
      </c>
      <c r="E1263" s="7" t="s">
        <v>50</v>
      </c>
      <c r="F1263" s="10" t="b">
        <f aca="false">FALSE()</f>
        <v>0</v>
      </c>
      <c r="G1263" s="7" t="s">
        <v>167</v>
      </c>
      <c r="H1263" s="7" t="s">
        <v>398</v>
      </c>
      <c r="I1263" s="7" t="n">
        <v>2</v>
      </c>
      <c r="J1263" s="7" t="s">
        <v>107</v>
      </c>
      <c r="K1263" s="7" t="s">
        <v>107</v>
      </c>
      <c r="L1263" s="7"/>
      <c r="M1263" s="10" t="b">
        <f aca="false">FALSE()</f>
        <v>0</v>
      </c>
      <c r="N1263" s="7" t="s">
        <v>399</v>
      </c>
      <c r="O1263" s="7" t="n">
        <v>-33.299286</v>
      </c>
      <c r="P1263" s="7" t="n">
        <v>149.07518</v>
      </c>
    </row>
    <row r="1264" customFormat="false" ht="15" hidden="false" customHeight="false" outlineLevel="0" collapsed="false">
      <c r="A1264" s="7" t="n">
        <v>1263</v>
      </c>
      <c r="B1264" s="7" t="s">
        <v>1670</v>
      </c>
      <c r="C1264" s="7" t="s">
        <v>1671</v>
      </c>
      <c r="D1264" s="7" t="n">
        <v>2540</v>
      </c>
      <c r="E1264" s="7" t="s">
        <v>50</v>
      </c>
      <c r="F1264" s="10" t="b">
        <f aca="false">FALSE()</f>
        <v>0</v>
      </c>
      <c r="G1264" s="7" t="s">
        <v>92</v>
      </c>
      <c r="H1264" s="7" t="s">
        <v>398</v>
      </c>
      <c r="I1264" s="7" t="n">
        <v>1</v>
      </c>
      <c r="J1264" s="7" t="s">
        <v>107</v>
      </c>
      <c r="K1264" s="7" t="s">
        <v>107</v>
      </c>
      <c r="L1264" s="7"/>
      <c r="M1264" s="10" t="b">
        <f aca="false">FALSE()</f>
        <v>0</v>
      </c>
      <c r="N1264" s="7" t="s">
        <v>399</v>
      </c>
      <c r="O1264" s="7" t="n">
        <v>-35.047647</v>
      </c>
      <c r="P1264" s="7" t="n">
        <v>150.671632</v>
      </c>
    </row>
    <row r="1265" customFormat="false" ht="15" hidden="false" customHeight="false" outlineLevel="0" collapsed="false">
      <c r="A1265" s="7" t="n">
        <v>1264</v>
      </c>
      <c r="B1265" s="7" t="s">
        <v>1672</v>
      </c>
      <c r="C1265" s="7" t="s">
        <v>1673</v>
      </c>
      <c r="D1265" s="7" t="n">
        <v>2264</v>
      </c>
      <c r="E1265" s="7" t="s">
        <v>50</v>
      </c>
      <c r="F1265" s="10" t="b">
        <f aca="false">FALSE()</f>
        <v>0</v>
      </c>
      <c r="G1265" s="7" t="s">
        <v>377</v>
      </c>
      <c r="H1265" s="7" t="s">
        <v>398</v>
      </c>
      <c r="I1265" s="7" t="n">
        <v>4</v>
      </c>
      <c r="J1265" s="7" t="s">
        <v>107</v>
      </c>
      <c r="K1265" s="7" t="s">
        <v>107</v>
      </c>
      <c r="L1265" s="7"/>
      <c r="M1265" s="10" t="b">
        <f aca="false">FALSE()</f>
        <v>0</v>
      </c>
      <c r="N1265" s="7" t="s">
        <v>399</v>
      </c>
      <c r="O1265" s="7" t="n">
        <v>-33.096134</v>
      </c>
      <c r="P1265" s="7" t="n">
        <v>151.545609</v>
      </c>
    </row>
    <row r="1266" customFormat="false" ht="15" hidden="false" customHeight="false" outlineLevel="0" collapsed="false">
      <c r="A1266" s="7" t="n">
        <v>1265</v>
      </c>
      <c r="B1266" s="7" t="s">
        <v>1674</v>
      </c>
      <c r="C1266" s="7" t="s">
        <v>1675</v>
      </c>
      <c r="D1266" s="7" t="n">
        <v>2337</v>
      </c>
      <c r="E1266" s="7" t="s">
        <v>50</v>
      </c>
      <c r="F1266" s="10" t="b">
        <f aca="false">FALSE()</f>
        <v>0</v>
      </c>
      <c r="G1266" s="7" t="s">
        <v>85</v>
      </c>
      <c r="H1266" s="7" t="s">
        <v>398</v>
      </c>
      <c r="I1266" s="7" t="n">
        <v>4</v>
      </c>
      <c r="J1266" s="7" t="s">
        <v>107</v>
      </c>
      <c r="K1266" s="7" t="s">
        <v>107</v>
      </c>
      <c r="L1266" s="7"/>
      <c r="M1266" s="10" t="b">
        <f aca="false">FALSE()</f>
        <v>0</v>
      </c>
      <c r="N1266" s="7" t="s">
        <v>399</v>
      </c>
      <c r="O1266" s="7" t="n">
        <v>-32.033636</v>
      </c>
      <c r="P1266" s="7" t="n">
        <v>150.833641</v>
      </c>
    </row>
    <row r="1267" customFormat="false" ht="15" hidden="false" customHeight="false" outlineLevel="0" collapsed="false">
      <c r="A1267" s="7" t="n">
        <v>1266</v>
      </c>
      <c r="B1267" s="7" t="s">
        <v>1676</v>
      </c>
      <c r="C1267" s="7" t="s">
        <v>1677</v>
      </c>
      <c r="D1267" s="7" t="n">
        <v>2454</v>
      </c>
      <c r="E1267" s="7" t="s">
        <v>50</v>
      </c>
      <c r="F1267" s="10" t="b">
        <f aca="false">FALSE()</f>
        <v>0</v>
      </c>
      <c r="G1267" s="7" t="s">
        <v>151</v>
      </c>
      <c r="H1267" s="7" t="s">
        <v>398</v>
      </c>
      <c r="I1267" s="7" t="n">
        <v>1</v>
      </c>
      <c r="J1267" s="7" t="s">
        <v>107</v>
      </c>
      <c r="K1267" s="7" t="s">
        <v>107</v>
      </c>
      <c r="L1267" s="7"/>
      <c r="M1267" s="10" t="b">
        <f aca="false">FALSE()</f>
        <v>0</v>
      </c>
      <c r="N1267" s="7" t="s">
        <v>399</v>
      </c>
      <c r="O1267" s="7" t="n">
        <v>-30.515497</v>
      </c>
      <c r="P1267" s="7" t="n">
        <v>152.919118</v>
      </c>
    </row>
    <row r="1268" customFormat="false" ht="15" hidden="false" customHeight="false" outlineLevel="0" collapsed="false">
      <c r="A1268" s="7" t="n">
        <v>1267</v>
      </c>
      <c r="B1268" s="7" t="s">
        <v>1678</v>
      </c>
      <c r="C1268" s="7" t="s">
        <v>1679</v>
      </c>
      <c r="D1268" s="7" t="n">
        <v>2786</v>
      </c>
      <c r="E1268" s="7" t="s">
        <v>50</v>
      </c>
      <c r="F1268" s="10" t="b">
        <f aca="false">FALSE()</f>
        <v>0</v>
      </c>
      <c r="G1268" s="7" t="s">
        <v>306</v>
      </c>
      <c r="H1268" s="7" t="s">
        <v>398</v>
      </c>
      <c r="I1268" s="7" t="n">
        <v>2</v>
      </c>
      <c r="J1268" s="7" t="s">
        <v>107</v>
      </c>
      <c r="K1268" s="7" t="s">
        <v>107</v>
      </c>
      <c r="L1268" s="7"/>
      <c r="M1268" s="10" t="b">
        <f aca="false">FALSE()</f>
        <v>0</v>
      </c>
      <c r="N1268" s="7" t="s">
        <v>399</v>
      </c>
      <c r="O1268" s="7" t="n">
        <v>-33.585202</v>
      </c>
      <c r="P1268" s="7" t="n">
        <v>150.247854</v>
      </c>
    </row>
    <row r="1269" customFormat="false" ht="15" hidden="false" customHeight="false" outlineLevel="0" collapsed="false">
      <c r="A1269" s="7" t="n">
        <v>1268</v>
      </c>
      <c r="B1269" s="7" t="s">
        <v>1680</v>
      </c>
      <c r="C1269" s="7" t="s">
        <v>1681</v>
      </c>
      <c r="D1269" s="7" t="n">
        <v>2357</v>
      </c>
      <c r="E1269" s="7" t="s">
        <v>50</v>
      </c>
      <c r="F1269" s="10" t="b">
        <f aca="false">FALSE()</f>
        <v>0</v>
      </c>
      <c r="G1269" s="7" t="s">
        <v>175</v>
      </c>
      <c r="H1269" s="7" t="s">
        <v>398</v>
      </c>
      <c r="I1269" s="7" t="n">
        <v>1</v>
      </c>
      <c r="J1269" s="7" t="s">
        <v>107</v>
      </c>
      <c r="K1269" s="7" t="s">
        <v>107</v>
      </c>
      <c r="L1269" s="7"/>
      <c r="M1269" s="10" t="b">
        <f aca="false">FALSE()</f>
        <v>0</v>
      </c>
      <c r="N1269" s="7" t="s">
        <v>399</v>
      </c>
      <c r="O1269" s="7" t="n">
        <v>-31.273088</v>
      </c>
      <c r="P1269" s="7" t="n">
        <v>149.277781</v>
      </c>
    </row>
    <row r="1270" customFormat="false" ht="15" hidden="false" customHeight="false" outlineLevel="0" collapsed="false">
      <c r="A1270" s="7" t="n">
        <v>1269</v>
      </c>
      <c r="B1270" s="7" t="s">
        <v>1682</v>
      </c>
      <c r="C1270" s="7" t="s">
        <v>1683</v>
      </c>
      <c r="D1270" s="7" t="n">
        <v>2540</v>
      </c>
      <c r="E1270" s="7" t="s">
        <v>50</v>
      </c>
      <c r="F1270" s="10" t="b">
        <f aca="false">FALSE()</f>
        <v>0</v>
      </c>
      <c r="G1270" s="7" t="s">
        <v>92</v>
      </c>
      <c r="H1270" s="7" t="s">
        <v>398</v>
      </c>
      <c r="I1270" s="7" t="n">
        <v>1</v>
      </c>
      <c r="J1270" s="7" t="s">
        <v>107</v>
      </c>
      <c r="K1270" s="7" t="s">
        <v>107</v>
      </c>
      <c r="L1270" s="7"/>
      <c r="M1270" s="10" t="b">
        <f aca="false">FALSE()</f>
        <v>0</v>
      </c>
      <c r="N1270" s="7" t="s">
        <v>399</v>
      </c>
      <c r="O1270" s="7" t="n">
        <v>-35.103339</v>
      </c>
      <c r="P1270" s="7" t="n">
        <v>150.62791</v>
      </c>
    </row>
    <row r="1271" customFormat="false" ht="15" hidden="false" customHeight="false" outlineLevel="0" collapsed="false">
      <c r="A1271" s="7" t="n">
        <v>1270</v>
      </c>
      <c r="B1271" s="7" t="s">
        <v>1684</v>
      </c>
      <c r="C1271" s="7" t="s">
        <v>1685</v>
      </c>
      <c r="D1271" s="7" t="n">
        <v>2625</v>
      </c>
      <c r="E1271" s="7" t="s">
        <v>50</v>
      </c>
      <c r="F1271" s="10" t="b">
        <f aca="false">FALSE()</f>
        <v>0</v>
      </c>
      <c r="G1271" s="7" t="s">
        <v>177</v>
      </c>
      <c r="H1271" s="7" t="s">
        <v>398</v>
      </c>
      <c r="I1271" s="7" t="n">
        <v>2</v>
      </c>
      <c r="J1271" s="7" t="s">
        <v>107</v>
      </c>
      <c r="K1271" s="7" t="s">
        <v>107</v>
      </c>
      <c r="L1271" s="7"/>
      <c r="M1271" s="10" t="b">
        <f aca="false">FALSE()</f>
        <v>0</v>
      </c>
      <c r="N1271" s="7" t="s">
        <v>374</v>
      </c>
      <c r="O1271" s="7" t="n">
        <v>-36.506328</v>
      </c>
      <c r="P1271" s="7" t="n">
        <v>148.298673</v>
      </c>
    </row>
    <row r="1272" customFormat="false" ht="15" hidden="false" customHeight="false" outlineLevel="0" collapsed="false">
      <c r="A1272" s="7" t="n">
        <v>1271</v>
      </c>
      <c r="B1272" s="7" t="s">
        <v>1686</v>
      </c>
      <c r="C1272" s="7" t="s">
        <v>1687</v>
      </c>
      <c r="D1272" s="7" t="n">
        <v>2782</v>
      </c>
      <c r="E1272" s="7" t="s">
        <v>50</v>
      </c>
      <c r="F1272" s="10" t="b">
        <f aca="false">FALSE()</f>
        <v>0</v>
      </c>
      <c r="G1272" s="7" t="s">
        <v>306</v>
      </c>
      <c r="H1272" s="7" t="s">
        <v>398</v>
      </c>
      <c r="I1272" s="7" t="n">
        <v>1</v>
      </c>
      <c r="J1272" s="7" t="s">
        <v>107</v>
      </c>
      <c r="K1272" s="7" t="s">
        <v>107</v>
      </c>
      <c r="L1272" s="7"/>
      <c r="M1272" s="10" t="b">
        <f aca="false">FALSE()</f>
        <v>0</v>
      </c>
      <c r="N1272" s="7" t="s">
        <v>399</v>
      </c>
      <c r="O1272" s="7" t="n">
        <v>-33.723516</v>
      </c>
      <c r="P1272" s="7" t="n">
        <v>150.369556</v>
      </c>
    </row>
    <row r="1273" customFormat="false" ht="15" hidden="false" customHeight="false" outlineLevel="0" collapsed="false">
      <c r="A1273" s="7" t="n">
        <v>1272</v>
      </c>
      <c r="B1273" s="7" t="s">
        <v>1688</v>
      </c>
      <c r="C1273" s="7" t="s">
        <v>1689</v>
      </c>
      <c r="D1273" s="7" t="n">
        <v>2320</v>
      </c>
      <c r="E1273" s="7" t="s">
        <v>50</v>
      </c>
      <c r="F1273" s="10" t="b">
        <f aca="false">FALSE()</f>
        <v>0</v>
      </c>
      <c r="G1273" s="7" t="s">
        <v>336</v>
      </c>
      <c r="H1273" s="7" t="s">
        <v>398</v>
      </c>
      <c r="I1273" s="7" t="n">
        <v>1</v>
      </c>
      <c r="J1273" s="7" t="s">
        <v>107</v>
      </c>
      <c r="K1273" s="7" t="s">
        <v>107</v>
      </c>
      <c r="L1273" s="7"/>
      <c r="M1273" s="10" t="b">
        <f aca="false">FALSE()</f>
        <v>0</v>
      </c>
      <c r="N1273" s="7" t="s">
        <v>399</v>
      </c>
      <c r="O1273" s="7" t="n">
        <v>-32.696341</v>
      </c>
      <c r="P1273" s="7" t="n">
        <v>151.256009</v>
      </c>
    </row>
    <row r="1274" customFormat="false" ht="15" hidden="false" customHeight="false" outlineLevel="0" collapsed="false">
      <c r="A1274" s="7" t="n">
        <v>1273</v>
      </c>
      <c r="B1274" s="7" t="s">
        <v>1690</v>
      </c>
      <c r="C1274" s="7" t="s">
        <v>1691</v>
      </c>
      <c r="D1274" s="7" t="n">
        <v>2785</v>
      </c>
      <c r="E1274" s="7" t="s">
        <v>50</v>
      </c>
      <c r="F1274" s="10" t="b">
        <f aca="false">FALSE()</f>
        <v>0</v>
      </c>
      <c r="G1274" s="7" t="s">
        <v>306</v>
      </c>
      <c r="H1274" s="7" t="s">
        <v>398</v>
      </c>
      <c r="I1274" s="7" t="n">
        <v>1</v>
      </c>
      <c r="J1274" s="7" t="s">
        <v>107</v>
      </c>
      <c r="K1274" s="7" t="s">
        <v>107</v>
      </c>
      <c r="L1274" s="7"/>
      <c r="M1274" s="10" t="b">
        <f aca="false">FALSE()</f>
        <v>0</v>
      </c>
      <c r="N1274" s="7" t="s">
        <v>399</v>
      </c>
      <c r="O1274" s="7" t="n">
        <v>-33.63616</v>
      </c>
      <c r="P1274" s="7" t="n">
        <v>150.287214</v>
      </c>
    </row>
    <row r="1275" customFormat="false" ht="15" hidden="false" customHeight="false" outlineLevel="0" collapsed="false">
      <c r="A1275" s="7" t="n">
        <v>1274</v>
      </c>
      <c r="B1275" s="7" t="s">
        <v>1692</v>
      </c>
      <c r="C1275" s="7" t="s">
        <v>1693</v>
      </c>
      <c r="D1275" s="7" t="n">
        <v>2500</v>
      </c>
      <c r="E1275" s="7" t="s">
        <v>50</v>
      </c>
      <c r="F1275" s="10" t="b">
        <f aca="false">FALSE()</f>
        <v>0</v>
      </c>
      <c r="G1275" s="7" t="s">
        <v>102</v>
      </c>
      <c r="H1275" s="7" t="s">
        <v>398</v>
      </c>
      <c r="I1275" s="7" t="n">
        <v>4</v>
      </c>
      <c r="J1275" s="7" t="s">
        <v>107</v>
      </c>
      <c r="K1275" s="7" t="s">
        <v>107</v>
      </c>
      <c r="L1275" s="7"/>
      <c r="M1275" s="10" t="b">
        <f aca="false">FALSE()</f>
        <v>0</v>
      </c>
      <c r="N1275" s="7" t="s">
        <v>109</v>
      </c>
      <c r="O1275" s="7" t="n">
        <v>-34.419822</v>
      </c>
      <c r="P1275" s="7" t="n">
        <v>150.8929</v>
      </c>
    </row>
    <row r="1276" customFormat="false" ht="15" hidden="false" customHeight="false" outlineLevel="0" collapsed="false">
      <c r="A1276" s="7" t="n">
        <v>1275</v>
      </c>
      <c r="B1276" s="7" t="s">
        <v>1694</v>
      </c>
      <c r="C1276" s="7" t="s">
        <v>1695</v>
      </c>
      <c r="D1276" s="7" t="n">
        <v>2325</v>
      </c>
      <c r="E1276" s="7" t="s">
        <v>50</v>
      </c>
      <c r="F1276" s="10" t="b">
        <f aca="false">FALSE()</f>
        <v>0</v>
      </c>
      <c r="G1276" s="7" t="s">
        <v>111</v>
      </c>
      <c r="H1276" s="7" t="s">
        <v>398</v>
      </c>
      <c r="I1276" s="7" t="n">
        <v>4</v>
      </c>
      <c r="J1276" s="7" t="s">
        <v>107</v>
      </c>
      <c r="K1276" s="7" t="s">
        <v>107</v>
      </c>
      <c r="L1276" s="7"/>
      <c r="M1276" s="10" t="b">
        <f aca="false">FALSE()</f>
        <v>0</v>
      </c>
      <c r="N1276" s="7" t="s">
        <v>399</v>
      </c>
      <c r="O1276" s="7" t="n">
        <v>-32.850141</v>
      </c>
      <c r="P1276" s="7" t="n">
        <v>151.256149</v>
      </c>
    </row>
    <row r="1277" customFormat="false" ht="15" hidden="false" customHeight="false" outlineLevel="0" collapsed="false">
      <c r="A1277" s="7" t="n">
        <v>1276</v>
      </c>
      <c r="B1277" s="7" t="s">
        <v>1696</v>
      </c>
      <c r="C1277" s="7" t="s">
        <v>1697</v>
      </c>
      <c r="D1277" s="7" t="n">
        <v>2337</v>
      </c>
      <c r="E1277" s="7" t="s">
        <v>50</v>
      </c>
      <c r="F1277" s="10" t="b">
        <f aca="false">FALSE()</f>
        <v>0</v>
      </c>
      <c r="G1277" s="7" t="s">
        <v>85</v>
      </c>
      <c r="H1277" s="7" t="s">
        <v>398</v>
      </c>
      <c r="I1277" s="7" t="n">
        <v>1</v>
      </c>
      <c r="J1277" s="7" t="s">
        <v>107</v>
      </c>
      <c r="K1277" s="7" t="s">
        <v>107</v>
      </c>
      <c r="L1277" s="7"/>
      <c r="M1277" s="10" t="b">
        <f aca="false">FALSE()</f>
        <v>0</v>
      </c>
      <c r="N1277" s="7" t="s">
        <v>399</v>
      </c>
      <c r="O1277" s="7" t="n">
        <v>-31.945383</v>
      </c>
      <c r="P1277" s="7" t="n">
        <v>151.049205</v>
      </c>
    </row>
    <row r="1278" customFormat="false" ht="15" hidden="false" customHeight="false" outlineLevel="0" collapsed="false">
      <c r="A1278" s="7" t="n">
        <v>1277</v>
      </c>
      <c r="B1278" s="7" t="s">
        <v>1698</v>
      </c>
      <c r="C1278" s="7" t="s">
        <v>1699</v>
      </c>
      <c r="D1278" s="7" t="n">
        <v>2640</v>
      </c>
      <c r="E1278" s="7" t="s">
        <v>50</v>
      </c>
      <c r="F1278" s="10" t="b">
        <f aca="false">FALSE()</f>
        <v>0</v>
      </c>
      <c r="G1278" s="7" t="s">
        <v>194</v>
      </c>
      <c r="H1278" s="7" t="s">
        <v>398</v>
      </c>
      <c r="I1278" s="7" t="n">
        <v>2</v>
      </c>
      <c r="J1278" s="7" t="s">
        <v>107</v>
      </c>
      <c r="K1278" s="7" t="s">
        <v>107</v>
      </c>
      <c r="L1278" s="7"/>
      <c r="M1278" s="10" t="b">
        <f aca="false">FALSE()</f>
        <v>0</v>
      </c>
      <c r="N1278" s="7" t="s">
        <v>399</v>
      </c>
      <c r="O1278" s="7" t="n">
        <v>-36.079835</v>
      </c>
      <c r="P1278" s="7" t="n">
        <v>146.911398</v>
      </c>
    </row>
    <row r="1279" customFormat="false" ht="15" hidden="false" customHeight="false" outlineLevel="0" collapsed="false">
      <c r="A1279" s="7" t="n">
        <v>1278</v>
      </c>
      <c r="B1279" s="7" t="s">
        <v>1700</v>
      </c>
      <c r="C1279" s="7" t="s">
        <v>1701</v>
      </c>
      <c r="D1279" s="7" t="n">
        <v>2720</v>
      </c>
      <c r="E1279" s="7" t="s">
        <v>50</v>
      </c>
      <c r="F1279" s="10" t="b">
        <f aca="false">FALSE()</f>
        <v>0</v>
      </c>
      <c r="G1279" s="7" t="s">
        <v>456</v>
      </c>
      <c r="H1279" s="7" t="s">
        <v>398</v>
      </c>
      <c r="I1279" s="7" t="n">
        <v>2</v>
      </c>
      <c r="J1279" s="7" t="s">
        <v>107</v>
      </c>
      <c r="K1279" s="7" t="s">
        <v>107</v>
      </c>
      <c r="L1279" s="7"/>
      <c r="M1279" s="10" t="b">
        <f aca="false">FALSE()</f>
        <v>0</v>
      </c>
      <c r="N1279" s="7" t="s">
        <v>399</v>
      </c>
      <c r="O1279" s="7" t="n">
        <v>-35.301761</v>
      </c>
      <c r="P1279" s="7" t="n">
        <v>148.219463</v>
      </c>
    </row>
    <row r="1280" customFormat="false" ht="15" hidden="false" customHeight="false" outlineLevel="0" collapsed="false">
      <c r="A1280" s="7" t="n">
        <v>1279</v>
      </c>
      <c r="B1280" s="7" t="s">
        <v>1702</v>
      </c>
      <c r="C1280" s="7" t="s">
        <v>1703</v>
      </c>
      <c r="D1280" s="7" t="n">
        <v>2800</v>
      </c>
      <c r="E1280" s="7" t="s">
        <v>50</v>
      </c>
      <c r="F1280" s="10" t="b">
        <f aca="false">FALSE()</f>
        <v>0</v>
      </c>
      <c r="G1280" s="7" t="s">
        <v>167</v>
      </c>
      <c r="H1280" s="7" t="s">
        <v>398</v>
      </c>
      <c r="I1280" s="7" t="n">
        <v>4</v>
      </c>
      <c r="J1280" s="7" t="s">
        <v>107</v>
      </c>
      <c r="K1280" s="7" t="s">
        <v>107</v>
      </c>
      <c r="L1280" s="7"/>
      <c r="M1280" s="10" t="b">
        <f aca="false">FALSE()</f>
        <v>0</v>
      </c>
      <c r="N1280" s="7" t="s">
        <v>399</v>
      </c>
      <c r="O1280" s="7" t="n">
        <v>-33.281823</v>
      </c>
      <c r="P1280" s="7" t="n">
        <v>149.094469</v>
      </c>
    </row>
    <row r="1281" customFormat="false" ht="15" hidden="false" customHeight="false" outlineLevel="0" collapsed="false">
      <c r="A1281" s="7" t="n">
        <v>1280</v>
      </c>
      <c r="B1281" s="7" t="s">
        <v>1318</v>
      </c>
      <c r="C1281" s="7" t="s">
        <v>1704</v>
      </c>
      <c r="D1281" s="7" t="n">
        <v>2430</v>
      </c>
      <c r="E1281" s="7" t="s">
        <v>50</v>
      </c>
      <c r="F1281" s="10" t="b">
        <f aca="false">FALSE()</f>
        <v>0</v>
      </c>
      <c r="G1281" s="7" t="s">
        <v>128</v>
      </c>
      <c r="H1281" s="7" t="s">
        <v>398</v>
      </c>
      <c r="I1281" s="7" t="n">
        <v>4</v>
      </c>
      <c r="J1281" s="7" t="s">
        <v>107</v>
      </c>
      <c r="K1281" s="7" t="s">
        <v>107</v>
      </c>
      <c r="L1281" s="7"/>
      <c r="M1281" s="10" t="b">
        <f aca="false">FALSE()</f>
        <v>0</v>
      </c>
      <c r="N1281" s="7" t="s">
        <v>399</v>
      </c>
      <c r="O1281" s="7" t="n">
        <v>-32.031321</v>
      </c>
      <c r="P1281" s="7" t="n">
        <v>152.542672</v>
      </c>
    </row>
    <row r="1282" customFormat="false" ht="15" hidden="false" customHeight="false" outlineLevel="0" collapsed="false">
      <c r="A1282" s="7" t="n">
        <v>1281</v>
      </c>
      <c r="B1282" s="7" t="s">
        <v>1705</v>
      </c>
      <c r="C1282" s="7" t="s">
        <v>1706</v>
      </c>
      <c r="D1282" s="7" t="n">
        <v>2280</v>
      </c>
      <c r="E1282" s="7" t="s">
        <v>50</v>
      </c>
      <c r="F1282" s="10" t="b">
        <f aca="false">FALSE()</f>
        <v>0</v>
      </c>
      <c r="G1282" s="7" t="s">
        <v>377</v>
      </c>
      <c r="H1282" s="7" t="s">
        <v>398</v>
      </c>
      <c r="I1282" s="7" t="n">
        <v>2</v>
      </c>
      <c r="J1282" s="7" t="s">
        <v>107</v>
      </c>
      <c r="K1282" s="7" t="s">
        <v>107</v>
      </c>
      <c r="L1282" s="7"/>
      <c r="M1282" s="10" t="b">
        <f aca="false">FALSE()</f>
        <v>0</v>
      </c>
      <c r="N1282" s="7" t="s">
        <v>374</v>
      </c>
      <c r="O1282" s="7" t="n">
        <v>-33.058672</v>
      </c>
      <c r="P1282" s="7" t="n">
        <v>151.651734</v>
      </c>
    </row>
    <row r="1283" customFormat="false" ht="15" hidden="false" customHeight="false" outlineLevel="0" collapsed="false">
      <c r="A1283" s="7" t="n">
        <v>1282</v>
      </c>
      <c r="B1283" s="7" t="s">
        <v>1707</v>
      </c>
      <c r="C1283" s="7" t="s">
        <v>1708</v>
      </c>
      <c r="D1283" s="7" t="n">
        <v>2711</v>
      </c>
      <c r="E1283" s="7" t="s">
        <v>50</v>
      </c>
      <c r="F1283" s="10" t="b">
        <f aca="false">FALSE()</f>
        <v>0</v>
      </c>
      <c r="G1283" s="7" t="s">
        <v>89</v>
      </c>
      <c r="H1283" s="7" t="s">
        <v>398</v>
      </c>
      <c r="I1283" s="7" t="n">
        <v>4</v>
      </c>
      <c r="J1283" s="7" t="s">
        <v>107</v>
      </c>
      <c r="K1283" s="7" t="s">
        <v>107</v>
      </c>
      <c r="L1283" s="7"/>
      <c r="M1283" s="10" t="b">
        <f aca="false">FALSE()</f>
        <v>0</v>
      </c>
      <c r="N1283" s="7" t="s">
        <v>399</v>
      </c>
      <c r="O1283" s="7" t="n">
        <v>-34.510837</v>
      </c>
      <c r="P1283" s="7" t="n">
        <v>144.844224</v>
      </c>
    </row>
    <row r="1284" customFormat="false" ht="15" hidden="false" customHeight="false" outlineLevel="0" collapsed="false">
      <c r="A1284" s="7" t="n">
        <v>1283</v>
      </c>
      <c r="B1284" s="7" t="s">
        <v>1709</v>
      </c>
      <c r="C1284" s="7" t="s">
        <v>1710</v>
      </c>
      <c r="D1284" s="7" t="n">
        <v>2479</v>
      </c>
      <c r="E1284" s="7" t="s">
        <v>50</v>
      </c>
      <c r="F1284" s="10" t="b">
        <f aca="false">FALSE()</f>
        <v>0</v>
      </c>
      <c r="G1284" s="7" t="s">
        <v>82</v>
      </c>
      <c r="H1284" s="7" t="s">
        <v>398</v>
      </c>
      <c r="I1284" s="7" t="n">
        <v>2</v>
      </c>
      <c r="J1284" s="7" t="s">
        <v>107</v>
      </c>
      <c r="K1284" s="7" t="s">
        <v>107</v>
      </c>
      <c r="L1284" s="7"/>
      <c r="M1284" s="10" t="b">
        <f aca="false">FALSE()</f>
        <v>0</v>
      </c>
      <c r="N1284" s="7" t="s">
        <v>399</v>
      </c>
      <c r="O1284" s="7" t="n">
        <v>-28.697943</v>
      </c>
      <c r="P1284" s="7" t="n">
        <v>153.508938</v>
      </c>
    </row>
    <row r="1285" customFormat="false" ht="15" hidden="false" customHeight="false" outlineLevel="0" collapsed="false">
      <c r="A1285" s="7" t="n">
        <v>1284</v>
      </c>
      <c r="B1285" s="7" t="s">
        <v>1711</v>
      </c>
      <c r="C1285" s="7" t="s">
        <v>1712</v>
      </c>
      <c r="D1285" s="7" t="n">
        <v>2320</v>
      </c>
      <c r="E1285" s="7" t="s">
        <v>50</v>
      </c>
      <c r="F1285" s="10" t="b">
        <f aca="false">FALSE()</f>
        <v>0</v>
      </c>
      <c r="G1285" s="7" t="s">
        <v>283</v>
      </c>
      <c r="H1285" s="7" t="s">
        <v>398</v>
      </c>
      <c r="I1285" s="7" t="n">
        <v>1</v>
      </c>
      <c r="J1285" s="7" t="s">
        <v>107</v>
      </c>
      <c r="K1285" s="7" t="s">
        <v>107</v>
      </c>
      <c r="L1285" s="7"/>
      <c r="M1285" s="10" t="b">
        <f aca="false">FALSE()</f>
        <v>0</v>
      </c>
      <c r="N1285" s="7" t="s">
        <v>399</v>
      </c>
      <c r="O1285" s="7" t="n">
        <v>-32.700823</v>
      </c>
      <c r="P1285" s="7" t="n">
        <v>151.604682</v>
      </c>
    </row>
    <row r="1286" customFormat="false" ht="15" hidden="false" customHeight="false" outlineLevel="0" collapsed="false">
      <c r="A1286" s="7" t="n">
        <v>1285</v>
      </c>
      <c r="B1286" s="7" t="s">
        <v>1713</v>
      </c>
      <c r="C1286" s="7" t="s">
        <v>1714</v>
      </c>
      <c r="D1286" s="7" t="n">
        <v>2579</v>
      </c>
      <c r="E1286" s="7" t="s">
        <v>50</v>
      </c>
      <c r="F1286" s="10" t="b">
        <f aca="false">FALSE()</f>
        <v>0</v>
      </c>
      <c r="G1286" s="7" t="s">
        <v>481</v>
      </c>
      <c r="H1286" s="7" t="s">
        <v>398</v>
      </c>
      <c r="I1286" s="7" t="n">
        <v>2</v>
      </c>
      <c r="J1286" s="7" t="s">
        <v>107</v>
      </c>
      <c r="K1286" s="7" t="s">
        <v>107</v>
      </c>
      <c r="L1286" s="7"/>
      <c r="M1286" s="10" t="b">
        <f aca="false">FALSE()</f>
        <v>0</v>
      </c>
      <c r="N1286" s="7" t="s">
        <v>399</v>
      </c>
      <c r="O1286" s="7" t="n">
        <v>-34.718835</v>
      </c>
      <c r="P1286" s="7" t="n">
        <v>150.085437</v>
      </c>
    </row>
    <row r="1287" customFormat="false" ht="15" hidden="false" customHeight="false" outlineLevel="0" collapsed="false">
      <c r="A1287" s="7" t="n">
        <v>1286</v>
      </c>
      <c r="B1287" s="7" t="s">
        <v>1715</v>
      </c>
      <c r="C1287" s="7" t="s">
        <v>1716</v>
      </c>
      <c r="D1287" s="7" t="n">
        <v>2646</v>
      </c>
      <c r="E1287" s="7" t="s">
        <v>50</v>
      </c>
      <c r="F1287" s="10" t="b">
        <f aca="false">FALSE()</f>
        <v>0</v>
      </c>
      <c r="G1287" s="7" t="s">
        <v>477</v>
      </c>
      <c r="H1287" s="7" t="s">
        <v>398</v>
      </c>
      <c r="I1287" s="7" t="n">
        <v>2</v>
      </c>
      <c r="J1287" s="7" t="s">
        <v>107</v>
      </c>
      <c r="K1287" s="7" t="s">
        <v>107</v>
      </c>
      <c r="L1287" s="7"/>
      <c r="M1287" s="10" t="b">
        <f aca="false">FALSE()</f>
        <v>0</v>
      </c>
      <c r="N1287" s="7" t="s">
        <v>399</v>
      </c>
      <c r="O1287" s="7" t="n">
        <v>-36.005731</v>
      </c>
      <c r="P1287" s="7" t="n">
        <v>146.379035</v>
      </c>
    </row>
    <row r="1288" customFormat="false" ht="15" hidden="false" customHeight="false" outlineLevel="0" collapsed="false">
      <c r="A1288" s="7" t="n">
        <v>1287</v>
      </c>
      <c r="B1288" s="7" t="s">
        <v>1717</v>
      </c>
      <c r="C1288" s="7" t="s">
        <v>1718</v>
      </c>
      <c r="D1288" s="7" t="n">
        <v>2579</v>
      </c>
      <c r="E1288" s="7" t="s">
        <v>50</v>
      </c>
      <c r="F1288" s="10" t="b">
        <f aca="false">FALSE()</f>
        <v>0</v>
      </c>
      <c r="G1288" s="7" t="s">
        <v>161</v>
      </c>
      <c r="H1288" s="7" t="s">
        <v>398</v>
      </c>
      <c r="I1288" s="7" t="n">
        <v>1</v>
      </c>
      <c r="J1288" s="7" t="s">
        <v>107</v>
      </c>
      <c r="K1288" s="7" t="s">
        <v>107</v>
      </c>
      <c r="L1288" s="7"/>
      <c r="M1288" s="10" t="b">
        <f aca="false">FALSE()</f>
        <v>0</v>
      </c>
      <c r="N1288" s="7" t="s">
        <v>399</v>
      </c>
      <c r="O1288" s="7" t="n">
        <v>-34.678274</v>
      </c>
      <c r="P1288" s="7" t="n">
        <v>150.218814</v>
      </c>
    </row>
    <row r="1289" customFormat="false" ht="15" hidden="false" customHeight="false" outlineLevel="0" collapsed="false">
      <c r="A1289" s="7" t="n">
        <v>1288</v>
      </c>
      <c r="B1289" s="7" t="s">
        <v>1719</v>
      </c>
      <c r="C1289" s="7" t="s">
        <v>1720</v>
      </c>
      <c r="D1289" s="7" t="n">
        <v>2330</v>
      </c>
      <c r="E1289" s="7" t="s">
        <v>50</v>
      </c>
      <c r="F1289" s="10" t="b">
        <f aca="false">FALSE()</f>
        <v>0</v>
      </c>
      <c r="G1289" s="7" t="s">
        <v>336</v>
      </c>
      <c r="H1289" s="7" t="s">
        <v>398</v>
      </c>
      <c r="I1289" s="7" t="n">
        <v>1</v>
      </c>
      <c r="J1289" s="7" t="s">
        <v>107</v>
      </c>
      <c r="K1289" s="7" t="s">
        <v>107</v>
      </c>
      <c r="L1289" s="7"/>
      <c r="M1289" s="10" t="b">
        <f aca="false">FALSE()</f>
        <v>0</v>
      </c>
      <c r="N1289" s="7" t="s">
        <v>399</v>
      </c>
      <c r="O1289" s="7" t="n">
        <v>-32.745655</v>
      </c>
      <c r="P1289" s="7" t="n">
        <v>151.065513</v>
      </c>
    </row>
    <row r="1290" customFormat="false" ht="15" hidden="false" customHeight="false" outlineLevel="0" collapsed="false">
      <c r="A1290" s="7" t="n">
        <v>1289</v>
      </c>
      <c r="B1290" s="7" t="s">
        <v>1721</v>
      </c>
      <c r="C1290" s="7" t="s">
        <v>1071</v>
      </c>
      <c r="D1290" s="7" t="n">
        <v>2445</v>
      </c>
      <c r="E1290" s="7" t="s">
        <v>50</v>
      </c>
      <c r="F1290" s="10" t="b">
        <f aca="false">FALSE()</f>
        <v>0</v>
      </c>
      <c r="G1290" s="7" t="s">
        <v>135</v>
      </c>
      <c r="H1290" s="7" t="s">
        <v>398</v>
      </c>
      <c r="I1290" s="7" t="n">
        <v>4</v>
      </c>
      <c r="J1290" s="7" t="s">
        <v>107</v>
      </c>
      <c r="K1290" s="7" t="s">
        <v>107</v>
      </c>
      <c r="L1290" s="7"/>
      <c r="M1290" s="10" t="b">
        <f aca="false">FALSE()</f>
        <v>0</v>
      </c>
      <c r="N1290" s="7" t="s">
        <v>399</v>
      </c>
      <c r="O1290" s="7" t="n">
        <v>-31.591868</v>
      </c>
      <c r="P1290" s="7" t="n">
        <v>152.840609</v>
      </c>
    </row>
    <row r="1291" customFormat="false" ht="15" hidden="false" customHeight="false" outlineLevel="0" collapsed="false">
      <c r="A1291" s="7" t="n">
        <v>1290</v>
      </c>
      <c r="B1291" s="7" t="s">
        <v>1722</v>
      </c>
      <c r="C1291" s="7" t="s">
        <v>1723</v>
      </c>
      <c r="D1291" s="7" t="n">
        <v>2800</v>
      </c>
      <c r="E1291" s="7" t="s">
        <v>50</v>
      </c>
      <c r="F1291" s="10" t="b">
        <f aca="false">FALSE()</f>
        <v>0</v>
      </c>
      <c r="G1291" s="7" t="s">
        <v>167</v>
      </c>
      <c r="H1291" s="7" t="s">
        <v>398</v>
      </c>
      <c r="I1291" s="7" t="n">
        <v>2</v>
      </c>
      <c r="J1291" s="7" t="s">
        <v>107</v>
      </c>
      <c r="K1291" s="7" t="s">
        <v>107</v>
      </c>
      <c r="L1291" s="7"/>
      <c r="M1291" s="10" t="b">
        <f aca="false">FALSE()</f>
        <v>0</v>
      </c>
      <c r="N1291" s="7" t="s">
        <v>399</v>
      </c>
      <c r="O1291" s="7" t="n">
        <v>-33.281555</v>
      </c>
      <c r="P1291" s="7" t="n">
        <v>149.097468</v>
      </c>
    </row>
    <row r="1292" customFormat="false" ht="15" hidden="false" customHeight="false" outlineLevel="0" collapsed="false">
      <c r="A1292" s="7" t="n">
        <v>1291</v>
      </c>
      <c r="B1292" s="7" t="s">
        <v>1724</v>
      </c>
      <c r="C1292" s="7" t="s">
        <v>1725</v>
      </c>
      <c r="D1292" s="7" t="n">
        <v>2551</v>
      </c>
      <c r="E1292" s="7" t="s">
        <v>50</v>
      </c>
      <c r="F1292" s="10" t="b">
        <f aca="false">FALSE()</f>
        <v>0</v>
      </c>
      <c r="G1292" s="7" t="s">
        <v>188</v>
      </c>
      <c r="H1292" s="7" t="s">
        <v>398</v>
      </c>
      <c r="I1292" s="7" t="n">
        <v>4</v>
      </c>
      <c r="J1292" s="7" t="s">
        <v>107</v>
      </c>
      <c r="K1292" s="7" t="s">
        <v>107</v>
      </c>
      <c r="L1292" s="7"/>
      <c r="M1292" s="10" t="b">
        <f aca="false">FALSE()</f>
        <v>0</v>
      </c>
      <c r="N1292" s="7" t="s">
        <v>399</v>
      </c>
      <c r="O1292" s="7" t="n">
        <v>-37.056335</v>
      </c>
      <c r="P1292" s="7" t="n">
        <v>149.91215</v>
      </c>
    </row>
    <row r="1293" customFormat="false" ht="15" hidden="false" customHeight="false" outlineLevel="0" collapsed="false">
      <c r="A1293" s="7" t="n">
        <v>1292</v>
      </c>
      <c r="B1293" s="7" t="s">
        <v>1726</v>
      </c>
      <c r="C1293" s="7" t="s">
        <v>1727</v>
      </c>
      <c r="D1293" s="7" t="n">
        <v>2539</v>
      </c>
      <c r="E1293" s="7" t="s">
        <v>50</v>
      </c>
      <c r="F1293" s="10" t="b">
        <f aca="false">FALSE()</f>
        <v>0</v>
      </c>
      <c r="G1293" s="7" t="s">
        <v>92</v>
      </c>
      <c r="H1293" s="7" t="s">
        <v>398</v>
      </c>
      <c r="I1293" s="7" t="n">
        <v>1</v>
      </c>
      <c r="J1293" s="7" t="s">
        <v>107</v>
      </c>
      <c r="K1293" s="7" t="s">
        <v>107</v>
      </c>
      <c r="L1293" s="7"/>
      <c r="M1293" s="10" t="b">
        <f aca="false">FALSE()</f>
        <v>0</v>
      </c>
      <c r="N1293" s="7" t="s">
        <v>399</v>
      </c>
      <c r="O1293" s="7" t="n">
        <v>-35.343525</v>
      </c>
      <c r="P1293" s="7" t="n">
        <v>150.473359</v>
      </c>
    </row>
    <row r="1294" customFormat="false" ht="15" hidden="false" customHeight="false" outlineLevel="0" collapsed="false">
      <c r="A1294" s="7" t="n">
        <v>1293</v>
      </c>
      <c r="B1294" s="7" t="s">
        <v>1728</v>
      </c>
      <c r="C1294" s="7" t="s">
        <v>1729</v>
      </c>
      <c r="D1294" s="7" t="n">
        <v>2478</v>
      </c>
      <c r="E1294" s="7" t="s">
        <v>50</v>
      </c>
      <c r="F1294" s="10" t="b">
        <f aca="false">FALSE()</f>
        <v>0</v>
      </c>
      <c r="G1294" s="7" t="s">
        <v>495</v>
      </c>
      <c r="H1294" s="7" t="s">
        <v>398</v>
      </c>
      <c r="I1294" s="7" t="n">
        <v>2</v>
      </c>
      <c r="J1294" s="7" t="s">
        <v>107</v>
      </c>
      <c r="K1294" s="7" t="s">
        <v>107</v>
      </c>
      <c r="L1294" s="7"/>
      <c r="M1294" s="10" t="b">
        <f aca="false">FALSE()</f>
        <v>0</v>
      </c>
      <c r="N1294" s="7" t="s">
        <v>399</v>
      </c>
      <c r="O1294" s="7" t="n">
        <v>-28.786568</v>
      </c>
      <c r="P1294" s="7" t="n">
        <v>153.593394</v>
      </c>
    </row>
    <row r="1295" customFormat="false" ht="15" hidden="false" customHeight="false" outlineLevel="0" collapsed="false">
      <c r="A1295" s="7" t="n">
        <v>1294</v>
      </c>
      <c r="B1295" s="7" t="s">
        <v>1730</v>
      </c>
      <c r="C1295" s="7" t="s">
        <v>1731</v>
      </c>
      <c r="D1295" s="7" t="n">
        <v>2787</v>
      </c>
      <c r="E1295" s="7" t="s">
        <v>50</v>
      </c>
      <c r="F1295" s="10" t="b">
        <f aca="false">FALSE()</f>
        <v>0</v>
      </c>
      <c r="G1295" s="7" t="s">
        <v>870</v>
      </c>
      <c r="H1295" s="7" t="s">
        <v>398</v>
      </c>
      <c r="I1295" s="7" t="n">
        <v>4</v>
      </c>
      <c r="J1295" s="7" t="s">
        <v>107</v>
      </c>
      <c r="K1295" s="7" t="s">
        <v>107</v>
      </c>
      <c r="L1295" s="7"/>
      <c r="M1295" s="10" t="b">
        <f aca="false">FALSE()</f>
        <v>0</v>
      </c>
      <c r="N1295" s="7" t="s">
        <v>374</v>
      </c>
      <c r="O1295" s="7" t="n">
        <v>-33.706303</v>
      </c>
      <c r="P1295" s="7" t="n">
        <v>149.862936</v>
      </c>
    </row>
    <row r="1296" customFormat="false" ht="15" hidden="false" customHeight="false" outlineLevel="0" collapsed="false">
      <c r="A1296" s="7" t="n">
        <v>1295</v>
      </c>
      <c r="B1296" s="7"/>
      <c r="C1296" s="7" t="s">
        <v>1732</v>
      </c>
      <c r="D1296" s="7" t="n">
        <v>2736</v>
      </c>
      <c r="E1296" s="7" t="s">
        <v>50</v>
      </c>
      <c r="F1296" s="10" t="b">
        <f aca="false">FALSE()</f>
        <v>0</v>
      </c>
      <c r="G1296" s="7" t="s">
        <v>914</v>
      </c>
      <c r="H1296" s="7" t="s">
        <v>398</v>
      </c>
      <c r="I1296" s="7" t="n">
        <v>2</v>
      </c>
      <c r="J1296" s="7" t="s">
        <v>107</v>
      </c>
      <c r="K1296" s="7" t="s">
        <v>107</v>
      </c>
      <c r="L1296" s="7"/>
      <c r="M1296" s="10" t="b">
        <f aca="false">FALSE()</f>
        <v>0</v>
      </c>
      <c r="N1296" s="7" t="s">
        <v>374</v>
      </c>
      <c r="O1296" s="7" t="n">
        <v>-34.996669</v>
      </c>
      <c r="P1296" s="7" t="n">
        <v>143.332111</v>
      </c>
    </row>
    <row r="1297" customFormat="false" ht="15" hidden="false" customHeight="false" outlineLevel="0" collapsed="false">
      <c r="A1297" s="7" t="n">
        <v>1296</v>
      </c>
      <c r="B1297" s="7"/>
      <c r="C1297" s="7" t="s">
        <v>1733</v>
      </c>
      <c r="D1297" s="7" t="n">
        <v>2450</v>
      </c>
      <c r="E1297" s="7" t="s">
        <v>50</v>
      </c>
      <c r="F1297" s="10" t="b">
        <f aca="false">FALSE()</f>
        <v>0</v>
      </c>
      <c r="G1297" s="7" t="s">
        <v>360</v>
      </c>
      <c r="H1297" s="7" t="s">
        <v>398</v>
      </c>
      <c r="I1297" s="7" t="n">
        <v>2</v>
      </c>
      <c r="J1297" s="7" t="s">
        <v>107</v>
      </c>
      <c r="K1297" s="7" t="s">
        <v>107</v>
      </c>
      <c r="L1297" s="7"/>
      <c r="M1297" s="10" t="b">
        <f aca="false">FALSE()</f>
        <v>0</v>
      </c>
      <c r="N1297" s="7" t="s">
        <v>399</v>
      </c>
      <c r="O1297" s="7" t="n">
        <v>-30.250442</v>
      </c>
      <c r="P1297" s="7" t="n">
        <v>153.137804</v>
      </c>
    </row>
    <row r="1298" customFormat="false" ht="15" hidden="false" customHeight="false" outlineLevel="0" collapsed="false">
      <c r="A1298" s="7" t="n">
        <v>1297</v>
      </c>
      <c r="B1298" s="7"/>
      <c r="C1298" s="7" t="s">
        <v>1734</v>
      </c>
      <c r="D1298" s="7" t="n">
        <v>2483</v>
      </c>
      <c r="E1298" s="7" t="s">
        <v>50</v>
      </c>
      <c r="F1298" s="10" t="b">
        <f aca="false">FALSE()</f>
        <v>0</v>
      </c>
      <c r="G1298" s="7" t="s">
        <v>82</v>
      </c>
      <c r="H1298" s="7" t="s">
        <v>398</v>
      </c>
      <c r="I1298" s="7" t="n">
        <v>4</v>
      </c>
      <c r="J1298" s="7" t="s">
        <v>107</v>
      </c>
      <c r="K1298" s="7" t="s">
        <v>107</v>
      </c>
      <c r="L1298" s="7"/>
      <c r="M1298" s="10" t="b">
        <f aca="false">FALSE()</f>
        <v>0</v>
      </c>
      <c r="N1298" s="7" t="s">
        <v>399</v>
      </c>
      <c r="O1298" s="7" t="n">
        <v>-28.534126</v>
      </c>
      <c r="P1298" s="7" t="n">
        <v>153.537687</v>
      </c>
    </row>
    <row r="1299" customFormat="false" ht="15" hidden="false" customHeight="false" outlineLevel="0" collapsed="false">
      <c r="A1299" s="7" t="n">
        <v>1298</v>
      </c>
      <c r="B1299" s="7"/>
      <c r="C1299" s="7" t="s">
        <v>1735</v>
      </c>
      <c r="D1299" s="7" t="n">
        <v>2850</v>
      </c>
      <c r="E1299" s="7" t="s">
        <v>50</v>
      </c>
      <c r="F1299" s="10" t="b">
        <f aca="false">FALSE()</f>
        <v>0</v>
      </c>
      <c r="G1299" s="7" t="s">
        <v>199</v>
      </c>
      <c r="H1299" s="7" t="s">
        <v>398</v>
      </c>
      <c r="I1299" s="7" t="n">
        <v>1</v>
      </c>
      <c r="J1299" s="7" t="s">
        <v>107</v>
      </c>
      <c r="K1299" s="7" t="s">
        <v>107</v>
      </c>
      <c r="L1299" s="7"/>
      <c r="M1299" s="10" t="b">
        <f aca="false">FALSE()</f>
        <v>0</v>
      </c>
      <c r="N1299" s="7" t="s">
        <v>399</v>
      </c>
      <c r="O1299" s="7" t="n">
        <v>-32.611573</v>
      </c>
      <c r="P1299" s="7" t="n">
        <v>149.591106</v>
      </c>
    </row>
    <row r="1300" customFormat="false" ht="15" hidden="false" customHeight="false" outlineLevel="0" collapsed="false">
      <c r="A1300" s="7" t="n">
        <v>1299</v>
      </c>
      <c r="B1300" s="7"/>
      <c r="C1300" s="7" t="s">
        <v>1736</v>
      </c>
      <c r="D1300" s="7" t="n">
        <v>2315</v>
      </c>
      <c r="E1300" s="7" t="s">
        <v>50</v>
      </c>
      <c r="F1300" s="10" t="b">
        <f aca="false">FALSE()</f>
        <v>0</v>
      </c>
      <c r="G1300" s="7" t="s">
        <v>309</v>
      </c>
      <c r="H1300" s="7" t="s">
        <v>398</v>
      </c>
      <c r="I1300" s="7" t="n">
        <v>2</v>
      </c>
      <c r="J1300" s="7" t="s">
        <v>107</v>
      </c>
      <c r="K1300" s="7" t="s">
        <v>107</v>
      </c>
      <c r="L1300" s="7"/>
      <c r="M1300" s="10" t="b">
        <f aca="false">FALSE()</f>
        <v>0</v>
      </c>
      <c r="N1300" s="7" t="s">
        <v>374</v>
      </c>
      <c r="O1300" s="7" t="n">
        <v>-32.72596</v>
      </c>
      <c r="P1300" s="7" t="n">
        <v>152.138734</v>
      </c>
    </row>
    <row r="1301" customFormat="false" ht="15" hidden="false" customHeight="false" outlineLevel="0" collapsed="false">
      <c r="A1301" s="7" t="n">
        <v>1300</v>
      </c>
      <c r="B1301" s="7" t="s">
        <v>1737</v>
      </c>
      <c r="C1301" s="7" t="s">
        <v>1738</v>
      </c>
      <c r="D1301" s="7" t="n">
        <v>2780</v>
      </c>
      <c r="E1301" s="7" t="s">
        <v>50</v>
      </c>
      <c r="F1301" s="10" t="b">
        <f aca="false">FALSE()</f>
        <v>0</v>
      </c>
      <c r="G1301" s="7" t="s">
        <v>306</v>
      </c>
      <c r="H1301" s="7" t="s">
        <v>398</v>
      </c>
      <c r="I1301" s="7" t="n">
        <v>2</v>
      </c>
      <c r="J1301" s="7" t="s">
        <v>107</v>
      </c>
      <c r="K1301" s="7" t="s">
        <v>107</v>
      </c>
      <c r="L1301" s="7"/>
      <c r="M1301" s="10" t="b">
        <f aca="false">FALSE()</f>
        <v>0</v>
      </c>
      <c r="N1301" s="7" t="s">
        <v>399</v>
      </c>
      <c r="O1301" s="7" t="n">
        <v>-33.721435</v>
      </c>
      <c r="P1301" s="7" t="n">
        <v>150.313799</v>
      </c>
    </row>
    <row r="1302" customFormat="false" ht="15" hidden="false" customHeight="false" outlineLevel="0" collapsed="false">
      <c r="A1302" s="7" t="n">
        <v>1301</v>
      </c>
      <c r="B1302" s="7"/>
      <c r="C1302" s="7" t="s">
        <v>1739</v>
      </c>
      <c r="D1302" s="7" t="n">
        <v>2042</v>
      </c>
      <c r="E1302" s="7" t="s">
        <v>50</v>
      </c>
      <c r="F1302" s="10" t="b">
        <f aca="false">FALSE()</f>
        <v>0</v>
      </c>
      <c r="G1302" s="7" t="s">
        <v>410</v>
      </c>
      <c r="H1302" s="7" t="s">
        <v>1371</v>
      </c>
      <c r="I1302" s="7" t="n">
        <v>1</v>
      </c>
      <c r="J1302" s="7" t="s">
        <v>107</v>
      </c>
      <c r="K1302" s="7" t="s">
        <v>900</v>
      </c>
      <c r="L1302" s="7" t="n">
        <v>7</v>
      </c>
      <c r="M1302" s="10" t="b">
        <f aca="false">FALSE()</f>
        <v>0</v>
      </c>
      <c r="N1302" s="7" t="s">
        <v>557</v>
      </c>
      <c r="O1302" s="7" t="n">
        <v>-33.903967</v>
      </c>
      <c r="P1302" s="7" t="n">
        <v>151.179043</v>
      </c>
    </row>
    <row r="1303" customFormat="false" ht="15" hidden="false" customHeight="false" outlineLevel="0" collapsed="false">
      <c r="A1303" s="7" t="n">
        <v>1302</v>
      </c>
      <c r="B1303" s="7" t="s">
        <v>1740</v>
      </c>
      <c r="C1303" s="7" t="s">
        <v>1741</v>
      </c>
      <c r="D1303" s="7" t="n">
        <v>2550</v>
      </c>
      <c r="E1303" s="7" t="s">
        <v>50</v>
      </c>
      <c r="F1303" s="10" t="b">
        <f aca="false">FALSE()</f>
        <v>0</v>
      </c>
      <c r="G1303" s="7" t="s">
        <v>188</v>
      </c>
      <c r="H1303" s="7" t="s">
        <v>260</v>
      </c>
      <c r="I1303" s="7" t="n">
        <v>2</v>
      </c>
      <c r="J1303" s="7" t="s">
        <v>107</v>
      </c>
      <c r="K1303" s="7" t="s">
        <v>107</v>
      </c>
      <c r="L1303" s="7"/>
      <c r="M1303" s="10" t="b">
        <f aca="false">FALSE()</f>
        <v>0</v>
      </c>
      <c r="N1303" s="7" t="s">
        <v>374</v>
      </c>
      <c r="O1303" s="7" t="n">
        <v>-36.726175</v>
      </c>
      <c r="P1303" s="7" t="n">
        <v>149.978392</v>
      </c>
    </row>
    <row r="1304" customFormat="false" ht="15" hidden="false" customHeight="false" outlineLevel="0" collapsed="false">
      <c r="A1304" s="7" t="n">
        <v>1303</v>
      </c>
      <c r="B1304" s="7"/>
      <c r="C1304" s="7" t="s">
        <v>1742</v>
      </c>
      <c r="D1304" s="7" t="n">
        <v>2040</v>
      </c>
      <c r="E1304" s="7" t="s">
        <v>50</v>
      </c>
      <c r="F1304" s="10" t="b">
        <f aca="false">FALSE()</f>
        <v>0</v>
      </c>
      <c r="G1304" s="7" t="s">
        <v>410</v>
      </c>
      <c r="H1304" s="7" t="s">
        <v>1371</v>
      </c>
      <c r="I1304" s="7" t="n">
        <v>1</v>
      </c>
      <c r="J1304" s="7" t="s">
        <v>107</v>
      </c>
      <c r="K1304" s="7" t="s">
        <v>108</v>
      </c>
      <c r="L1304" s="7" t="n">
        <v>22</v>
      </c>
      <c r="M1304" s="10" t="b">
        <f aca="false">FALSE()</f>
        <v>0</v>
      </c>
      <c r="N1304" s="7" t="s">
        <v>557</v>
      </c>
      <c r="O1304" s="7" t="n">
        <v>-33.871549</v>
      </c>
      <c r="P1304" s="7" t="n">
        <v>151.165208</v>
      </c>
    </row>
    <row r="1305" customFormat="false" ht="15" hidden="false" customHeight="false" outlineLevel="0" collapsed="false">
      <c r="A1305" s="7" t="n">
        <v>1304</v>
      </c>
      <c r="B1305" s="7"/>
      <c r="C1305" s="7" t="s">
        <v>1743</v>
      </c>
      <c r="D1305" s="7" t="n">
        <v>2065</v>
      </c>
      <c r="E1305" s="7" t="s">
        <v>50</v>
      </c>
      <c r="F1305" s="10" t="b">
        <f aca="false">FALSE()</f>
        <v>0</v>
      </c>
      <c r="G1305" s="7" t="s">
        <v>332</v>
      </c>
      <c r="H1305" s="7" t="s">
        <v>1744</v>
      </c>
      <c r="I1305" s="7" t="n">
        <v>4</v>
      </c>
      <c r="J1305" s="7" t="s">
        <v>107</v>
      </c>
      <c r="K1305" s="7" t="s">
        <v>108</v>
      </c>
      <c r="L1305" s="7" t="n">
        <v>22</v>
      </c>
      <c r="M1305" s="10" t="b">
        <f aca="false">FALSE()</f>
        <v>0</v>
      </c>
      <c r="N1305" s="7" t="s">
        <v>557</v>
      </c>
      <c r="O1305" s="7" t="n">
        <v>-33.827269</v>
      </c>
      <c r="P1305" s="7" t="n">
        <v>151.19934</v>
      </c>
    </row>
    <row r="1306" customFormat="false" ht="15" hidden="false" customHeight="false" outlineLevel="0" collapsed="false">
      <c r="A1306" s="7" t="n">
        <v>1305</v>
      </c>
      <c r="B1306" s="7"/>
      <c r="C1306" s="7" t="s">
        <v>1745</v>
      </c>
      <c r="D1306" s="7" t="n">
        <v>2031</v>
      </c>
      <c r="E1306" s="7" t="s">
        <v>50</v>
      </c>
      <c r="F1306" s="10" t="b">
        <f aca="false">FALSE()</f>
        <v>0</v>
      </c>
      <c r="G1306" s="7" t="s">
        <v>355</v>
      </c>
      <c r="H1306" s="7" t="s">
        <v>1371</v>
      </c>
      <c r="I1306" s="7" t="n">
        <v>1</v>
      </c>
      <c r="J1306" s="7" t="s">
        <v>107</v>
      </c>
      <c r="K1306" s="7" t="s">
        <v>900</v>
      </c>
      <c r="L1306" s="7" t="n">
        <v>7</v>
      </c>
      <c r="M1306" s="10" t="b">
        <f aca="false">FALSE()</f>
        <v>0</v>
      </c>
      <c r="N1306" s="7" t="s">
        <v>557</v>
      </c>
      <c r="O1306" s="7" t="n">
        <v>-33.913993</v>
      </c>
      <c r="P1306" s="7" t="n">
        <v>151.237625</v>
      </c>
    </row>
    <row r="1307" customFormat="false" ht="15" hidden="false" customHeight="false" outlineLevel="0" collapsed="false">
      <c r="A1307" s="7" t="n">
        <v>1306</v>
      </c>
      <c r="B1307" s="7" t="s">
        <v>1746</v>
      </c>
      <c r="C1307" s="7" t="s">
        <v>1747</v>
      </c>
      <c r="D1307" s="7" t="n">
        <v>2880</v>
      </c>
      <c r="E1307" s="7" t="s">
        <v>50</v>
      </c>
      <c r="F1307" s="10" t="b">
        <f aca="false">FALSE()</f>
        <v>0</v>
      </c>
      <c r="G1307" s="7" t="s">
        <v>196</v>
      </c>
      <c r="H1307" s="7" t="s">
        <v>1748</v>
      </c>
      <c r="I1307" s="7" t="n">
        <v>4</v>
      </c>
      <c r="J1307" s="7" t="s">
        <v>107</v>
      </c>
      <c r="K1307" s="7" t="s">
        <v>107</v>
      </c>
      <c r="L1307" s="7"/>
      <c r="M1307" s="10" t="b">
        <f aca="false">FALSE()</f>
        <v>0</v>
      </c>
      <c r="N1307" s="7" t="s">
        <v>374</v>
      </c>
      <c r="O1307" s="7" t="n">
        <v>-31.961011</v>
      </c>
      <c r="P1307" s="7" t="n">
        <v>141.462977</v>
      </c>
    </row>
    <row r="1308" customFormat="false" ht="15" hidden="false" customHeight="false" outlineLevel="0" collapsed="false">
      <c r="A1308" s="7" t="n">
        <v>1307</v>
      </c>
      <c r="B1308" s="7"/>
      <c r="C1308" s="7" t="s">
        <v>1749</v>
      </c>
      <c r="D1308" s="7" t="n">
        <v>2045</v>
      </c>
      <c r="E1308" s="7" t="s">
        <v>50</v>
      </c>
      <c r="F1308" s="10" t="b">
        <f aca="false">FALSE()</f>
        <v>0</v>
      </c>
      <c r="G1308" s="7" t="s">
        <v>410</v>
      </c>
      <c r="H1308" s="7" t="s">
        <v>302</v>
      </c>
      <c r="I1308" s="7" t="n">
        <v>2</v>
      </c>
      <c r="J1308" s="7" t="s">
        <v>107</v>
      </c>
      <c r="K1308" s="7" t="s">
        <v>108</v>
      </c>
      <c r="L1308" s="7" t="n">
        <v>22</v>
      </c>
      <c r="M1308" s="10" t="b">
        <f aca="false">FALSE()</f>
        <v>0</v>
      </c>
      <c r="N1308" s="7" t="s">
        <v>557</v>
      </c>
      <c r="O1308" s="7" t="n">
        <v>-33.879732</v>
      </c>
      <c r="P1308" s="7" t="n">
        <v>151.144857</v>
      </c>
    </row>
    <row r="1309" customFormat="false" ht="15" hidden="false" customHeight="false" outlineLevel="0" collapsed="false">
      <c r="A1309" s="7" t="n">
        <v>1308</v>
      </c>
      <c r="B1309" s="7"/>
      <c r="C1309" s="7" t="s">
        <v>1750</v>
      </c>
      <c r="D1309" s="7" t="n">
        <v>2200</v>
      </c>
      <c r="E1309" s="7" t="s">
        <v>50</v>
      </c>
      <c r="F1309" s="10" t="b">
        <f aca="false">FALSE()</f>
        <v>0</v>
      </c>
      <c r="G1309" s="7" t="s">
        <v>345</v>
      </c>
      <c r="H1309" s="7" t="s">
        <v>239</v>
      </c>
      <c r="I1309" s="7" t="n">
        <v>6</v>
      </c>
      <c r="J1309" s="7" t="s">
        <v>71</v>
      </c>
      <c r="K1309" s="7" t="s">
        <v>117</v>
      </c>
      <c r="L1309" s="7" t="n">
        <v>175</v>
      </c>
      <c r="M1309" s="10" t="b">
        <f aca="false">FALSE()</f>
        <v>0</v>
      </c>
      <c r="N1309" s="7" t="s">
        <v>118</v>
      </c>
      <c r="O1309" s="7" t="n">
        <v>-33.933602</v>
      </c>
      <c r="P1309" s="7" t="n">
        <v>151.029935</v>
      </c>
    </row>
    <row r="1310" customFormat="false" ht="15" hidden="false" customHeight="false" outlineLevel="0" collapsed="false">
      <c r="A1310" s="7" t="n">
        <v>1309</v>
      </c>
      <c r="B1310" s="7" t="s">
        <v>1299</v>
      </c>
      <c r="C1310" s="7" t="s">
        <v>1751</v>
      </c>
      <c r="D1310" s="7" t="n">
        <v>2390</v>
      </c>
      <c r="E1310" s="7" t="s">
        <v>50</v>
      </c>
      <c r="F1310" s="10" t="b">
        <f aca="false">FALSE()</f>
        <v>0</v>
      </c>
      <c r="G1310" s="7" t="s">
        <v>158</v>
      </c>
      <c r="H1310" s="7" t="s">
        <v>260</v>
      </c>
      <c r="I1310" s="7" t="n">
        <v>2</v>
      </c>
      <c r="J1310" s="7" t="s">
        <v>107</v>
      </c>
      <c r="K1310" s="7" t="s">
        <v>107</v>
      </c>
      <c r="L1310" s="7"/>
      <c r="M1310" s="10" t="b">
        <f aca="false">FALSE()</f>
        <v>0</v>
      </c>
      <c r="N1310" s="7" t="s">
        <v>399</v>
      </c>
      <c r="O1310" s="7" t="n">
        <v>-30.322526</v>
      </c>
      <c r="P1310" s="7" t="n">
        <v>149.781996</v>
      </c>
    </row>
    <row r="1311" customFormat="false" ht="15" hidden="false" customHeight="false" outlineLevel="0" collapsed="false">
      <c r="A1311" s="7" t="n">
        <v>1310</v>
      </c>
      <c r="B1311" s="7" t="s">
        <v>1342</v>
      </c>
      <c r="C1311" s="7" t="s">
        <v>1752</v>
      </c>
      <c r="D1311" s="7" t="n">
        <v>2675</v>
      </c>
      <c r="E1311" s="7" t="s">
        <v>50</v>
      </c>
      <c r="F1311" s="10" t="b">
        <f aca="false">FALSE()</f>
        <v>0</v>
      </c>
      <c r="G1311" s="7" t="s">
        <v>614</v>
      </c>
      <c r="H1311" s="7" t="s">
        <v>260</v>
      </c>
      <c r="I1311" s="7" t="n">
        <v>2</v>
      </c>
      <c r="J1311" s="7" t="s">
        <v>107</v>
      </c>
      <c r="K1311" s="7" t="s">
        <v>107</v>
      </c>
      <c r="L1311" s="7"/>
      <c r="M1311" s="10" t="b">
        <f aca="false">FALSE()</f>
        <v>0</v>
      </c>
      <c r="N1311" s="7" t="s">
        <v>399</v>
      </c>
      <c r="O1311" s="7" t="n">
        <v>-33.485076</v>
      </c>
      <c r="P1311" s="7" t="n">
        <v>145.531447</v>
      </c>
    </row>
    <row r="1312" customFormat="false" ht="15" hidden="false" customHeight="false" outlineLevel="0" collapsed="false">
      <c r="A1312" s="7" t="n">
        <v>1311</v>
      </c>
      <c r="B1312" s="7"/>
      <c r="C1312" s="7" t="s">
        <v>1753</v>
      </c>
      <c r="D1312" s="7" t="n">
        <v>2034</v>
      </c>
      <c r="E1312" s="7" t="s">
        <v>50</v>
      </c>
      <c r="F1312" s="10" t="b">
        <f aca="false">FALSE()</f>
        <v>0</v>
      </c>
      <c r="G1312" s="7" t="s">
        <v>355</v>
      </c>
      <c r="H1312" s="7" t="s">
        <v>1371</v>
      </c>
      <c r="I1312" s="7" t="n">
        <v>1</v>
      </c>
      <c r="J1312" s="7" t="s">
        <v>107</v>
      </c>
      <c r="K1312" s="7" t="s">
        <v>108</v>
      </c>
      <c r="L1312" s="7" t="n">
        <v>22</v>
      </c>
      <c r="M1312" s="10" t="b">
        <f aca="false">FALSE()</f>
        <v>0</v>
      </c>
      <c r="N1312" s="7" t="s">
        <v>557</v>
      </c>
      <c r="O1312" s="7" t="n">
        <v>-33.924808</v>
      </c>
      <c r="P1312" s="7" t="n">
        <v>151.256992</v>
      </c>
    </row>
    <row r="1313" customFormat="false" ht="15" hidden="false" customHeight="false" outlineLevel="0" collapsed="false">
      <c r="A1313" s="7" t="n">
        <v>1312</v>
      </c>
      <c r="B1313" s="7"/>
      <c r="C1313" s="7" t="s">
        <v>1754</v>
      </c>
      <c r="D1313" s="7" t="n">
        <v>2041</v>
      </c>
      <c r="E1313" s="7" t="s">
        <v>50</v>
      </c>
      <c r="F1313" s="10" t="b">
        <f aca="false">FALSE()</f>
        <v>0</v>
      </c>
      <c r="G1313" s="7" t="s">
        <v>410</v>
      </c>
      <c r="H1313" s="7" t="s">
        <v>1371</v>
      </c>
      <c r="I1313" s="7" t="n">
        <v>1</v>
      </c>
      <c r="J1313" s="7" t="s">
        <v>107</v>
      </c>
      <c r="K1313" s="7" t="s">
        <v>108</v>
      </c>
      <c r="L1313" s="7" t="n">
        <v>22</v>
      </c>
      <c r="M1313" s="10" t="b">
        <f aca="false">FALSE()</f>
        <v>0</v>
      </c>
      <c r="N1313" s="7" t="s">
        <v>557</v>
      </c>
      <c r="O1313" s="7" t="n">
        <v>-33.858388</v>
      </c>
      <c r="P1313" s="7" t="n">
        <v>151.187053</v>
      </c>
    </row>
    <row r="1314" customFormat="false" ht="15" hidden="false" customHeight="false" outlineLevel="0" collapsed="false">
      <c r="A1314" s="7" t="n">
        <v>1313</v>
      </c>
      <c r="B1314" s="7"/>
      <c r="C1314" s="7" t="s">
        <v>1755</v>
      </c>
      <c r="D1314" s="7" t="n">
        <v>2035</v>
      </c>
      <c r="E1314" s="7" t="s">
        <v>50</v>
      </c>
      <c r="F1314" s="10" t="b">
        <f aca="false">FALSE()</f>
        <v>0</v>
      </c>
      <c r="G1314" s="7" t="s">
        <v>355</v>
      </c>
      <c r="H1314" s="7" t="s">
        <v>302</v>
      </c>
      <c r="I1314" s="7" t="n">
        <v>2</v>
      </c>
      <c r="J1314" s="7" t="s">
        <v>107</v>
      </c>
      <c r="K1314" s="7" t="s">
        <v>108</v>
      </c>
      <c r="L1314" s="7" t="n">
        <v>22</v>
      </c>
      <c r="M1314" s="10" t="b">
        <f aca="false">FALSE()</f>
        <v>0</v>
      </c>
      <c r="N1314" s="7" t="s">
        <v>557</v>
      </c>
      <c r="O1314" s="7" t="n">
        <v>-33.947111</v>
      </c>
      <c r="P1314" s="7" t="n">
        <v>151.254972</v>
      </c>
    </row>
    <row r="1315" customFormat="false" ht="15" hidden="false" customHeight="false" outlineLevel="0" collapsed="false">
      <c r="A1315" s="7" t="n">
        <v>1314</v>
      </c>
      <c r="B1315" s="7" t="s">
        <v>1756</v>
      </c>
      <c r="C1315" s="7" t="s">
        <v>1757</v>
      </c>
      <c r="D1315" s="7" t="n">
        <v>2527</v>
      </c>
      <c r="E1315" s="7" t="s">
        <v>50</v>
      </c>
      <c r="F1315" s="10" t="b">
        <f aca="false">FALSE()</f>
        <v>0</v>
      </c>
      <c r="G1315" s="7" t="s">
        <v>316</v>
      </c>
      <c r="H1315" s="7" t="s">
        <v>260</v>
      </c>
      <c r="I1315" s="7" t="n">
        <v>4</v>
      </c>
      <c r="J1315" s="7" t="s">
        <v>107</v>
      </c>
      <c r="K1315" s="7" t="s">
        <v>107</v>
      </c>
      <c r="L1315" s="7"/>
      <c r="M1315" s="10" t="b">
        <f aca="false">FALSE()</f>
        <v>0</v>
      </c>
      <c r="N1315" s="7" t="s">
        <v>399</v>
      </c>
      <c r="O1315" s="7" t="n">
        <v>-34.57038</v>
      </c>
      <c r="P1315" s="7" t="n">
        <v>150.768699</v>
      </c>
    </row>
    <row r="1316" customFormat="false" ht="15" hidden="false" customHeight="false" outlineLevel="0" collapsed="false">
      <c r="A1316" s="7" t="n">
        <v>1315</v>
      </c>
      <c r="B1316" s="7"/>
      <c r="C1316" s="7" t="s">
        <v>1758</v>
      </c>
      <c r="D1316" s="7" t="n">
        <v>2026</v>
      </c>
      <c r="E1316" s="7" t="s">
        <v>50</v>
      </c>
      <c r="F1316" s="10" t="b">
        <f aca="false">FALSE()</f>
        <v>0</v>
      </c>
      <c r="G1316" s="7" t="s">
        <v>295</v>
      </c>
      <c r="H1316" s="7" t="s">
        <v>237</v>
      </c>
      <c r="I1316" s="7" t="n">
        <v>4</v>
      </c>
      <c r="J1316" s="7" t="s">
        <v>107</v>
      </c>
      <c r="K1316" s="7" t="s">
        <v>108</v>
      </c>
      <c r="L1316" s="7" t="n">
        <v>22</v>
      </c>
      <c r="M1316" s="10" t="b">
        <f aca="false">FALSE()</f>
        <v>0</v>
      </c>
      <c r="N1316" s="7" t="s">
        <v>557</v>
      </c>
      <c r="O1316" s="7" t="n">
        <v>-33.889737</v>
      </c>
      <c r="P1316" s="7" t="n">
        <v>151.274881</v>
      </c>
    </row>
    <row r="1317" customFormat="false" ht="15" hidden="false" customHeight="false" outlineLevel="0" collapsed="false">
      <c r="A1317" s="7" t="n">
        <v>1316</v>
      </c>
      <c r="B1317" s="7" t="s">
        <v>1759</v>
      </c>
      <c r="C1317" s="7" t="s">
        <v>1760</v>
      </c>
      <c r="D1317" s="7" t="n">
        <v>2320</v>
      </c>
      <c r="E1317" s="7" t="s">
        <v>50</v>
      </c>
      <c r="F1317" s="10" t="b">
        <f aca="false">FALSE()</f>
        <v>0</v>
      </c>
      <c r="G1317" s="7" t="s">
        <v>111</v>
      </c>
      <c r="H1317" s="7" t="s">
        <v>260</v>
      </c>
      <c r="I1317" s="7" t="n">
        <v>1</v>
      </c>
      <c r="J1317" s="7" t="s">
        <v>107</v>
      </c>
      <c r="K1317" s="7" t="s">
        <v>107</v>
      </c>
      <c r="L1317" s="7"/>
      <c r="M1317" s="10" t="b">
        <f aca="false">FALSE()</f>
        <v>0</v>
      </c>
      <c r="N1317" s="7" t="s">
        <v>399</v>
      </c>
      <c r="O1317" s="7" t="n">
        <v>-32.764056</v>
      </c>
      <c r="P1317" s="7" t="n">
        <v>151.291599</v>
      </c>
    </row>
    <row r="1318" customFormat="false" ht="15" hidden="false" customHeight="false" outlineLevel="0" collapsed="false">
      <c r="A1318" s="7" t="n">
        <v>1317</v>
      </c>
      <c r="B1318" s="7"/>
      <c r="C1318" s="7" t="s">
        <v>1761</v>
      </c>
      <c r="D1318" s="7" t="n">
        <v>2580</v>
      </c>
      <c r="E1318" s="7" t="s">
        <v>50</v>
      </c>
      <c r="F1318" s="10" t="b">
        <f aca="false">FALSE()</f>
        <v>0</v>
      </c>
      <c r="G1318" s="7" t="s">
        <v>481</v>
      </c>
      <c r="H1318" s="7" t="s">
        <v>239</v>
      </c>
      <c r="I1318" s="7" t="n">
        <v>20</v>
      </c>
      <c r="J1318" s="7" t="s">
        <v>71</v>
      </c>
      <c r="K1318" s="7" t="s">
        <v>117</v>
      </c>
      <c r="L1318" s="7" t="n">
        <v>175</v>
      </c>
      <c r="M1318" s="10" t="b">
        <f aca="false">FALSE()</f>
        <v>0</v>
      </c>
      <c r="N1318" s="7" t="s">
        <v>118</v>
      </c>
      <c r="O1318" s="7" t="n">
        <v>-34.77206</v>
      </c>
      <c r="P1318" s="7" t="n">
        <v>149.692377</v>
      </c>
    </row>
    <row r="1319" customFormat="false" ht="15" hidden="false" customHeight="false" outlineLevel="0" collapsed="false">
      <c r="A1319" s="7" t="n">
        <v>1318</v>
      </c>
      <c r="B1319" s="7"/>
      <c r="C1319" s="7" t="s">
        <v>1762</v>
      </c>
      <c r="D1319" s="7" t="n">
        <v>2106</v>
      </c>
      <c r="E1319" s="7" t="s">
        <v>50</v>
      </c>
      <c r="F1319" s="10" t="b">
        <f aca="false">FALSE()</f>
        <v>0</v>
      </c>
      <c r="G1319" s="7" t="s">
        <v>286</v>
      </c>
      <c r="H1319" s="7" t="s">
        <v>302</v>
      </c>
      <c r="I1319" s="7" t="n">
        <v>2</v>
      </c>
      <c r="J1319" s="7" t="s">
        <v>107</v>
      </c>
      <c r="K1319" s="7" t="s">
        <v>108</v>
      </c>
      <c r="L1319" s="7" t="n">
        <v>22</v>
      </c>
      <c r="M1319" s="10" t="b">
        <f aca="false">FALSE()</f>
        <v>0</v>
      </c>
      <c r="N1319" s="7" t="s">
        <v>557</v>
      </c>
      <c r="O1319" s="7" t="n">
        <v>-33.657198</v>
      </c>
      <c r="P1319" s="7" t="n">
        <v>151.315274</v>
      </c>
    </row>
    <row r="1320" customFormat="false" ht="15" hidden="false" customHeight="false" outlineLevel="0" collapsed="false">
      <c r="A1320" s="7" t="n">
        <v>1319</v>
      </c>
      <c r="B1320" s="7"/>
      <c r="C1320" s="7" t="s">
        <v>1763</v>
      </c>
      <c r="D1320" s="7" t="n">
        <v>2022</v>
      </c>
      <c r="E1320" s="7" t="s">
        <v>50</v>
      </c>
      <c r="F1320" s="10" t="b">
        <f aca="false">FALSE()</f>
        <v>0</v>
      </c>
      <c r="G1320" s="7" t="s">
        <v>295</v>
      </c>
      <c r="H1320" s="7" t="s">
        <v>302</v>
      </c>
      <c r="I1320" s="7" t="n">
        <v>2</v>
      </c>
      <c r="J1320" s="7" t="s">
        <v>107</v>
      </c>
      <c r="K1320" s="7" t="s">
        <v>108</v>
      </c>
      <c r="L1320" s="7" t="n">
        <v>22</v>
      </c>
      <c r="M1320" s="10" t="b">
        <f aca="false">FALSE()</f>
        <v>0</v>
      </c>
      <c r="N1320" s="7" t="s">
        <v>557</v>
      </c>
      <c r="O1320" s="7" t="n">
        <v>-33.894021</v>
      </c>
      <c r="P1320" s="7" t="n">
        <v>151.255312</v>
      </c>
    </row>
    <row r="1321" customFormat="false" ht="15" hidden="false" customHeight="false" outlineLevel="0" collapsed="false">
      <c r="A1321" s="7" t="n">
        <v>1320</v>
      </c>
      <c r="B1321" s="7" t="s">
        <v>1764</v>
      </c>
      <c r="C1321" s="7" t="s">
        <v>1765</v>
      </c>
      <c r="D1321" s="7" t="n">
        <v>2625</v>
      </c>
      <c r="E1321" s="7" t="s">
        <v>50</v>
      </c>
      <c r="F1321" s="10" t="b">
        <f aca="false">FALSE()</f>
        <v>0</v>
      </c>
      <c r="G1321" s="7" t="s">
        <v>177</v>
      </c>
      <c r="H1321" s="7" t="s">
        <v>230</v>
      </c>
      <c r="I1321" s="7" t="n">
        <v>2</v>
      </c>
      <c r="J1321" s="7" t="s">
        <v>107</v>
      </c>
      <c r="K1321" s="7" t="s">
        <v>107</v>
      </c>
      <c r="L1321" s="7"/>
      <c r="M1321" s="10" t="b">
        <f aca="false">FALSE()</f>
        <v>0</v>
      </c>
      <c r="N1321" s="7" t="s">
        <v>374</v>
      </c>
      <c r="O1321" s="7" t="n">
        <v>-36.507083</v>
      </c>
      <c r="P1321" s="7" t="n">
        <v>148.301236</v>
      </c>
    </row>
    <row r="1322" customFormat="false" ht="15" hidden="false" customHeight="false" outlineLevel="0" collapsed="false">
      <c r="A1322" s="7" t="n">
        <v>1321</v>
      </c>
      <c r="B1322" s="7" t="s">
        <v>1766</v>
      </c>
      <c r="C1322" s="7" t="s">
        <v>1767</v>
      </c>
      <c r="D1322" s="7" t="n">
        <v>2780</v>
      </c>
      <c r="E1322" s="7" t="s">
        <v>50</v>
      </c>
      <c r="F1322" s="10" t="b">
        <f aca="false">FALSE()</f>
        <v>0</v>
      </c>
      <c r="G1322" s="7" t="s">
        <v>306</v>
      </c>
      <c r="H1322" s="7" t="s">
        <v>252</v>
      </c>
      <c r="I1322" s="7" t="n">
        <v>2</v>
      </c>
      <c r="J1322" s="7" t="s">
        <v>107</v>
      </c>
      <c r="K1322" s="7" t="s">
        <v>107</v>
      </c>
      <c r="L1322" s="7"/>
      <c r="M1322" s="10" t="b">
        <f aca="false">FALSE()</f>
        <v>0</v>
      </c>
      <c r="N1322" s="7" t="s">
        <v>399</v>
      </c>
      <c r="O1322" s="7" t="n">
        <v>-33.729507</v>
      </c>
      <c r="P1322" s="7" t="n">
        <v>150.311969</v>
      </c>
    </row>
    <row r="1323" customFormat="false" ht="15" hidden="false" customHeight="false" outlineLevel="0" collapsed="false">
      <c r="A1323" s="7" t="n">
        <v>1322</v>
      </c>
      <c r="B1323" s="7"/>
      <c r="C1323" s="7" t="s">
        <v>1768</v>
      </c>
      <c r="D1323" s="7" t="n">
        <v>2148</v>
      </c>
      <c r="E1323" s="7" t="s">
        <v>50</v>
      </c>
      <c r="F1323" s="10" t="b">
        <f aca="false">FALSE()</f>
        <v>0</v>
      </c>
      <c r="G1323" s="7" t="s">
        <v>232</v>
      </c>
      <c r="H1323" s="7" t="s">
        <v>302</v>
      </c>
      <c r="I1323" s="7" t="n">
        <v>2</v>
      </c>
      <c r="J1323" s="7" t="s">
        <v>107</v>
      </c>
      <c r="K1323" s="7" t="s">
        <v>108</v>
      </c>
      <c r="L1323" s="7" t="n">
        <v>22</v>
      </c>
      <c r="M1323" s="10" t="b">
        <f aca="false">FALSE()</f>
        <v>0</v>
      </c>
      <c r="N1323" s="7" t="s">
        <v>557</v>
      </c>
      <c r="O1323" s="7" t="n">
        <v>-33.788289</v>
      </c>
      <c r="P1323" s="7" t="n">
        <v>150.877346</v>
      </c>
    </row>
    <row r="1324" customFormat="false" ht="15" hidden="false" customHeight="false" outlineLevel="0" collapsed="false">
      <c r="A1324" s="7" t="n">
        <v>1323</v>
      </c>
      <c r="B1324" s="7" t="s">
        <v>1769</v>
      </c>
      <c r="C1324" s="7" t="s">
        <v>1770</v>
      </c>
      <c r="D1324" s="7" t="n">
        <v>2548</v>
      </c>
      <c r="E1324" s="7" t="s">
        <v>50</v>
      </c>
      <c r="F1324" s="10" t="b">
        <f aca="false">FALSE()</f>
        <v>0</v>
      </c>
      <c r="G1324" s="7" t="s">
        <v>188</v>
      </c>
      <c r="H1324" s="7" t="s">
        <v>230</v>
      </c>
      <c r="I1324" s="7" t="n">
        <v>3</v>
      </c>
      <c r="J1324" s="7" t="s">
        <v>107</v>
      </c>
      <c r="K1324" s="7" t="s">
        <v>107</v>
      </c>
      <c r="L1324" s="7"/>
      <c r="M1324" s="10" t="b">
        <f aca="false">FALSE()</f>
        <v>0</v>
      </c>
      <c r="N1324" s="7" t="s">
        <v>374</v>
      </c>
      <c r="O1324" s="7" t="n">
        <v>-36.888184</v>
      </c>
      <c r="P1324" s="7" t="n">
        <v>149.90851</v>
      </c>
    </row>
    <row r="1325" customFormat="false" ht="15" hidden="false" customHeight="false" outlineLevel="0" collapsed="false">
      <c r="A1325" s="7" t="n">
        <v>1324</v>
      </c>
      <c r="B1325" s="7"/>
      <c r="C1325" s="7" t="s">
        <v>1771</v>
      </c>
      <c r="D1325" s="7" t="n">
        <v>2135</v>
      </c>
      <c r="E1325" s="7" t="s">
        <v>50</v>
      </c>
      <c r="F1325" s="10" t="b">
        <f aca="false">FALSE()</f>
        <v>0</v>
      </c>
      <c r="G1325" s="7" t="s">
        <v>421</v>
      </c>
      <c r="H1325" s="7" t="s">
        <v>302</v>
      </c>
      <c r="I1325" s="7" t="n">
        <v>2</v>
      </c>
      <c r="J1325" s="7" t="s">
        <v>107</v>
      </c>
      <c r="K1325" s="7" t="s">
        <v>108</v>
      </c>
      <c r="L1325" s="7" t="n">
        <v>22</v>
      </c>
      <c r="M1325" s="10" t="b">
        <f aca="false">FALSE()</f>
        <v>0</v>
      </c>
      <c r="N1325" s="7" t="s">
        <v>557</v>
      </c>
      <c r="O1325" s="7" t="n">
        <v>-33.875311</v>
      </c>
      <c r="P1325" s="7" t="n">
        <v>151.096069</v>
      </c>
    </row>
    <row r="1326" customFormat="false" ht="15" hidden="false" customHeight="false" outlineLevel="0" collapsed="false">
      <c r="A1326" s="7" t="n">
        <v>1325</v>
      </c>
      <c r="B1326" s="7"/>
      <c r="C1326" s="7" t="s">
        <v>1772</v>
      </c>
      <c r="D1326" s="7" t="n">
        <v>2041</v>
      </c>
      <c r="E1326" s="7" t="s">
        <v>50</v>
      </c>
      <c r="F1326" s="10" t="b">
        <f aca="false">FALSE()</f>
        <v>0</v>
      </c>
      <c r="G1326" s="7" t="s">
        <v>410</v>
      </c>
      <c r="H1326" s="7" t="s">
        <v>1371</v>
      </c>
      <c r="I1326" s="7" t="n">
        <v>1</v>
      </c>
      <c r="J1326" s="7" t="s">
        <v>107</v>
      </c>
      <c r="K1326" s="7" t="s">
        <v>900</v>
      </c>
      <c r="L1326" s="7" t="n">
        <v>7</v>
      </c>
      <c r="M1326" s="10" t="b">
        <f aca="false">FALSE()</f>
        <v>0</v>
      </c>
      <c r="N1326" s="7" t="s">
        <v>557</v>
      </c>
      <c r="O1326" s="7" t="n">
        <v>-33.858428</v>
      </c>
      <c r="P1326" s="7" t="n">
        <v>151.186886</v>
      </c>
    </row>
    <row r="1327" customFormat="false" ht="15" hidden="false" customHeight="false" outlineLevel="0" collapsed="false">
      <c r="A1327" s="7" t="n">
        <v>1326</v>
      </c>
      <c r="B1327" s="7" t="s">
        <v>1773</v>
      </c>
      <c r="C1327" s="7" t="s">
        <v>1774</v>
      </c>
      <c r="D1327" s="7" t="n">
        <v>2539</v>
      </c>
      <c r="E1327" s="7" t="s">
        <v>50</v>
      </c>
      <c r="F1327" s="10" t="b">
        <f aca="false">FALSE()</f>
        <v>0</v>
      </c>
      <c r="G1327" s="7" t="s">
        <v>92</v>
      </c>
      <c r="H1327" s="7" t="s">
        <v>992</v>
      </c>
      <c r="I1327" s="7" t="n">
        <v>1</v>
      </c>
      <c r="J1327" s="7" t="s">
        <v>107</v>
      </c>
      <c r="K1327" s="7" t="s">
        <v>107</v>
      </c>
      <c r="L1327" s="7"/>
      <c r="M1327" s="10" t="b">
        <f aca="false">FALSE()</f>
        <v>0</v>
      </c>
      <c r="N1327" s="7" t="s">
        <v>399</v>
      </c>
      <c r="O1327" s="7" t="n">
        <v>-35.27024</v>
      </c>
      <c r="P1327" s="7" t="n">
        <v>150.477728</v>
      </c>
    </row>
    <row r="1328" customFormat="false" ht="15" hidden="false" customHeight="false" outlineLevel="0" collapsed="false">
      <c r="A1328" s="7" t="n">
        <v>1327</v>
      </c>
      <c r="B1328" s="7" t="s">
        <v>1775</v>
      </c>
      <c r="C1328" s="7" t="s">
        <v>1776</v>
      </c>
      <c r="D1328" s="7" t="n">
        <v>2780</v>
      </c>
      <c r="E1328" s="7" t="s">
        <v>50</v>
      </c>
      <c r="F1328" s="10" t="b">
        <f aca="false">FALSE()</f>
        <v>0</v>
      </c>
      <c r="G1328" s="7" t="s">
        <v>306</v>
      </c>
      <c r="H1328" s="7" t="s">
        <v>992</v>
      </c>
      <c r="I1328" s="7" t="n">
        <v>4</v>
      </c>
      <c r="J1328" s="7" t="s">
        <v>107</v>
      </c>
      <c r="K1328" s="7" t="s">
        <v>107</v>
      </c>
      <c r="L1328" s="7"/>
      <c r="M1328" s="10" t="b">
        <f aca="false">FALSE()</f>
        <v>0</v>
      </c>
      <c r="N1328" s="7" t="s">
        <v>399</v>
      </c>
      <c r="O1328" s="7" t="n">
        <v>-33.706427</v>
      </c>
      <c r="P1328" s="7" t="n">
        <v>150.318539</v>
      </c>
    </row>
    <row r="1329" customFormat="false" ht="15" hidden="false" customHeight="false" outlineLevel="0" collapsed="false">
      <c r="A1329" s="7" t="n">
        <v>1328</v>
      </c>
      <c r="B1329" s="7"/>
      <c r="C1329" s="7" t="s">
        <v>1777</v>
      </c>
      <c r="D1329" s="7" t="n">
        <v>2039</v>
      </c>
      <c r="E1329" s="7" t="s">
        <v>50</v>
      </c>
      <c r="F1329" s="10" t="b">
        <f aca="false">FALSE()</f>
        <v>0</v>
      </c>
      <c r="G1329" s="7" t="s">
        <v>410</v>
      </c>
      <c r="H1329" s="7" t="s">
        <v>1371</v>
      </c>
      <c r="I1329" s="7" t="n">
        <v>1</v>
      </c>
      <c r="J1329" s="7" t="s">
        <v>107</v>
      </c>
      <c r="K1329" s="7" t="s">
        <v>108</v>
      </c>
      <c r="L1329" s="7" t="n">
        <v>22</v>
      </c>
      <c r="M1329" s="10" t="b">
        <f aca="false">FALSE()</f>
        <v>0</v>
      </c>
      <c r="N1329" s="7" t="s">
        <v>557</v>
      </c>
      <c r="O1329" s="7" t="n">
        <v>-33.866547</v>
      </c>
      <c r="P1329" s="7" t="n">
        <v>151.17067</v>
      </c>
    </row>
    <row r="1330" customFormat="false" ht="15" hidden="false" customHeight="false" outlineLevel="0" collapsed="false">
      <c r="A1330" s="7" t="n">
        <v>1329</v>
      </c>
      <c r="B1330" s="7" t="s">
        <v>147</v>
      </c>
      <c r="C1330" s="7" t="s">
        <v>1778</v>
      </c>
      <c r="D1330" s="7" t="n">
        <v>2650</v>
      </c>
      <c r="E1330" s="7" t="s">
        <v>50</v>
      </c>
      <c r="F1330" s="10" t="b">
        <f aca="false">FALSE()</f>
        <v>0</v>
      </c>
      <c r="G1330" s="7" t="s">
        <v>147</v>
      </c>
      <c r="H1330" s="7" t="s">
        <v>1748</v>
      </c>
      <c r="I1330" s="7" t="n">
        <v>2</v>
      </c>
      <c r="J1330" s="7" t="s">
        <v>107</v>
      </c>
      <c r="K1330" s="7" t="s">
        <v>107</v>
      </c>
      <c r="L1330" s="7"/>
      <c r="M1330" s="10" t="b">
        <f aca="false">FALSE()</f>
        <v>0</v>
      </c>
      <c r="N1330" s="7" t="s">
        <v>374</v>
      </c>
      <c r="O1330" s="7" t="n">
        <v>-35.109475</v>
      </c>
      <c r="P1330" s="7" t="n">
        <v>147.373417</v>
      </c>
    </row>
    <row r="1331" customFormat="false" ht="15" hidden="false" customHeight="false" outlineLevel="0" collapsed="false">
      <c r="A1331" s="7" t="n">
        <v>1330</v>
      </c>
      <c r="B1331" s="7" t="s">
        <v>1779</v>
      </c>
      <c r="C1331" s="7" t="s">
        <v>1780</v>
      </c>
      <c r="D1331" s="7" t="n">
        <v>2870</v>
      </c>
      <c r="E1331" s="7" t="s">
        <v>50</v>
      </c>
      <c r="F1331" s="10" t="b">
        <f aca="false">FALSE()</f>
        <v>0</v>
      </c>
      <c r="G1331" s="7" t="s">
        <v>180</v>
      </c>
      <c r="H1331" s="7" t="s">
        <v>260</v>
      </c>
      <c r="I1331" s="7" t="n">
        <v>2</v>
      </c>
      <c r="J1331" s="7" t="s">
        <v>107</v>
      </c>
      <c r="K1331" s="7" t="s">
        <v>107</v>
      </c>
      <c r="L1331" s="7"/>
      <c r="M1331" s="10" t="b">
        <f aca="false">FALSE()</f>
        <v>0</v>
      </c>
      <c r="N1331" s="7" t="s">
        <v>399</v>
      </c>
      <c r="O1331" s="7" t="n">
        <v>-33.123602</v>
      </c>
      <c r="P1331" s="7" t="n">
        <v>148.17431</v>
      </c>
    </row>
    <row r="1332" customFormat="false" ht="15" hidden="false" customHeight="false" outlineLevel="0" collapsed="false">
      <c r="A1332" s="7" t="n">
        <v>1331</v>
      </c>
      <c r="B1332" s="7" t="s">
        <v>1781</v>
      </c>
      <c r="C1332" s="7" t="s">
        <v>1782</v>
      </c>
      <c r="D1332" s="7" t="n">
        <v>2320</v>
      </c>
      <c r="E1332" s="7" t="s">
        <v>50</v>
      </c>
      <c r="F1332" s="10" t="b">
        <f aca="false">FALSE()</f>
        <v>0</v>
      </c>
      <c r="G1332" s="7" t="s">
        <v>111</v>
      </c>
      <c r="H1332" s="7" t="s">
        <v>260</v>
      </c>
      <c r="I1332" s="7" t="n">
        <v>4</v>
      </c>
      <c r="J1332" s="7" t="s">
        <v>107</v>
      </c>
      <c r="K1332" s="7" t="s">
        <v>107</v>
      </c>
      <c r="L1332" s="7"/>
      <c r="M1332" s="10" t="b">
        <f aca="false">FALSE()</f>
        <v>0</v>
      </c>
      <c r="N1332" s="7" t="s">
        <v>374</v>
      </c>
      <c r="O1332" s="7" t="n">
        <v>-32.769186</v>
      </c>
      <c r="P1332" s="7" t="n">
        <v>151.273708</v>
      </c>
    </row>
    <row r="1333" customFormat="false" ht="15" hidden="false" customHeight="false" outlineLevel="0" collapsed="false">
      <c r="A1333" s="7" t="n">
        <v>1332</v>
      </c>
      <c r="B1333" s="7"/>
      <c r="C1333" s="7" t="s">
        <v>1783</v>
      </c>
      <c r="D1333" s="7" t="n">
        <v>2034</v>
      </c>
      <c r="E1333" s="7" t="s">
        <v>50</v>
      </c>
      <c r="F1333" s="10" t="b">
        <f aca="false">FALSE()</f>
        <v>0</v>
      </c>
      <c r="G1333" s="7" t="s">
        <v>355</v>
      </c>
      <c r="H1333" s="7" t="s">
        <v>1371</v>
      </c>
      <c r="I1333" s="7" t="n">
        <v>1</v>
      </c>
      <c r="J1333" s="7" t="s">
        <v>107</v>
      </c>
      <c r="K1333" s="7" t="s">
        <v>108</v>
      </c>
      <c r="L1333" s="7" t="n">
        <v>22</v>
      </c>
      <c r="M1333" s="10" t="b">
        <f aca="false">FALSE()</f>
        <v>0</v>
      </c>
      <c r="N1333" s="7" t="s">
        <v>557</v>
      </c>
      <c r="O1333" s="7" t="n">
        <v>-33.914998</v>
      </c>
      <c r="P1333" s="7" t="n">
        <v>151.249421</v>
      </c>
    </row>
    <row r="1334" customFormat="false" ht="15" hidden="false" customHeight="false" outlineLevel="0" collapsed="false">
      <c r="A1334" s="7" t="n">
        <v>1333</v>
      </c>
      <c r="B1334" s="7" t="s">
        <v>1784</v>
      </c>
      <c r="C1334" s="7" t="s">
        <v>1785</v>
      </c>
      <c r="D1334" s="7" t="n">
        <v>2643</v>
      </c>
      <c r="E1334" s="7" t="s">
        <v>50</v>
      </c>
      <c r="F1334" s="10" t="b">
        <f aca="false">FALSE()</f>
        <v>0</v>
      </c>
      <c r="G1334" s="7" t="s">
        <v>477</v>
      </c>
      <c r="H1334" s="7" t="s">
        <v>1786</v>
      </c>
      <c r="I1334" s="7" t="n">
        <v>2</v>
      </c>
      <c r="J1334" s="7" t="s">
        <v>107</v>
      </c>
      <c r="K1334" s="7" t="s">
        <v>107</v>
      </c>
      <c r="L1334" s="7"/>
      <c r="M1334" s="10" t="b">
        <f aca="false">FALSE()</f>
        <v>0</v>
      </c>
      <c r="N1334" s="7" t="s">
        <v>399</v>
      </c>
      <c r="O1334" s="7" t="n">
        <v>-35.985295</v>
      </c>
      <c r="P1334" s="7" t="n">
        <v>146.644284</v>
      </c>
    </row>
    <row r="1335" customFormat="false" ht="15" hidden="false" customHeight="false" outlineLevel="0" collapsed="false">
      <c r="A1335" s="7" t="n">
        <v>1334</v>
      </c>
      <c r="B1335" s="7"/>
      <c r="C1335" s="7" t="s">
        <v>1787</v>
      </c>
      <c r="D1335" s="7" t="n">
        <v>2039</v>
      </c>
      <c r="E1335" s="7" t="s">
        <v>50</v>
      </c>
      <c r="F1335" s="10" t="b">
        <f aca="false">FALSE()</f>
        <v>0</v>
      </c>
      <c r="G1335" s="7" t="s">
        <v>410</v>
      </c>
      <c r="H1335" s="7" t="s">
        <v>302</v>
      </c>
      <c r="I1335" s="7" t="n">
        <v>2</v>
      </c>
      <c r="J1335" s="7" t="s">
        <v>107</v>
      </c>
      <c r="K1335" s="7" t="s">
        <v>108</v>
      </c>
      <c r="L1335" s="7" t="n">
        <v>22</v>
      </c>
      <c r="M1335" s="10" t="b">
        <f aca="false">FALSE()</f>
        <v>0</v>
      </c>
      <c r="N1335" s="7" t="s">
        <v>557</v>
      </c>
      <c r="O1335" s="7" t="n">
        <v>-33.860664</v>
      </c>
      <c r="P1335" s="7" t="n">
        <v>151.172695</v>
      </c>
    </row>
    <row r="1336" customFormat="false" ht="15" hidden="false" customHeight="false" outlineLevel="0" collapsed="false">
      <c r="A1336" s="7" t="n">
        <v>1335</v>
      </c>
      <c r="B1336" s="7"/>
      <c r="C1336" s="7" t="s">
        <v>1788</v>
      </c>
      <c r="D1336" s="7" t="n">
        <v>2650</v>
      </c>
      <c r="E1336" s="7" t="s">
        <v>50</v>
      </c>
      <c r="F1336" s="10" t="b">
        <f aca="false">FALSE()</f>
        <v>0</v>
      </c>
      <c r="G1336" s="7" t="s">
        <v>147</v>
      </c>
      <c r="H1336" s="7" t="s">
        <v>239</v>
      </c>
      <c r="I1336" s="7" t="n">
        <v>6</v>
      </c>
      <c r="J1336" s="7" t="s">
        <v>71</v>
      </c>
      <c r="K1336" s="7" t="s">
        <v>117</v>
      </c>
      <c r="L1336" s="7" t="n">
        <v>175</v>
      </c>
      <c r="M1336" s="10" t="b">
        <f aca="false">FALSE()</f>
        <v>0</v>
      </c>
      <c r="N1336" s="7" t="s">
        <v>118</v>
      </c>
      <c r="O1336" s="7" t="n">
        <v>-35.131775</v>
      </c>
      <c r="P1336" s="7" t="n">
        <v>147.339846</v>
      </c>
    </row>
    <row r="1337" customFormat="false" ht="15" hidden="false" customHeight="false" outlineLevel="0" collapsed="false">
      <c r="A1337" s="7" t="n">
        <v>1336</v>
      </c>
      <c r="B1337" s="7" t="s">
        <v>801</v>
      </c>
      <c r="C1337" s="7" t="s">
        <v>1789</v>
      </c>
      <c r="D1337" s="7" t="n">
        <v>2474</v>
      </c>
      <c r="E1337" s="7" t="s">
        <v>50</v>
      </c>
      <c r="F1337" s="10" t="b">
        <f aca="false">FALSE()</f>
        <v>0</v>
      </c>
      <c r="G1337" s="7" t="s">
        <v>801</v>
      </c>
      <c r="H1337" s="7" t="s">
        <v>260</v>
      </c>
      <c r="I1337" s="7" t="n">
        <v>2</v>
      </c>
      <c r="J1337" s="7" t="s">
        <v>107</v>
      </c>
      <c r="K1337" s="7" t="s">
        <v>107</v>
      </c>
      <c r="L1337" s="7"/>
      <c r="M1337" s="10" t="b">
        <f aca="false">FALSE()</f>
        <v>0</v>
      </c>
      <c r="N1337" s="7" t="s">
        <v>374</v>
      </c>
      <c r="O1337" s="7" t="n">
        <v>-28.621513</v>
      </c>
      <c r="P1337" s="7" t="n">
        <v>153.002795</v>
      </c>
    </row>
    <row r="1338" customFormat="false" ht="15" hidden="false" customHeight="false" outlineLevel="0" collapsed="false">
      <c r="A1338" s="7" t="n">
        <v>1337</v>
      </c>
      <c r="B1338" s="7"/>
      <c r="C1338" s="7" t="s">
        <v>1790</v>
      </c>
      <c r="D1338" s="7" t="n">
        <v>2031</v>
      </c>
      <c r="E1338" s="7" t="s">
        <v>50</v>
      </c>
      <c r="F1338" s="10" t="b">
        <f aca="false">FALSE()</f>
        <v>0</v>
      </c>
      <c r="G1338" s="7" t="s">
        <v>355</v>
      </c>
      <c r="H1338" s="7" t="s">
        <v>1371</v>
      </c>
      <c r="I1338" s="7" t="n">
        <v>1</v>
      </c>
      <c r="J1338" s="7" t="s">
        <v>107</v>
      </c>
      <c r="K1338" s="7" t="s">
        <v>108</v>
      </c>
      <c r="L1338" s="7" t="n">
        <v>22</v>
      </c>
      <c r="M1338" s="10" t="b">
        <f aca="false">FALSE()</f>
        <v>0</v>
      </c>
      <c r="N1338" s="7" t="s">
        <v>557</v>
      </c>
      <c r="O1338" s="7" t="n">
        <v>-33.918659</v>
      </c>
      <c r="P1338" s="7" t="n">
        <v>151.247203</v>
      </c>
    </row>
    <row r="1339" customFormat="false" ht="15" hidden="false" customHeight="false" outlineLevel="0" collapsed="false">
      <c r="A1339" s="7" t="n">
        <v>1338</v>
      </c>
      <c r="B1339" s="7"/>
      <c r="C1339" s="7" t="s">
        <v>1791</v>
      </c>
      <c r="D1339" s="7" t="n">
        <v>2047</v>
      </c>
      <c r="E1339" s="7" t="s">
        <v>50</v>
      </c>
      <c r="F1339" s="10" t="b">
        <f aca="false">FALSE()</f>
        <v>0</v>
      </c>
      <c r="G1339" s="7" t="s">
        <v>297</v>
      </c>
      <c r="H1339" s="7" t="s">
        <v>237</v>
      </c>
      <c r="I1339" s="7" t="n">
        <v>4</v>
      </c>
      <c r="J1339" s="7" t="s">
        <v>107</v>
      </c>
      <c r="K1339" s="7" t="s">
        <v>108</v>
      </c>
      <c r="L1339" s="7" t="n">
        <v>22</v>
      </c>
      <c r="M1339" s="10" t="b">
        <f aca="false">FALSE()</f>
        <v>0</v>
      </c>
      <c r="N1339" s="7" t="s">
        <v>109</v>
      </c>
      <c r="O1339" s="7" t="n">
        <v>-33.855785</v>
      </c>
      <c r="P1339" s="7" t="n">
        <v>151.161208</v>
      </c>
    </row>
    <row r="1340" customFormat="false" ht="15" hidden="false" customHeight="false" outlineLevel="0" collapsed="false">
      <c r="A1340" s="7" t="n">
        <v>1339</v>
      </c>
      <c r="B1340" s="7"/>
      <c r="C1340" s="7" t="s">
        <v>1792</v>
      </c>
      <c r="D1340" s="7" t="n">
        <v>2871</v>
      </c>
      <c r="E1340" s="7" t="s">
        <v>50</v>
      </c>
      <c r="F1340" s="10" t="b">
        <f aca="false">FALSE()</f>
        <v>0</v>
      </c>
      <c r="G1340" s="7" t="s">
        <v>432</v>
      </c>
      <c r="H1340" s="7" t="s">
        <v>260</v>
      </c>
      <c r="I1340" s="7" t="n">
        <v>2</v>
      </c>
      <c r="J1340" s="7" t="s">
        <v>107</v>
      </c>
      <c r="K1340" s="7" t="s">
        <v>108</v>
      </c>
      <c r="L1340" s="7" t="n">
        <v>22</v>
      </c>
      <c r="M1340" s="10" t="b">
        <f aca="false">FALSE()</f>
        <v>0</v>
      </c>
      <c r="N1340" s="7" t="s">
        <v>109</v>
      </c>
      <c r="O1340" s="7" t="n">
        <v>-33.38415</v>
      </c>
      <c r="P1340" s="7" t="n">
        <v>148.009987</v>
      </c>
    </row>
    <row r="1341" customFormat="false" ht="15" hidden="false" customHeight="false" outlineLevel="0" collapsed="false">
      <c r="A1341" s="7" t="n">
        <v>1340</v>
      </c>
      <c r="B1341" s="7" t="s">
        <v>1793</v>
      </c>
      <c r="C1341" s="7" t="s">
        <v>1794</v>
      </c>
      <c r="D1341" s="7" t="n">
        <v>2782</v>
      </c>
      <c r="E1341" s="7" t="s">
        <v>50</v>
      </c>
      <c r="F1341" s="10" t="b">
        <f aca="false">FALSE()</f>
        <v>0</v>
      </c>
      <c r="G1341" s="7" t="s">
        <v>306</v>
      </c>
      <c r="H1341" s="7" t="s">
        <v>1795</v>
      </c>
      <c r="I1341" s="7" t="n">
        <v>3</v>
      </c>
      <c r="J1341" s="7" t="s">
        <v>107</v>
      </c>
      <c r="K1341" s="7" t="s">
        <v>107</v>
      </c>
      <c r="L1341" s="7"/>
      <c r="M1341" s="10" t="b">
        <f aca="false">FALSE()</f>
        <v>0</v>
      </c>
      <c r="N1341" s="7" t="s">
        <v>399</v>
      </c>
      <c r="O1341" s="7" t="n">
        <v>-33.709548</v>
      </c>
      <c r="P1341" s="7" t="n">
        <v>150.375699</v>
      </c>
    </row>
    <row r="1342" customFormat="false" ht="15" hidden="false" customHeight="false" outlineLevel="0" collapsed="false">
      <c r="A1342" s="7" t="n">
        <v>1341</v>
      </c>
      <c r="B1342" s="7" t="s">
        <v>1796</v>
      </c>
      <c r="C1342" s="7" t="s">
        <v>1797</v>
      </c>
      <c r="D1342" s="7" t="n">
        <v>2666</v>
      </c>
      <c r="E1342" s="7" t="s">
        <v>50</v>
      </c>
      <c r="F1342" s="10" t="b">
        <f aca="false">FALSE()</f>
        <v>0</v>
      </c>
      <c r="G1342" s="7" t="s">
        <v>171</v>
      </c>
      <c r="H1342" s="7" t="s">
        <v>1355</v>
      </c>
      <c r="I1342" s="7" t="n">
        <v>4</v>
      </c>
      <c r="J1342" s="7" t="s">
        <v>107</v>
      </c>
      <c r="K1342" s="7" t="s">
        <v>107</v>
      </c>
      <c r="L1342" s="7"/>
      <c r="M1342" s="10" t="b">
        <f aca="false">FALSE()</f>
        <v>0</v>
      </c>
      <c r="N1342" s="7" t="s">
        <v>399</v>
      </c>
      <c r="O1342" s="7" t="n">
        <v>-34.427372</v>
      </c>
      <c r="P1342" s="7" t="n">
        <v>147.515236</v>
      </c>
    </row>
    <row r="1343" customFormat="false" ht="15" hidden="false" customHeight="false" outlineLevel="0" collapsed="false">
      <c r="A1343" s="7" t="n">
        <v>1342</v>
      </c>
      <c r="B1343" s="7" t="s">
        <v>1798</v>
      </c>
      <c r="C1343" s="7" t="s">
        <v>1799</v>
      </c>
      <c r="D1343" s="7" t="n">
        <v>2420</v>
      </c>
      <c r="E1343" s="7" t="s">
        <v>50</v>
      </c>
      <c r="F1343" s="10" t="b">
        <f aca="false">FALSE()</f>
        <v>0</v>
      </c>
      <c r="G1343" s="7" t="s">
        <v>1800</v>
      </c>
      <c r="H1343" s="7" t="s">
        <v>260</v>
      </c>
      <c r="I1343" s="7" t="n">
        <v>4</v>
      </c>
      <c r="J1343" s="7" t="s">
        <v>107</v>
      </c>
      <c r="K1343" s="7" t="s">
        <v>107</v>
      </c>
      <c r="L1343" s="7"/>
      <c r="M1343" s="10" t="b">
        <f aca="false">FALSE()</f>
        <v>0</v>
      </c>
      <c r="N1343" s="7" t="s">
        <v>399</v>
      </c>
      <c r="O1343" s="7" t="n">
        <v>-32.402119</v>
      </c>
      <c r="P1343" s="7" t="n">
        <v>151.757848</v>
      </c>
    </row>
    <row r="1344" customFormat="false" ht="15" hidden="false" customHeight="false" outlineLevel="0" collapsed="false">
      <c r="A1344" s="7" t="n">
        <v>1343</v>
      </c>
      <c r="B1344" s="7" t="s">
        <v>1801</v>
      </c>
      <c r="C1344" s="7" t="s">
        <v>1802</v>
      </c>
      <c r="D1344" s="7" t="n">
        <v>2340</v>
      </c>
      <c r="E1344" s="7" t="s">
        <v>50</v>
      </c>
      <c r="F1344" s="10" t="b">
        <f aca="false">FALSE()</f>
        <v>0</v>
      </c>
      <c r="G1344" s="7" t="s">
        <v>192</v>
      </c>
      <c r="H1344" s="7" t="s">
        <v>992</v>
      </c>
      <c r="I1344" s="7" t="n">
        <v>2</v>
      </c>
      <c r="J1344" s="7" t="s">
        <v>107</v>
      </c>
      <c r="K1344" s="7" t="s">
        <v>107</v>
      </c>
      <c r="L1344" s="7"/>
      <c r="M1344" s="10" t="b">
        <f aca="false">FALSE()</f>
        <v>0</v>
      </c>
      <c r="N1344" s="7" t="s">
        <v>399</v>
      </c>
      <c r="O1344" s="7" t="n">
        <v>-31.106728</v>
      </c>
      <c r="P1344" s="7" t="n">
        <v>150.922098</v>
      </c>
    </row>
    <row r="1345" customFormat="false" ht="15" hidden="false" customHeight="false" outlineLevel="0" collapsed="false">
      <c r="A1345" s="7" t="n">
        <v>1344</v>
      </c>
      <c r="B1345" s="7" t="s">
        <v>1803</v>
      </c>
      <c r="C1345" s="7" t="s">
        <v>1804</v>
      </c>
      <c r="D1345" s="7" t="n">
        <v>2343</v>
      </c>
      <c r="E1345" s="7" t="s">
        <v>50</v>
      </c>
      <c r="F1345" s="10" t="b">
        <f aca="false">FALSE()</f>
        <v>0</v>
      </c>
      <c r="G1345" s="7" t="s">
        <v>545</v>
      </c>
      <c r="H1345" s="7" t="s">
        <v>260</v>
      </c>
      <c r="I1345" s="7" t="n">
        <v>2</v>
      </c>
      <c r="J1345" s="7" t="s">
        <v>107</v>
      </c>
      <c r="K1345" s="7" t="s">
        <v>107</v>
      </c>
      <c r="L1345" s="7"/>
      <c r="M1345" s="10" t="b">
        <f aca="false">FALSE()</f>
        <v>0</v>
      </c>
      <c r="N1345" s="7" t="s">
        <v>399</v>
      </c>
      <c r="O1345" s="7" t="n">
        <v>-31.507326</v>
      </c>
      <c r="P1345" s="7" t="n">
        <v>150.680478</v>
      </c>
    </row>
    <row r="1346" customFormat="false" ht="15" hidden="false" customHeight="false" outlineLevel="0" collapsed="false">
      <c r="A1346" s="7" t="n">
        <v>1345</v>
      </c>
      <c r="B1346" s="7"/>
      <c r="C1346" s="7" t="s">
        <v>1805</v>
      </c>
      <c r="D1346" s="7" t="n">
        <v>2134</v>
      </c>
      <c r="E1346" s="7" t="s">
        <v>50</v>
      </c>
      <c r="F1346" s="10" t="b">
        <f aca="false">FALSE()</f>
        <v>0</v>
      </c>
      <c r="G1346" s="7" t="s">
        <v>421</v>
      </c>
      <c r="H1346" s="7" t="s">
        <v>302</v>
      </c>
      <c r="I1346" s="7" t="n">
        <v>2</v>
      </c>
      <c r="J1346" s="7" t="s">
        <v>107</v>
      </c>
      <c r="K1346" s="7" t="s">
        <v>108</v>
      </c>
      <c r="L1346" s="7" t="n">
        <v>22</v>
      </c>
      <c r="M1346" s="10" t="b">
        <f aca="false">FALSE()</f>
        <v>0</v>
      </c>
      <c r="N1346" s="7" t="s">
        <v>557</v>
      </c>
      <c r="O1346" s="7" t="n">
        <v>-33.874873</v>
      </c>
      <c r="P1346" s="7" t="n">
        <v>151.101629</v>
      </c>
    </row>
    <row r="1347" customFormat="false" ht="15" hidden="false" customHeight="false" outlineLevel="0" collapsed="false">
      <c r="A1347" s="7" t="n">
        <v>1346</v>
      </c>
      <c r="B1347" s="7"/>
      <c r="C1347" s="7" t="s">
        <v>1806</v>
      </c>
      <c r="D1347" s="7" t="n">
        <v>2035</v>
      </c>
      <c r="E1347" s="7" t="s">
        <v>50</v>
      </c>
      <c r="F1347" s="10" t="b">
        <f aca="false">FALSE()</f>
        <v>0</v>
      </c>
      <c r="G1347" s="7" t="s">
        <v>355</v>
      </c>
      <c r="H1347" s="7" t="s">
        <v>237</v>
      </c>
      <c r="I1347" s="7" t="n">
        <v>2</v>
      </c>
      <c r="J1347" s="7" t="s">
        <v>107</v>
      </c>
      <c r="K1347" s="7" t="s">
        <v>108</v>
      </c>
      <c r="L1347" s="7" t="n">
        <v>22</v>
      </c>
      <c r="M1347" s="10" t="b">
        <f aca="false">FALSE()</f>
        <v>0</v>
      </c>
      <c r="N1347" s="7" t="s">
        <v>557</v>
      </c>
      <c r="O1347" s="7" t="n">
        <v>-33.951213</v>
      </c>
      <c r="P1347" s="7" t="n">
        <v>151.255544</v>
      </c>
    </row>
    <row r="1348" customFormat="false" ht="15" hidden="false" customHeight="false" outlineLevel="0" collapsed="false">
      <c r="A1348" s="7" t="n">
        <v>1347</v>
      </c>
      <c r="B1348" s="7"/>
      <c r="C1348" s="7" t="s">
        <v>1807</v>
      </c>
      <c r="D1348" s="7" t="n">
        <v>2042</v>
      </c>
      <c r="E1348" s="7" t="s">
        <v>50</v>
      </c>
      <c r="F1348" s="10" t="b">
        <f aca="false">FALSE()</f>
        <v>0</v>
      </c>
      <c r="G1348" s="7" t="s">
        <v>410</v>
      </c>
      <c r="H1348" s="7" t="s">
        <v>1371</v>
      </c>
      <c r="I1348" s="7" t="n">
        <v>1</v>
      </c>
      <c r="J1348" s="7" t="s">
        <v>107</v>
      </c>
      <c r="K1348" s="7" t="s">
        <v>108</v>
      </c>
      <c r="L1348" s="7" t="n">
        <v>22</v>
      </c>
      <c r="M1348" s="10" t="b">
        <f aca="false">FALSE()</f>
        <v>0</v>
      </c>
      <c r="N1348" s="7" t="s">
        <v>557</v>
      </c>
      <c r="O1348" s="7" t="n">
        <v>-33.903175</v>
      </c>
      <c r="P1348" s="7" t="n">
        <v>151.179103</v>
      </c>
    </row>
    <row r="1349" customFormat="false" ht="15" hidden="false" customHeight="false" outlineLevel="0" collapsed="false">
      <c r="A1349" s="7" t="n">
        <v>1348</v>
      </c>
      <c r="B1349" s="7"/>
      <c r="C1349" s="7" t="s">
        <v>1808</v>
      </c>
      <c r="D1349" s="7" t="n">
        <v>2130</v>
      </c>
      <c r="E1349" s="7" t="s">
        <v>50</v>
      </c>
      <c r="F1349" s="10" t="b">
        <f aca="false">FALSE()</f>
        <v>0</v>
      </c>
      <c r="G1349" s="7" t="s">
        <v>410</v>
      </c>
      <c r="H1349" s="7" t="s">
        <v>1371</v>
      </c>
      <c r="I1349" s="7" t="n">
        <v>1</v>
      </c>
      <c r="J1349" s="7" t="s">
        <v>107</v>
      </c>
      <c r="K1349" s="7" t="s">
        <v>108</v>
      </c>
      <c r="L1349" s="7" t="n">
        <v>22</v>
      </c>
      <c r="M1349" s="10" t="b">
        <f aca="false">FALSE()</f>
        <v>0</v>
      </c>
      <c r="N1349" s="7" t="s">
        <v>557</v>
      </c>
      <c r="O1349" s="7" t="n">
        <v>-33.891353</v>
      </c>
      <c r="P1349" s="7" t="n">
        <v>151.13349</v>
      </c>
    </row>
    <row r="1350" customFormat="false" ht="15" hidden="false" customHeight="false" outlineLevel="0" collapsed="false">
      <c r="A1350" s="7" t="n">
        <v>1349</v>
      </c>
      <c r="B1350" s="7" t="s">
        <v>1809</v>
      </c>
      <c r="C1350" s="7" t="s">
        <v>1810</v>
      </c>
      <c r="D1350" s="7" t="n">
        <v>2550</v>
      </c>
      <c r="E1350" s="7" t="s">
        <v>50</v>
      </c>
      <c r="F1350" s="10" t="b">
        <f aca="false">FALSE()</f>
        <v>0</v>
      </c>
      <c r="G1350" s="7" t="s">
        <v>188</v>
      </c>
      <c r="H1350" s="7" t="s">
        <v>260</v>
      </c>
      <c r="I1350" s="7" t="n">
        <v>4</v>
      </c>
      <c r="J1350" s="7" t="s">
        <v>107</v>
      </c>
      <c r="K1350" s="7" t="s">
        <v>107</v>
      </c>
      <c r="L1350" s="7"/>
      <c r="M1350" s="10" t="b">
        <f aca="false">FALSE()</f>
        <v>0</v>
      </c>
      <c r="N1350" s="7" t="s">
        <v>399</v>
      </c>
      <c r="O1350" s="7" t="n">
        <v>-36.722655</v>
      </c>
      <c r="P1350" s="7" t="n">
        <v>149.978439</v>
      </c>
    </row>
    <row r="1351" customFormat="false" ht="15" hidden="false" customHeight="false" outlineLevel="0" collapsed="false">
      <c r="A1351" s="7" t="n">
        <v>1350</v>
      </c>
      <c r="B1351" s="7" t="s">
        <v>1811</v>
      </c>
      <c r="C1351" s="7" t="s">
        <v>1812</v>
      </c>
      <c r="D1351" s="7" t="n">
        <v>2430</v>
      </c>
      <c r="E1351" s="7" t="s">
        <v>50</v>
      </c>
      <c r="F1351" s="10" t="b">
        <f aca="false">FALSE()</f>
        <v>0</v>
      </c>
      <c r="G1351" s="7" t="s">
        <v>128</v>
      </c>
      <c r="H1351" s="7" t="s">
        <v>260</v>
      </c>
      <c r="I1351" s="7" t="n">
        <v>4</v>
      </c>
      <c r="J1351" s="7" t="s">
        <v>107</v>
      </c>
      <c r="K1351" s="7" t="s">
        <v>107</v>
      </c>
      <c r="L1351" s="7"/>
      <c r="M1351" s="10" t="b">
        <f aca="false">FALSE()</f>
        <v>0</v>
      </c>
      <c r="N1351" s="7" t="s">
        <v>399</v>
      </c>
      <c r="O1351" s="7" t="n">
        <v>-31.934089</v>
      </c>
      <c r="P1351" s="7" t="n">
        <v>152.465381</v>
      </c>
    </row>
    <row r="1352" customFormat="false" ht="15" hidden="false" customHeight="false" outlineLevel="0" collapsed="false">
      <c r="A1352" s="7" t="n">
        <v>1351</v>
      </c>
      <c r="B1352" s="7" t="s">
        <v>1813</v>
      </c>
      <c r="C1352" s="7" t="s">
        <v>1814</v>
      </c>
      <c r="D1352" s="7" t="n">
        <v>2551</v>
      </c>
      <c r="E1352" s="7" t="s">
        <v>50</v>
      </c>
      <c r="F1352" s="10" t="b">
        <f aca="false">FALSE()</f>
        <v>0</v>
      </c>
      <c r="G1352" s="7" t="s">
        <v>188</v>
      </c>
      <c r="H1352" s="7" t="s">
        <v>1355</v>
      </c>
      <c r="I1352" s="7" t="n">
        <v>2</v>
      </c>
      <c r="J1352" s="7" t="s">
        <v>107</v>
      </c>
      <c r="K1352" s="7" t="s">
        <v>107</v>
      </c>
      <c r="L1352" s="7"/>
      <c r="M1352" s="10" t="b">
        <f aca="false">FALSE()</f>
        <v>0</v>
      </c>
      <c r="N1352" s="7" t="s">
        <v>374</v>
      </c>
      <c r="O1352" s="7" t="n">
        <v>-37.05098</v>
      </c>
      <c r="P1352" s="7" t="n">
        <v>149.901281</v>
      </c>
    </row>
    <row r="1353" customFormat="false" ht="15" hidden="false" customHeight="false" outlineLevel="0" collapsed="false">
      <c r="A1353" s="7" t="n">
        <v>1352</v>
      </c>
      <c r="B1353" s="7" t="s">
        <v>1815</v>
      </c>
      <c r="C1353" s="7" t="s">
        <v>1816</v>
      </c>
      <c r="D1353" s="7" t="n">
        <v>2533</v>
      </c>
      <c r="E1353" s="7" t="s">
        <v>50</v>
      </c>
      <c r="F1353" s="10" t="b">
        <f aca="false">FALSE()</f>
        <v>0</v>
      </c>
      <c r="G1353" s="7" t="s">
        <v>446</v>
      </c>
      <c r="H1353" s="7" t="s">
        <v>260</v>
      </c>
      <c r="I1353" s="7" t="n">
        <v>4</v>
      </c>
      <c r="J1353" s="7" t="s">
        <v>107</v>
      </c>
      <c r="K1353" s="7" t="s">
        <v>107</v>
      </c>
      <c r="L1353" s="7"/>
      <c r="M1353" s="10" t="b">
        <f aca="false">FALSE()</f>
        <v>0</v>
      </c>
      <c r="N1353" s="7" t="s">
        <v>399</v>
      </c>
      <c r="O1353" s="7" t="n">
        <v>-34.674819</v>
      </c>
      <c r="P1353" s="7" t="n">
        <v>150.85707</v>
      </c>
    </row>
    <row r="1354" customFormat="false" ht="15" hidden="false" customHeight="false" outlineLevel="0" collapsed="false">
      <c r="A1354" s="7" t="n">
        <v>1353</v>
      </c>
      <c r="B1354" s="7"/>
      <c r="C1354" s="7" t="s">
        <v>1817</v>
      </c>
      <c r="D1354" s="7" t="n">
        <v>2680</v>
      </c>
      <c r="E1354" s="7" t="s">
        <v>50</v>
      </c>
      <c r="F1354" s="10" t="b">
        <f aca="false">FALSE()</f>
        <v>0</v>
      </c>
      <c r="G1354" s="7" t="s">
        <v>270</v>
      </c>
      <c r="H1354" s="7" t="s">
        <v>239</v>
      </c>
      <c r="I1354" s="7" t="n">
        <v>6</v>
      </c>
      <c r="J1354" s="7" t="s">
        <v>71</v>
      </c>
      <c r="K1354" s="7" t="s">
        <v>117</v>
      </c>
      <c r="L1354" s="7" t="n">
        <v>175</v>
      </c>
      <c r="M1354" s="10" t="b">
        <f aca="false">FALSE()</f>
        <v>0</v>
      </c>
      <c r="N1354" s="7" t="s">
        <v>118</v>
      </c>
      <c r="O1354" s="7" t="n">
        <v>-34.292264</v>
      </c>
      <c r="P1354" s="7" t="n">
        <v>146.050702</v>
      </c>
    </row>
    <row r="1355" customFormat="false" ht="15" hidden="false" customHeight="false" outlineLevel="0" collapsed="false">
      <c r="A1355" s="7" t="n">
        <v>1354</v>
      </c>
      <c r="B1355" s="7"/>
      <c r="C1355" s="7" t="s">
        <v>1818</v>
      </c>
      <c r="D1355" s="7" t="n">
        <v>2042</v>
      </c>
      <c r="E1355" s="7" t="s">
        <v>50</v>
      </c>
      <c r="F1355" s="10" t="b">
        <f aca="false">FALSE()</f>
        <v>0</v>
      </c>
      <c r="G1355" s="7" t="s">
        <v>410</v>
      </c>
      <c r="H1355" s="7" t="s">
        <v>302</v>
      </c>
      <c r="I1355" s="7" t="n">
        <v>2</v>
      </c>
      <c r="J1355" s="7" t="s">
        <v>107</v>
      </c>
      <c r="K1355" s="7" t="s">
        <v>108</v>
      </c>
      <c r="L1355" s="7" t="n">
        <v>22</v>
      </c>
      <c r="M1355" s="10" t="b">
        <f aca="false">FALSE()</f>
        <v>0</v>
      </c>
      <c r="N1355" s="7" t="s">
        <v>557</v>
      </c>
      <c r="O1355" s="7" t="n">
        <v>-33.898813</v>
      </c>
      <c r="P1355" s="7" t="n">
        <v>151.170842</v>
      </c>
    </row>
    <row r="1356" customFormat="false" ht="15" hidden="false" customHeight="false" outlineLevel="0" collapsed="false">
      <c r="A1356" s="7" t="n">
        <v>1355</v>
      </c>
      <c r="B1356" s="7" t="s">
        <v>1819</v>
      </c>
      <c r="C1356" s="7" t="s">
        <v>1820</v>
      </c>
      <c r="D1356" s="7" t="n">
        <v>2870</v>
      </c>
      <c r="E1356" s="7" t="s">
        <v>50</v>
      </c>
      <c r="F1356" s="10" t="b">
        <f aca="false">FALSE()</f>
        <v>0</v>
      </c>
      <c r="G1356" s="7" t="s">
        <v>180</v>
      </c>
      <c r="H1356" s="7" t="s">
        <v>260</v>
      </c>
      <c r="I1356" s="7" t="n">
        <v>4</v>
      </c>
      <c r="J1356" s="7" t="s">
        <v>107</v>
      </c>
      <c r="K1356" s="7" t="s">
        <v>107</v>
      </c>
      <c r="L1356" s="7"/>
      <c r="M1356" s="10" t="b">
        <f aca="false">FALSE()</f>
        <v>0</v>
      </c>
      <c r="N1356" s="7" t="s">
        <v>399</v>
      </c>
      <c r="O1356" s="7" t="n">
        <v>-33.138175</v>
      </c>
      <c r="P1356" s="7" t="n">
        <v>148.173085</v>
      </c>
    </row>
    <row r="1357" customFormat="false" ht="15" hidden="false" customHeight="false" outlineLevel="0" collapsed="false">
      <c r="A1357" s="7" t="n">
        <v>1356</v>
      </c>
      <c r="B1357" s="7"/>
      <c r="C1357" s="7" t="s">
        <v>1821</v>
      </c>
      <c r="D1357" s="7" t="n">
        <v>2036</v>
      </c>
      <c r="E1357" s="7" t="s">
        <v>50</v>
      </c>
      <c r="F1357" s="10" t="b">
        <f aca="false">FALSE()</f>
        <v>0</v>
      </c>
      <c r="G1357" s="7" t="s">
        <v>355</v>
      </c>
      <c r="H1357" s="7" t="s">
        <v>1069</v>
      </c>
      <c r="I1357" s="7" t="n">
        <v>2</v>
      </c>
      <c r="J1357" s="7" t="s">
        <v>71</v>
      </c>
      <c r="K1357" s="7" t="s">
        <v>83</v>
      </c>
      <c r="L1357" s="7" t="n">
        <v>75</v>
      </c>
      <c r="M1357" s="10" t="b">
        <f aca="false">FALSE()</f>
        <v>0</v>
      </c>
      <c r="N1357" s="7" t="s">
        <v>557</v>
      </c>
      <c r="O1357" s="7" t="n">
        <v>-33.980816</v>
      </c>
      <c r="P1357" s="7" t="n">
        <v>151.249864</v>
      </c>
    </row>
    <row r="1358" customFormat="false" ht="15" hidden="false" customHeight="false" outlineLevel="0" collapsed="false">
      <c r="A1358" s="7" t="n">
        <v>1357</v>
      </c>
      <c r="B1358" s="7" t="s">
        <v>1822</v>
      </c>
      <c r="C1358" s="7" t="s">
        <v>1823</v>
      </c>
      <c r="D1358" s="7" t="n">
        <v>2404</v>
      </c>
      <c r="E1358" s="7" t="s">
        <v>50</v>
      </c>
      <c r="F1358" s="10" t="b">
        <f aca="false">FALSE()</f>
        <v>0</v>
      </c>
      <c r="G1358" s="7" t="s">
        <v>986</v>
      </c>
      <c r="H1358" s="7" t="s">
        <v>260</v>
      </c>
      <c r="I1358" s="7" t="n">
        <v>2</v>
      </c>
      <c r="J1358" s="7" t="s">
        <v>107</v>
      </c>
      <c r="K1358" s="7" t="s">
        <v>107</v>
      </c>
      <c r="L1358" s="7"/>
      <c r="M1358" s="10" t="b">
        <f aca="false">FALSE()</f>
        <v>0</v>
      </c>
      <c r="N1358" s="7" t="s">
        <v>399</v>
      </c>
      <c r="O1358" s="7" t="n">
        <v>-29.864475</v>
      </c>
      <c r="P1358" s="7" t="n">
        <v>150.57712</v>
      </c>
    </row>
    <row r="1359" customFormat="false" ht="15" hidden="false" customHeight="false" outlineLevel="0" collapsed="false">
      <c r="A1359" s="7" t="n">
        <v>1358</v>
      </c>
      <c r="B1359" s="7"/>
      <c r="C1359" s="7" t="s">
        <v>1824</v>
      </c>
      <c r="D1359" s="7" t="n">
        <v>2045</v>
      </c>
      <c r="E1359" s="7" t="s">
        <v>50</v>
      </c>
      <c r="F1359" s="10" t="b">
        <f aca="false">FALSE()</f>
        <v>0</v>
      </c>
      <c r="G1359" s="7" t="s">
        <v>410</v>
      </c>
      <c r="H1359" s="7" t="s">
        <v>556</v>
      </c>
      <c r="I1359" s="7" t="n">
        <v>2</v>
      </c>
      <c r="J1359" s="7" t="s">
        <v>107</v>
      </c>
      <c r="K1359" s="7" t="s">
        <v>108</v>
      </c>
      <c r="L1359" s="7" t="n">
        <v>22</v>
      </c>
      <c r="M1359" s="10" t="b">
        <f aca="false">FALSE()</f>
        <v>0</v>
      </c>
      <c r="N1359" s="7" t="s">
        <v>557</v>
      </c>
      <c r="O1359" s="7" t="n">
        <v>-33.884617</v>
      </c>
      <c r="P1359" s="7" t="n">
        <v>151.13661</v>
      </c>
    </row>
    <row r="1360" customFormat="false" ht="15" hidden="false" customHeight="false" outlineLevel="0" collapsed="false">
      <c r="A1360" s="7" t="n">
        <v>1359</v>
      </c>
      <c r="B1360" s="7"/>
      <c r="C1360" s="7" t="s">
        <v>1825</v>
      </c>
      <c r="D1360" s="7" t="n">
        <v>2030</v>
      </c>
      <c r="E1360" s="7" t="s">
        <v>50</v>
      </c>
      <c r="F1360" s="10" t="b">
        <f aca="false">FALSE()</f>
        <v>0</v>
      </c>
      <c r="G1360" s="7" t="s">
        <v>295</v>
      </c>
      <c r="H1360" s="7" t="s">
        <v>1371</v>
      </c>
      <c r="I1360" s="7" t="n">
        <v>1</v>
      </c>
      <c r="J1360" s="7" t="s">
        <v>107</v>
      </c>
      <c r="K1360" s="7" t="s">
        <v>108</v>
      </c>
      <c r="L1360" s="7" t="n">
        <v>22</v>
      </c>
      <c r="M1360" s="10" t="b">
        <f aca="false">FALSE()</f>
        <v>0</v>
      </c>
      <c r="N1360" s="7" t="s">
        <v>557</v>
      </c>
      <c r="O1360" s="7" t="n">
        <v>-33.861029</v>
      </c>
      <c r="P1360" s="7" t="n">
        <v>151.278808</v>
      </c>
    </row>
    <row r="1361" customFormat="false" ht="15" hidden="false" customHeight="false" outlineLevel="0" collapsed="false">
      <c r="A1361" s="7" t="n">
        <v>1360</v>
      </c>
      <c r="B1361" s="7"/>
      <c r="C1361" s="7" t="s">
        <v>1826</v>
      </c>
      <c r="D1361" s="7" t="n">
        <v>2204</v>
      </c>
      <c r="E1361" s="7" t="s">
        <v>50</v>
      </c>
      <c r="F1361" s="10" t="b">
        <f aca="false">FALSE()</f>
        <v>0</v>
      </c>
      <c r="G1361" s="7" t="s">
        <v>410</v>
      </c>
      <c r="H1361" s="7" t="s">
        <v>1371</v>
      </c>
      <c r="I1361" s="7" t="n">
        <v>1</v>
      </c>
      <c r="J1361" s="7" t="s">
        <v>107</v>
      </c>
      <c r="K1361" s="7" t="s">
        <v>900</v>
      </c>
      <c r="L1361" s="7" t="n">
        <v>7</v>
      </c>
      <c r="M1361" s="10" t="b">
        <f aca="false">FALSE()</f>
        <v>0</v>
      </c>
      <c r="N1361" s="7" t="s">
        <v>557</v>
      </c>
      <c r="O1361" s="7" t="n">
        <v>-33.904639</v>
      </c>
      <c r="P1361" s="7" t="n">
        <v>151.148293</v>
      </c>
    </row>
    <row r="1362" customFormat="false" ht="15" hidden="false" customHeight="false" outlineLevel="0" collapsed="false">
      <c r="A1362" s="7" t="n">
        <v>1361</v>
      </c>
      <c r="B1362" s="7"/>
      <c r="C1362" s="7" t="s">
        <v>1827</v>
      </c>
      <c r="D1362" s="7" t="n">
        <v>2030</v>
      </c>
      <c r="E1362" s="7" t="s">
        <v>50</v>
      </c>
      <c r="F1362" s="10" t="b">
        <f aca="false">FALSE()</f>
        <v>0</v>
      </c>
      <c r="G1362" s="7" t="s">
        <v>272</v>
      </c>
      <c r="H1362" s="7" t="s">
        <v>237</v>
      </c>
      <c r="I1362" s="7" t="n">
        <v>2</v>
      </c>
      <c r="J1362" s="7" t="s">
        <v>107</v>
      </c>
      <c r="K1362" s="7" t="s">
        <v>108</v>
      </c>
      <c r="L1362" s="7" t="n">
        <v>22</v>
      </c>
      <c r="M1362" s="10" t="b">
        <f aca="false">FALSE()</f>
        <v>0</v>
      </c>
      <c r="N1362" s="7" t="s">
        <v>557</v>
      </c>
      <c r="O1362" s="7" t="n">
        <v>-33.8531</v>
      </c>
      <c r="P1362" s="7" t="n">
        <v>151.269942</v>
      </c>
    </row>
    <row r="1363" customFormat="false" ht="15" hidden="false" customHeight="false" outlineLevel="0" collapsed="false">
      <c r="A1363" s="7" t="n">
        <v>1362</v>
      </c>
      <c r="B1363" s="7"/>
      <c r="C1363" s="7" t="s">
        <v>1828</v>
      </c>
      <c r="D1363" s="7" t="n">
        <v>2022</v>
      </c>
      <c r="E1363" s="7" t="s">
        <v>50</v>
      </c>
      <c r="F1363" s="10" t="b">
        <f aca="false">FALSE()</f>
        <v>0</v>
      </c>
      <c r="G1363" s="7" t="s">
        <v>295</v>
      </c>
      <c r="H1363" s="7" t="s">
        <v>1371</v>
      </c>
      <c r="I1363" s="7" t="n">
        <v>1</v>
      </c>
      <c r="J1363" s="7" t="s">
        <v>107</v>
      </c>
      <c r="K1363" s="7" t="s">
        <v>900</v>
      </c>
      <c r="L1363" s="7" t="n">
        <v>7</v>
      </c>
      <c r="M1363" s="10" t="b">
        <f aca="false">FALSE()</f>
        <v>0</v>
      </c>
      <c r="N1363" s="7" t="s">
        <v>557</v>
      </c>
      <c r="O1363" s="7" t="n">
        <v>-33.894363</v>
      </c>
      <c r="P1363" s="7" t="n">
        <v>151.251772</v>
      </c>
    </row>
    <row r="1364" customFormat="false" ht="15" hidden="false" customHeight="false" outlineLevel="0" collapsed="false">
      <c r="A1364" s="7" t="n">
        <v>1363</v>
      </c>
      <c r="B1364" s="7"/>
      <c r="C1364" s="7" t="s">
        <v>1829</v>
      </c>
      <c r="D1364" s="7" t="n">
        <v>2060</v>
      </c>
      <c r="E1364" s="7" t="s">
        <v>50</v>
      </c>
      <c r="F1364" s="10" t="b">
        <f aca="false">FALSE()</f>
        <v>0</v>
      </c>
      <c r="G1364" s="7" t="s">
        <v>332</v>
      </c>
      <c r="H1364" s="7" t="s">
        <v>1744</v>
      </c>
      <c r="I1364" s="7" t="n">
        <v>4</v>
      </c>
      <c r="J1364" s="7" t="s">
        <v>107</v>
      </c>
      <c r="K1364" s="7" t="s">
        <v>108</v>
      </c>
      <c r="L1364" s="7" t="n">
        <v>22</v>
      </c>
      <c r="M1364" s="10" t="b">
        <f aca="false">FALSE()</f>
        <v>0</v>
      </c>
      <c r="N1364" s="7" t="s">
        <v>557</v>
      </c>
      <c r="O1364" s="7" t="n">
        <v>-33.833866</v>
      </c>
      <c r="P1364" s="7" t="n">
        <v>151.206388</v>
      </c>
    </row>
    <row r="1365" customFormat="false" ht="15" hidden="false" customHeight="false" outlineLevel="0" collapsed="false">
      <c r="A1365" s="7" t="n">
        <v>1364</v>
      </c>
      <c r="B1365" s="7"/>
      <c r="C1365" s="7" t="s">
        <v>1830</v>
      </c>
      <c r="D1365" s="7" t="n">
        <v>2041</v>
      </c>
      <c r="E1365" s="7" t="s">
        <v>50</v>
      </c>
      <c r="F1365" s="10" t="b">
        <f aca="false">FALSE()</f>
        <v>0</v>
      </c>
      <c r="G1365" s="7" t="s">
        <v>410</v>
      </c>
      <c r="H1365" s="7" t="s">
        <v>302</v>
      </c>
      <c r="I1365" s="7" t="n">
        <v>2</v>
      </c>
      <c r="J1365" s="7" t="s">
        <v>107</v>
      </c>
      <c r="K1365" s="7" t="s">
        <v>108</v>
      </c>
      <c r="L1365" s="7" t="n">
        <v>22</v>
      </c>
      <c r="M1365" s="10" t="b">
        <f aca="false">FALSE()</f>
        <v>0</v>
      </c>
      <c r="N1365" s="7" t="s">
        <v>557</v>
      </c>
      <c r="O1365" s="7" t="n">
        <v>-33.855604</v>
      </c>
      <c r="P1365" s="7" t="n">
        <v>151.176035</v>
      </c>
    </row>
    <row r="1366" customFormat="false" ht="15" hidden="false" customHeight="false" outlineLevel="0" collapsed="false">
      <c r="A1366" s="7" t="n">
        <v>1365</v>
      </c>
      <c r="B1366" s="7"/>
      <c r="C1366" s="7" t="s">
        <v>1831</v>
      </c>
      <c r="D1366" s="7" t="n">
        <v>2026</v>
      </c>
      <c r="E1366" s="7" t="s">
        <v>50</v>
      </c>
      <c r="F1366" s="10" t="b">
        <f aca="false">FALSE()</f>
        <v>0</v>
      </c>
      <c r="G1366" s="7" t="s">
        <v>295</v>
      </c>
      <c r="H1366" s="7" t="s">
        <v>1371</v>
      </c>
      <c r="I1366" s="7" t="n">
        <v>1</v>
      </c>
      <c r="J1366" s="7" t="s">
        <v>107</v>
      </c>
      <c r="K1366" s="7" t="s">
        <v>108</v>
      </c>
      <c r="L1366" s="7" t="n">
        <v>22</v>
      </c>
      <c r="M1366" s="10" t="b">
        <f aca="false">FALSE()</f>
        <v>0</v>
      </c>
      <c r="N1366" s="7" t="s">
        <v>557</v>
      </c>
      <c r="O1366" s="7" t="n">
        <v>-33.894378</v>
      </c>
      <c r="P1366" s="7" t="n">
        <v>151.261093</v>
      </c>
    </row>
    <row r="1367" customFormat="false" ht="15" hidden="false" customHeight="false" outlineLevel="0" collapsed="false">
      <c r="A1367" s="7" t="n">
        <v>1366</v>
      </c>
      <c r="B1367" s="7"/>
      <c r="C1367" s="7" t="s">
        <v>1832</v>
      </c>
      <c r="D1367" s="7" t="n">
        <v>2040</v>
      </c>
      <c r="E1367" s="7" t="s">
        <v>50</v>
      </c>
      <c r="F1367" s="10" t="b">
        <f aca="false">FALSE()</f>
        <v>0</v>
      </c>
      <c r="G1367" s="7" t="s">
        <v>410</v>
      </c>
      <c r="H1367" s="7" t="s">
        <v>302</v>
      </c>
      <c r="I1367" s="7" t="n">
        <v>2</v>
      </c>
      <c r="J1367" s="7" t="s">
        <v>107</v>
      </c>
      <c r="K1367" s="7" t="s">
        <v>108</v>
      </c>
      <c r="L1367" s="7" t="n">
        <v>22</v>
      </c>
      <c r="M1367" s="10" t="b">
        <f aca="false">FALSE()</f>
        <v>0</v>
      </c>
      <c r="N1367" s="7" t="s">
        <v>557</v>
      </c>
      <c r="O1367" s="7" t="n">
        <v>-33.884004</v>
      </c>
      <c r="P1367" s="7" t="n">
        <v>151.156494</v>
      </c>
    </row>
    <row r="1368" customFormat="false" ht="15" hidden="false" customHeight="false" outlineLevel="0" collapsed="false">
      <c r="A1368" s="7" t="n">
        <v>1367</v>
      </c>
      <c r="B1368" s="7" t="s">
        <v>1833</v>
      </c>
      <c r="C1368" s="7" t="s">
        <v>1834</v>
      </c>
      <c r="D1368" s="7" t="n">
        <v>2533</v>
      </c>
      <c r="E1368" s="7" t="s">
        <v>50</v>
      </c>
      <c r="F1368" s="10" t="b">
        <f aca="false">FALSE()</f>
        <v>0</v>
      </c>
      <c r="G1368" s="7" t="s">
        <v>446</v>
      </c>
      <c r="H1368" s="7" t="s">
        <v>260</v>
      </c>
      <c r="I1368" s="7" t="n">
        <v>2</v>
      </c>
      <c r="J1368" s="7" t="s">
        <v>107</v>
      </c>
      <c r="K1368" s="7" t="s">
        <v>107</v>
      </c>
      <c r="L1368" s="7"/>
      <c r="M1368" s="10" t="b">
        <f aca="false">FALSE()</f>
        <v>0</v>
      </c>
      <c r="N1368" s="7" t="s">
        <v>399</v>
      </c>
      <c r="O1368" s="7" t="n">
        <v>-34.668343</v>
      </c>
      <c r="P1368" s="7" t="n">
        <v>150.85495</v>
      </c>
    </row>
    <row r="1369" customFormat="false" ht="15" hidden="false" customHeight="false" outlineLevel="0" collapsed="false">
      <c r="A1369" s="7" t="n">
        <v>1368</v>
      </c>
      <c r="B1369" s="7"/>
      <c r="C1369" s="7" t="s">
        <v>1835</v>
      </c>
      <c r="D1369" s="7" t="n">
        <v>2450</v>
      </c>
      <c r="E1369" s="7" t="s">
        <v>50</v>
      </c>
      <c r="F1369" s="10" t="b">
        <f aca="false">FALSE()</f>
        <v>0</v>
      </c>
      <c r="G1369" s="7" t="s">
        <v>360</v>
      </c>
      <c r="H1369" s="7" t="s">
        <v>239</v>
      </c>
      <c r="I1369" s="7" t="n">
        <v>15</v>
      </c>
      <c r="J1369" s="7" t="s">
        <v>71</v>
      </c>
      <c r="K1369" s="7" t="s">
        <v>117</v>
      </c>
      <c r="L1369" s="7" t="n">
        <v>175</v>
      </c>
      <c r="M1369" s="10" t="b">
        <f aca="false">FALSE()</f>
        <v>0</v>
      </c>
      <c r="N1369" s="7" t="s">
        <v>118</v>
      </c>
      <c r="O1369" s="7" t="n">
        <v>-30.204973</v>
      </c>
      <c r="P1369" s="7" t="n">
        <v>153.150103</v>
      </c>
    </row>
    <row r="1370" customFormat="false" ht="15" hidden="false" customHeight="false" outlineLevel="0" collapsed="false">
      <c r="A1370" s="7" t="n">
        <v>1369</v>
      </c>
      <c r="B1370" s="7"/>
      <c r="C1370" s="7" t="s">
        <v>1836</v>
      </c>
      <c r="D1370" s="7" t="n">
        <v>2204</v>
      </c>
      <c r="E1370" s="7" t="s">
        <v>50</v>
      </c>
      <c r="F1370" s="10" t="b">
        <f aca="false">FALSE()</f>
        <v>0</v>
      </c>
      <c r="G1370" s="7" t="s">
        <v>410</v>
      </c>
      <c r="H1370" s="7" t="s">
        <v>1371</v>
      </c>
      <c r="I1370" s="7" t="n">
        <v>1</v>
      </c>
      <c r="J1370" s="7" t="s">
        <v>107</v>
      </c>
      <c r="K1370" s="7" t="s">
        <v>900</v>
      </c>
      <c r="L1370" s="7" t="n">
        <v>7</v>
      </c>
      <c r="M1370" s="10" t="b">
        <f aca="false">FALSE()</f>
        <v>0</v>
      </c>
      <c r="N1370" s="7" t="s">
        <v>557</v>
      </c>
      <c r="O1370" s="7" t="n">
        <v>-33.91435</v>
      </c>
      <c r="P1370" s="7" t="n">
        <v>151.148581</v>
      </c>
    </row>
    <row r="1371" customFormat="false" ht="15" hidden="false" customHeight="false" outlineLevel="0" collapsed="false">
      <c r="A1371" s="7" t="n">
        <v>1370</v>
      </c>
      <c r="B1371" s="7"/>
      <c r="C1371" s="7" t="s">
        <v>1837</v>
      </c>
      <c r="D1371" s="7" t="n">
        <v>2021</v>
      </c>
      <c r="E1371" s="7" t="s">
        <v>50</v>
      </c>
      <c r="F1371" s="10" t="b">
        <f aca="false">FALSE()</f>
        <v>0</v>
      </c>
      <c r="G1371" s="7" t="s">
        <v>272</v>
      </c>
      <c r="H1371" s="7" t="s">
        <v>1371</v>
      </c>
      <c r="I1371" s="7" t="n">
        <v>1</v>
      </c>
      <c r="J1371" s="7" t="s">
        <v>107</v>
      </c>
      <c r="K1371" s="7" t="s">
        <v>108</v>
      </c>
      <c r="L1371" s="7" t="n">
        <v>22</v>
      </c>
      <c r="M1371" s="10" t="b">
        <f aca="false">FALSE()</f>
        <v>0</v>
      </c>
      <c r="N1371" s="7" t="s">
        <v>557</v>
      </c>
      <c r="O1371" s="7" t="n">
        <v>-33.88336</v>
      </c>
      <c r="P1371" s="7" t="n">
        <v>151.237178</v>
      </c>
    </row>
    <row r="1372" customFormat="false" ht="15" hidden="false" customHeight="false" outlineLevel="0" collapsed="false">
      <c r="A1372" s="7" t="n">
        <v>1371</v>
      </c>
      <c r="B1372" s="7" t="s">
        <v>1838</v>
      </c>
      <c r="C1372" s="7" t="s">
        <v>1839</v>
      </c>
      <c r="D1372" s="7" t="n">
        <v>2464</v>
      </c>
      <c r="E1372" s="7" t="s">
        <v>50</v>
      </c>
      <c r="F1372" s="10" t="b">
        <f aca="false">FALSE()</f>
        <v>0</v>
      </c>
      <c r="G1372" s="7" t="s">
        <v>87</v>
      </c>
      <c r="H1372" s="7" t="s">
        <v>237</v>
      </c>
      <c r="I1372" s="7" t="n">
        <v>2</v>
      </c>
      <c r="J1372" s="7" t="s">
        <v>107</v>
      </c>
      <c r="K1372" s="7" t="s">
        <v>107</v>
      </c>
      <c r="L1372" s="7"/>
      <c r="M1372" s="10" t="b">
        <f aca="false">FALSE()</f>
        <v>0</v>
      </c>
      <c r="N1372" s="7" t="s">
        <v>399</v>
      </c>
      <c r="O1372" s="7" t="n">
        <v>-29.437165</v>
      </c>
      <c r="P1372" s="7" t="n">
        <v>153.365714</v>
      </c>
    </row>
    <row r="1373" customFormat="false" ht="15" hidden="false" customHeight="false" outlineLevel="0" collapsed="false">
      <c r="A1373" s="7" t="n">
        <v>1372</v>
      </c>
      <c r="B1373" s="7"/>
      <c r="C1373" s="7" t="s">
        <v>1840</v>
      </c>
      <c r="D1373" s="7" t="n">
        <v>2026</v>
      </c>
      <c r="E1373" s="7" t="s">
        <v>50</v>
      </c>
      <c r="F1373" s="10" t="b">
        <f aca="false">FALSE()</f>
        <v>0</v>
      </c>
      <c r="G1373" s="7" t="s">
        <v>295</v>
      </c>
      <c r="H1373" s="7" t="s">
        <v>237</v>
      </c>
      <c r="I1373" s="7" t="n">
        <v>2</v>
      </c>
      <c r="J1373" s="7" t="s">
        <v>107</v>
      </c>
      <c r="K1373" s="7" t="s">
        <v>108</v>
      </c>
      <c r="L1373" s="7" t="n">
        <v>22</v>
      </c>
      <c r="M1373" s="10" t="b">
        <f aca="false">FALSE()</f>
        <v>0</v>
      </c>
      <c r="N1373" s="7" t="s">
        <v>557</v>
      </c>
      <c r="O1373" s="7" t="n">
        <v>-33.889666</v>
      </c>
      <c r="P1373" s="7" t="n">
        <v>151.266977</v>
      </c>
    </row>
    <row r="1374" customFormat="false" ht="15" hidden="false" customHeight="false" outlineLevel="0" collapsed="false">
      <c r="A1374" s="7" t="n">
        <v>1373</v>
      </c>
      <c r="B1374" s="7" t="s">
        <v>1841</v>
      </c>
      <c r="C1374" s="7" t="s">
        <v>1842</v>
      </c>
      <c r="D1374" s="7" t="n">
        <v>2548</v>
      </c>
      <c r="E1374" s="7" t="s">
        <v>50</v>
      </c>
      <c r="F1374" s="10" t="b">
        <f aca="false">FALSE()</f>
        <v>0</v>
      </c>
      <c r="G1374" s="7" t="s">
        <v>188</v>
      </c>
      <c r="H1374" s="7" t="s">
        <v>260</v>
      </c>
      <c r="I1374" s="7" t="n">
        <v>4</v>
      </c>
      <c r="J1374" s="7" t="s">
        <v>107</v>
      </c>
      <c r="K1374" s="7" t="s">
        <v>107</v>
      </c>
      <c r="L1374" s="7"/>
      <c r="M1374" s="10" t="b">
        <f aca="false">FALSE()</f>
        <v>0</v>
      </c>
      <c r="N1374" s="7" t="s">
        <v>399</v>
      </c>
      <c r="O1374" s="7" t="n">
        <v>-36.886674</v>
      </c>
      <c r="P1374" s="7" t="n">
        <v>149.930371</v>
      </c>
    </row>
    <row r="1375" customFormat="false" ht="15" hidden="false" customHeight="false" outlineLevel="0" collapsed="false">
      <c r="A1375" s="7" t="n">
        <v>1374</v>
      </c>
      <c r="B1375" s="7" t="s">
        <v>1843</v>
      </c>
      <c r="C1375" s="7" t="s">
        <v>1844</v>
      </c>
      <c r="D1375" s="7" t="n">
        <v>2320</v>
      </c>
      <c r="E1375" s="7" t="s">
        <v>50</v>
      </c>
      <c r="F1375" s="10" t="b">
        <f aca="false">FALSE()</f>
        <v>0</v>
      </c>
      <c r="G1375" s="7" t="s">
        <v>283</v>
      </c>
      <c r="H1375" s="7" t="s">
        <v>260</v>
      </c>
      <c r="I1375" s="7" t="n">
        <v>2</v>
      </c>
      <c r="J1375" s="7" t="s">
        <v>107</v>
      </c>
      <c r="K1375" s="7" t="s">
        <v>107</v>
      </c>
      <c r="L1375" s="7"/>
      <c r="M1375" s="10" t="b">
        <f aca="false">FALSE()</f>
        <v>0</v>
      </c>
      <c r="N1375" s="7" t="s">
        <v>399</v>
      </c>
      <c r="O1375" s="7" t="n">
        <v>-32.730062</v>
      </c>
      <c r="P1375" s="7" t="n">
        <v>151.553594</v>
      </c>
    </row>
    <row r="1376" customFormat="false" ht="15" hidden="false" customHeight="false" outlineLevel="0" collapsed="false">
      <c r="A1376" s="7" t="n">
        <v>1375</v>
      </c>
      <c r="B1376" s="7"/>
      <c r="C1376" s="7" t="s">
        <v>1845</v>
      </c>
      <c r="D1376" s="7" t="n">
        <v>2040</v>
      </c>
      <c r="E1376" s="7" t="s">
        <v>50</v>
      </c>
      <c r="F1376" s="10" t="b">
        <f aca="false">FALSE()</f>
        <v>0</v>
      </c>
      <c r="G1376" s="7" t="s">
        <v>410</v>
      </c>
      <c r="H1376" s="7" t="s">
        <v>302</v>
      </c>
      <c r="I1376" s="7" t="n">
        <v>2</v>
      </c>
      <c r="J1376" s="7" t="s">
        <v>107</v>
      </c>
      <c r="K1376" s="7" t="s">
        <v>108</v>
      </c>
      <c r="L1376" s="7" t="n">
        <v>22</v>
      </c>
      <c r="M1376" s="10" t="b">
        <f aca="false">FALSE()</f>
        <v>0</v>
      </c>
      <c r="N1376" s="7" t="s">
        <v>557</v>
      </c>
      <c r="O1376" s="7" t="n">
        <v>-33.889515</v>
      </c>
      <c r="P1376" s="7" t="n">
        <v>151.146582</v>
      </c>
    </row>
    <row r="1377" customFormat="false" ht="15" hidden="false" customHeight="false" outlineLevel="0" collapsed="false">
      <c r="A1377" s="7" t="n">
        <v>1376</v>
      </c>
      <c r="B1377" s="7" t="s">
        <v>1846</v>
      </c>
      <c r="C1377" s="7" t="s">
        <v>1847</v>
      </c>
      <c r="D1377" s="7" t="n">
        <v>2263</v>
      </c>
      <c r="E1377" s="7" t="s">
        <v>50</v>
      </c>
      <c r="F1377" s="10" t="b">
        <f aca="false">FALSE()</f>
        <v>0</v>
      </c>
      <c r="G1377" s="7" t="s">
        <v>276</v>
      </c>
      <c r="H1377" s="7" t="s">
        <v>260</v>
      </c>
      <c r="I1377" s="7" t="n">
        <v>2</v>
      </c>
      <c r="J1377" s="7" t="s">
        <v>107</v>
      </c>
      <c r="K1377" s="7" t="s">
        <v>107</v>
      </c>
      <c r="L1377" s="7"/>
      <c r="M1377" s="10" t="b">
        <f aca="false">FALSE()</f>
        <v>0</v>
      </c>
      <c r="N1377" s="7" t="s">
        <v>399</v>
      </c>
      <c r="O1377" s="7" t="n">
        <v>-33.259753</v>
      </c>
      <c r="P1377" s="7" t="n">
        <v>151.516506</v>
      </c>
    </row>
    <row r="1378" customFormat="false" ht="15" hidden="false" customHeight="false" outlineLevel="0" collapsed="false">
      <c r="A1378" s="7" t="n">
        <v>1377</v>
      </c>
      <c r="B1378" s="7" t="s">
        <v>1848</v>
      </c>
      <c r="C1378" s="7" t="s">
        <v>1849</v>
      </c>
      <c r="D1378" s="7" t="n">
        <v>2287</v>
      </c>
      <c r="E1378" s="7" t="s">
        <v>50</v>
      </c>
      <c r="F1378" s="10" t="b">
        <f aca="false">FALSE()</f>
        <v>0</v>
      </c>
      <c r="G1378" s="7" t="s">
        <v>141</v>
      </c>
      <c r="H1378" s="7" t="s">
        <v>260</v>
      </c>
      <c r="I1378" s="7" t="n">
        <v>4</v>
      </c>
      <c r="J1378" s="7" t="s">
        <v>107</v>
      </c>
      <c r="K1378" s="7" t="s">
        <v>107</v>
      </c>
      <c r="L1378" s="7"/>
      <c r="M1378" s="10" t="b">
        <f aca="false">FALSE()</f>
        <v>0</v>
      </c>
      <c r="N1378" s="7" t="s">
        <v>399</v>
      </c>
      <c r="O1378" s="7" t="n">
        <v>-32.901378</v>
      </c>
      <c r="P1378" s="7" t="n">
        <v>151.671176</v>
      </c>
    </row>
    <row r="1379" customFormat="false" ht="15" hidden="false" customHeight="false" outlineLevel="0" collapsed="false">
      <c r="A1379" s="7" t="n">
        <v>1378</v>
      </c>
      <c r="B1379" s="7" t="s">
        <v>1850</v>
      </c>
      <c r="C1379" s="7" t="s">
        <v>1851</v>
      </c>
      <c r="D1379" s="7" t="n">
        <v>2780</v>
      </c>
      <c r="E1379" s="7" t="s">
        <v>50</v>
      </c>
      <c r="F1379" s="10" t="b">
        <f aca="false">FALSE()</f>
        <v>0</v>
      </c>
      <c r="G1379" s="7" t="s">
        <v>306</v>
      </c>
      <c r="H1379" s="7" t="s">
        <v>260</v>
      </c>
      <c r="I1379" s="7" t="n">
        <v>4</v>
      </c>
      <c r="J1379" s="7" t="s">
        <v>107</v>
      </c>
      <c r="K1379" s="7" t="s">
        <v>107</v>
      </c>
      <c r="L1379" s="7"/>
      <c r="M1379" s="10" t="b">
        <f aca="false">FALSE()</f>
        <v>0</v>
      </c>
      <c r="N1379" s="7" t="s">
        <v>399</v>
      </c>
      <c r="O1379" s="7" t="n">
        <v>-33.729373</v>
      </c>
      <c r="P1379" s="7" t="n">
        <v>150.300429</v>
      </c>
    </row>
    <row r="1380" customFormat="false" ht="15" hidden="false" customHeight="false" outlineLevel="0" collapsed="false">
      <c r="A1380" s="7" t="n">
        <v>1379</v>
      </c>
      <c r="B1380" s="7"/>
      <c r="C1380" s="7" t="s">
        <v>1852</v>
      </c>
      <c r="D1380" s="7" t="n">
        <v>2034</v>
      </c>
      <c r="E1380" s="7" t="s">
        <v>50</v>
      </c>
      <c r="F1380" s="10" t="b">
        <f aca="false">FALSE()</f>
        <v>0</v>
      </c>
      <c r="G1380" s="7" t="s">
        <v>355</v>
      </c>
      <c r="H1380" s="7" t="s">
        <v>1371</v>
      </c>
      <c r="I1380" s="7" t="n">
        <v>1</v>
      </c>
      <c r="J1380" s="7" t="s">
        <v>107</v>
      </c>
      <c r="K1380" s="7" t="s">
        <v>108</v>
      </c>
      <c r="L1380" s="7" t="n">
        <v>22</v>
      </c>
      <c r="M1380" s="10" t="b">
        <f aca="false">FALSE()</f>
        <v>0</v>
      </c>
      <c r="N1380" s="7" t="s">
        <v>557</v>
      </c>
      <c r="O1380" s="7" t="n">
        <v>-33.929314</v>
      </c>
      <c r="P1380" s="7" t="n">
        <v>151.250644</v>
      </c>
    </row>
    <row r="1381" customFormat="false" ht="15" hidden="false" customHeight="false" outlineLevel="0" collapsed="false">
      <c r="A1381" s="7" t="n">
        <v>1380</v>
      </c>
      <c r="B1381" s="7" t="s">
        <v>1853</v>
      </c>
      <c r="C1381" s="7" t="s">
        <v>1854</v>
      </c>
      <c r="D1381" s="7" t="n">
        <v>2485</v>
      </c>
      <c r="E1381" s="7" t="s">
        <v>50</v>
      </c>
      <c r="F1381" s="10" t="b">
        <f aca="false">FALSE()</f>
        <v>0</v>
      </c>
      <c r="G1381" s="7" t="s">
        <v>164</v>
      </c>
      <c r="H1381" s="7" t="s">
        <v>237</v>
      </c>
      <c r="I1381" s="7" t="n">
        <v>4</v>
      </c>
      <c r="J1381" s="7" t="s">
        <v>107</v>
      </c>
      <c r="K1381" s="7" t="s">
        <v>107</v>
      </c>
      <c r="L1381" s="7"/>
      <c r="M1381" s="10" t="b">
        <f aca="false">FALSE()</f>
        <v>0</v>
      </c>
      <c r="N1381" s="7" t="s">
        <v>374</v>
      </c>
      <c r="O1381" s="7" t="n">
        <v>-28.168593</v>
      </c>
      <c r="P1381" s="7" t="n">
        <v>153.544099</v>
      </c>
    </row>
    <row r="1382" customFormat="false" ht="15" hidden="false" customHeight="false" outlineLevel="0" collapsed="false">
      <c r="A1382" s="7" t="n">
        <v>1381</v>
      </c>
      <c r="B1382" s="7"/>
      <c r="C1382" s="7" t="s">
        <v>1855</v>
      </c>
      <c r="D1382" s="7" t="n">
        <v>2204</v>
      </c>
      <c r="E1382" s="7" t="s">
        <v>50</v>
      </c>
      <c r="F1382" s="10" t="b">
        <f aca="false">FALSE()</f>
        <v>0</v>
      </c>
      <c r="G1382" s="7" t="s">
        <v>410</v>
      </c>
      <c r="H1382" s="7" t="s">
        <v>556</v>
      </c>
      <c r="I1382" s="7" t="n">
        <v>2</v>
      </c>
      <c r="J1382" s="7" t="s">
        <v>107</v>
      </c>
      <c r="K1382" s="7" t="s">
        <v>108</v>
      </c>
      <c r="L1382" s="7" t="n">
        <v>22</v>
      </c>
      <c r="M1382" s="10" t="b">
        <f aca="false">FALSE()</f>
        <v>0</v>
      </c>
      <c r="N1382" s="7" t="s">
        <v>557</v>
      </c>
      <c r="O1382" s="7" t="n">
        <v>-33.912849</v>
      </c>
      <c r="P1382" s="7" t="n">
        <v>151.15147</v>
      </c>
    </row>
    <row r="1383" customFormat="false" ht="15" hidden="false" customHeight="false" outlineLevel="0" collapsed="false">
      <c r="A1383" s="7" t="n">
        <v>1382</v>
      </c>
      <c r="B1383" s="7"/>
      <c r="C1383" s="7" t="s">
        <v>1856</v>
      </c>
      <c r="D1383" s="7" t="n">
        <v>2050</v>
      </c>
      <c r="E1383" s="7" t="s">
        <v>50</v>
      </c>
      <c r="F1383" s="10" t="b">
        <f aca="false">FALSE()</f>
        <v>0</v>
      </c>
      <c r="G1383" s="7" t="s">
        <v>410</v>
      </c>
      <c r="H1383" s="7" t="s">
        <v>1371</v>
      </c>
      <c r="I1383" s="7" t="n">
        <v>1</v>
      </c>
      <c r="J1383" s="7" t="s">
        <v>107</v>
      </c>
      <c r="K1383" s="7" t="s">
        <v>108</v>
      </c>
      <c r="L1383" s="7" t="n">
        <v>22</v>
      </c>
      <c r="M1383" s="10" t="b">
        <f aca="false">FALSE()</f>
        <v>0</v>
      </c>
      <c r="N1383" s="7" t="s">
        <v>557</v>
      </c>
      <c r="O1383" s="7" t="n">
        <v>-33.893123</v>
      </c>
      <c r="P1383" s="7" t="n">
        <v>151.179311</v>
      </c>
    </row>
    <row r="1384" customFormat="false" ht="15" hidden="false" customHeight="false" outlineLevel="0" collapsed="false">
      <c r="A1384" s="7" t="n">
        <v>1383</v>
      </c>
      <c r="B1384" s="7"/>
      <c r="C1384" s="7" t="s">
        <v>1857</v>
      </c>
      <c r="D1384" s="7" t="n">
        <v>2041</v>
      </c>
      <c r="E1384" s="7" t="s">
        <v>50</v>
      </c>
      <c r="F1384" s="10" t="b">
        <f aca="false">FALSE()</f>
        <v>0</v>
      </c>
      <c r="G1384" s="7" t="s">
        <v>410</v>
      </c>
      <c r="H1384" s="7" t="s">
        <v>1371</v>
      </c>
      <c r="I1384" s="7" t="n">
        <v>1</v>
      </c>
      <c r="J1384" s="7" t="s">
        <v>107</v>
      </c>
      <c r="K1384" s="7" t="s">
        <v>900</v>
      </c>
      <c r="L1384" s="7" t="n">
        <v>7</v>
      </c>
      <c r="M1384" s="10" t="b">
        <f aca="false">FALSE()</f>
        <v>0</v>
      </c>
      <c r="N1384" s="7" t="s">
        <v>557</v>
      </c>
      <c r="O1384" s="7" t="n">
        <v>-33.859225</v>
      </c>
      <c r="P1384" s="7" t="n">
        <v>151.194044</v>
      </c>
    </row>
    <row r="1385" customFormat="false" ht="15" hidden="false" customHeight="false" outlineLevel="0" collapsed="false">
      <c r="A1385" s="7" t="n">
        <v>1384</v>
      </c>
      <c r="B1385" s="7" t="s">
        <v>1858</v>
      </c>
      <c r="C1385" s="7" t="s">
        <v>1859</v>
      </c>
      <c r="D1385" s="7" t="n">
        <v>2306</v>
      </c>
      <c r="E1385" s="7" t="s">
        <v>50</v>
      </c>
      <c r="F1385" s="10" t="b">
        <f aca="false">FALSE()</f>
        <v>0</v>
      </c>
      <c r="G1385" s="7" t="s">
        <v>377</v>
      </c>
      <c r="H1385" s="7" t="s">
        <v>252</v>
      </c>
      <c r="I1385" s="7" t="n">
        <v>2</v>
      </c>
      <c r="J1385" s="7" t="s">
        <v>107</v>
      </c>
      <c r="K1385" s="7" t="s">
        <v>107</v>
      </c>
      <c r="L1385" s="7"/>
      <c r="M1385" s="10" t="b">
        <f aca="false">FALSE()</f>
        <v>0</v>
      </c>
      <c r="N1385" s="7" t="s">
        <v>399</v>
      </c>
      <c r="O1385" s="7" t="n">
        <v>-32.993368</v>
      </c>
      <c r="P1385" s="7" t="n">
        <v>151.681613</v>
      </c>
    </row>
    <row r="1386" customFormat="false" ht="15" hidden="false" customHeight="false" outlineLevel="0" collapsed="false">
      <c r="A1386" s="7" t="n">
        <v>1385</v>
      </c>
      <c r="B1386" s="7" t="s">
        <v>1860</v>
      </c>
      <c r="C1386" s="7" t="s">
        <v>1861</v>
      </c>
      <c r="D1386" s="7" t="n">
        <v>2482</v>
      </c>
      <c r="E1386" s="7" t="s">
        <v>50</v>
      </c>
      <c r="F1386" s="10" t="b">
        <f aca="false">FALSE()</f>
        <v>0</v>
      </c>
      <c r="G1386" s="7" t="s">
        <v>82</v>
      </c>
      <c r="H1386" s="7" t="s">
        <v>1862</v>
      </c>
      <c r="I1386" s="7" t="n">
        <v>2</v>
      </c>
      <c r="J1386" s="7" t="s">
        <v>107</v>
      </c>
      <c r="K1386" s="7" t="s">
        <v>107</v>
      </c>
      <c r="L1386" s="7"/>
      <c r="M1386" s="10" t="b">
        <f aca="false">FALSE()</f>
        <v>0</v>
      </c>
      <c r="N1386" s="7" t="s">
        <v>399</v>
      </c>
      <c r="O1386" s="7" t="n">
        <v>-28.554117</v>
      </c>
      <c r="P1386" s="7" t="n">
        <v>153.514918</v>
      </c>
    </row>
    <row r="1387" customFormat="false" ht="15" hidden="false" customHeight="false" outlineLevel="0" collapsed="false">
      <c r="A1387" s="7" t="n">
        <v>1386</v>
      </c>
      <c r="B1387" s="7" t="s">
        <v>1863</v>
      </c>
      <c r="C1387" s="7" t="s">
        <v>1864</v>
      </c>
      <c r="D1387" s="7" t="n">
        <v>2259</v>
      </c>
      <c r="E1387" s="7" t="s">
        <v>50</v>
      </c>
      <c r="F1387" s="10" t="b">
        <f aca="false">FALSE()</f>
        <v>0</v>
      </c>
      <c r="G1387" s="7" t="s">
        <v>276</v>
      </c>
      <c r="H1387" s="7" t="s">
        <v>260</v>
      </c>
      <c r="I1387" s="7" t="n">
        <v>4</v>
      </c>
      <c r="J1387" s="7" t="s">
        <v>107</v>
      </c>
      <c r="K1387" s="7" t="s">
        <v>107</v>
      </c>
      <c r="L1387" s="7"/>
      <c r="M1387" s="10" t="b">
        <f aca="false">FALSE()</f>
        <v>0</v>
      </c>
      <c r="N1387" s="7" t="s">
        <v>399</v>
      </c>
      <c r="O1387" s="7" t="n">
        <v>-33.150488</v>
      </c>
      <c r="P1387" s="7" t="n">
        <v>151.539768</v>
      </c>
    </row>
    <row r="1388" customFormat="false" ht="15" hidden="false" customHeight="false" outlineLevel="0" collapsed="false">
      <c r="A1388" s="7" t="n">
        <v>1387</v>
      </c>
      <c r="B1388" s="7" t="s">
        <v>1865</v>
      </c>
      <c r="C1388" s="7" t="s">
        <v>1866</v>
      </c>
      <c r="D1388" s="7" t="n">
        <v>2258</v>
      </c>
      <c r="E1388" s="7" t="s">
        <v>50</v>
      </c>
      <c r="F1388" s="10" t="b">
        <f aca="false">FALSE()</f>
        <v>0</v>
      </c>
      <c r="G1388" s="7" t="s">
        <v>276</v>
      </c>
      <c r="H1388" s="7" t="s">
        <v>1862</v>
      </c>
      <c r="I1388" s="7" t="n">
        <v>2</v>
      </c>
      <c r="J1388" s="7" t="s">
        <v>107</v>
      </c>
      <c r="K1388" s="7" t="s">
        <v>107</v>
      </c>
      <c r="L1388" s="7"/>
      <c r="M1388" s="10" t="b">
        <f aca="false">FALSE()</f>
        <v>0</v>
      </c>
      <c r="N1388" s="7" t="s">
        <v>399</v>
      </c>
      <c r="O1388" s="7" t="n">
        <v>-33.354043</v>
      </c>
      <c r="P1388" s="7" t="n">
        <v>151.369647</v>
      </c>
    </row>
    <row r="1389" customFormat="false" ht="15" hidden="false" customHeight="false" outlineLevel="0" collapsed="false">
      <c r="A1389" s="7" t="n">
        <v>1388</v>
      </c>
      <c r="B1389" s="7" t="s">
        <v>1867</v>
      </c>
      <c r="C1389" s="7" t="s">
        <v>1868</v>
      </c>
      <c r="D1389" s="7" t="n">
        <v>2519</v>
      </c>
      <c r="E1389" s="7" t="s">
        <v>50</v>
      </c>
      <c r="F1389" s="10" t="b">
        <f aca="false">FALSE()</f>
        <v>0</v>
      </c>
      <c r="G1389" s="7" t="s">
        <v>102</v>
      </c>
      <c r="H1389" s="7" t="s">
        <v>260</v>
      </c>
      <c r="I1389" s="7" t="n">
        <v>2</v>
      </c>
      <c r="J1389" s="7" t="s">
        <v>107</v>
      </c>
      <c r="K1389" s="7" t="s">
        <v>107</v>
      </c>
      <c r="L1389" s="7"/>
      <c r="M1389" s="10" t="b">
        <f aca="false">FALSE()</f>
        <v>0</v>
      </c>
      <c r="N1389" s="7" t="s">
        <v>399</v>
      </c>
      <c r="O1389" s="7" t="n">
        <v>-34.389582</v>
      </c>
      <c r="P1389" s="7" t="n">
        <v>150.906374</v>
      </c>
    </row>
    <row r="1390" customFormat="false" ht="15" hidden="false" customHeight="false" outlineLevel="0" collapsed="false">
      <c r="A1390" s="7" t="n">
        <v>1389</v>
      </c>
      <c r="B1390" s="7"/>
      <c r="C1390" s="7" t="s">
        <v>1869</v>
      </c>
      <c r="D1390" s="7" t="n">
        <v>2131</v>
      </c>
      <c r="E1390" s="7" t="s">
        <v>50</v>
      </c>
      <c r="F1390" s="10" t="b">
        <f aca="false">FALSE()</f>
        <v>0</v>
      </c>
      <c r="G1390" s="7" t="s">
        <v>410</v>
      </c>
      <c r="H1390" s="7" t="s">
        <v>237</v>
      </c>
      <c r="I1390" s="7" t="n">
        <v>1</v>
      </c>
      <c r="J1390" s="7" t="s">
        <v>107</v>
      </c>
      <c r="K1390" s="7" t="s">
        <v>108</v>
      </c>
      <c r="L1390" s="7" t="n">
        <v>22</v>
      </c>
      <c r="M1390" s="10" t="b">
        <f aca="false">FALSE()</f>
        <v>0</v>
      </c>
      <c r="N1390" s="7" t="s">
        <v>109</v>
      </c>
      <c r="O1390" s="7" t="n">
        <v>-33.881045</v>
      </c>
      <c r="P1390" s="7" t="n">
        <v>151.131807</v>
      </c>
    </row>
    <row r="1391" customFormat="false" ht="15" hidden="false" customHeight="false" outlineLevel="0" collapsed="false">
      <c r="A1391" s="7" t="n">
        <v>1390</v>
      </c>
      <c r="B1391" s="7" t="s">
        <v>1870</v>
      </c>
      <c r="C1391" s="7" t="s">
        <v>1871</v>
      </c>
      <c r="D1391" s="7" t="n">
        <v>2536</v>
      </c>
      <c r="E1391" s="7" t="s">
        <v>50</v>
      </c>
      <c r="F1391" s="10" t="b">
        <f aca="false">FALSE()</f>
        <v>0</v>
      </c>
      <c r="G1391" s="7" t="s">
        <v>123</v>
      </c>
      <c r="H1391" s="7" t="s">
        <v>260</v>
      </c>
      <c r="I1391" s="7" t="n">
        <v>1</v>
      </c>
      <c r="J1391" s="7" t="s">
        <v>107</v>
      </c>
      <c r="K1391" s="7" t="s">
        <v>107</v>
      </c>
      <c r="L1391" s="7"/>
      <c r="M1391" s="10" t="b">
        <f aca="false">FALSE()</f>
        <v>0</v>
      </c>
      <c r="N1391" s="7" t="s">
        <v>374</v>
      </c>
      <c r="O1391" s="7" t="n">
        <v>-35.72967</v>
      </c>
      <c r="P1391" s="7" t="n">
        <v>150.196077</v>
      </c>
    </row>
    <row r="1392" customFormat="false" ht="15" hidden="false" customHeight="false" outlineLevel="0" collapsed="false">
      <c r="A1392" s="7" t="n">
        <v>1391</v>
      </c>
      <c r="B1392" s="7" t="s">
        <v>1872</v>
      </c>
      <c r="C1392" s="7" t="s">
        <v>1873</v>
      </c>
      <c r="D1392" s="7" t="n">
        <v>2800</v>
      </c>
      <c r="E1392" s="7" t="s">
        <v>50</v>
      </c>
      <c r="F1392" s="10" t="b">
        <f aca="false">FALSE()</f>
        <v>0</v>
      </c>
      <c r="G1392" s="7" t="s">
        <v>185</v>
      </c>
      <c r="H1392" s="7" t="s">
        <v>237</v>
      </c>
      <c r="I1392" s="7" t="n">
        <v>1</v>
      </c>
      <c r="J1392" s="7" t="s">
        <v>107</v>
      </c>
      <c r="K1392" s="7" t="s">
        <v>107</v>
      </c>
      <c r="L1392" s="7"/>
      <c r="M1392" s="10" t="b">
        <f aca="false">FALSE()</f>
        <v>0</v>
      </c>
      <c r="N1392" s="7" t="s">
        <v>399</v>
      </c>
      <c r="O1392" s="7" t="n">
        <v>-33.313194</v>
      </c>
      <c r="P1392" s="7" t="n">
        <v>149.008859</v>
      </c>
    </row>
    <row r="1393" customFormat="false" ht="15" hidden="false" customHeight="false" outlineLevel="0" collapsed="false">
      <c r="A1393" s="7" t="n">
        <v>1392</v>
      </c>
      <c r="B1393" s="7" t="s">
        <v>1874</v>
      </c>
      <c r="C1393" s="7" t="s">
        <v>1875</v>
      </c>
      <c r="D1393" s="7" t="n">
        <v>2322</v>
      </c>
      <c r="E1393" s="7" t="s">
        <v>50</v>
      </c>
      <c r="F1393" s="10" t="b">
        <f aca="false">FALSE()</f>
        <v>0</v>
      </c>
      <c r="G1393" s="7" t="s">
        <v>283</v>
      </c>
      <c r="H1393" s="7" t="s">
        <v>237</v>
      </c>
      <c r="I1393" s="7" t="n">
        <v>2</v>
      </c>
      <c r="J1393" s="7" t="s">
        <v>107</v>
      </c>
      <c r="K1393" s="7" t="s">
        <v>107</v>
      </c>
      <c r="L1393" s="7"/>
      <c r="M1393" s="10" t="b">
        <f aca="false">FALSE()</f>
        <v>0</v>
      </c>
      <c r="N1393" s="7" t="s">
        <v>374</v>
      </c>
      <c r="O1393" s="7" t="n">
        <v>-32.794497</v>
      </c>
      <c r="P1393" s="7" t="n">
        <v>151.637358</v>
      </c>
    </row>
    <row r="1394" customFormat="false" ht="15" hidden="false" customHeight="false" outlineLevel="0" collapsed="false">
      <c r="A1394" s="7" t="n">
        <v>1393</v>
      </c>
      <c r="B1394" s="7" t="s">
        <v>1876</v>
      </c>
      <c r="C1394" s="7" t="s">
        <v>1877</v>
      </c>
      <c r="D1394" s="7" t="n">
        <v>2540</v>
      </c>
      <c r="E1394" s="7" t="s">
        <v>50</v>
      </c>
      <c r="F1394" s="10" t="b">
        <f aca="false">FALSE()</f>
        <v>0</v>
      </c>
      <c r="G1394" s="7" t="s">
        <v>92</v>
      </c>
      <c r="H1394" s="7" t="s">
        <v>260</v>
      </c>
      <c r="I1394" s="7" t="n">
        <v>2</v>
      </c>
      <c r="J1394" s="7" t="s">
        <v>107</v>
      </c>
      <c r="K1394" s="7" t="s">
        <v>107</v>
      </c>
      <c r="L1394" s="7"/>
      <c r="M1394" s="10" t="b">
        <f aca="false">FALSE()</f>
        <v>0</v>
      </c>
      <c r="N1394" s="7" t="s">
        <v>399</v>
      </c>
      <c r="O1394" s="7" t="n">
        <v>-35.019784</v>
      </c>
      <c r="P1394" s="7" t="n">
        <v>150.639103</v>
      </c>
    </row>
    <row r="1395" customFormat="false" ht="15" hidden="false" customHeight="false" outlineLevel="0" collapsed="false">
      <c r="A1395" s="7" t="n">
        <v>1394</v>
      </c>
      <c r="B1395" s="7"/>
      <c r="C1395" s="7" t="s">
        <v>1878</v>
      </c>
      <c r="D1395" s="7" t="n">
        <v>2040</v>
      </c>
      <c r="E1395" s="7" t="s">
        <v>50</v>
      </c>
      <c r="F1395" s="10" t="b">
        <f aca="false">FALSE()</f>
        <v>0</v>
      </c>
      <c r="G1395" s="7" t="s">
        <v>410</v>
      </c>
      <c r="H1395" s="7" t="s">
        <v>556</v>
      </c>
      <c r="I1395" s="7" t="n">
        <v>2</v>
      </c>
      <c r="J1395" s="7" t="s">
        <v>107</v>
      </c>
      <c r="K1395" s="7" t="s">
        <v>108</v>
      </c>
      <c r="L1395" s="7" t="n">
        <v>22</v>
      </c>
      <c r="M1395" s="10" t="b">
        <f aca="false">FALSE()</f>
        <v>0</v>
      </c>
      <c r="N1395" s="7" t="s">
        <v>557</v>
      </c>
      <c r="O1395" s="7" t="n">
        <v>-33.875569</v>
      </c>
      <c r="P1395" s="7" t="n">
        <v>151.163287</v>
      </c>
    </row>
    <row r="1396" customFormat="false" ht="15" hidden="false" customHeight="false" outlineLevel="0" collapsed="false">
      <c r="A1396" s="7" t="n">
        <v>1395</v>
      </c>
      <c r="B1396" s="7"/>
      <c r="C1396" s="7" t="s">
        <v>1879</v>
      </c>
      <c r="D1396" s="7" t="n">
        <v>2048</v>
      </c>
      <c r="E1396" s="7" t="s">
        <v>50</v>
      </c>
      <c r="F1396" s="10" t="b">
        <f aca="false">FALSE()</f>
        <v>0</v>
      </c>
      <c r="G1396" s="7" t="s">
        <v>410</v>
      </c>
      <c r="H1396" s="7" t="s">
        <v>1371</v>
      </c>
      <c r="I1396" s="7" t="n">
        <v>1</v>
      </c>
      <c r="J1396" s="7" t="s">
        <v>107</v>
      </c>
      <c r="K1396" s="7" t="s">
        <v>900</v>
      </c>
      <c r="L1396" s="7" t="n">
        <v>7</v>
      </c>
      <c r="M1396" s="10" t="b">
        <f aca="false">FALSE()</f>
        <v>0</v>
      </c>
      <c r="N1396" s="7" t="s">
        <v>557</v>
      </c>
      <c r="O1396" s="7" t="n">
        <v>-33.888843</v>
      </c>
      <c r="P1396" s="7" t="n">
        <v>151.171034</v>
      </c>
    </row>
    <row r="1397" customFormat="false" ht="15" hidden="false" customHeight="false" outlineLevel="0" collapsed="false">
      <c r="A1397" s="7" t="n">
        <v>1396</v>
      </c>
      <c r="B1397" s="7" t="s">
        <v>1880</v>
      </c>
      <c r="C1397" s="7" t="s">
        <v>1881</v>
      </c>
      <c r="D1397" s="7" t="n">
        <v>2324</v>
      </c>
      <c r="E1397" s="7" t="s">
        <v>50</v>
      </c>
      <c r="F1397" s="10" t="b">
        <f aca="false">FALSE()</f>
        <v>0</v>
      </c>
      <c r="G1397" s="7" t="s">
        <v>128</v>
      </c>
      <c r="H1397" s="7" t="s">
        <v>1795</v>
      </c>
      <c r="I1397" s="7" t="n">
        <v>4</v>
      </c>
      <c r="J1397" s="7" t="s">
        <v>107</v>
      </c>
      <c r="K1397" s="7" t="s">
        <v>107</v>
      </c>
      <c r="L1397" s="7"/>
      <c r="M1397" s="10" t="b">
        <f aca="false">FALSE()</f>
        <v>0</v>
      </c>
      <c r="N1397" s="7" t="s">
        <v>399</v>
      </c>
      <c r="O1397" s="7" t="n">
        <v>-32.662369</v>
      </c>
      <c r="P1397" s="7" t="n">
        <v>152.156593</v>
      </c>
    </row>
    <row r="1398" customFormat="false" ht="15" hidden="false" customHeight="false" outlineLevel="0" collapsed="false">
      <c r="A1398" s="7" t="n">
        <v>1397</v>
      </c>
      <c r="B1398" s="7" t="s">
        <v>1882</v>
      </c>
      <c r="C1398" s="7" t="s">
        <v>1883</v>
      </c>
      <c r="D1398" s="7" t="n">
        <v>2780</v>
      </c>
      <c r="E1398" s="7" t="s">
        <v>50</v>
      </c>
      <c r="F1398" s="10" t="b">
        <f aca="false">FALSE()</f>
        <v>0</v>
      </c>
      <c r="G1398" s="7" t="s">
        <v>306</v>
      </c>
      <c r="H1398" s="7" t="s">
        <v>252</v>
      </c>
      <c r="I1398" s="7" t="n">
        <v>2</v>
      </c>
      <c r="J1398" s="7" t="s">
        <v>107</v>
      </c>
      <c r="K1398" s="7" t="s">
        <v>107</v>
      </c>
      <c r="L1398" s="7"/>
      <c r="M1398" s="10" t="b">
        <f aca="false">FALSE()</f>
        <v>0</v>
      </c>
      <c r="N1398" s="7" t="s">
        <v>399</v>
      </c>
      <c r="O1398" s="7" t="n">
        <v>-33.717405</v>
      </c>
      <c r="P1398" s="7" t="n">
        <v>150.3112</v>
      </c>
    </row>
    <row r="1399" customFormat="false" ht="15" hidden="false" customHeight="false" outlineLevel="0" collapsed="false">
      <c r="A1399" s="7" t="n">
        <v>1398</v>
      </c>
      <c r="B1399" s="7"/>
      <c r="C1399" s="7" t="s">
        <v>1884</v>
      </c>
      <c r="D1399" s="7" t="n">
        <v>2780</v>
      </c>
      <c r="E1399" s="7" t="s">
        <v>50</v>
      </c>
      <c r="F1399" s="10" t="b">
        <f aca="false">FALSE()</f>
        <v>0</v>
      </c>
      <c r="G1399" s="7" t="s">
        <v>306</v>
      </c>
      <c r="H1399" s="7" t="s">
        <v>1885</v>
      </c>
      <c r="I1399" s="7" t="n">
        <v>4</v>
      </c>
      <c r="J1399" s="7" t="s">
        <v>71</v>
      </c>
      <c r="K1399" s="7" t="s">
        <v>117</v>
      </c>
      <c r="L1399" s="7" t="n">
        <v>175</v>
      </c>
      <c r="M1399" s="10" t="b">
        <f aca="false">FALSE()</f>
        <v>0</v>
      </c>
      <c r="N1399" s="7" t="s">
        <v>118</v>
      </c>
      <c r="O1399" s="7" t="n">
        <v>-33.717702</v>
      </c>
      <c r="P1399" s="7" t="n">
        <v>150.31129</v>
      </c>
    </row>
    <row r="1400" customFormat="false" ht="15" hidden="false" customHeight="false" outlineLevel="0" collapsed="false">
      <c r="A1400" s="7" t="n">
        <v>1399</v>
      </c>
      <c r="B1400" s="7"/>
      <c r="C1400" s="7" t="s">
        <v>1886</v>
      </c>
      <c r="D1400" s="7" t="n">
        <v>2040</v>
      </c>
      <c r="E1400" s="7" t="s">
        <v>50</v>
      </c>
      <c r="F1400" s="10" t="b">
        <f aca="false">FALSE()</f>
        <v>0</v>
      </c>
      <c r="G1400" s="7" t="s">
        <v>410</v>
      </c>
      <c r="H1400" s="7" t="s">
        <v>302</v>
      </c>
      <c r="I1400" s="7" t="n">
        <v>2</v>
      </c>
      <c r="J1400" s="7" t="s">
        <v>107</v>
      </c>
      <c r="K1400" s="7" t="s">
        <v>108</v>
      </c>
      <c r="L1400" s="7" t="n">
        <v>22</v>
      </c>
      <c r="M1400" s="10" t="b">
        <f aca="false">FALSE()</f>
        <v>0</v>
      </c>
      <c r="N1400" s="7" t="s">
        <v>557</v>
      </c>
      <c r="O1400" s="7" t="n">
        <v>-33.879457</v>
      </c>
      <c r="P1400" s="7" t="n">
        <v>151.156284</v>
      </c>
    </row>
    <row r="1401" customFormat="false" ht="15" hidden="false" customHeight="false" outlineLevel="0" collapsed="false">
      <c r="A1401" s="7" t="n">
        <v>1400</v>
      </c>
      <c r="B1401" s="7" t="s">
        <v>1887</v>
      </c>
      <c r="C1401" s="7" t="s">
        <v>1888</v>
      </c>
      <c r="D1401" s="7" t="n">
        <v>2800</v>
      </c>
      <c r="E1401" s="7" t="s">
        <v>50</v>
      </c>
      <c r="F1401" s="10" t="b">
        <f aca="false">FALSE()</f>
        <v>0</v>
      </c>
      <c r="G1401" s="7" t="s">
        <v>167</v>
      </c>
      <c r="H1401" s="7" t="s">
        <v>1889</v>
      </c>
      <c r="I1401" s="7" t="n">
        <v>1</v>
      </c>
      <c r="J1401" s="7" t="s">
        <v>107</v>
      </c>
      <c r="K1401" s="7" t="s">
        <v>107</v>
      </c>
      <c r="L1401" s="7"/>
      <c r="M1401" s="10" t="b">
        <f aca="false">FALSE()</f>
        <v>0</v>
      </c>
      <c r="N1401" s="7" t="s">
        <v>399</v>
      </c>
      <c r="O1401" s="7" t="n">
        <v>-33.288714</v>
      </c>
      <c r="P1401" s="7" t="n">
        <v>149.091687</v>
      </c>
    </row>
    <row r="1402" customFormat="false" ht="15" hidden="false" customHeight="false" outlineLevel="0" collapsed="false">
      <c r="A1402" s="7" t="n">
        <v>1401</v>
      </c>
      <c r="B1402" s="7"/>
      <c r="C1402" s="7" t="s">
        <v>1890</v>
      </c>
      <c r="D1402" s="7" t="n">
        <v>2065</v>
      </c>
      <c r="E1402" s="7" t="s">
        <v>50</v>
      </c>
      <c r="F1402" s="10" t="b">
        <f aca="false">FALSE()</f>
        <v>0</v>
      </c>
      <c r="G1402" s="7" t="s">
        <v>389</v>
      </c>
      <c r="H1402" s="7" t="s">
        <v>1371</v>
      </c>
      <c r="I1402" s="7" t="n">
        <v>1</v>
      </c>
      <c r="J1402" s="7" t="s">
        <v>107</v>
      </c>
      <c r="K1402" s="7" t="s">
        <v>108</v>
      </c>
      <c r="L1402" s="7" t="n">
        <v>22</v>
      </c>
      <c r="M1402" s="10" t="b">
        <f aca="false">FALSE()</f>
        <v>0</v>
      </c>
      <c r="N1402" s="7" t="s">
        <v>557</v>
      </c>
      <c r="O1402" s="7" t="n">
        <v>-33.824901</v>
      </c>
      <c r="P1402" s="7" t="n">
        <v>151.187229</v>
      </c>
    </row>
    <row r="1403" customFormat="false" ht="15" hidden="false" customHeight="false" outlineLevel="0" collapsed="false">
      <c r="A1403" s="7" t="n">
        <v>1402</v>
      </c>
      <c r="B1403" s="7"/>
      <c r="C1403" s="7" t="s">
        <v>1891</v>
      </c>
      <c r="D1403" s="7" t="n">
        <v>2134</v>
      </c>
      <c r="E1403" s="7" t="s">
        <v>50</v>
      </c>
      <c r="F1403" s="10" t="b">
        <f aca="false">FALSE()</f>
        <v>0</v>
      </c>
      <c r="G1403" s="7" t="s">
        <v>421</v>
      </c>
      <c r="H1403" s="7" t="s">
        <v>302</v>
      </c>
      <c r="I1403" s="7" t="n">
        <v>2</v>
      </c>
      <c r="J1403" s="7" t="s">
        <v>107</v>
      </c>
      <c r="K1403" s="7" t="s">
        <v>108</v>
      </c>
      <c r="L1403" s="7" t="n">
        <v>22</v>
      </c>
      <c r="M1403" s="10" t="b">
        <f aca="false">FALSE()</f>
        <v>0</v>
      </c>
      <c r="N1403" s="7" t="s">
        <v>557</v>
      </c>
      <c r="O1403" s="7" t="n">
        <v>-33.8819</v>
      </c>
      <c r="P1403" s="7" t="n">
        <v>151.1045</v>
      </c>
    </row>
    <row r="1404" customFormat="false" ht="15" hidden="false" customHeight="false" outlineLevel="0" collapsed="false">
      <c r="A1404" s="7" t="n">
        <v>1403</v>
      </c>
      <c r="B1404" s="7" t="s">
        <v>1892</v>
      </c>
      <c r="C1404" s="7" t="s">
        <v>1893</v>
      </c>
      <c r="D1404" s="7" t="n">
        <v>2834</v>
      </c>
      <c r="E1404" s="7" t="s">
        <v>50</v>
      </c>
      <c r="F1404" s="10" t="b">
        <f aca="false">FALSE()</f>
        <v>0</v>
      </c>
      <c r="G1404" s="7" t="s">
        <v>113</v>
      </c>
      <c r="H1404" s="7" t="s">
        <v>260</v>
      </c>
      <c r="I1404" s="7" t="n">
        <v>4</v>
      </c>
      <c r="J1404" s="7" t="s">
        <v>107</v>
      </c>
      <c r="K1404" s="7" t="s">
        <v>107</v>
      </c>
      <c r="L1404" s="7"/>
      <c r="M1404" s="10" t="b">
        <f aca="false">FALSE()</f>
        <v>0</v>
      </c>
      <c r="N1404" s="7" t="s">
        <v>399</v>
      </c>
      <c r="O1404" s="7" t="n">
        <v>-29.429237</v>
      </c>
      <c r="P1404" s="7" t="n">
        <v>147.976815</v>
      </c>
    </row>
    <row r="1405" customFormat="false" ht="15" hidden="false" customHeight="false" outlineLevel="0" collapsed="false">
      <c r="A1405" s="7" t="n">
        <v>1404</v>
      </c>
      <c r="B1405" s="7"/>
      <c r="C1405" s="7" t="s">
        <v>1894</v>
      </c>
      <c r="D1405" s="7" t="n">
        <v>2021</v>
      </c>
      <c r="E1405" s="7" t="s">
        <v>50</v>
      </c>
      <c r="F1405" s="10" t="b">
        <f aca="false">FALSE()</f>
        <v>0</v>
      </c>
      <c r="G1405" s="7" t="s">
        <v>272</v>
      </c>
      <c r="H1405" s="7" t="s">
        <v>1371</v>
      </c>
      <c r="I1405" s="7" t="n">
        <v>1</v>
      </c>
      <c r="J1405" s="7" t="s">
        <v>107</v>
      </c>
      <c r="K1405" s="7" t="s">
        <v>108</v>
      </c>
      <c r="L1405" s="7" t="n">
        <v>22</v>
      </c>
      <c r="M1405" s="10" t="b">
        <f aca="false">FALSE()</f>
        <v>0</v>
      </c>
      <c r="N1405" s="7" t="s">
        <v>557</v>
      </c>
      <c r="O1405" s="7" t="n">
        <v>-33.883576</v>
      </c>
      <c r="P1405" s="7" t="n">
        <v>151.228935</v>
      </c>
    </row>
    <row r="1406" customFormat="false" ht="15" hidden="false" customHeight="false" outlineLevel="0" collapsed="false">
      <c r="A1406" s="7" t="n">
        <v>1405</v>
      </c>
      <c r="B1406" s="7"/>
      <c r="C1406" s="7" t="s">
        <v>1895</v>
      </c>
      <c r="D1406" s="7" t="n">
        <v>2060</v>
      </c>
      <c r="E1406" s="7" t="s">
        <v>50</v>
      </c>
      <c r="F1406" s="10" t="b">
        <f aca="false">FALSE()</f>
        <v>0</v>
      </c>
      <c r="G1406" s="7" t="s">
        <v>332</v>
      </c>
      <c r="H1406" s="7" t="s">
        <v>1744</v>
      </c>
      <c r="I1406" s="7" t="n">
        <v>2</v>
      </c>
      <c r="J1406" s="7" t="s">
        <v>107</v>
      </c>
      <c r="K1406" s="7" t="s">
        <v>900</v>
      </c>
      <c r="L1406" s="7" t="n">
        <v>7</v>
      </c>
      <c r="M1406" s="10" t="b">
        <f aca="false">FALSE()</f>
        <v>0</v>
      </c>
      <c r="N1406" s="7" t="s">
        <v>557</v>
      </c>
      <c r="O1406" s="7" t="n">
        <v>-33.836149</v>
      </c>
      <c r="P1406" s="7" t="n">
        <v>151.208531</v>
      </c>
    </row>
    <row r="1407" customFormat="false" ht="15" hidden="false" customHeight="false" outlineLevel="0" collapsed="false">
      <c r="A1407" s="7" t="n">
        <v>1406</v>
      </c>
      <c r="B1407" s="7" t="s">
        <v>1896</v>
      </c>
      <c r="C1407" s="7" t="s">
        <v>1897</v>
      </c>
      <c r="D1407" s="7" t="n">
        <v>2539</v>
      </c>
      <c r="E1407" s="7" t="s">
        <v>50</v>
      </c>
      <c r="F1407" s="10" t="b">
        <f aca="false">FALSE()</f>
        <v>0</v>
      </c>
      <c r="G1407" s="7" t="s">
        <v>92</v>
      </c>
      <c r="H1407" s="7" t="s">
        <v>260</v>
      </c>
      <c r="I1407" s="7" t="n">
        <v>4</v>
      </c>
      <c r="J1407" s="7" t="s">
        <v>107</v>
      </c>
      <c r="K1407" s="7" t="s">
        <v>107</v>
      </c>
      <c r="L1407" s="7"/>
      <c r="M1407" s="10" t="b">
        <f aca="false">FALSE()</f>
        <v>0</v>
      </c>
      <c r="N1407" s="7" t="s">
        <v>399</v>
      </c>
      <c r="O1407" s="7" t="n">
        <v>-35.368421</v>
      </c>
      <c r="P1407" s="7" t="n">
        <v>150.470608</v>
      </c>
    </row>
    <row r="1408" customFormat="false" ht="15" hidden="false" customHeight="false" outlineLevel="0" collapsed="false">
      <c r="A1408" s="7" t="n">
        <v>1407</v>
      </c>
      <c r="B1408" s="7" t="s">
        <v>1898</v>
      </c>
      <c r="C1408" s="7" t="s">
        <v>1899</v>
      </c>
      <c r="D1408" s="7" t="n">
        <v>2340</v>
      </c>
      <c r="E1408" s="7" t="s">
        <v>50</v>
      </c>
      <c r="F1408" s="10" t="b">
        <f aca="false">FALSE()</f>
        <v>0</v>
      </c>
      <c r="G1408" s="7" t="s">
        <v>192</v>
      </c>
      <c r="H1408" s="7" t="s">
        <v>1889</v>
      </c>
      <c r="I1408" s="7" t="n">
        <v>4</v>
      </c>
      <c r="J1408" s="7" t="s">
        <v>107</v>
      </c>
      <c r="K1408" s="7" t="s">
        <v>107</v>
      </c>
      <c r="L1408" s="7"/>
      <c r="M1408" s="10" t="b">
        <f aca="false">FALSE()</f>
        <v>0</v>
      </c>
      <c r="N1408" s="7" t="s">
        <v>399</v>
      </c>
      <c r="O1408" s="7" t="n">
        <v>-31.164771</v>
      </c>
      <c r="P1408" s="7" t="n">
        <v>150.918107</v>
      </c>
    </row>
    <row r="1409" customFormat="false" ht="15" hidden="false" customHeight="false" outlineLevel="0" collapsed="false">
      <c r="A1409" s="7" t="n">
        <v>1408</v>
      </c>
      <c r="B1409" s="7"/>
      <c r="C1409" s="7" t="s">
        <v>1900</v>
      </c>
      <c r="D1409" s="7" t="n">
        <v>2031</v>
      </c>
      <c r="E1409" s="7" t="s">
        <v>50</v>
      </c>
      <c r="F1409" s="10" t="b">
        <f aca="false">FALSE()</f>
        <v>0</v>
      </c>
      <c r="G1409" s="7" t="s">
        <v>355</v>
      </c>
      <c r="H1409" s="7" t="s">
        <v>1371</v>
      </c>
      <c r="I1409" s="7" t="n">
        <v>1</v>
      </c>
      <c r="J1409" s="7" t="s">
        <v>107</v>
      </c>
      <c r="K1409" s="7" t="s">
        <v>108</v>
      </c>
      <c r="L1409" s="7" t="n">
        <v>22</v>
      </c>
      <c r="M1409" s="10" t="b">
        <f aca="false">FALSE()</f>
        <v>0</v>
      </c>
      <c r="N1409" s="7" t="s">
        <v>557</v>
      </c>
      <c r="O1409" s="7" t="n">
        <v>-33.903701</v>
      </c>
      <c r="P1409" s="7" t="n">
        <v>151.248929</v>
      </c>
    </row>
    <row r="1410" customFormat="false" ht="15" hidden="false" customHeight="false" outlineLevel="0" collapsed="false">
      <c r="A1410" s="7" t="n">
        <v>1409</v>
      </c>
      <c r="B1410" s="7"/>
      <c r="C1410" s="7" t="s">
        <v>1901</v>
      </c>
      <c r="D1410" s="7" t="n">
        <v>2021</v>
      </c>
      <c r="E1410" s="7" t="s">
        <v>50</v>
      </c>
      <c r="F1410" s="10" t="b">
        <f aca="false">FALSE()</f>
        <v>0</v>
      </c>
      <c r="G1410" s="7" t="s">
        <v>182</v>
      </c>
      <c r="H1410" s="7" t="s">
        <v>302</v>
      </c>
      <c r="I1410" s="7" t="n">
        <v>2</v>
      </c>
      <c r="J1410" s="7" t="s">
        <v>107</v>
      </c>
      <c r="K1410" s="7" t="s">
        <v>108</v>
      </c>
      <c r="L1410" s="7" t="n">
        <v>22</v>
      </c>
      <c r="M1410" s="10" t="b">
        <f aca="false">FALSE()</f>
        <v>0</v>
      </c>
      <c r="N1410" s="7" t="s">
        <v>557</v>
      </c>
      <c r="O1410" s="7" t="n">
        <v>-33.887218</v>
      </c>
      <c r="P1410" s="7" t="n">
        <v>151.224606</v>
      </c>
    </row>
    <row r="1411" customFormat="false" ht="15" hidden="false" customHeight="false" outlineLevel="0" collapsed="false">
      <c r="A1411" s="7" t="n">
        <v>1410</v>
      </c>
      <c r="B1411" s="7"/>
      <c r="C1411" s="7" t="s">
        <v>1902</v>
      </c>
      <c r="D1411" s="7" t="n">
        <v>2022</v>
      </c>
      <c r="E1411" s="7" t="s">
        <v>50</v>
      </c>
      <c r="F1411" s="10" t="b">
        <f aca="false">FALSE()</f>
        <v>0</v>
      </c>
      <c r="G1411" s="7" t="s">
        <v>295</v>
      </c>
      <c r="H1411" s="7" t="s">
        <v>1371</v>
      </c>
      <c r="I1411" s="7" t="n">
        <v>1</v>
      </c>
      <c r="J1411" s="7" t="s">
        <v>107</v>
      </c>
      <c r="K1411" s="7" t="s">
        <v>108</v>
      </c>
      <c r="L1411" s="7" t="n">
        <v>22</v>
      </c>
      <c r="M1411" s="10" t="b">
        <f aca="false">FALSE()</f>
        <v>0</v>
      </c>
      <c r="N1411" s="7" t="s">
        <v>557</v>
      </c>
      <c r="O1411" s="7" t="n">
        <v>-33.898109</v>
      </c>
      <c r="P1411" s="7" t="n">
        <v>151.24348</v>
      </c>
    </row>
    <row r="1412" customFormat="false" ht="15" hidden="false" customHeight="false" outlineLevel="0" collapsed="false">
      <c r="A1412" s="7" t="n">
        <v>1411</v>
      </c>
      <c r="B1412" s="7"/>
      <c r="C1412" s="7" t="s">
        <v>1903</v>
      </c>
      <c r="D1412" s="7" t="n">
        <v>2032</v>
      </c>
      <c r="E1412" s="7" t="s">
        <v>50</v>
      </c>
      <c r="F1412" s="10" t="b">
        <f aca="false">FALSE()</f>
        <v>0</v>
      </c>
      <c r="G1412" s="7" t="s">
        <v>355</v>
      </c>
      <c r="H1412" s="7" t="s">
        <v>1371</v>
      </c>
      <c r="I1412" s="7" t="n">
        <v>1</v>
      </c>
      <c r="J1412" s="7" t="s">
        <v>107</v>
      </c>
      <c r="K1412" s="7" t="s">
        <v>108</v>
      </c>
      <c r="L1412" s="7" t="n">
        <v>22</v>
      </c>
      <c r="M1412" s="10" t="b">
        <f aca="false">FALSE()</f>
        <v>0</v>
      </c>
      <c r="N1412" s="7" t="s">
        <v>557</v>
      </c>
      <c r="O1412" s="7" t="n">
        <v>-33.922372</v>
      </c>
      <c r="P1412" s="7" t="n">
        <v>151.224858</v>
      </c>
    </row>
    <row r="1413" customFormat="false" ht="15" hidden="false" customHeight="false" outlineLevel="0" collapsed="false">
      <c r="A1413" s="7" t="n">
        <v>1412</v>
      </c>
      <c r="B1413" s="7"/>
      <c r="C1413" s="7" t="s">
        <v>1904</v>
      </c>
      <c r="D1413" s="7" t="n">
        <v>2203</v>
      </c>
      <c r="E1413" s="7" t="s">
        <v>50</v>
      </c>
      <c r="F1413" s="10" t="b">
        <f aca="false">FALSE()</f>
        <v>0</v>
      </c>
      <c r="G1413" s="7" t="s">
        <v>410</v>
      </c>
      <c r="H1413" s="7" t="s">
        <v>1371</v>
      </c>
      <c r="I1413" s="7" t="n">
        <v>1</v>
      </c>
      <c r="J1413" s="7" t="s">
        <v>107</v>
      </c>
      <c r="K1413" s="7" t="s">
        <v>108</v>
      </c>
      <c r="L1413" s="7" t="n">
        <v>22</v>
      </c>
      <c r="M1413" s="10" t="b">
        <f aca="false">FALSE()</f>
        <v>0</v>
      </c>
      <c r="N1413" s="7" t="s">
        <v>557</v>
      </c>
      <c r="O1413" s="7" t="n">
        <v>-33.906522</v>
      </c>
      <c r="P1413" s="7" t="n">
        <v>151.13815</v>
      </c>
    </row>
    <row r="1414" customFormat="false" ht="15" hidden="false" customHeight="false" outlineLevel="0" collapsed="false">
      <c r="A1414" s="7" t="n">
        <v>1413</v>
      </c>
      <c r="B1414" s="7"/>
      <c r="C1414" s="7" t="s">
        <v>1905</v>
      </c>
      <c r="D1414" s="7" t="n">
        <v>2830</v>
      </c>
      <c r="E1414" s="7" t="s">
        <v>50</v>
      </c>
      <c r="F1414" s="10" t="b">
        <f aca="false">FALSE()</f>
        <v>0</v>
      </c>
      <c r="G1414" s="7" t="s">
        <v>227</v>
      </c>
      <c r="H1414" s="7" t="s">
        <v>398</v>
      </c>
      <c r="I1414" s="7" t="n">
        <v>1</v>
      </c>
      <c r="J1414" s="7" t="s">
        <v>107</v>
      </c>
      <c r="K1414" s="7" t="s">
        <v>107</v>
      </c>
      <c r="L1414" s="7"/>
      <c r="M1414" s="10" t="b">
        <f aca="false">FALSE()</f>
        <v>0</v>
      </c>
      <c r="N1414" s="7" t="s">
        <v>374</v>
      </c>
      <c r="O1414" s="7" t="n">
        <v>-32.252573</v>
      </c>
      <c r="P1414" s="7" t="n">
        <v>148.604923</v>
      </c>
    </row>
    <row r="1415" customFormat="false" ht="15" hidden="false" customHeight="false" outlineLevel="0" collapsed="false">
      <c r="A1415" s="7" t="n">
        <v>1414</v>
      </c>
      <c r="B1415" s="7"/>
      <c r="C1415" s="7" t="s">
        <v>1906</v>
      </c>
      <c r="D1415" s="7" t="n">
        <v>2060</v>
      </c>
      <c r="E1415" s="7" t="s">
        <v>50</v>
      </c>
      <c r="F1415" s="10" t="b">
        <f aca="false">FALSE()</f>
        <v>0</v>
      </c>
      <c r="G1415" s="7" t="s">
        <v>332</v>
      </c>
      <c r="H1415" s="7" t="s">
        <v>1069</v>
      </c>
      <c r="I1415" s="7" t="n">
        <v>4</v>
      </c>
      <c r="J1415" s="7" t="s">
        <v>71</v>
      </c>
      <c r="K1415" s="7" t="s">
        <v>83</v>
      </c>
      <c r="L1415" s="7" t="n">
        <v>75</v>
      </c>
      <c r="M1415" s="10" t="b">
        <f aca="false">FALSE()</f>
        <v>0</v>
      </c>
      <c r="N1415" s="7" t="s">
        <v>557</v>
      </c>
      <c r="O1415" s="7" t="n">
        <v>-33.833276</v>
      </c>
      <c r="P1415" s="7" t="n">
        <v>151.207193</v>
      </c>
    </row>
    <row r="1416" customFormat="false" ht="15" hidden="false" customHeight="false" outlineLevel="0" collapsed="false">
      <c r="A1416" s="7" t="n">
        <v>1415</v>
      </c>
      <c r="B1416" s="7"/>
      <c r="C1416" s="7" t="s">
        <v>1907</v>
      </c>
      <c r="D1416" s="7" t="n">
        <v>2038</v>
      </c>
      <c r="E1416" s="7" t="s">
        <v>50</v>
      </c>
      <c r="F1416" s="10" t="b">
        <f aca="false">FALSE()</f>
        <v>0</v>
      </c>
      <c r="G1416" s="7" t="s">
        <v>410</v>
      </c>
      <c r="H1416" s="7" t="s">
        <v>1371</v>
      </c>
      <c r="I1416" s="7" t="n">
        <v>1</v>
      </c>
      <c r="J1416" s="7" t="s">
        <v>107</v>
      </c>
      <c r="K1416" s="7" t="s">
        <v>108</v>
      </c>
      <c r="L1416" s="7" t="n">
        <v>22</v>
      </c>
      <c r="M1416" s="10" t="b">
        <f aca="false">FALSE()</f>
        <v>0</v>
      </c>
      <c r="N1416" s="7" t="s">
        <v>557</v>
      </c>
      <c r="O1416" s="7" t="n">
        <v>-33.88648</v>
      </c>
      <c r="P1416" s="7" t="n">
        <v>151.166494</v>
      </c>
    </row>
    <row r="1417" customFormat="false" ht="15" hidden="false" customHeight="false" outlineLevel="0" collapsed="false">
      <c r="A1417" s="7" t="n">
        <v>1416</v>
      </c>
      <c r="B1417" s="7" t="s">
        <v>1908</v>
      </c>
      <c r="C1417" s="7" t="s">
        <v>1909</v>
      </c>
      <c r="D1417" s="7" t="n">
        <v>2445</v>
      </c>
      <c r="E1417" s="7" t="s">
        <v>50</v>
      </c>
      <c r="F1417" s="10" t="b">
        <f aca="false">FALSE()</f>
        <v>0</v>
      </c>
      <c r="G1417" s="7" t="s">
        <v>135</v>
      </c>
      <c r="H1417" s="7" t="s">
        <v>260</v>
      </c>
      <c r="I1417" s="7" t="n">
        <v>2</v>
      </c>
      <c r="J1417" s="7" t="s">
        <v>107</v>
      </c>
      <c r="K1417" s="7" t="s">
        <v>107</v>
      </c>
      <c r="L1417" s="7"/>
      <c r="M1417" s="10" t="b">
        <f aca="false">FALSE()</f>
        <v>0</v>
      </c>
      <c r="N1417" s="7" t="s">
        <v>374</v>
      </c>
      <c r="O1417" s="7" t="n">
        <v>-31.585403</v>
      </c>
      <c r="P1417" s="7" t="n">
        <v>152.836622</v>
      </c>
    </row>
    <row r="1418" customFormat="false" ht="15" hidden="false" customHeight="false" outlineLevel="0" collapsed="false">
      <c r="A1418" s="7" t="n">
        <v>1417</v>
      </c>
      <c r="B1418" s="7" t="s">
        <v>1910</v>
      </c>
      <c r="C1418" s="7" t="s">
        <v>1911</v>
      </c>
      <c r="D1418" s="7" t="n">
        <v>2473</v>
      </c>
      <c r="E1418" s="7" t="s">
        <v>50</v>
      </c>
      <c r="F1418" s="10" t="b">
        <f aca="false">FALSE()</f>
        <v>0</v>
      </c>
      <c r="G1418" s="7" t="s">
        <v>78</v>
      </c>
      <c r="H1418" s="7" t="s">
        <v>252</v>
      </c>
      <c r="I1418" s="7" t="n">
        <v>1</v>
      </c>
      <c r="J1418" s="7" t="s">
        <v>107</v>
      </c>
      <c r="K1418" s="7" t="s">
        <v>107</v>
      </c>
      <c r="L1418" s="7"/>
      <c r="M1418" s="10" t="b">
        <f aca="false">FALSE()</f>
        <v>0</v>
      </c>
      <c r="N1418" s="7" t="s">
        <v>399</v>
      </c>
      <c r="O1418" s="7" t="n">
        <v>-29.1191</v>
      </c>
      <c r="P1418" s="7" t="n">
        <v>153.428405</v>
      </c>
    </row>
    <row r="1419" customFormat="false" ht="15" hidden="false" customHeight="false" outlineLevel="0" collapsed="false">
      <c r="A1419" s="7" t="n">
        <v>1418</v>
      </c>
      <c r="B1419" s="7"/>
      <c r="C1419" s="7" t="s">
        <v>1912</v>
      </c>
      <c r="D1419" s="7" t="n">
        <v>2147</v>
      </c>
      <c r="E1419" s="7" t="s">
        <v>50</v>
      </c>
      <c r="F1419" s="10" t="b">
        <f aca="false">FALSE()</f>
        <v>0</v>
      </c>
      <c r="G1419" s="7" t="s">
        <v>232</v>
      </c>
      <c r="H1419" s="7" t="s">
        <v>302</v>
      </c>
      <c r="I1419" s="7" t="n">
        <v>2</v>
      </c>
      <c r="J1419" s="7" t="s">
        <v>107</v>
      </c>
      <c r="K1419" s="7" t="s">
        <v>108</v>
      </c>
      <c r="L1419" s="7" t="n">
        <v>22</v>
      </c>
      <c r="M1419" s="10" t="b">
        <f aca="false">FALSE()</f>
        <v>0</v>
      </c>
      <c r="N1419" s="7" t="s">
        <v>557</v>
      </c>
      <c r="O1419" s="7" t="n">
        <v>-33.777479</v>
      </c>
      <c r="P1419" s="7" t="n">
        <v>150.941166</v>
      </c>
    </row>
    <row r="1420" customFormat="false" ht="15" hidden="false" customHeight="false" outlineLevel="0" collapsed="false">
      <c r="A1420" s="7" t="n">
        <v>1419</v>
      </c>
      <c r="B1420" s="7" t="s">
        <v>1913</v>
      </c>
      <c r="C1420" s="7" t="s">
        <v>1914</v>
      </c>
      <c r="D1420" s="7" t="n">
        <v>2262</v>
      </c>
      <c r="E1420" s="7" t="s">
        <v>50</v>
      </c>
      <c r="F1420" s="10" t="b">
        <f aca="false">FALSE()</f>
        <v>0</v>
      </c>
      <c r="G1420" s="7" t="s">
        <v>276</v>
      </c>
      <c r="H1420" s="7" t="s">
        <v>1748</v>
      </c>
      <c r="I1420" s="7" t="n">
        <v>1</v>
      </c>
      <c r="J1420" s="7" t="s">
        <v>107</v>
      </c>
      <c r="K1420" s="7" t="s">
        <v>107</v>
      </c>
      <c r="L1420" s="7"/>
      <c r="M1420" s="10" t="b">
        <f aca="false">FALSE()</f>
        <v>0</v>
      </c>
      <c r="N1420" s="7" t="s">
        <v>399</v>
      </c>
      <c r="O1420" s="7" t="n">
        <v>-33.232872</v>
      </c>
      <c r="P1420" s="7" t="n">
        <v>151.555373</v>
      </c>
    </row>
    <row r="1421" customFormat="false" ht="15" hidden="false" customHeight="false" outlineLevel="0" collapsed="false">
      <c r="A1421" s="7" t="n">
        <v>1420</v>
      </c>
      <c r="B1421" s="7" t="s">
        <v>1915</v>
      </c>
      <c r="C1421" s="7" t="s">
        <v>1916</v>
      </c>
      <c r="D1421" s="7" t="n">
        <v>2447</v>
      </c>
      <c r="E1421" s="7" t="s">
        <v>50</v>
      </c>
      <c r="F1421" s="10" t="b">
        <f aca="false">FALSE()</f>
        <v>0</v>
      </c>
      <c r="G1421" s="7" t="s">
        <v>562</v>
      </c>
      <c r="H1421" s="7" t="s">
        <v>398</v>
      </c>
      <c r="I1421" s="7" t="n">
        <v>1</v>
      </c>
      <c r="J1421" s="7" t="s">
        <v>107</v>
      </c>
      <c r="K1421" s="7" t="s">
        <v>107</v>
      </c>
      <c r="L1421" s="7"/>
      <c r="M1421" s="10" t="b">
        <f aca="false">FALSE()</f>
        <v>0</v>
      </c>
      <c r="N1421" s="7" t="s">
        <v>399</v>
      </c>
      <c r="O1421" s="7" t="n">
        <v>-30.708612</v>
      </c>
      <c r="P1421" s="7" t="n">
        <v>152.918765</v>
      </c>
    </row>
    <row r="1422" customFormat="false" ht="15" hidden="false" customHeight="false" outlineLevel="0" collapsed="false">
      <c r="A1422" s="7" t="n">
        <v>1421</v>
      </c>
      <c r="B1422" s="7" t="s">
        <v>1853</v>
      </c>
      <c r="C1422" s="7" t="s">
        <v>1917</v>
      </c>
      <c r="D1422" s="7" t="n">
        <v>2485</v>
      </c>
      <c r="E1422" s="7" t="s">
        <v>50</v>
      </c>
      <c r="F1422" s="10" t="b">
        <f aca="false">FALSE()</f>
        <v>0</v>
      </c>
      <c r="G1422" s="7" t="s">
        <v>164</v>
      </c>
      <c r="H1422" s="7" t="s">
        <v>237</v>
      </c>
      <c r="I1422" s="7" t="n">
        <v>2</v>
      </c>
      <c r="J1422" s="7" t="s">
        <v>107</v>
      </c>
      <c r="K1422" s="7" t="s">
        <v>107</v>
      </c>
      <c r="L1422" s="7"/>
      <c r="M1422" s="10" t="b">
        <f aca="false">FALSE()</f>
        <v>0</v>
      </c>
      <c r="N1422" s="7" t="s">
        <v>374</v>
      </c>
      <c r="O1422" s="7" t="n">
        <v>-28.168735</v>
      </c>
      <c r="P1422" s="7" t="n">
        <v>153.542992</v>
      </c>
    </row>
    <row r="1423" customFormat="false" ht="15" hidden="false" customHeight="false" outlineLevel="0" collapsed="false">
      <c r="A1423" s="7" t="n">
        <v>1422</v>
      </c>
      <c r="B1423" s="7" t="s">
        <v>1918</v>
      </c>
      <c r="C1423" s="7" t="s">
        <v>1919</v>
      </c>
      <c r="D1423" s="7" t="n">
        <v>2320</v>
      </c>
      <c r="E1423" s="7" t="s">
        <v>50</v>
      </c>
      <c r="F1423" s="10" t="b">
        <f aca="false">FALSE()</f>
        <v>0</v>
      </c>
      <c r="G1423" s="7" t="s">
        <v>111</v>
      </c>
      <c r="H1423" s="7" t="s">
        <v>1795</v>
      </c>
      <c r="I1423" s="7" t="n">
        <v>4</v>
      </c>
      <c r="J1423" s="7" t="s">
        <v>107</v>
      </c>
      <c r="K1423" s="7" t="s">
        <v>107</v>
      </c>
      <c r="L1423" s="7"/>
      <c r="M1423" s="10" t="b">
        <f aca="false">FALSE()</f>
        <v>0</v>
      </c>
      <c r="N1423" s="7" t="s">
        <v>399</v>
      </c>
      <c r="O1423" s="7" t="n">
        <v>-32.777785</v>
      </c>
      <c r="P1423" s="7" t="n">
        <v>151.336137</v>
      </c>
    </row>
    <row r="1424" customFormat="false" ht="15" hidden="false" customHeight="false" outlineLevel="0" collapsed="false">
      <c r="A1424" s="7" t="n">
        <v>1423</v>
      </c>
      <c r="B1424" s="7" t="s">
        <v>1920</v>
      </c>
      <c r="C1424" s="7" t="s">
        <v>1921</v>
      </c>
      <c r="D1424" s="7" t="n">
        <v>2800</v>
      </c>
      <c r="E1424" s="7" t="s">
        <v>50</v>
      </c>
      <c r="F1424" s="10" t="b">
        <f aca="false">FALSE()</f>
        <v>0</v>
      </c>
      <c r="G1424" s="7" t="s">
        <v>167</v>
      </c>
      <c r="H1424" s="7" t="s">
        <v>1795</v>
      </c>
      <c r="I1424" s="7" t="n">
        <v>1</v>
      </c>
      <c r="J1424" s="7" t="s">
        <v>107</v>
      </c>
      <c r="K1424" s="7" t="s">
        <v>107</v>
      </c>
      <c r="L1424" s="7"/>
      <c r="M1424" s="10" t="b">
        <f aca="false">FALSE()</f>
        <v>0</v>
      </c>
      <c r="N1424" s="7" t="s">
        <v>399</v>
      </c>
      <c r="O1424" s="7" t="n">
        <v>-33.280815</v>
      </c>
      <c r="P1424" s="7" t="n">
        <v>149.099513</v>
      </c>
    </row>
    <row r="1425" customFormat="false" ht="15" hidden="false" customHeight="false" outlineLevel="0" collapsed="false">
      <c r="A1425" s="7" t="n">
        <v>1424</v>
      </c>
      <c r="B1425" s="7" t="s">
        <v>1922</v>
      </c>
      <c r="C1425" s="7" t="s">
        <v>1923</v>
      </c>
      <c r="D1425" s="7" t="n">
        <v>2340</v>
      </c>
      <c r="E1425" s="7" t="s">
        <v>50</v>
      </c>
      <c r="F1425" s="10" t="b">
        <f aca="false">FALSE()</f>
        <v>0</v>
      </c>
      <c r="G1425" s="7" t="s">
        <v>192</v>
      </c>
      <c r="H1425" s="7" t="s">
        <v>252</v>
      </c>
      <c r="I1425" s="7" t="n">
        <v>4</v>
      </c>
      <c r="J1425" s="7" t="s">
        <v>107</v>
      </c>
      <c r="K1425" s="7" t="s">
        <v>107</v>
      </c>
      <c r="L1425" s="7"/>
      <c r="M1425" s="10" t="b">
        <f aca="false">FALSE()</f>
        <v>0</v>
      </c>
      <c r="N1425" s="7" t="s">
        <v>399</v>
      </c>
      <c r="O1425" s="7" t="n">
        <v>-31.098466</v>
      </c>
      <c r="P1425" s="7" t="n">
        <v>150.940734</v>
      </c>
    </row>
    <row r="1426" customFormat="false" ht="15" hidden="false" customHeight="false" outlineLevel="0" collapsed="false">
      <c r="A1426" s="7" t="n">
        <v>1425</v>
      </c>
      <c r="B1426" s="7" t="s">
        <v>1924</v>
      </c>
      <c r="C1426" s="7" t="s">
        <v>1925</v>
      </c>
      <c r="D1426" s="7" t="n">
        <v>2720</v>
      </c>
      <c r="E1426" s="7" t="s">
        <v>50</v>
      </c>
      <c r="F1426" s="10" t="b">
        <f aca="false">FALSE()</f>
        <v>0</v>
      </c>
      <c r="G1426" s="7" t="s">
        <v>456</v>
      </c>
      <c r="H1426" s="7" t="s">
        <v>1862</v>
      </c>
      <c r="I1426" s="7" t="n">
        <v>1</v>
      </c>
      <c r="J1426" s="7" t="s">
        <v>107</v>
      </c>
      <c r="K1426" s="7" t="s">
        <v>107</v>
      </c>
      <c r="L1426" s="7"/>
      <c r="M1426" s="10" t="b">
        <f aca="false">FALSE()</f>
        <v>0</v>
      </c>
      <c r="N1426" s="7" t="s">
        <v>399</v>
      </c>
      <c r="O1426" s="7" t="n">
        <v>-35.581829</v>
      </c>
      <c r="P1426" s="7" t="n">
        <v>148.305703</v>
      </c>
    </row>
    <row r="1427" customFormat="false" ht="15" hidden="false" customHeight="false" outlineLevel="0" collapsed="false">
      <c r="A1427" s="7" t="n">
        <v>1426</v>
      </c>
      <c r="B1427" s="7" t="s">
        <v>1926</v>
      </c>
      <c r="C1427" s="7" t="s">
        <v>1927</v>
      </c>
      <c r="D1427" s="7" t="n">
        <v>2444</v>
      </c>
      <c r="E1427" s="7" t="s">
        <v>50</v>
      </c>
      <c r="F1427" s="10" t="b">
        <f aca="false">FALSE()</f>
        <v>0</v>
      </c>
      <c r="G1427" s="7" t="s">
        <v>135</v>
      </c>
      <c r="H1427" s="7" t="s">
        <v>260</v>
      </c>
      <c r="I1427" s="7" t="n">
        <v>4</v>
      </c>
      <c r="J1427" s="7" t="s">
        <v>107</v>
      </c>
      <c r="K1427" s="7" t="s">
        <v>107</v>
      </c>
      <c r="L1427" s="7"/>
      <c r="M1427" s="10" t="b">
        <f aca="false">FALSE()</f>
        <v>0</v>
      </c>
      <c r="N1427" s="7" t="s">
        <v>374</v>
      </c>
      <c r="O1427" s="7" t="n">
        <v>-31.430177</v>
      </c>
      <c r="P1427" s="7" t="n">
        <v>152.901745</v>
      </c>
    </row>
    <row r="1428" customFormat="false" ht="15" hidden="false" customHeight="false" outlineLevel="0" collapsed="false">
      <c r="A1428" s="7" t="n">
        <v>1427</v>
      </c>
      <c r="B1428" s="7"/>
      <c r="C1428" s="7" t="s">
        <v>1928</v>
      </c>
      <c r="D1428" s="7" t="n">
        <v>2017</v>
      </c>
      <c r="E1428" s="7" t="s">
        <v>50</v>
      </c>
      <c r="F1428" s="10" t="b">
        <f aca="false">FALSE()</f>
        <v>0</v>
      </c>
      <c r="G1428" s="7" t="s">
        <v>182</v>
      </c>
      <c r="H1428" s="7" t="s">
        <v>239</v>
      </c>
      <c r="I1428" s="7" t="n">
        <v>8</v>
      </c>
      <c r="J1428" s="7" t="s">
        <v>71</v>
      </c>
      <c r="K1428" s="7" t="s">
        <v>117</v>
      </c>
      <c r="L1428" s="7" t="n">
        <v>175</v>
      </c>
      <c r="M1428" s="10" t="b">
        <f aca="false">FALSE()</f>
        <v>0</v>
      </c>
      <c r="N1428" s="7" t="s">
        <v>118</v>
      </c>
      <c r="O1428" s="7" t="n">
        <v>-33.898174</v>
      </c>
      <c r="P1428" s="7" t="n">
        <v>151.211772</v>
      </c>
    </row>
    <row r="1429" customFormat="false" ht="15" hidden="false" customHeight="false" outlineLevel="0" collapsed="false">
      <c r="A1429" s="7" t="n">
        <v>1428</v>
      </c>
      <c r="B1429" s="7" t="s">
        <v>1929</v>
      </c>
      <c r="C1429" s="7" t="s">
        <v>1930</v>
      </c>
      <c r="D1429" s="7" t="n">
        <v>2646</v>
      </c>
      <c r="E1429" s="7" t="s">
        <v>50</v>
      </c>
      <c r="F1429" s="10" t="b">
        <f aca="false">FALSE()</f>
        <v>0</v>
      </c>
      <c r="G1429" s="7" t="s">
        <v>477</v>
      </c>
      <c r="H1429" s="7" t="s">
        <v>398</v>
      </c>
      <c r="I1429" s="7" t="n">
        <v>4</v>
      </c>
      <c r="J1429" s="7" t="s">
        <v>107</v>
      </c>
      <c r="K1429" s="7" t="s">
        <v>107</v>
      </c>
      <c r="L1429" s="7"/>
      <c r="M1429" s="10" t="b">
        <f aca="false">FALSE()</f>
        <v>0</v>
      </c>
      <c r="N1429" s="7" t="s">
        <v>399</v>
      </c>
      <c r="O1429" s="7" t="n">
        <v>-36.001891</v>
      </c>
      <c r="P1429" s="7" t="n">
        <v>146.386422</v>
      </c>
    </row>
    <row r="1430" customFormat="false" ht="15" hidden="false" customHeight="false" outlineLevel="0" collapsed="false">
      <c r="A1430" s="7" t="n">
        <v>1429</v>
      </c>
      <c r="B1430" s="7"/>
      <c r="C1430" s="7" t="s">
        <v>1931</v>
      </c>
      <c r="D1430" s="7" t="n">
        <v>2022</v>
      </c>
      <c r="E1430" s="7" t="s">
        <v>50</v>
      </c>
      <c r="F1430" s="10" t="b">
        <f aca="false">FALSE()</f>
        <v>0</v>
      </c>
      <c r="G1430" s="7" t="s">
        <v>295</v>
      </c>
      <c r="H1430" s="7" t="s">
        <v>1371</v>
      </c>
      <c r="I1430" s="7" t="n">
        <v>1</v>
      </c>
      <c r="J1430" s="7" t="s">
        <v>107</v>
      </c>
      <c r="K1430" s="7" t="s">
        <v>108</v>
      </c>
      <c r="L1430" s="7" t="n">
        <v>22</v>
      </c>
      <c r="M1430" s="10" t="b">
        <f aca="false">FALSE()</f>
        <v>0</v>
      </c>
      <c r="N1430" s="7" t="s">
        <v>557</v>
      </c>
      <c r="O1430" s="7" t="n">
        <v>-33.893609</v>
      </c>
      <c r="P1430" s="7" t="n">
        <v>151.252359</v>
      </c>
    </row>
    <row r="1431" customFormat="false" ht="15" hidden="false" customHeight="false" outlineLevel="0" collapsed="false">
      <c r="A1431" s="7" t="n">
        <v>1430</v>
      </c>
      <c r="B1431" s="7" t="s">
        <v>1932</v>
      </c>
      <c r="C1431" s="7" t="s">
        <v>1933</v>
      </c>
      <c r="D1431" s="7" t="n">
        <v>2330</v>
      </c>
      <c r="E1431" s="7" t="s">
        <v>50</v>
      </c>
      <c r="F1431" s="10" t="b">
        <f aca="false">FALSE()</f>
        <v>0</v>
      </c>
      <c r="G1431" s="7" t="s">
        <v>336</v>
      </c>
      <c r="H1431" s="7" t="s">
        <v>260</v>
      </c>
      <c r="I1431" s="7" t="n">
        <v>2</v>
      </c>
      <c r="J1431" s="7" t="s">
        <v>107</v>
      </c>
      <c r="K1431" s="7" t="s">
        <v>107</v>
      </c>
      <c r="L1431" s="7"/>
      <c r="M1431" s="10" t="b">
        <f aca="false">FALSE()</f>
        <v>0</v>
      </c>
      <c r="N1431" s="7" t="s">
        <v>399</v>
      </c>
      <c r="O1431" s="7" t="n">
        <v>-32.745457</v>
      </c>
      <c r="P1431" s="7" t="n">
        <v>151.105639</v>
      </c>
    </row>
    <row r="1432" customFormat="false" ht="15" hidden="false" customHeight="false" outlineLevel="0" collapsed="false">
      <c r="A1432" s="7" t="n">
        <v>1431</v>
      </c>
      <c r="B1432" s="7" t="s">
        <v>1934</v>
      </c>
      <c r="C1432" s="7" t="s">
        <v>1935</v>
      </c>
      <c r="D1432" s="7" t="n">
        <v>2430</v>
      </c>
      <c r="E1432" s="7" t="s">
        <v>50</v>
      </c>
      <c r="F1432" s="10" t="b">
        <f aca="false">FALSE()</f>
        <v>0</v>
      </c>
      <c r="G1432" s="7" t="s">
        <v>128</v>
      </c>
      <c r="H1432" s="7" t="s">
        <v>260</v>
      </c>
      <c r="I1432" s="7" t="n">
        <v>4</v>
      </c>
      <c r="J1432" s="7" t="s">
        <v>107</v>
      </c>
      <c r="K1432" s="7" t="s">
        <v>107</v>
      </c>
      <c r="L1432" s="7"/>
      <c r="M1432" s="10" t="b">
        <f aca="false">FALSE()</f>
        <v>0</v>
      </c>
      <c r="N1432" s="7" t="s">
        <v>399</v>
      </c>
      <c r="O1432" s="7" t="n">
        <v>-31.969264</v>
      </c>
      <c r="P1432" s="7" t="n">
        <v>152.588376</v>
      </c>
    </row>
    <row r="1433" customFormat="false" ht="15" hidden="false" customHeight="false" outlineLevel="0" collapsed="false">
      <c r="A1433" s="7" t="n">
        <v>1432</v>
      </c>
      <c r="B1433" s="7" t="s">
        <v>1936</v>
      </c>
      <c r="C1433" s="7" t="s">
        <v>1937</v>
      </c>
      <c r="D1433" s="7" t="n">
        <v>2321</v>
      </c>
      <c r="E1433" s="7" t="s">
        <v>50</v>
      </c>
      <c r="F1433" s="10" t="b">
        <f aca="false">FALSE()</f>
        <v>0</v>
      </c>
      <c r="G1433" s="7" t="s">
        <v>283</v>
      </c>
      <c r="H1433" s="7" t="s">
        <v>260</v>
      </c>
      <c r="I1433" s="7" t="n">
        <v>2</v>
      </c>
      <c r="J1433" s="7" t="s">
        <v>107</v>
      </c>
      <c r="K1433" s="7" t="s">
        <v>107</v>
      </c>
      <c r="L1433" s="7"/>
      <c r="M1433" s="10" t="b">
        <f aca="false">FALSE()</f>
        <v>0</v>
      </c>
      <c r="N1433" s="7" t="s">
        <v>399</v>
      </c>
      <c r="O1433" s="7" t="n">
        <v>-32.764313</v>
      </c>
      <c r="P1433" s="7" t="n">
        <v>151.531112</v>
      </c>
    </row>
    <row r="1434" customFormat="false" ht="15" hidden="false" customHeight="false" outlineLevel="0" collapsed="false">
      <c r="A1434" s="7" t="n">
        <v>1433</v>
      </c>
      <c r="B1434" s="7"/>
      <c r="C1434" s="7" t="s">
        <v>1938</v>
      </c>
      <c r="D1434" s="7" t="n">
        <v>2579</v>
      </c>
      <c r="E1434" s="7" t="s">
        <v>50</v>
      </c>
      <c r="F1434" s="10" t="b">
        <f aca="false">FALSE()</f>
        <v>0</v>
      </c>
      <c r="G1434" s="7" t="s">
        <v>161</v>
      </c>
      <c r="H1434" s="7" t="s">
        <v>237</v>
      </c>
      <c r="I1434" s="7" t="n">
        <v>2</v>
      </c>
      <c r="J1434" s="7" t="s">
        <v>107</v>
      </c>
      <c r="K1434" s="7" t="s">
        <v>107</v>
      </c>
      <c r="L1434" s="7"/>
      <c r="M1434" s="10" t="b">
        <f aca="false">FALSE()</f>
        <v>0</v>
      </c>
      <c r="N1434" s="7" t="s">
        <v>374</v>
      </c>
      <c r="O1434" s="7" t="n">
        <v>-34.611584</v>
      </c>
      <c r="P1434" s="7" t="n">
        <v>150.326391</v>
      </c>
    </row>
    <row r="1435" customFormat="false" ht="15" hidden="false" customHeight="false" outlineLevel="0" collapsed="false">
      <c r="A1435" s="7" t="n">
        <v>1434</v>
      </c>
      <c r="B1435" s="7" t="s">
        <v>1939</v>
      </c>
      <c r="C1435" s="7" t="s">
        <v>1940</v>
      </c>
      <c r="D1435" s="7" t="n">
        <v>2795</v>
      </c>
      <c r="E1435" s="7" t="s">
        <v>50</v>
      </c>
      <c r="F1435" s="10" t="b">
        <f aca="false">FALSE()</f>
        <v>0</v>
      </c>
      <c r="G1435" s="7" t="s">
        <v>75</v>
      </c>
      <c r="H1435" s="7" t="s">
        <v>237</v>
      </c>
      <c r="I1435" s="7" t="n">
        <v>2</v>
      </c>
      <c r="J1435" s="7" t="s">
        <v>107</v>
      </c>
      <c r="K1435" s="7" t="s">
        <v>107</v>
      </c>
      <c r="L1435" s="7"/>
      <c r="M1435" s="10" t="b">
        <f aca="false">FALSE()</f>
        <v>0</v>
      </c>
      <c r="N1435" s="7" t="s">
        <v>374</v>
      </c>
      <c r="O1435" s="7" t="n">
        <v>-33.418553</v>
      </c>
      <c r="P1435" s="7" t="n">
        <v>149.627254</v>
      </c>
    </row>
    <row r="1436" customFormat="false" ht="15" hidden="false" customHeight="false" outlineLevel="0" collapsed="false">
      <c r="A1436" s="7" t="n">
        <v>1435</v>
      </c>
      <c r="B1436" s="7" t="s">
        <v>1941</v>
      </c>
      <c r="C1436" s="7" t="s">
        <v>1942</v>
      </c>
      <c r="D1436" s="7" t="n">
        <v>2516</v>
      </c>
      <c r="E1436" s="7" t="s">
        <v>50</v>
      </c>
      <c r="F1436" s="10" t="b">
        <f aca="false">FALSE()</f>
        <v>0</v>
      </c>
      <c r="G1436" s="7" t="s">
        <v>102</v>
      </c>
      <c r="H1436" s="7" t="s">
        <v>1786</v>
      </c>
      <c r="I1436" s="7" t="n">
        <v>2</v>
      </c>
      <c r="J1436" s="7" t="s">
        <v>107</v>
      </c>
      <c r="K1436" s="7" t="s">
        <v>107</v>
      </c>
      <c r="L1436" s="7"/>
      <c r="M1436" s="10" t="b">
        <f aca="false">FALSE()</f>
        <v>0</v>
      </c>
      <c r="N1436" s="7" t="s">
        <v>399</v>
      </c>
      <c r="O1436" s="7" t="n">
        <v>-34.334447</v>
      </c>
      <c r="P1436" s="7" t="n">
        <v>150.913523</v>
      </c>
    </row>
    <row r="1437" customFormat="false" ht="15" hidden="false" customHeight="false" outlineLevel="0" collapsed="false">
      <c r="A1437" s="7" t="n">
        <v>1436</v>
      </c>
      <c r="B1437" s="7" t="s">
        <v>1943</v>
      </c>
      <c r="C1437" s="7" t="s">
        <v>1944</v>
      </c>
      <c r="D1437" s="7" t="n">
        <v>2320</v>
      </c>
      <c r="E1437" s="7" t="s">
        <v>50</v>
      </c>
      <c r="F1437" s="10" t="b">
        <f aca="false">FALSE()</f>
        <v>0</v>
      </c>
      <c r="G1437" s="7" t="s">
        <v>283</v>
      </c>
      <c r="H1437" s="7" t="s">
        <v>1795</v>
      </c>
      <c r="I1437" s="7" t="n">
        <v>1</v>
      </c>
      <c r="J1437" s="7" t="s">
        <v>107</v>
      </c>
      <c r="K1437" s="7" t="s">
        <v>107</v>
      </c>
      <c r="L1437" s="7"/>
      <c r="M1437" s="10" t="b">
        <f aca="false">FALSE()</f>
        <v>0</v>
      </c>
      <c r="N1437" s="7" t="s">
        <v>374</v>
      </c>
      <c r="O1437" s="7" t="n">
        <v>-32.718898</v>
      </c>
      <c r="P1437" s="7" t="n">
        <v>151.527537</v>
      </c>
    </row>
    <row r="1438" customFormat="false" ht="15" hidden="false" customHeight="false" outlineLevel="0" collapsed="false">
      <c r="A1438" s="7" t="n">
        <v>1437</v>
      </c>
      <c r="B1438" s="7" t="s">
        <v>1945</v>
      </c>
      <c r="C1438" s="7" t="s">
        <v>1946</v>
      </c>
      <c r="D1438" s="7" t="n">
        <v>2250</v>
      </c>
      <c r="E1438" s="7" t="s">
        <v>50</v>
      </c>
      <c r="F1438" s="10" t="b">
        <f aca="false">FALSE()</f>
        <v>0</v>
      </c>
      <c r="G1438" s="7" t="s">
        <v>276</v>
      </c>
      <c r="H1438" s="7" t="s">
        <v>260</v>
      </c>
      <c r="I1438" s="7" t="n">
        <v>4</v>
      </c>
      <c r="J1438" s="7" t="s">
        <v>107</v>
      </c>
      <c r="K1438" s="7" t="s">
        <v>107</v>
      </c>
      <c r="L1438" s="7"/>
      <c r="M1438" s="10" t="b">
        <f aca="false">FALSE()</f>
        <v>0</v>
      </c>
      <c r="N1438" s="7" t="s">
        <v>399</v>
      </c>
      <c r="O1438" s="7" t="n">
        <v>-33.428325</v>
      </c>
      <c r="P1438" s="7" t="n">
        <v>151.322115</v>
      </c>
    </row>
    <row r="1439" customFormat="false" ht="15" hidden="false" customHeight="false" outlineLevel="0" collapsed="false">
      <c r="A1439" s="7" t="n">
        <v>1438</v>
      </c>
      <c r="B1439" s="7"/>
      <c r="C1439" s="7" t="s">
        <v>1947</v>
      </c>
      <c r="D1439" s="7" t="n">
        <v>2029</v>
      </c>
      <c r="E1439" s="7" t="s">
        <v>50</v>
      </c>
      <c r="F1439" s="10" t="b">
        <f aca="false">FALSE()</f>
        <v>0</v>
      </c>
      <c r="G1439" s="7" t="s">
        <v>272</v>
      </c>
      <c r="H1439" s="7" t="s">
        <v>237</v>
      </c>
      <c r="I1439" s="7" t="n">
        <v>2</v>
      </c>
      <c r="J1439" s="7" t="s">
        <v>107</v>
      </c>
      <c r="K1439" s="7" t="s">
        <v>900</v>
      </c>
      <c r="L1439" s="7" t="n">
        <v>7</v>
      </c>
      <c r="M1439" s="10" t="b">
        <f aca="false">FALSE()</f>
        <v>0</v>
      </c>
      <c r="N1439" s="7" t="s">
        <v>557</v>
      </c>
      <c r="O1439" s="7" t="n">
        <v>-33.875821</v>
      </c>
      <c r="P1439" s="7" t="n">
        <v>151.263194</v>
      </c>
    </row>
    <row r="1440" customFormat="false" ht="15" hidden="false" customHeight="false" outlineLevel="0" collapsed="false">
      <c r="A1440" s="7" t="n">
        <v>1439</v>
      </c>
      <c r="B1440" s="7"/>
      <c r="C1440" s="7" t="s">
        <v>1948</v>
      </c>
      <c r="D1440" s="7" t="n">
        <v>2038</v>
      </c>
      <c r="E1440" s="7" t="s">
        <v>50</v>
      </c>
      <c r="F1440" s="10" t="b">
        <f aca="false">FALSE()</f>
        <v>0</v>
      </c>
      <c r="G1440" s="7" t="s">
        <v>410</v>
      </c>
      <c r="H1440" s="7" t="s">
        <v>1371</v>
      </c>
      <c r="I1440" s="7" t="n">
        <v>1</v>
      </c>
      <c r="J1440" s="7" t="s">
        <v>107</v>
      </c>
      <c r="K1440" s="7" t="s">
        <v>108</v>
      </c>
      <c r="L1440" s="7" t="n">
        <v>22</v>
      </c>
      <c r="M1440" s="10" t="b">
        <f aca="false">FALSE()</f>
        <v>0</v>
      </c>
      <c r="N1440" s="7" t="s">
        <v>557</v>
      </c>
      <c r="O1440" s="7" t="n">
        <v>-33.886212</v>
      </c>
      <c r="P1440" s="7" t="n">
        <v>151.1714</v>
      </c>
    </row>
    <row r="1441" customFormat="false" ht="15" hidden="false" customHeight="false" outlineLevel="0" collapsed="false">
      <c r="A1441" s="7" t="n">
        <v>1440</v>
      </c>
      <c r="B1441" s="7"/>
      <c r="C1441" s="7" t="s">
        <v>1949</v>
      </c>
      <c r="D1441" s="7" t="n">
        <v>2041</v>
      </c>
      <c r="E1441" s="7" t="s">
        <v>50</v>
      </c>
      <c r="F1441" s="10" t="b">
        <f aca="false">FALSE()</f>
        <v>0</v>
      </c>
      <c r="G1441" s="7" t="s">
        <v>410</v>
      </c>
      <c r="H1441" s="7" t="s">
        <v>302</v>
      </c>
      <c r="I1441" s="7" t="n">
        <v>2</v>
      </c>
      <c r="J1441" s="7" t="s">
        <v>107</v>
      </c>
      <c r="K1441" s="7" t="s">
        <v>108</v>
      </c>
      <c r="L1441" s="7" t="n">
        <v>22</v>
      </c>
      <c r="M1441" s="10" t="b">
        <f aca="false">FALSE()</f>
        <v>0</v>
      </c>
      <c r="N1441" s="7" t="s">
        <v>557</v>
      </c>
      <c r="O1441" s="7" t="n">
        <v>-33.857791</v>
      </c>
      <c r="P1441" s="7" t="n">
        <v>151.17134</v>
      </c>
    </row>
    <row r="1442" customFormat="false" ht="15" hidden="false" customHeight="false" outlineLevel="0" collapsed="false">
      <c r="A1442" s="7" t="n">
        <v>1441</v>
      </c>
      <c r="B1442" s="7"/>
      <c r="C1442" s="7" t="s">
        <v>1950</v>
      </c>
      <c r="D1442" s="7" t="n">
        <v>2067</v>
      </c>
      <c r="E1442" s="7" t="s">
        <v>50</v>
      </c>
      <c r="F1442" s="10" t="b">
        <f aca="false">FALSE()</f>
        <v>0</v>
      </c>
      <c r="G1442" s="7" t="s">
        <v>258</v>
      </c>
      <c r="H1442" s="7" t="s">
        <v>239</v>
      </c>
      <c r="I1442" s="7" t="n">
        <v>8</v>
      </c>
      <c r="J1442" s="7" t="s">
        <v>71</v>
      </c>
      <c r="K1442" s="7" t="s">
        <v>117</v>
      </c>
      <c r="L1442" s="7" t="n">
        <v>175</v>
      </c>
      <c r="M1442" s="10" t="b">
        <f aca="false">FALSE()</f>
        <v>0</v>
      </c>
      <c r="N1442" s="7" t="s">
        <v>118</v>
      </c>
      <c r="O1442" s="7" t="n">
        <v>-33.794945</v>
      </c>
      <c r="P1442" s="7" t="n">
        <v>151.188291</v>
      </c>
    </row>
    <row r="1443" customFormat="false" ht="15" hidden="false" customHeight="false" outlineLevel="0" collapsed="false">
      <c r="A1443" s="7" t="n">
        <v>1442</v>
      </c>
      <c r="B1443" s="7"/>
      <c r="C1443" s="7" t="s">
        <v>1951</v>
      </c>
      <c r="D1443" s="7" t="n">
        <v>2031</v>
      </c>
      <c r="E1443" s="7" t="s">
        <v>50</v>
      </c>
      <c r="F1443" s="10" t="b">
        <f aca="false">FALSE()</f>
        <v>0</v>
      </c>
      <c r="G1443" s="7" t="s">
        <v>355</v>
      </c>
      <c r="H1443" s="7" t="s">
        <v>1371</v>
      </c>
      <c r="I1443" s="7" t="n">
        <v>1</v>
      </c>
      <c r="J1443" s="7" t="s">
        <v>107</v>
      </c>
      <c r="K1443" s="7" t="s">
        <v>108</v>
      </c>
      <c r="L1443" s="7" t="n">
        <v>22</v>
      </c>
      <c r="M1443" s="10" t="b">
        <f aca="false">FALSE()</f>
        <v>0</v>
      </c>
      <c r="N1443" s="7" t="s">
        <v>557</v>
      </c>
      <c r="O1443" s="7" t="n">
        <v>-33.911579</v>
      </c>
      <c r="P1443" s="7" t="n">
        <v>151.256422</v>
      </c>
    </row>
    <row r="1444" customFormat="false" ht="15" hidden="false" customHeight="false" outlineLevel="0" collapsed="false">
      <c r="A1444" s="7" t="n">
        <v>1443</v>
      </c>
      <c r="B1444" s="7" t="s">
        <v>1952</v>
      </c>
      <c r="C1444" s="7" t="s">
        <v>1953</v>
      </c>
      <c r="D1444" s="7" t="n">
        <v>2320</v>
      </c>
      <c r="E1444" s="7" t="s">
        <v>50</v>
      </c>
      <c r="F1444" s="10" t="b">
        <f aca="false">FALSE()</f>
        <v>0</v>
      </c>
      <c r="G1444" s="7" t="s">
        <v>283</v>
      </c>
      <c r="H1444" s="7" t="s">
        <v>260</v>
      </c>
      <c r="I1444" s="7" t="n">
        <v>2</v>
      </c>
      <c r="J1444" s="7" t="s">
        <v>107</v>
      </c>
      <c r="K1444" s="7" t="s">
        <v>107</v>
      </c>
      <c r="L1444" s="7"/>
      <c r="M1444" s="10" t="b">
        <f aca="false">FALSE()</f>
        <v>0</v>
      </c>
      <c r="N1444" s="7" t="s">
        <v>399</v>
      </c>
      <c r="O1444" s="7" t="n">
        <v>-32.737652</v>
      </c>
      <c r="P1444" s="7" t="n">
        <v>151.560454</v>
      </c>
    </row>
    <row r="1445" customFormat="false" ht="15" hidden="false" customHeight="false" outlineLevel="0" collapsed="false">
      <c r="A1445" s="7" t="n">
        <v>1444</v>
      </c>
      <c r="B1445" s="7" t="s">
        <v>1954</v>
      </c>
      <c r="C1445" s="7" t="s">
        <v>1955</v>
      </c>
      <c r="D1445" s="7" t="n">
        <v>2787</v>
      </c>
      <c r="E1445" s="7" t="s">
        <v>50</v>
      </c>
      <c r="F1445" s="10" t="b">
        <f aca="false">FALSE()</f>
        <v>0</v>
      </c>
      <c r="G1445" s="7" t="s">
        <v>870</v>
      </c>
      <c r="H1445" s="7" t="s">
        <v>1956</v>
      </c>
      <c r="I1445" s="7" t="n">
        <v>1</v>
      </c>
      <c r="J1445" s="7" t="s">
        <v>107</v>
      </c>
      <c r="K1445" s="7" t="s">
        <v>107</v>
      </c>
      <c r="L1445" s="7"/>
      <c r="M1445" s="10" t="b">
        <f aca="false">FALSE()</f>
        <v>0</v>
      </c>
      <c r="N1445" s="7" t="s">
        <v>399</v>
      </c>
      <c r="O1445" s="7" t="n">
        <v>-33.744353</v>
      </c>
      <c r="P1445" s="7" t="n">
        <v>149.900452</v>
      </c>
    </row>
    <row r="1446" customFormat="false" ht="15" hidden="false" customHeight="false" outlineLevel="0" collapsed="false">
      <c r="A1446" s="7" t="n">
        <v>1445</v>
      </c>
      <c r="B1446" s="7"/>
      <c r="C1446" s="7" t="s">
        <v>1957</v>
      </c>
      <c r="D1446" s="7" t="n">
        <v>2038</v>
      </c>
      <c r="E1446" s="7" t="s">
        <v>50</v>
      </c>
      <c r="F1446" s="10" t="b">
        <f aca="false">FALSE()</f>
        <v>0</v>
      </c>
      <c r="G1446" s="7" t="s">
        <v>410</v>
      </c>
      <c r="H1446" s="7" t="s">
        <v>1371</v>
      </c>
      <c r="I1446" s="7" t="n">
        <v>1</v>
      </c>
      <c r="J1446" s="7" t="s">
        <v>107</v>
      </c>
      <c r="K1446" s="7" t="s">
        <v>108</v>
      </c>
      <c r="L1446" s="7" t="n">
        <v>22</v>
      </c>
      <c r="M1446" s="10" t="b">
        <f aca="false">FALSE()</f>
        <v>0</v>
      </c>
      <c r="N1446" s="7" t="s">
        <v>557</v>
      </c>
      <c r="O1446" s="7" t="n">
        <v>-33.874969</v>
      </c>
      <c r="P1446" s="7" t="n">
        <v>151.173207</v>
      </c>
    </row>
    <row r="1447" customFormat="false" ht="15" hidden="false" customHeight="false" outlineLevel="0" collapsed="false">
      <c r="A1447" s="7" t="n">
        <v>1446</v>
      </c>
      <c r="B1447" s="7"/>
      <c r="C1447" s="7" t="s">
        <v>1958</v>
      </c>
      <c r="D1447" s="7" t="n">
        <v>2035</v>
      </c>
      <c r="E1447" s="7" t="s">
        <v>50</v>
      </c>
      <c r="F1447" s="10" t="b">
        <f aca="false">FALSE()</f>
        <v>0</v>
      </c>
      <c r="G1447" s="7" t="s">
        <v>355</v>
      </c>
      <c r="H1447" s="7" t="s">
        <v>1371</v>
      </c>
      <c r="I1447" s="7" t="n">
        <v>1</v>
      </c>
      <c r="J1447" s="7" t="s">
        <v>107</v>
      </c>
      <c r="K1447" s="7" t="s">
        <v>900</v>
      </c>
      <c r="L1447" s="7" t="n">
        <v>7</v>
      </c>
      <c r="M1447" s="10" t="b">
        <f aca="false">FALSE()</f>
        <v>0</v>
      </c>
      <c r="N1447" s="7" t="s">
        <v>557</v>
      </c>
      <c r="O1447" s="7" t="n">
        <v>-33.942431</v>
      </c>
      <c r="P1447" s="7" t="n">
        <v>151.242799</v>
      </c>
    </row>
    <row r="1448" customFormat="false" ht="15" hidden="false" customHeight="false" outlineLevel="0" collapsed="false">
      <c r="A1448" s="7" t="n">
        <v>1447</v>
      </c>
      <c r="B1448" s="7"/>
      <c r="C1448" s="7" t="s">
        <v>1959</v>
      </c>
      <c r="D1448" s="7" t="n">
        <v>2026</v>
      </c>
      <c r="E1448" s="7" t="s">
        <v>50</v>
      </c>
      <c r="F1448" s="10" t="b">
        <f aca="false">FALSE()</f>
        <v>0</v>
      </c>
      <c r="G1448" s="7" t="s">
        <v>295</v>
      </c>
      <c r="H1448" s="7" t="s">
        <v>1371</v>
      </c>
      <c r="I1448" s="7" t="n">
        <v>1</v>
      </c>
      <c r="J1448" s="7" t="s">
        <v>107</v>
      </c>
      <c r="K1448" s="7" t="s">
        <v>900</v>
      </c>
      <c r="L1448" s="7" t="n">
        <v>7</v>
      </c>
      <c r="M1448" s="10" t="b">
        <f aca="false">FALSE()</f>
        <v>0</v>
      </c>
      <c r="N1448" s="7" t="s">
        <v>557</v>
      </c>
      <c r="O1448" s="7" t="n">
        <v>-33.895384</v>
      </c>
      <c r="P1448" s="7" t="n">
        <v>151.260061</v>
      </c>
    </row>
    <row r="1449" customFormat="false" ht="15" hidden="false" customHeight="false" outlineLevel="0" collapsed="false">
      <c r="A1449" s="7" t="n">
        <v>1448</v>
      </c>
      <c r="B1449" s="7"/>
      <c r="C1449" s="7" t="s">
        <v>1960</v>
      </c>
      <c r="D1449" s="7" t="n">
        <v>2093</v>
      </c>
      <c r="E1449" s="7" t="s">
        <v>50</v>
      </c>
      <c r="F1449" s="10" t="b">
        <f aca="false">FALSE()</f>
        <v>0</v>
      </c>
      <c r="G1449" s="7" t="s">
        <v>286</v>
      </c>
      <c r="H1449" s="7" t="s">
        <v>302</v>
      </c>
      <c r="I1449" s="7" t="n">
        <v>2</v>
      </c>
      <c r="J1449" s="7" t="s">
        <v>107</v>
      </c>
      <c r="K1449" s="7" t="s">
        <v>108</v>
      </c>
      <c r="L1449" s="7" t="n">
        <v>22</v>
      </c>
      <c r="M1449" s="10" t="b">
        <f aca="false">FALSE()</f>
        <v>0</v>
      </c>
      <c r="N1449" s="7" t="s">
        <v>557</v>
      </c>
      <c r="O1449" s="7" t="n">
        <v>-33.781463</v>
      </c>
      <c r="P1449" s="7" t="n">
        <v>151.270742</v>
      </c>
    </row>
    <row r="1450" customFormat="false" ht="15" hidden="false" customHeight="false" outlineLevel="0" collapsed="false">
      <c r="A1450" s="7" t="n">
        <v>1449</v>
      </c>
      <c r="B1450" s="7"/>
      <c r="C1450" s="7" t="s">
        <v>1961</v>
      </c>
      <c r="D1450" s="7" t="n">
        <v>2038</v>
      </c>
      <c r="E1450" s="7" t="s">
        <v>50</v>
      </c>
      <c r="F1450" s="10" t="b">
        <f aca="false">FALSE()</f>
        <v>0</v>
      </c>
      <c r="G1450" s="7" t="s">
        <v>410</v>
      </c>
      <c r="H1450" s="7" t="s">
        <v>1371</v>
      </c>
      <c r="I1450" s="7" t="n">
        <v>1</v>
      </c>
      <c r="J1450" s="7" t="s">
        <v>107</v>
      </c>
      <c r="K1450" s="7" t="s">
        <v>108</v>
      </c>
      <c r="L1450" s="7" t="n">
        <v>22</v>
      </c>
      <c r="M1450" s="10" t="b">
        <f aca="false">FALSE()</f>
        <v>0</v>
      </c>
      <c r="N1450" s="7" t="s">
        <v>557</v>
      </c>
      <c r="O1450" s="7" t="n">
        <v>-33.874576</v>
      </c>
      <c r="P1450" s="7" t="n">
        <v>151.173427</v>
      </c>
    </row>
    <row r="1451" customFormat="false" ht="15" hidden="false" customHeight="false" outlineLevel="0" collapsed="false">
      <c r="A1451" s="7" t="n">
        <v>1450</v>
      </c>
      <c r="B1451" s="7"/>
      <c r="C1451" s="7" t="s">
        <v>1962</v>
      </c>
      <c r="D1451" s="7" t="n">
        <v>2038</v>
      </c>
      <c r="E1451" s="7" t="s">
        <v>50</v>
      </c>
      <c r="F1451" s="10" t="b">
        <f aca="false">FALSE()</f>
        <v>0</v>
      </c>
      <c r="G1451" s="7" t="s">
        <v>410</v>
      </c>
      <c r="H1451" s="7" t="s">
        <v>1371</v>
      </c>
      <c r="I1451" s="7" t="n">
        <v>1</v>
      </c>
      <c r="J1451" s="7" t="s">
        <v>107</v>
      </c>
      <c r="K1451" s="7" t="s">
        <v>108</v>
      </c>
      <c r="L1451" s="7" t="n">
        <v>22</v>
      </c>
      <c r="M1451" s="10" t="b">
        <f aca="false">FALSE()</f>
        <v>0</v>
      </c>
      <c r="N1451" s="7" t="s">
        <v>557</v>
      </c>
      <c r="O1451" s="7" t="n">
        <v>-33.874318</v>
      </c>
      <c r="P1451" s="7" t="n">
        <v>151.173363</v>
      </c>
    </row>
    <row r="1452" customFormat="false" ht="15" hidden="false" customHeight="false" outlineLevel="0" collapsed="false">
      <c r="A1452" s="7" t="n">
        <v>1451</v>
      </c>
      <c r="B1452" s="7"/>
      <c r="C1452" s="7" t="s">
        <v>1963</v>
      </c>
      <c r="D1452" s="7" t="n">
        <v>2026</v>
      </c>
      <c r="E1452" s="7" t="s">
        <v>50</v>
      </c>
      <c r="F1452" s="10" t="b">
        <f aca="false">FALSE()</f>
        <v>0</v>
      </c>
      <c r="G1452" s="7" t="s">
        <v>295</v>
      </c>
      <c r="H1452" s="7" t="s">
        <v>1371</v>
      </c>
      <c r="I1452" s="7" t="n">
        <v>1</v>
      </c>
      <c r="J1452" s="7" t="s">
        <v>107</v>
      </c>
      <c r="K1452" s="7" t="s">
        <v>900</v>
      </c>
      <c r="L1452" s="7" t="n">
        <v>7</v>
      </c>
      <c r="M1452" s="10" t="b">
        <f aca="false">FALSE()</f>
        <v>0</v>
      </c>
      <c r="N1452" s="7" t="s">
        <v>557</v>
      </c>
      <c r="O1452" s="7" t="n">
        <v>-33.897053</v>
      </c>
      <c r="P1452" s="7" t="n">
        <v>151.260705</v>
      </c>
    </row>
    <row r="1453" customFormat="false" ht="15" hidden="false" customHeight="false" outlineLevel="0" collapsed="false">
      <c r="A1453" s="7" t="n">
        <v>1452</v>
      </c>
      <c r="B1453" s="7" t="s">
        <v>1943</v>
      </c>
      <c r="C1453" s="7" t="s">
        <v>1964</v>
      </c>
      <c r="D1453" s="7" t="n">
        <v>2320</v>
      </c>
      <c r="E1453" s="7" t="s">
        <v>50</v>
      </c>
      <c r="F1453" s="10" t="b">
        <f aca="false">FALSE()</f>
        <v>0</v>
      </c>
      <c r="G1453" s="7" t="s">
        <v>283</v>
      </c>
      <c r="H1453" s="7" t="s">
        <v>1795</v>
      </c>
      <c r="I1453" s="7" t="n">
        <v>2</v>
      </c>
      <c r="J1453" s="7" t="s">
        <v>107</v>
      </c>
      <c r="K1453" s="7" t="s">
        <v>107</v>
      </c>
      <c r="L1453" s="7"/>
      <c r="M1453" s="10" t="b">
        <f aca="false">FALSE()</f>
        <v>0</v>
      </c>
      <c r="N1453" s="7" t="s">
        <v>374</v>
      </c>
      <c r="O1453" s="7" t="n">
        <v>-32.717234</v>
      </c>
      <c r="P1453" s="7" t="n">
        <v>151.525465</v>
      </c>
    </row>
    <row r="1454" customFormat="false" ht="15" hidden="false" customHeight="false" outlineLevel="0" collapsed="false">
      <c r="A1454" s="7" t="n">
        <v>1453</v>
      </c>
      <c r="B1454" s="7" t="s">
        <v>1965</v>
      </c>
      <c r="C1454" s="7" t="s">
        <v>1966</v>
      </c>
      <c r="D1454" s="7" t="n">
        <v>2800</v>
      </c>
      <c r="E1454" s="7" t="s">
        <v>50</v>
      </c>
      <c r="F1454" s="10" t="b">
        <f aca="false">FALSE()</f>
        <v>0</v>
      </c>
      <c r="G1454" s="7" t="s">
        <v>185</v>
      </c>
      <c r="H1454" s="7" t="s">
        <v>260</v>
      </c>
      <c r="I1454" s="7" t="n">
        <v>2</v>
      </c>
      <c r="J1454" s="7" t="s">
        <v>107</v>
      </c>
      <c r="K1454" s="7" t="s">
        <v>107</v>
      </c>
      <c r="L1454" s="7"/>
      <c r="M1454" s="10" t="b">
        <f aca="false">FALSE()</f>
        <v>0</v>
      </c>
      <c r="N1454" s="7" t="s">
        <v>399</v>
      </c>
      <c r="O1454" s="7" t="n">
        <v>-33.316946</v>
      </c>
      <c r="P1454" s="7" t="n">
        <v>148.985843</v>
      </c>
    </row>
    <row r="1455" customFormat="false" ht="15" hidden="false" customHeight="false" outlineLevel="0" collapsed="false">
      <c r="A1455" s="7" t="n">
        <v>1454</v>
      </c>
      <c r="B1455" s="7"/>
      <c r="C1455" s="7" t="s">
        <v>1967</v>
      </c>
      <c r="D1455" s="7" t="n">
        <v>2026</v>
      </c>
      <c r="E1455" s="7" t="s">
        <v>50</v>
      </c>
      <c r="F1455" s="10" t="b">
        <f aca="false">FALSE()</f>
        <v>0</v>
      </c>
      <c r="G1455" s="7" t="s">
        <v>295</v>
      </c>
      <c r="H1455" s="7" t="s">
        <v>237</v>
      </c>
      <c r="I1455" s="7" t="n">
        <v>2</v>
      </c>
      <c r="J1455" s="7" t="s">
        <v>107</v>
      </c>
      <c r="K1455" s="7" t="s">
        <v>108</v>
      </c>
      <c r="L1455" s="7" t="n">
        <v>22</v>
      </c>
      <c r="M1455" s="10" t="b">
        <f aca="false">FALSE()</f>
        <v>0</v>
      </c>
      <c r="N1455" s="7" t="s">
        <v>557</v>
      </c>
      <c r="O1455" s="7" t="n">
        <v>-33.898383</v>
      </c>
      <c r="P1455" s="7" t="n">
        <v>151.274253</v>
      </c>
    </row>
    <row r="1456" customFormat="false" ht="15" hidden="false" customHeight="false" outlineLevel="0" collapsed="false">
      <c r="A1456" s="7" t="n">
        <v>1455</v>
      </c>
      <c r="B1456" s="7"/>
      <c r="C1456" s="7" t="s">
        <v>1968</v>
      </c>
      <c r="D1456" s="7" t="n">
        <v>2074</v>
      </c>
      <c r="E1456" s="7" t="s">
        <v>50</v>
      </c>
      <c r="F1456" s="10" t="b">
        <f aca="false">FALSE()</f>
        <v>0</v>
      </c>
      <c r="G1456" s="7" t="s">
        <v>236</v>
      </c>
      <c r="H1456" s="7" t="s">
        <v>1069</v>
      </c>
      <c r="I1456" s="7" t="n">
        <v>4</v>
      </c>
      <c r="J1456" s="7" t="s">
        <v>71</v>
      </c>
      <c r="K1456" s="7" t="s">
        <v>83</v>
      </c>
      <c r="L1456" s="7" t="n">
        <v>75</v>
      </c>
      <c r="M1456" s="10" t="b">
        <f aca="false">FALSE()</f>
        <v>0</v>
      </c>
      <c r="N1456" s="7" t="s">
        <v>557</v>
      </c>
      <c r="O1456" s="7" t="n">
        <v>-33.732342</v>
      </c>
      <c r="P1456" s="7" t="n">
        <v>151.130414</v>
      </c>
    </row>
    <row r="1457" customFormat="false" ht="15" hidden="false" customHeight="false" outlineLevel="0" collapsed="false">
      <c r="A1457" s="7" t="n">
        <v>1456</v>
      </c>
      <c r="B1457" s="7"/>
      <c r="C1457" s="7" t="s">
        <v>1969</v>
      </c>
      <c r="D1457" s="7" t="n">
        <v>2030</v>
      </c>
      <c r="E1457" s="7" t="s">
        <v>50</v>
      </c>
      <c r="F1457" s="10" t="b">
        <f aca="false">FALSE()</f>
        <v>0</v>
      </c>
      <c r="G1457" s="7" t="s">
        <v>272</v>
      </c>
      <c r="H1457" s="7" t="s">
        <v>302</v>
      </c>
      <c r="I1457" s="7" t="n">
        <v>2</v>
      </c>
      <c r="J1457" s="7" t="s">
        <v>107</v>
      </c>
      <c r="K1457" s="7" t="s">
        <v>108</v>
      </c>
      <c r="L1457" s="7" t="n">
        <v>22</v>
      </c>
      <c r="M1457" s="10" t="b">
        <f aca="false">FALSE()</f>
        <v>0</v>
      </c>
      <c r="N1457" s="7" t="s">
        <v>557</v>
      </c>
      <c r="O1457" s="7" t="n">
        <v>-33.846737</v>
      </c>
      <c r="P1457" s="7" t="n">
        <v>151.283676</v>
      </c>
    </row>
    <row r="1458" customFormat="false" ht="15" hidden="false" customHeight="false" outlineLevel="0" collapsed="false">
      <c r="A1458" s="7" t="n">
        <v>1457</v>
      </c>
      <c r="B1458" s="7"/>
      <c r="C1458" s="7" t="s">
        <v>1970</v>
      </c>
      <c r="D1458" s="7" t="n">
        <v>2045</v>
      </c>
      <c r="E1458" s="7" t="s">
        <v>50</v>
      </c>
      <c r="F1458" s="10" t="b">
        <f aca="false">FALSE()</f>
        <v>0</v>
      </c>
      <c r="G1458" s="7" t="s">
        <v>410</v>
      </c>
      <c r="H1458" s="7" t="s">
        <v>1371</v>
      </c>
      <c r="I1458" s="7" t="n">
        <v>1</v>
      </c>
      <c r="J1458" s="7" t="s">
        <v>107</v>
      </c>
      <c r="K1458" s="7" t="s">
        <v>108</v>
      </c>
      <c r="L1458" s="7" t="n">
        <v>22</v>
      </c>
      <c r="M1458" s="10" t="b">
        <f aca="false">FALSE()</f>
        <v>0</v>
      </c>
      <c r="N1458" s="7" t="s">
        <v>557</v>
      </c>
      <c r="O1458" s="7" t="n">
        <v>-33.873503</v>
      </c>
      <c r="P1458" s="7" t="n">
        <v>151.133651</v>
      </c>
    </row>
    <row r="1459" customFormat="false" ht="15" hidden="false" customHeight="false" outlineLevel="0" collapsed="false">
      <c r="A1459" s="7" t="n">
        <v>1458</v>
      </c>
      <c r="B1459" s="7" t="s">
        <v>1971</v>
      </c>
      <c r="C1459" s="7" t="s">
        <v>1972</v>
      </c>
      <c r="D1459" s="7" t="n">
        <v>2460</v>
      </c>
      <c r="E1459" s="7" t="s">
        <v>50</v>
      </c>
      <c r="F1459" s="10" t="b">
        <f aca="false">FALSE()</f>
        <v>0</v>
      </c>
      <c r="G1459" s="7" t="s">
        <v>87</v>
      </c>
      <c r="H1459" s="7" t="s">
        <v>398</v>
      </c>
      <c r="I1459" s="7" t="n">
        <v>4</v>
      </c>
      <c r="J1459" s="7" t="s">
        <v>107</v>
      </c>
      <c r="K1459" s="7" t="s">
        <v>107</v>
      </c>
      <c r="L1459" s="7"/>
      <c r="M1459" s="10" t="b">
        <f aca="false">FALSE()</f>
        <v>0</v>
      </c>
      <c r="N1459" s="7" t="s">
        <v>399</v>
      </c>
      <c r="O1459" s="7" t="n">
        <v>-29.734395</v>
      </c>
      <c r="P1459" s="7" t="n">
        <v>152.940054</v>
      </c>
    </row>
    <row r="1460" customFormat="false" ht="15" hidden="false" customHeight="false" outlineLevel="0" collapsed="false">
      <c r="A1460" s="7" t="n">
        <v>1459</v>
      </c>
      <c r="B1460" s="7" t="s">
        <v>1973</v>
      </c>
      <c r="C1460" s="7" t="s">
        <v>1974</v>
      </c>
      <c r="D1460" s="7" t="n">
        <v>2537</v>
      </c>
      <c r="E1460" s="7" t="s">
        <v>50</v>
      </c>
      <c r="F1460" s="10" t="b">
        <f aca="false">FALSE()</f>
        <v>0</v>
      </c>
      <c r="G1460" s="7" t="s">
        <v>123</v>
      </c>
      <c r="H1460" s="7" t="s">
        <v>398</v>
      </c>
      <c r="I1460" s="7" t="n">
        <v>2</v>
      </c>
      <c r="J1460" s="7" t="s">
        <v>107</v>
      </c>
      <c r="K1460" s="7" t="s">
        <v>107</v>
      </c>
      <c r="L1460" s="7"/>
      <c r="M1460" s="10" t="b">
        <f aca="false">FALSE()</f>
        <v>0</v>
      </c>
      <c r="N1460" s="7" t="s">
        <v>374</v>
      </c>
      <c r="O1460" s="7" t="n">
        <v>-35.914061</v>
      </c>
      <c r="P1460" s="7" t="n">
        <v>150.075238</v>
      </c>
    </row>
    <row r="1461" customFormat="false" ht="15" hidden="false" customHeight="false" outlineLevel="0" collapsed="false">
      <c r="A1461" s="7" t="n">
        <v>1460</v>
      </c>
      <c r="B1461" s="7"/>
      <c r="C1461" s="7" t="s">
        <v>1975</v>
      </c>
      <c r="D1461" s="7" t="n">
        <v>2024</v>
      </c>
      <c r="E1461" s="7" t="s">
        <v>50</v>
      </c>
      <c r="F1461" s="10" t="b">
        <f aca="false">FALSE()</f>
        <v>0</v>
      </c>
      <c r="G1461" s="7" t="s">
        <v>295</v>
      </c>
      <c r="H1461" s="7" t="s">
        <v>302</v>
      </c>
      <c r="I1461" s="7" t="n">
        <v>2</v>
      </c>
      <c r="J1461" s="7" t="s">
        <v>107</v>
      </c>
      <c r="K1461" s="7" t="s">
        <v>108</v>
      </c>
      <c r="L1461" s="7" t="n">
        <v>22</v>
      </c>
      <c r="M1461" s="10" t="b">
        <f aca="false">FALSE()</f>
        <v>0</v>
      </c>
      <c r="N1461" s="7" t="s">
        <v>557</v>
      </c>
      <c r="O1461" s="7" t="n">
        <v>-33.898639</v>
      </c>
      <c r="P1461" s="7" t="n">
        <v>151.253046</v>
      </c>
    </row>
    <row r="1462" customFormat="false" ht="15" hidden="false" customHeight="false" outlineLevel="0" collapsed="false">
      <c r="A1462" s="7" t="n">
        <v>1461</v>
      </c>
      <c r="B1462" s="7"/>
      <c r="C1462" s="7" t="s">
        <v>1976</v>
      </c>
      <c r="D1462" s="7" t="n">
        <v>2040</v>
      </c>
      <c r="E1462" s="7" t="s">
        <v>50</v>
      </c>
      <c r="F1462" s="10" t="b">
        <f aca="false">FALSE()</f>
        <v>0</v>
      </c>
      <c r="G1462" s="7" t="s">
        <v>410</v>
      </c>
      <c r="H1462" s="7" t="s">
        <v>1371</v>
      </c>
      <c r="I1462" s="7" t="n">
        <v>1</v>
      </c>
      <c r="J1462" s="7" t="s">
        <v>107</v>
      </c>
      <c r="K1462" s="7" t="s">
        <v>900</v>
      </c>
      <c r="L1462" s="7" t="n">
        <v>7</v>
      </c>
      <c r="M1462" s="10" t="b">
        <f aca="false">FALSE()</f>
        <v>0</v>
      </c>
      <c r="N1462" s="7" t="s">
        <v>557</v>
      </c>
      <c r="O1462" s="7" t="n">
        <v>-33.884432</v>
      </c>
      <c r="P1462" s="7" t="n">
        <v>151.155095</v>
      </c>
    </row>
    <row r="1463" customFormat="false" ht="15" hidden="false" customHeight="false" outlineLevel="0" collapsed="false">
      <c r="A1463" s="7" t="n">
        <v>1462</v>
      </c>
      <c r="B1463" s="7" t="s">
        <v>1977</v>
      </c>
      <c r="C1463" s="7" t="s">
        <v>1978</v>
      </c>
      <c r="D1463" s="7" t="n">
        <v>2548</v>
      </c>
      <c r="E1463" s="7" t="s">
        <v>50</v>
      </c>
      <c r="F1463" s="10" t="b">
        <f aca="false">FALSE()</f>
        <v>0</v>
      </c>
      <c r="G1463" s="7" t="s">
        <v>188</v>
      </c>
      <c r="H1463" s="7" t="s">
        <v>230</v>
      </c>
      <c r="I1463" s="7" t="n">
        <v>6</v>
      </c>
      <c r="J1463" s="7" t="s">
        <v>107</v>
      </c>
      <c r="K1463" s="7" t="s">
        <v>107</v>
      </c>
      <c r="L1463" s="7"/>
      <c r="M1463" s="10" t="b">
        <f aca="false">FALSE()</f>
        <v>0</v>
      </c>
      <c r="N1463" s="7" t="s">
        <v>374</v>
      </c>
      <c r="O1463" s="7" t="n">
        <v>-36.884252</v>
      </c>
      <c r="P1463" s="7" t="n">
        <v>149.904533</v>
      </c>
    </row>
    <row r="1464" customFormat="false" ht="15" hidden="false" customHeight="false" outlineLevel="0" collapsed="false">
      <c r="A1464" s="7" t="n">
        <v>1463</v>
      </c>
      <c r="B1464" s="7" t="s">
        <v>801</v>
      </c>
      <c r="C1464" s="7" t="s">
        <v>1979</v>
      </c>
      <c r="D1464" s="7" t="n">
        <v>2469</v>
      </c>
      <c r="E1464" s="7" t="s">
        <v>50</v>
      </c>
      <c r="F1464" s="10" t="b">
        <f aca="false">FALSE()</f>
        <v>0</v>
      </c>
      <c r="G1464" s="7" t="s">
        <v>801</v>
      </c>
      <c r="H1464" s="7" t="s">
        <v>260</v>
      </c>
      <c r="I1464" s="7" t="n">
        <v>2</v>
      </c>
      <c r="J1464" s="7" t="s">
        <v>107</v>
      </c>
      <c r="K1464" s="7" t="s">
        <v>107</v>
      </c>
      <c r="L1464" s="7"/>
      <c r="M1464" s="10" t="b">
        <f aca="false">FALSE()</f>
        <v>0</v>
      </c>
      <c r="N1464" s="7" t="s">
        <v>374</v>
      </c>
      <c r="O1464" s="7" t="n">
        <v>-28.73861</v>
      </c>
      <c r="P1464" s="7" t="n">
        <v>152.628368</v>
      </c>
    </row>
    <row r="1465" customFormat="false" ht="15" hidden="false" customHeight="false" outlineLevel="0" collapsed="false">
      <c r="A1465" s="7" t="n">
        <v>1464</v>
      </c>
      <c r="B1465" s="7" t="s">
        <v>1980</v>
      </c>
      <c r="C1465" s="7" t="s">
        <v>1981</v>
      </c>
      <c r="D1465" s="7" t="n">
        <v>2300</v>
      </c>
      <c r="E1465" s="7" t="s">
        <v>50</v>
      </c>
      <c r="F1465" s="10" t="b">
        <f aca="false">FALSE()</f>
        <v>0</v>
      </c>
      <c r="G1465" s="7" t="s">
        <v>141</v>
      </c>
      <c r="H1465" s="7" t="s">
        <v>1786</v>
      </c>
      <c r="I1465" s="7" t="n">
        <v>4</v>
      </c>
      <c r="J1465" s="7" t="s">
        <v>107</v>
      </c>
      <c r="K1465" s="7" t="s">
        <v>107</v>
      </c>
      <c r="L1465" s="7"/>
      <c r="M1465" s="10" t="b">
        <f aca="false">FALSE()</f>
        <v>0</v>
      </c>
      <c r="N1465" s="7" t="s">
        <v>399</v>
      </c>
      <c r="O1465" s="7" t="n">
        <v>-32.928833</v>
      </c>
      <c r="P1465" s="7" t="n">
        <v>151.767996</v>
      </c>
    </row>
    <row r="1466" customFormat="false" ht="15" hidden="false" customHeight="false" outlineLevel="0" collapsed="false">
      <c r="A1466" s="7" t="n">
        <v>1465</v>
      </c>
      <c r="B1466" s="7" t="s">
        <v>1982</v>
      </c>
      <c r="C1466" s="7" t="s">
        <v>1983</v>
      </c>
      <c r="D1466" s="7" t="n">
        <v>2320</v>
      </c>
      <c r="E1466" s="7" t="s">
        <v>50</v>
      </c>
      <c r="F1466" s="10" t="b">
        <f aca="false">FALSE()</f>
        <v>0</v>
      </c>
      <c r="G1466" s="7" t="s">
        <v>111</v>
      </c>
      <c r="H1466" s="7" t="s">
        <v>237</v>
      </c>
      <c r="I1466" s="7" t="n">
        <v>2</v>
      </c>
      <c r="J1466" s="7" t="s">
        <v>107</v>
      </c>
      <c r="K1466" s="7" t="s">
        <v>107</v>
      </c>
      <c r="L1466" s="7"/>
      <c r="M1466" s="10" t="b">
        <f aca="false">FALSE()</f>
        <v>0</v>
      </c>
      <c r="N1466" s="7" t="s">
        <v>374</v>
      </c>
      <c r="O1466" s="7" t="n">
        <v>-32.808154</v>
      </c>
      <c r="P1466" s="7" t="n">
        <v>151.317939</v>
      </c>
    </row>
    <row r="1467" customFormat="false" ht="15" hidden="false" customHeight="false" outlineLevel="0" collapsed="false">
      <c r="A1467" s="7" t="n">
        <v>1466</v>
      </c>
      <c r="B1467" s="7"/>
      <c r="C1467" s="7" t="s">
        <v>1984</v>
      </c>
      <c r="D1467" s="7" t="n">
        <v>2065</v>
      </c>
      <c r="E1467" s="7" t="s">
        <v>50</v>
      </c>
      <c r="F1467" s="10" t="b">
        <f aca="false">FALSE()</f>
        <v>0</v>
      </c>
      <c r="G1467" s="7" t="s">
        <v>258</v>
      </c>
      <c r="H1467" s="7" t="s">
        <v>302</v>
      </c>
      <c r="I1467" s="7" t="n">
        <v>2</v>
      </c>
      <c r="J1467" s="7" t="s">
        <v>107</v>
      </c>
      <c r="K1467" s="7" t="s">
        <v>108</v>
      </c>
      <c r="L1467" s="7" t="n">
        <v>22</v>
      </c>
      <c r="M1467" s="10" t="b">
        <f aca="false">FALSE()</f>
        <v>0</v>
      </c>
      <c r="N1467" s="7" t="s">
        <v>557</v>
      </c>
      <c r="O1467" s="7" t="n">
        <v>-33.81606</v>
      </c>
      <c r="P1467" s="7" t="n">
        <v>151.201309</v>
      </c>
    </row>
    <row r="1468" customFormat="false" ht="15" hidden="false" customHeight="false" outlineLevel="0" collapsed="false">
      <c r="A1468" s="7" t="n">
        <v>1467</v>
      </c>
      <c r="B1468" s="7"/>
      <c r="C1468" s="7" t="s">
        <v>1985</v>
      </c>
      <c r="D1468" s="7" t="n">
        <v>2031</v>
      </c>
      <c r="E1468" s="7" t="s">
        <v>50</v>
      </c>
      <c r="F1468" s="10" t="b">
        <f aca="false">FALSE()</f>
        <v>0</v>
      </c>
      <c r="G1468" s="7" t="s">
        <v>355</v>
      </c>
      <c r="H1468" s="7" t="s">
        <v>1371</v>
      </c>
      <c r="I1468" s="7" t="n">
        <v>1</v>
      </c>
      <c r="J1468" s="7" t="s">
        <v>107</v>
      </c>
      <c r="K1468" s="7" t="s">
        <v>108</v>
      </c>
      <c r="L1468" s="7" t="n">
        <v>22</v>
      </c>
      <c r="M1468" s="10" t="b">
        <f aca="false">FALSE()</f>
        <v>0</v>
      </c>
      <c r="N1468" s="7" t="s">
        <v>557</v>
      </c>
      <c r="O1468" s="7" t="n">
        <v>-33.910206</v>
      </c>
      <c r="P1468" s="7" t="n">
        <v>151.236876</v>
      </c>
    </row>
    <row r="1469" customFormat="false" ht="15" hidden="false" customHeight="false" outlineLevel="0" collapsed="false">
      <c r="A1469" s="7" t="n">
        <v>1468</v>
      </c>
      <c r="B1469" s="7"/>
      <c r="C1469" s="7" t="s">
        <v>1986</v>
      </c>
      <c r="D1469" s="7" t="n">
        <v>2029</v>
      </c>
      <c r="E1469" s="7" t="s">
        <v>50</v>
      </c>
      <c r="F1469" s="10" t="b">
        <f aca="false">FALSE()</f>
        <v>0</v>
      </c>
      <c r="G1469" s="7" t="s">
        <v>295</v>
      </c>
      <c r="H1469" s="7" t="s">
        <v>1371</v>
      </c>
      <c r="I1469" s="7" t="n">
        <v>1</v>
      </c>
      <c r="J1469" s="7" t="s">
        <v>107</v>
      </c>
      <c r="K1469" s="7" t="s">
        <v>108</v>
      </c>
      <c r="L1469" s="7" t="n">
        <v>22</v>
      </c>
      <c r="M1469" s="10" t="b">
        <f aca="false">FALSE()</f>
        <v>0</v>
      </c>
      <c r="N1469" s="7" t="s">
        <v>557</v>
      </c>
      <c r="O1469" s="7" t="n">
        <v>-33.875011</v>
      </c>
      <c r="P1469" s="7" t="n">
        <v>151.273071</v>
      </c>
    </row>
    <row r="1470" customFormat="false" ht="15" hidden="false" customHeight="false" outlineLevel="0" collapsed="false">
      <c r="A1470" s="7" t="n">
        <v>1469</v>
      </c>
      <c r="B1470" s="7" t="s">
        <v>1987</v>
      </c>
      <c r="C1470" s="7" t="s">
        <v>1988</v>
      </c>
      <c r="D1470" s="7" t="n">
        <v>2290</v>
      </c>
      <c r="E1470" s="7" t="s">
        <v>50</v>
      </c>
      <c r="F1470" s="10" t="b">
        <f aca="false">FALSE()</f>
        <v>0</v>
      </c>
      <c r="G1470" s="7" t="s">
        <v>377</v>
      </c>
      <c r="H1470" s="7" t="s">
        <v>252</v>
      </c>
      <c r="I1470" s="7" t="n">
        <v>2</v>
      </c>
      <c r="J1470" s="7" t="s">
        <v>107</v>
      </c>
      <c r="K1470" s="7" t="s">
        <v>107</v>
      </c>
      <c r="L1470" s="7"/>
      <c r="M1470" s="10" t="b">
        <f aca="false">FALSE()</f>
        <v>0</v>
      </c>
      <c r="N1470" s="7" t="s">
        <v>399</v>
      </c>
      <c r="O1470" s="7" t="n">
        <v>-33.014116</v>
      </c>
      <c r="P1470" s="7" t="n">
        <v>151.716829</v>
      </c>
    </row>
    <row r="1471" customFormat="false" ht="15" hidden="false" customHeight="false" outlineLevel="0" collapsed="false">
      <c r="A1471" s="7" t="n">
        <v>1470</v>
      </c>
      <c r="B1471" s="7" t="s">
        <v>1989</v>
      </c>
      <c r="C1471" s="7" t="s">
        <v>1990</v>
      </c>
      <c r="D1471" s="7" t="n">
        <v>2790</v>
      </c>
      <c r="E1471" s="7" t="s">
        <v>50</v>
      </c>
      <c r="F1471" s="10" t="b">
        <f aca="false">FALSE()</f>
        <v>0</v>
      </c>
      <c r="G1471" s="7" t="s">
        <v>139</v>
      </c>
      <c r="H1471" s="7" t="s">
        <v>1889</v>
      </c>
      <c r="I1471" s="7" t="n">
        <v>4</v>
      </c>
      <c r="J1471" s="7" t="s">
        <v>107</v>
      </c>
      <c r="K1471" s="7" t="s">
        <v>107</v>
      </c>
      <c r="L1471" s="7"/>
      <c r="M1471" s="10" t="b">
        <f aca="false">FALSE()</f>
        <v>0</v>
      </c>
      <c r="N1471" s="7" t="s">
        <v>399</v>
      </c>
      <c r="O1471" s="7" t="n">
        <v>-33.485343</v>
      </c>
      <c r="P1471" s="7" t="n">
        <v>150.15202</v>
      </c>
    </row>
    <row r="1472" customFormat="false" ht="15" hidden="false" customHeight="false" outlineLevel="0" collapsed="false">
      <c r="A1472" s="7" t="n">
        <v>1471</v>
      </c>
      <c r="B1472" s="7" t="s">
        <v>1991</v>
      </c>
      <c r="C1472" s="7" t="s">
        <v>1992</v>
      </c>
      <c r="D1472" s="7" t="n">
        <v>2261</v>
      </c>
      <c r="E1472" s="7" t="s">
        <v>50</v>
      </c>
      <c r="F1472" s="10" t="b">
        <f aca="false">FALSE()</f>
        <v>0</v>
      </c>
      <c r="G1472" s="7" t="s">
        <v>276</v>
      </c>
      <c r="H1472" s="7" t="s">
        <v>260</v>
      </c>
      <c r="I1472" s="7" t="n">
        <v>4</v>
      </c>
      <c r="J1472" s="7" t="s">
        <v>107</v>
      </c>
      <c r="K1472" s="7" t="s">
        <v>107</v>
      </c>
      <c r="L1472" s="7"/>
      <c r="M1472" s="10" t="b">
        <f aca="false">FALSE()</f>
        <v>0</v>
      </c>
      <c r="N1472" s="7" t="s">
        <v>374</v>
      </c>
      <c r="O1472" s="7" t="n">
        <v>-33.377381</v>
      </c>
      <c r="P1472" s="7" t="n">
        <v>151.473372</v>
      </c>
    </row>
    <row r="1473" customFormat="false" ht="15" hidden="false" customHeight="false" outlineLevel="0" collapsed="false">
      <c r="A1473" s="7" t="n">
        <v>1472</v>
      </c>
      <c r="B1473" s="7"/>
      <c r="C1473" s="7" t="s">
        <v>1993</v>
      </c>
      <c r="D1473" s="7" t="n">
        <v>2022</v>
      </c>
      <c r="E1473" s="7" t="s">
        <v>50</v>
      </c>
      <c r="F1473" s="10" t="b">
        <f aca="false">FALSE()</f>
        <v>0</v>
      </c>
      <c r="G1473" s="7" t="s">
        <v>295</v>
      </c>
      <c r="H1473" s="7" t="s">
        <v>1371</v>
      </c>
      <c r="I1473" s="7" t="n">
        <v>1</v>
      </c>
      <c r="J1473" s="7" t="s">
        <v>107</v>
      </c>
      <c r="K1473" s="7" t="s">
        <v>108</v>
      </c>
      <c r="L1473" s="7" t="n">
        <v>22</v>
      </c>
      <c r="M1473" s="10" t="b">
        <f aca="false">FALSE()</f>
        <v>0</v>
      </c>
      <c r="N1473" s="7" t="s">
        <v>557</v>
      </c>
      <c r="O1473" s="7" t="n">
        <v>-33.893342</v>
      </c>
      <c r="P1473" s="7" t="n">
        <v>151.25394</v>
      </c>
    </row>
    <row r="1474" customFormat="false" ht="15" hidden="false" customHeight="false" outlineLevel="0" collapsed="false">
      <c r="A1474" s="7" t="n">
        <v>1473</v>
      </c>
      <c r="B1474" s="7"/>
      <c r="C1474" s="7" t="s">
        <v>1994</v>
      </c>
      <c r="D1474" s="7" t="n">
        <v>2033</v>
      </c>
      <c r="E1474" s="7" t="s">
        <v>50</v>
      </c>
      <c r="F1474" s="10" t="b">
        <f aca="false">FALSE()</f>
        <v>0</v>
      </c>
      <c r="G1474" s="7" t="s">
        <v>355</v>
      </c>
      <c r="H1474" s="7" t="s">
        <v>1371</v>
      </c>
      <c r="I1474" s="7" t="n">
        <v>1</v>
      </c>
      <c r="J1474" s="7" t="s">
        <v>107</v>
      </c>
      <c r="K1474" s="7" t="s">
        <v>900</v>
      </c>
      <c r="L1474" s="7" t="n">
        <v>7</v>
      </c>
      <c r="M1474" s="10" t="b">
        <f aca="false">FALSE()</f>
        <v>0</v>
      </c>
      <c r="N1474" s="7" t="s">
        <v>557</v>
      </c>
      <c r="O1474" s="7" t="n">
        <v>-33.905658</v>
      </c>
      <c r="P1474" s="7" t="n">
        <v>151.225658</v>
      </c>
    </row>
    <row r="1475" customFormat="false" ht="15" hidden="false" customHeight="false" outlineLevel="0" collapsed="false">
      <c r="A1475" s="7" t="n">
        <v>1474</v>
      </c>
      <c r="B1475" s="7"/>
      <c r="C1475" s="7" t="s">
        <v>1995</v>
      </c>
      <c r="D1475" s="7" t="n">
        <v>2042</v>
      </c>
      <c r="E1475" s="7" t="s">
        <v>50</v>
      </c>
      <c r="F1475" s="10" t="b">
        <f aca="false">FALSE()</f>
        <v>0</v>
      </c>
      <c r="G1475" s="7" t="s">
        <v>410</v>
      </c>
      <c r="H1475" s="7" t="s">
        <v>1371</v>
      </c>
      <c r="I1475" s="7" t="n">
        <v>1</v>
      </c>
      <c r="J1475" s="7" t="s">
        <v>107</v>
      </c>
      <c r="K1475" s="7" t="s">
        <v>108</v>
      </c>
      <c r="L1475" s="7" t="n">
        <v>22</v>
      </c>
      <c r="M1475" s="10" t="b">
        <f aca="false">FALSE()</f>
        <v>0</v>
      </c>
      <c r="N1475" s="7" t="s">
        <v>557</v>
      </c>
      <c r="O1475" s="7" t="n">
        <v>-33.897535</v>
      </c>
      <c r="P1475" s="7" t="n">
        <v>151.175004</v>
      </c>
    </row>
    <row r="1476" customFormat="false" ht="15" hidden="false" customHeight="false" outlineLevel="0" collapsed="false">
      <c r="A1476" s="7" t="n">
        <v>1475</v>
      </c>
      <c r="B1476" s="7"/>
      <c r="C1476" s="7" t="s">
        <v>1996</v>
      </c>
      <c r="D1476" s="7" t="n">
        <v>2049</v>
      </c>
      <c r="E1476" s="7" t="s">
        <v>50</v>
      </c>
      <c r="F1476" s="10" t="b">
        <f aca="false">FALSE()</f>
        <v>0</v>
      </c>
      <c r="G1476" s="7" t="s">
        <v>410</v>
      </c>
      <c r="H1476" s="7" t="s">
        <v>1371</v>
      </c>
      <c r="I1476" s="7" t="n">
        <v>1</v>
      </c>
      <c r="J1476" s="7" t="s">
        <v>107</v>
      </c>
      <c r="K1476" s="7" t="s">
        <v>900</v>
      </c>
      <c r="L1476" s="7" t="n">
        <v>7</v>
      </c>
      <c r="M1476" s="10" t="b">
        <f aca="false">FALSE()</f>
        <v>0</v>
      </c>
      <c r="N1476" s="7" t="s">
        <v>557</v>
      </c>
      <c r="O1476" s="7" t="n">
        <v>-33.897354</v>
      </c>
      <c r="P1476" s="7" t="n">
        <v>151.149033</v>
      </c>
    </row>
    <row r="1477" customFormat="false" ht="15" hidden="false" customHeight="false" outlineLevel="0" collapsed="false">
      <c r="A1477" s="7" t="n">
        <v>1476</v>
      </c>
      <c r="B1477" s="7"/>
      <c r="C1477" s="7" t="s">
        <v>1997</v>
      </c>
      <c r="D1477" s="7" t="n">
        <v>2041</v>
      </c>
      <c r="E1477" s="7" t="s">
        <v>50</v>
      </c>
      <c r="F1477" s="10" t="b">
        <f aca="false">FALSE()</f>
        <v>0</v>
      </c>
      <c r="G1477" s="7" t="s">
        <v>410</v>
      </c>
      <c r="H1477" s="7" t="s">
        <v>302</v>
      </c>
      <c r="I1477" s="7" t="n">
        <v>2</v>
      </c>
      <c r="J1477" s="7" t="s">
        <v>107</v>
      </c>
      <c r="K1477" s="7" t="s">
        <v>108</v>
      </c>
      <c r="L1477" s="7" t="n">
        <v>22</v>
      </c>
      <c r="M1477" s="10" t="b">
        <f aca="false">FALSE()</f>
        <v>0</v>
      </c>
      <c r="N1477" s="7" t="s">
        <v>557</v>
      </c>
      <c r="O1477" s="7" t="n">
        <v>-33.857383</v>
      </c>
      <c r="P1477" s="7" t="n">
        <v>151.195333</v>
      </c>
    </row>
    <row r="1478" customFormat="false" ht="15" hidden="false" customHeight="false" outlineLevel="0" collapsed="false">
      <c r="A1478" s="7" t="n">
        <v>1477</v>
      </c>
      <c r="B1478" s="7"/>
      <c r="C1478" s="7" t="s">
        <v>1998</v>
      </c>
      <c r="D1478" s="7" t="n">
        <v>2031</v>
      </c>
      <c r="E1478" s="7" t="s">
        <v>50</v>
      </c>
      <c r="F1478" s="10" t="b">
        <f aca="false">FALSE()</f>
        <v>0</v>
      </c>
      <c r="G1478" s="7" t="s">
        <v>355</v>
      </c>
      <c r="H1478" s="7" t="s">
        <v>1371</v>
      </c>
      <c r="I1478" s="7" t="n">
        <v>1</v>
      </c>
      <c r="J1478" s="7" t="s">
        <v>107</v>
      </c>
      <c r="K1478" s="7" t="s">
        <v>900</v>
      </c>
      <c r="L1478" s="7" t="n">
        <v>7</v>
      </c>
      <c r="M1478" s="10" t="b">
        <f aca="false">FALSE()</f>
        <v>0</v>
      </c>
      <c r="N1478" s="7" t="s">
        <v>557</v>
      </c>
      <c r="O1478" s="7" t="n">
        <v>-33.90725</v>
      </c>
      <c r="P1478" s="7" t="n">
        <v>151.234859</v>
      </c>
    </row>
    <row r="1479" customFormat="false" ht="15" hidden="false" customHeight="false" outlineLevel="0" collapsed="false">
      <c r="A1479" s="7" t="n">
        <v>1478</v>
      </c>
      <c r="B1479" s="7" t="s">
        <v>1999</v>
      </c>
      <c r="C1479" s="7" t="s">
        <v>2000</v>
      </c>
      <c r="D1479" s="7" t="n">
        <v>2333</v>
      </c>
      <c r="E1479" s="7" t="s">
        <v>50</v>
      </c>
      <c r="F1479" s="10" t="b">
        <f aca="false">FALSE()</f>
        <v>0</v>
      </c>
      <c r="G1479" s="7" t="s">
        <v>229</v>
      </c>
      <c r="H1479" s="7" t="s">
        <v>1748</v>
      </c>
      <c r="I1479" s="7" t="n">
        <v>1</v>
      </c>
      <c r="J1479" s="7" t="s">
        <v>107</v>
      </c>
      <c r="K1479" s="7" t="s">
        <v>107</v>
      </c>
      <c r="L1479" s="7"/>
      <c r="M1479" s="10" t="b">
        <f aca="false">FALSE()</f>
        <v>0</v>
      </c>
      <c r="N1479" s="7" t="s">
        <v>399</v>
      </c>
      <c r="O1479" s="7" t="n">
        <v>-32.257966</v>
      </c>
      <c r="P1479" s="7" t="n">
        <v>150.885393</v>
      </c>
    </row>
    <row r="1480" customFormat="false" ht="15" hidden="false" customHeight="false" outlineLevel="0" collapsed="false">
      <c r="A1480" s="7" t="n">
        <v>1479</v>
      </c>
      <c r="B1480" s="7" t="s">
        <v>2001</v>
      </c>
      <c r="C1480" s="7" t="s">
        <v>2002</v>
      </c>
      <c r="D1480" s="7" t="n">
        <v>2646</v>
      </c>
      <c r="E1480" s="7" t="s">
        <v>50</v>
      </c>
      <c r="F1480" s="10" t="b">
        <f aca="false">FALSE()</f>
        <v>0</v>
      </c>
      <c r="G1480" s="7" t="s">
        <v>477</v>
      </c>
      <c r="H1480" s="7" t="s">
        <v>1355</v>
      </c>
      <c r="I1480" s="7" t="n">
        <v>4</v>
      </c>
      <c r="J1480" s="7" t="s">
        <v>107</v>
      </c>
      <c r="K1480" s="7" t="s">
        <v>107</v>
      </c>
      <c r="L1480" s="7"/>
      <c r="M1480" s="10" t="b">
        <f aca="false">FALSE()</f>
        <v>0</v>
      </c>
      <c r="N1480" s="7" t="s">
        <v>374</v>
      </c>
      <c r="O1480" s="7" t="n">
        <v>-35.995241</v>
      </c>
      <c r="P1480" s="7" t="n">
        <v>146.386008</v>
      </c>
    </row>
    <row r="1481" customFormat="false" ht="15" hidden="false" customHeight="false" outlineLevel="0" collapsed="false">
      <c r="A1481" s="7" t="n">
        <v>1480</v>
      </c>
      <c r="B1481" s="7" t="s">
        <v>2003</v>
      </c>
      <c r="C1481" s="7" t="s">
        <v>2004</v>
      </c>
      <c r="D1481" s="7" t="n">
        <v>2281</v>
      </c>
      <c r="E1481" s="7" t="s">
        <v>50</v>
      </c>
      <c r="F1481" s="10" t="b">
        <f aca="false">FALSE()</f>
        <v>0</v>
      </c>
      <c r="G1481" s="7" t="s">
        <v>377</v>
      </c>
      <c r="H1481" s="7" t="s">
        <v>252</v>
      </c>
      <c r="I1481" s="7" t="n">
        <v>3</v>
      </c>
      <c r="J1481" s="7" t="s">
        <v>107</v>
      </c>
      <c r="K1481" s="7" t="s">
        <v>107</v>
      </c>
      <c r="L1481" s="7"/>
      <c r="M1481" s="10" t="b">
        <f aca="false">FALSE()</f>
        <v>0</v>
      </c>
      <c r="N1481" s="7" t="s">
        <v>374</v>
      </c>
      <c r="O1481" s="7" t="n">
        <v>-33.08079</v>
      </c>
      <c r="P1481" s="7" t="n">
        <v>151.652057</v>
      </c>
    </row>
    <row r="1482" customFormat="false" ht="15" hidden="false" customHeight="false" outlineLevel="0" collapsed="false">
      <c r="A1482" s="7" t="n">
        <v>1481</v>
      </c>
      <c r="B1482" s="7"/>
      <c r="C1482" s="7" t="s">
        <v>2005</v>
      </c>
      <c r="D1482" s="7" t="n">
        <v>2204</v>
      </c>
      <c r="E1482" s="7" t="s">
        <v>50</v>
      </c>
      <c r="F1482" s="10" t="b">
        <f aca="false">FALSE()</f>
        <v>0</v>
      </c>
      <c r="G1482" s="7" t="s">
        <v>410</v>
      </c>
      <c r="H1482" s="7" t="s">
        <v>556</v>
      </c>
      <c r="I1482" s="7" t="n">
        <v>4</v>
      </c>
      <c r="J1482" s="7" t="s">
        <v>107</v>
      </c>
      <c r="K1482" s="7" t="s">
        <v>108</v>
      </c>
      <c r="L1482" s="7" t="n">
        <v>22</v>
      </c>
      <c r="M1482" s="10" t="b">
        <f aca="false">FALSE()</f>
        <v>0</v>
      </c>
      <c r="N1482" s="7" t="s">
        <v>557</v>
      </c>
      <c r="O1482" s="7" t="n">
        <v>-33.917825</v>
      </c>
      <c r="P1482" s="7" t="n">
        <v>151.145636</v>
      </c>
    </row>
    <row r="1483" customFormat="false" ht="15" hidden="false" customHeight="false" outlineLevel="0" collapsed="false">
      <c r="A1483" s="7" t="n">
        <v>1482</v>
      </c>
      <c r="B1483" s="7"/>
      <c r="C1483" s="7" t="s">
        <v>2006</v>
      </c>
      <c r="D1483" s="7" t="n">
        <v>2066</v>
      </c>
      <c r="E1483" s="7" t="s">
        <v>50</v>
      </c>
      <c r="F1483" s="10" t="b">
        <f aca="false">FALSE()</f>
        <v>0</v>
      </c>
      <c r="G1483" s="7" t="s">
        <v>389</v>
      </c>
      <c r="H1483" s="7" t="s">
        <v>1371</v>
      </c>
      <c r="I1483" s="7" t="n">
        <v>1</v>
      </c>
      <c r="J1483" s="7" t="s">
        <v>107</v>
      </c>
      <c r="K1483" s="7" t="s">
        <v>900</v>
      </c>
      <c r="L1483" s="7" t="n">
        <v>7</v>
      </c>
      <c r="M1483" s="10" t="b">
        <f aca="false">FALSE()</f>
        <v>0</v>
      </c>
      <c r="N1483" s="7" t="s">
        <v>557</v>
      </c>
      <c r="O1483" s="7" t="n">
        <v>-33.815608</v>
      </c>
      <c r="P1483" s="7" t="n">
        <v>151.171682</v>
      </c>
    </row>
    <row r="1484" customFormat="false" ht="15" hidden="false" customHeight="false" outlineLevel="0" collapsed="false">
      <c r="A1484" s="7" t="n">
        <v>1483</v>
      </c>
      <c r="B1484" s="7"/>
      <c r="C1484" s="7" t="s">
        <v>2007</v>
      </c>
      <c r="D1484" s="7" t="n">
        <v>2026</v>
      </c>
      <c r="E1484" s="7" t="s">
        <v>50</v>
      </c>
      <c r="F1484" s="10" t="b">
        <f aca="false">FALSE()</f>
        <v>0</v>
      </c>
      <c r="G1484" s="7" t="s">
        <v>295</v>
      </c>
      <c r="H1484" s="7" t="s">
        <v>302</v>
      </c>
      <c r="I1484" s="7" t="n">
        <v>2</v>
      </c>
      <c r="J1484" s="7" t="s">
        <v>107</v>
      </c>
      <c r="K1484" s="7" t="s">
        <v>108</v>
      </c>
      <c r="L1484" s="7" t="n">
        <v>22</v>
      </c>
      <c r="M1484" s="10" t="b">
        <f aca="false">FALSE()</f>
        <v>0</v>
      </c>
      <c r="N1484" s="7" t="s">
        <v>557</v>
      </c>
      <c r="O1484" s="7" t="n">
        <v>-33.88577</v>
      </c>
      <c r="P1484" s="7" t="n">
        <v>151.284206</v>
      </c>
    </row>
    <row r="1485" customFormat="false" ht="15" hidden="false" customHeight="false" outlineLevel="0" collapsed="false">
      <c r="A1485" s="7" t="n">
        <v>1484</v>
      </c>
      <c r="B1485" s="7"/>
      <c r="C1485" s="7" t="s">
        <v>2008</v>
      </c>
      <c r="D1485" s="7" t="n">
        <v>2101</v>
      </c>
      <c r="E1485" s="7" t="s">
        <v>50</v>
      </c>
      <c r="F1485" s="10" t="b">
        <f aca="false">FALSE()</f>
        <v>0</v>
      </c>
      <c r="G1485" s="7" t="s">
        <v>286</v>
      </c>
      <c r="H1485" s="7" t="s">
        <v>302</v>
      </c>
      <c r="I1485" s="7" t="n">
        <v>2</v>
      </c>
      <c r="J1485" s="7" t="s">
        <v>107</v>
      </c>
      <c r="K1485" s="7" t="s">
        <v>108</v>
      </c>
      <c r="L1485" s="7" t="n">
        <v>22</v>
      </c>
      <c r="M1485" s="10" t="b">
        <f aca="false">FALSE()</f>
        <v>0</v>
      </c>
      <c r="N1485" s="7" t="s">
        <v>557</v>
      </c>
      <c r="O1485" s="7" t="n">
        <v>-33.719534</v>
      </c>
      <c r="P1485" s="7" t="n">
        <v>151.288859</v>
      </c>
    </row>
    <row r="1486" customFormat="false" ht="15" hidden="false" customHeight="false" outlineLevel="0" collapsed="false">
      <c r="A1486" s="7" t="n">
        <v>1485</v>
      </c>
      <c r="B1486" s="7" t="s">
        <v>2009</v>
      </c>
      <c r="C1486" s="7" t="s">
        <v>2010</v>
      </c>
      <c r="D1486" s="7" t="n">
        <v>2800</v>
      </c>
      <c r="E1486" s="7" t="s">
        <v>50</v>
      </c>
      <c r="F1486" s="10" t="b">
        <f aca="false">FALSE()</f>
        <v>0</v>
      </c>
      <c r="G1486" s="7" t="s">
        <v>167</v>
      </c>
      <c r="H1486" s="7" t="s">
        <v>260</v>
      </c>
      <c r="I1486" s="7" t="n">
        <v>4</v>
      </c>
      <c r="J1486" s="7" t="s">
        <v>107</v>
      </c>
      <c r="K1486" s="7" t="s">
        <v>107</v>
      </c>
      <c r="L1486" s="7"/>
      <c r="M1486" s="10" t="b">
        <f aca="false">FALSE()</f>
        <v>0</v>
      </c>
      <c r="N1486" s="7" t="s">
        <v>399</v>
      </c>
      <c r="O1486" s="7" t="n">
        <v>-33.256288</v>
      </c>
      <c r="P1486" s="7" t="n">
        <v>149.097551</v>
      </c>
    </row>
    <row r="1487" customFormat="false" ht="15" hidden="false" customHeight="false" outlineLevel="0" collapsed="false">
      <c r="A1487" s="7" t="n">
        <v>1486</v>
      </c>
      <c r="B1487" s="7" t="s">
        <v>2011</v>
      </c>
      <c r="C1487" s="7" t="s">
        <v>2012</v>
      </c>
      <c r="D1487" s="7" t="n">
        <v>2539</v>
      </c>
      <c r="E1487" s="7" t="s">
        <v>50</v>
      </c>
      <c r="F1487" s="10" t="b">
        <f aca="false">FALSE()</f>
        <v>0</v>
      </c>
      <c r="G1487" s="7" t="s">
        <v>92</v>
      </c>
      <c r="H1487" s="7" t="s">
        <v>260</v>
      </c>
      <c r="I1487" s="7" t="n">
        <v>4</v>
      </c>
      <c r="J1487" s="7" t="s">
        <v>107</v>
      </c>
      <c r="K1487" s="7" t="s">
        <v>107</v>
      </c>
      <c r="L1487" s="7"/>
      <c r="M1487" s="10" t="b">
        <f aca="false">FALSE()</f>
        <v>0</v>
      </c>
      <c r="N1487" s="7" t="s">
        <v>399</v>
      </c>
      <c r="O1487" s="7" t="n">
        <v>-35.372939</v>
      </c>
      <c r="P1487" s="7" t="n">
        <v>150.463673</v>
      </c>
    </row>
    <row r="1488" customFormat="false" ht="15" hidden="false" customHeight="false" outlineLevel="0" collapsed="false">
      <c r="A1488" s="7" t="n">
        <v>1487</v>
      </c>
      <c r="B1488" s="7" t="s">
        <v>2013</v>
      </c>
      <c r="C1488" s="7" t="s">
        <v>2014</v>
      </c>
      <c r="D1488" s="7" t="n">
        <v>2577</v>
      </c>
      <c r="E1488" s="7" t="s">
        <v>50</v>
      </c>
      <c r="F1488" s="10" t="b">
        <f aca="false">FALSE()</f>
        <v>0</v>
      </c>
      <c r="G1488" s="7" t="s">
        <v>161</v>
      </c>
      <c r="H1488" s="7" t="s">
        <v>1355</v>
      </c>
      <c r="I1488" s="7" t="n">
        <v>8</v>
      </c>
      <c r="J1488" s="7" t="s">
        <v>107</v>
      </c>
      <c r="K1488" s="7" t="s">
        <v>107</v>
      </c>
      <c r="L1488" s="7"/>
      <c r="M1488" s="10" t="b">
        <f aca="false">FALSE()</f>
        <v>0</v>
      </c>
      <c r="N1488" s="7" t="s">
        <v>374</v>
      </c>
      <c r="O1488" s="7" t="n">
        <v>-34.465689</v>
      </c>
      <c r="P1488" s="7" t="n">
        <v>150.362399</v>
      </c>
    </row>
    <row r="1489" customFormat="false" ht="15" hidden="false" customHeight="false" outlineLevel="0" collapsed="false">
      <c r="A1489" s="7" t="n">
        <v>1488</v>
      </c>
      <c r="B1489" s="7"/>
      <c r="C1489" s="7" t="s">
        <v>2015</v>
      </c>
      <c r="D1489" s="7" t="n">
        <v>2033</v>
      </c>
      <c r="E1489" s="7" t="s">
        <v>50</v>
      </c>
      <c r="F1489" s="10" t="b">
        <f aca="false">FALSE()</f>
        <v>0</v>
      </c>
      <c r="G1489" s="7" t="s">
        <v>355</v>
      </c>
      <c r="H1489" s="7" t="s">
        <v>1371</v>
      </c>
      <c r="I1489" s="7" t="n">
        <v>1</v>
      </c>
      <c r="J1489" s="7" t="s">
        <v>107</v>
      </c>
      <c r="K1489" s="7" t="s">
        <v>900</v>
      </c>
      <c r="L1489" s="7" t="n">
        <v>7</v>
      </c>
      <c r="M1489" s="10" t="b">
        <f aca="false">FALSE()</f>
        <v>0</v>
      </c>
      <c r="N1489" s="7" t="s">
        <v>557</v>
      </c>
      <c r="O1489" s="7" t="n">
        <v>-33.9063</v>
      </c>
      <c r="P1489" s="7" t="n">
        <v>151.223154</v>
      </c>
    </row>
    <row r="1490" customFormat="false" ht="15" hidden="false" customHeight="false" outlineLevel="0" collapsed="false">
      <c r="A1490" s="7" t="n">
        <v>1489</v>
      </c>
      <c r="B1490" s="7"/>
      <c r="C1490" s="7" t="s">
        <v>2016</v>
      </c>
      <c r="D1490" s="7" t="n">
        <v>2830</v>
      </c>
      <c r="E1490" s="7" t="s">
        <v>50</v>
      </c>
      <c r="F1490" s="10" t="b">
        <f aca="false">FALSE()</f>
        <v>0</v>
      </c>
      <c r="G1490" s="7" t="s">
        <v>227</v>
      </c>
      <c r="H1490" s="7" t="s">
        <v>260</v>
      </c>
      <c r="I1490" s="7" t="n">
        <v>2</v>
      </c>
      <c r="J1490" s="7" t="s">
        <v>107</v>
      </c>
      <c r="K1490" s="7" t="s">
        <v>107</v>
      </c>
      <c r="L1490" s="7"/>
      <c r="M1490" s="10" t="b">
        <f aca="false">FALSE()</f>
        <v>0</v>
      </c>
      <c r="N1490" s="7" t="s">
        <v>374</v>
      </c>
      <c r="O1490" s="7" t="n">
        <v>-32.253868</v>
      </c>
      <c r="P1490" s="7" t="n">
        <v>148.602311</v>
      </c>
    </row>
    <row r="1491" customFormat="false" ht="15" hidden="false" customHeight="false" outlineLevel="0" collapsed="false">
      <c r="A1491" s="7" t="n">
        <v>1490</v>
      </c>
      <c r="B1491" s="7" t="s">
        <v>2017</v>
      </c>
      <c r="C1491" s="7" t="s">
        <v>2018</v>
      </c>
      <c r="D1491" s="7" t="n">
        <v>2850</v>
      </c>
      <c r="E1491" s="7" t="s">
        <v>50</v>
      </c>
      <c r="F1491" s="10" t="b">
        <f aca="false">FALSE()</f>
        <v>0</v>
      </c>
      <c r="G1491" s="7" t="s">
        <v>199</v>
      </c>
      <c r="H1491" s="7" t="s">
        <v>230</v>
      </c>
      <c r="I1491" s="7" t="n">
        <v>2</v>
      </c>
      <c r="J1491" s="7" t="s">
        <v>107</v>
      </c>
      <c r="K1491" s="7" t="s">
        <v>107</v>
      </c>
      <c r="L1491" s="7"/>
      <c r="M1491" s="10" t="b">
        <f aca="false">FALSE()</f>
        <v>0</v>
      </c>
      <c r="N1491" s="7" t="s">
        <v>374</v>
      </c>
      <c r="O1491" s="7" t="n">
        <v>-32.557582</v>
      </c>
      <c r="P1491" s="7" t="n">
        <v>149.650324</v>
      </c>
    </row>
    <row r="1492" customFormat="false" ht="15" hidden="false" customHeight="false" outlineLevel="0" collapsed="false">
      <c r="A1492" s="7" t="n">
        <v>1491</v>
      </c>
      <c r="B1492" s="7"/>
      <c r="C1492" s="7" t="s">
        <v>2019</v>
      </c>
      <c r="D1492" s="7" t="n">
        <v>2030</v>
      </c>
      <c r="E1492" s="7" t="s">
        <v>50</v>
      </c>
      <c r="F1492" s="10" t="b">
        <f aca="false">FALSE()</f>
        <v>0</v>
      </c>
      <c r="G1492" s="7" t="s">
        <v>295</v>
      </c>
      <c r="H1492" s="7" t="s">
        <v>1371</v>
      </c>
      <c r="I1492" s="7" t="n">
        <v>1</v>
      </c>
      <c r="J1492" s="7" t="s">
        <v>107</v>
      </c>
      <c r="K1492" s="7" t="s">
        <v>900</v>
      </c>
      <c r="L1492" s="7" t="n">
        <v>7</v>
      </c>
      <c r="M1492" s="10" t="b">
        <f aca="false">FALSE()</f>
        <v>0</v>
      </c>
      <c r="N1492" s="7" t="s">
        <v>557</v>
      </c>
      <c r="O1492" s="7" t="n">
        <v>-33.861842</v>
      </c>
      <c r="P1492" s="7" t="n">
        <v>151.280759</v>
      </c>
    </row>
    <row r="1493" customFormat="false" ht="15" hidden="false" customHeight="false" outlineLevel="0" collapsed="false">
      <c r="A1493" s="7" t="n">
        <v>1492</v>
      </c>
      <c r="B1493" s="7"/>
      <c r="C1493" s="7" t="s">
        <v>2020</v>
      </c>
      <c r="D1493" s="7" t="n">
        <v>2021</v>
      </c>
      <c r="E1493" s="7" t="s">
        <v>50</v>
      </c>
      <c r="F1493" s="10" t="b">
        <f aca="false">FALSE()</f>
        <v>0</v>
      </c>
      <c r="G1493" s="7" t="s">
        <v>272</v>
      </c>
      <c r="H1493" s="7" t="s">
        <v>1371</v>
      </c>
      <c r="I1493" s="7" t="n">
        <v>1</v>
      </c>
      <c r="J1493" s="7" t="s">
        <v>107</v>
      </c>
      <c r="K1493" s="7" t="s">
        <v>108</v>
      </c>
      <c r="L1493" s="7" t="n">
        <v>22</v>
      </c>
      <c r="M1493" s="10" t="b">
        <f aca="false">FALSE()</f>
        <v>0</v>
      </c>
      <c r="N1493" s="7" t="s">
        <v>557</v>
      </c>
      <c r="O1493" s="7" t="n">
        <v>-33.883222</v>
      </c>
      <c r="P1493" s="7" t="n">
        <v>151.229074</v>
      </c>
    </row>
    <row r="1494" customFormat="false" ht="15" hidden="false" customHeight="false" outlineLevel="0" collapsed="false">
      <c r="A1494" s="7" t="n">
        <v>1493</v>
      </c>
      <c r="B1494" s="7"/>
      <c r="C1494" s="7" t="s">
        <v>2021</v>
      </c>
      <c r="D1494" s="7" t="n">
        <v>2050</v>
      </c>
      <c r="E1494" s="7" t="s">
        <v>50</v>
      </c>
      <c r="F1494" s="10" t="b">
        <f aca="false">FALSE()</f>
        <v>0</v>
      </c>
      <c r="G1494" s="7" t="s">
        <v>182</v>
      </c>
      <c r="H1494" s="7" t="s">
        <v>1371</v>
      </c>
      <c r="I1494" s="7" t="n">
        <v>1</v>
      </c>
      <c r="J1494" s="7" t="s">
        <v>107</v>
      </c>
      <c r="K1494" s="7" t="s">
        <v>900</v>
      </c>
      <c r="L1494" s="7" t="n">
        <v>7</v>
      </c>
      <c r="M1494" s="10" t="b">
        <f aca="false">FALSE()</f>
        <v>0</v>
      </c>
      <c r="N1494" s="7" t="s">
        <v>557</v>
      </c>
      <c r="O1494" s="7" t="n">
        <v>-33.887359</v>
      </c>
      <c r="P1494" s="7" t="n">
        <v>151.176586</v>
      </c>
    </row>
    <row r="1495" customFormat="false" ht="15" hidden="false" customHeight="false" outlineLevel="0" collapsed="false">
      <c r="A1495" s="7" t="n">
        <v>1494</v>
      </c>
      <c r="B1495" s="7"/>
      <c r="C1495" s="7" t="s">
        <v>2022</v>
      </c>
      <c r="D1495" s="7" t="n">
        <v>2298</v>
      </c>
      <c r="E1495" s="7" t="s">
        <v>50</v>
      </c>
      <c r="F1495" s="10" t="b">
        <f aca="false">FALSE()</f>
        <v>0</v>
      </c>
      <c r="G1495" s="7" t="s">
        <v>141</v>
      </c>
      <c r="H1495" s="7" t="s">
        <v>237</v>
      </c>
      <c r="I1495" s="7" t="n">
        <v>2</v>
      </c>
      <c r="J1495" s="7" t="s">
        <v>71</v>
      </c>
      <c r="K1495" s="7" t="s">
        <v>190</v>
      </c>
      <c r="L1495" s="7" t="n">
        <v>60</v>
      </c>
      <c r="M1495" s="10" t="b">
        <f aca="false">FALSE()</f>
        <v>0</v>
      </c>
      <c r="N1495" s="7" t="s">
        <v>557</v>
      </c>
      <c r="O1495" s="7" t="n">
        <v>-32.90876</v>
      </c>
      <c r="P1495" s="7" t="n">
        <v>151.729685</v>
      </c>
    </row>
    <row r="1496" customFormat="false" ht="15" hidden="false" customHeight="false" outlineLevel="0" collapsed="false">
      <c r="A1496" s="7" t="n">
        <v>1495</v>
      </c>
      <c r="B1496" s="7" t="s">
        <v>2023</v>
      </c>
      <c r="C1496" s="7" t="s">
        <v>2024</v>
      </c>
      <c r="D1496" s="7" t="n">
        <v>2850</v>
      </c>
      <c r="E1496" s="7" t="s">
        <v>50</v>
      </c>
      <c r="F1496" s="10" t="b">
        <f aca="false">FALSE()</f>
        <v>0</v>
      </c>
      <c r="G1496" s="7" t="s">
        <v>199</v>
      </c>
      <c r="H1496" s="7" t="s">
        <v>1862</v>
      </c>
      <c r="I1496" s="7" t="n">
        <v>3</v>
      </c>
      <c r="J1496" s="7" t="s">
        <v>107</v>
      </c>
      <c r="K1496" s="7" t="s">
        <v>107</v>
      </c>
      <c r="L1496" s="7"/>
      <c r="M1496" s="10" t="b">
        <f aca="false">FALSE()</f>
        <v>0</v>
      </c>
      <c r="N1496" s="7" t="s">
        <v>399</v>
      </c>
      <c r="O1496" s="7" t="n">
        <v>-32.522021</v>
      </c>
      <c r="P1496" s="7" t="n">
        <v>149.613551</v>
      </c>
    </row>
    <row r="1497" customFormat="false" ht="15" hidden="false" customHeight="false" outlineLevel="0" collapsed="false">
      <c r="A1497" s="7" t="n">
        <v>1496</v>
      </c>
      <c r="B1497" s="7" t="s">
        <v>2025</v>
      </c>
      <c r="C1497" s="7" t="s">
        <v>2026</v>
      </c>
      <c r="D1497" s="7" t="n">
        <v>2340</v>
      </c>
      <c r="E1497" s="7" t="s">
        <v>50</v>
      </c>
      <c r="F1497" s="10" t="b">
        <f aca="false">FALSE()</f>
        <v>0</v>
      </c>
      <c r="G1497" s="7" t="s">
        <v>192</v>
      </c>
      <c r="H1497" s="7" t="s">
        <v>1862</v>
      </c>
      <c r="I1497" s="7" t="n">
        <v>2</v>
      </c>
      <c r="J1497" s="7" t="s">
        <v>107</v>
      </c>
      <c r="K1497" s="7" t="s">
        <v>107</v>
      </c>
      <c r="L1497" s="7"/>
      <c r="M1497" s="10" t="b">
        <f aca="false">FALSE()</f>
        <v>0</v>
      </c>
      <c r="N1497" s="7" t="s">
        <v>399</v>
      </c>
      <c r="O1497" s="7" t="n">
        <v>-31.12771</v>
      </c>
      <c r="P1497" s="7" t="n">
        <v>150.920395</v>
      </c>
    </row>
    <row r="1498" customFormat="false" ht="15" hidden="false" customHeight="false" outlineLevel="0" collapsed="false">
      <c r="A1498" s="7" t="n">
        <v>1497</v>
      </c>
      <c r="B1498" s="7"/>
      <c r="C1498" s="7" t="s">
        <v>2027</v>
      </c>
      <c r="D1498" s="7" t="n">
        <v>2042</v>
      </c>
      <c r="E1498" s="7" t="s">
        <v>50</v>
      </c>
      <c r="F1498" s="10" t="b">
        <f aca="false">FALSE()</f>
        <v>0</v>
      </c>
      <c r="G1498" s="7" t="s">
        <v>410</v>
      </c>
      <c r="H1498" s="7" t="s">
        <v>1371</v>
      </c>
      <c r="I1498" s="7" t="n">
        <v>1</v>
      </c>
      <c r="J1498" s="7" t="s">
        <v>107</v>
      </c>
      <c r="K1498" s="7" t="s">
        <v>900</v>
      </c>
      <c r="L1498" s="7" t="n">
        <v>7</v>
      </c>
      <c r="M1498" s="10" t="b">
        <f aca="false">FALSE()</f>
        <v>0</v>
      </c>
      <c r="N1498" s="7" t="s">
        <v>557</v>
      </c>
      <c r="O1498" s="7" t="n">
        <v>-33.898345</v>
      </c>
      <c r="P1498" s="7" t="n">
        <v>151.172493</v>
      </c>
    </row>
    <row r="1499" customFormat="false" ht="15" hidden="false" customHeight="false" outlineLevel="0" collapsed="false">
      <c r="A1499" s="7" t="n">
        <v>1498</v>
      </c>
      <c r="B1499" s="7"/>
      <c r="C1499" s="7" t="s">
        <v>2028</v>
      </c>
      <c r="D1499" s="7" t="n">
        <v>2029</v>
      </c>
      <c r="E1499" s="7" t="s">
        <v>50</v>
      </c>
      <c r="F1499" s="10" t="b">
        <f aca="false">FALSE()</f>
        <v>0</v>
      </c>
      <c r="G1499" s="7" t="s">
        <v>295</v>
      </c>
      <c r="H1499" s="7" t="s">
        <v>1371</v>
      </c>
      <c r="I1499" s="7" t="n">
        <v>1</v>
      </c>
      <c r="J1499" s="7" t="s">
        <v>107</v>
      </c>
      <c r="K1499" s="7" t="s">
        <v>900</v>
      </c>
      <c r="L1499" s="7" t="n">
        <v>7</v>
      </c>
      <c r="M1499" s="10" t="b">
        <f aca="false">FALSE()</f>
        <v>0</v>
      </c>
      <c r="N1499" s="7" t="s">
        <v>557</v>
      </c>
      <c r="O1499" s="7" t="n">
        <v>-33.875252</v>
      </c>
      <c r="P1499" s="7" t="n">
        <v>151.274957</v>
      </c>
    </row>
    <row r="1500" customFormat="false" ht="15" hidden="false" customHeight="false" outlineLevel="0" collapsed="false">
      <c r="A1500" s="7" t="n">
        <v>1499</v>
      </c>
      <c r="B1500" s="7"/>
      <c r="C1500" s="7" t="s">
        <v>2029</v>
      </c>
      <c r="D1500" s="7" t="n">
        <v>2765</v>
      </c>
      <c r="E1500" s="7" t="s">
        <v>50</v>
      </c>
      <c r="F1500" s="10" t="b">
        <f aca="false">FALSE()</f>
        <v>0</v>
      </c>
      <c r="G1500" s="7" t="s">
        <v>232</v>
      </c>
      <c r="H1500" s="7" t="s">
        <v>302</v>
      </c>
      <c r="I1500" s="7" t="n">
        <v>2</v>
      </c>
      <c r="J1500" s="7" t="s">
        <v>107</v>
      </c>
      <c r="K1500" s="7" t="s">
        <v>108</v>
      </c>
      <c r="L1500" s="7" t="n">
        <v>22</v>
      </c>
      <c r="M1500" s="10" t="b">
        <f aca="false">FALSE()</f>
        <v>0</v>
      </c>
      <c r="N1500" s="7" t="s">
        <v>557</v>
      </c>
      <c r="O1500" s="7" t="n">
        <v>-33.677925</v>
      </c>
      <c r="P1500" s="7" t="n">
        <v>150.860625</v>
      </c>
    </row>
    <row r="1501" customFormat="false" ht="15" hidden="false" customHeight="false" outlineLevel="0" collapsed="false">
      <c r="A1501" s="7" t="n">
        <v>1500</v>
      </c>
      <c r="B1501" s="7"/>
      <c r="C1501" s="7" t="s">
        <v>2030</v>
      </c>
      <c r="D1501" s="7" t="n">
        <v>2010</v>
      </c>
      <c r="E1501" s="7" t="s">
        <v>50</v>
      </c>
      <c r="F1501" s="10" t="b">
        <f aca="false">FALSE()</f>
        <v>0</v>
      </c>
      <c r="G1501" s="7" t="s">
        <v>182</v>
      </c>
      <c r="H1501" s="7" t="s">
        <v>302</v>
      </c>
      <c r="I1501" s="7" t="n">
        <v>2</v>
      </c>
      <c r="J1501" s="7" t="s">
        <v>107</v>
      </c>
      <c r="K1501" s="7" t="s">
        <v>108</v>
      </c>
      <c r="L1501" s="7" t="n">
        <v>22</v>
      </c>
      <c r="M1501" s="10" t="b">
        <f aca="false">FALSE()</f>
        <v>0</v>
      </c>
      <c r="N1501" s="7" t="s">
        <v>557</v>
      </c>
      <c r="O1501" s="7" t="n">
        <v>-33.882001</v>
      </c>
      <c r="P1501" s="7" t="n">
        <v>151.216645</v>
      </c>
    </row>
    <row r="1502" customFormat="false" ht="15" hidden="false" customHeight="false" outlineLevel="0" collapsed="false">
      <c r="A1502" s="7" t="n">
        <v>1501</v>
      </c>
      <c r="B1502" s="7"/>
      <c r="C1502" s="7" t="s">
        <v>2031</v>
      </c>
      <c r="D1502" s="7" t="n">
        <v>2026</v>
      </c>
      <c r="E1502" s="7" t="s">
        <v>50</v>
      </c>
      <c r="F1502" s="10" t="b">
        <f aca="false">FALSE()</f>
        <v>0</v>
      </c>
      <c r="G1502" s="7" t="s">
        <v>295</v>
      </c>
      <c r="H1502" s="7" t="s">
        <v>1371</v>
      </c>
      <c r="I1502" s="7" t="n">
        <v>1</v>
      </c>
      <c r="J1502" s="7" t="s">
        <v>107</v>
      </c>
      <c r="K1502" s="7" t="s">
        <v>900</v>
      </c>
      <c r="L1502" s="7" t="n">
        <v>7</v>
      </c>
      <c r="M1502" s="10" t="b">
        <f aca="false">FALSE()</f>
        <v>0</v>
      </c>
      <c r="N1502" s="7" t="s">
        <v>557</v>
      </c>
      <c r="O1502" s="7" t="n">
        <v>-33.897586</v>
      </c>
      <c r="P1502" s="7" t="n">
        <v>151.264592</v>
      </c>
    </row>
    <row r="1503" customFormat="false" ht="15" hidden="false" customHeight="false" outlineLevel="0" collapsed="false">
      <c r="A1503" s="7" t="n">
        <v>1502</v>
      </c>
      <c r="B1503" s="7" t="s">
        <v>1255</v>
      </c>
      <c r="C1503" s="7" t="s">
        <v>2032</v>
      </c>
      <c r="D1503" s="7" t="n">
        <v>2250</v>
      </c>
      <c r="E1503" s="7" t="s">
        <v>50</v>
      </c>
      <c r="F1503" s="10" t="b">
        <f aca="false">FALSE()</f>
        <v>0</v>
      </c>
      <c r="G1503" s="7" t="s">
        <v>276</v>
      </c>
      <c r="H1503" s="7" t="s">
        <v>1889</v>
      </c>
      <c r="I1503" s="7" t="n">
        <v>3</v>
      </c>
      <c r="J1503" s="7" t="s">
        <v>107</v>
      </c>
      <c r="K1503" s="7" t="s">
        <v>107</v>
      </c>
      <c r="L1503" s="7"/>
      <c r="M1503" s="10" t="b">
        <f aca="false">FALSE()</f>
        <v>0</v>
      </c>
      <c r="N1503" s="7" t="s">
        <v>399</v>
      </c>
      <c r="O1503" s="7" t="n">
        <v>-33.393116</v>
      </c>
      <c r="P1503" s="7" t="n">
        <v>151.328631</v>
      </c>
    </row>
    <row r="1504" customFormat="false" ht="15" hidden="false" customHeight="false" outlineLevel="0" collapsed="false">
      <c r="A1504" s="7" t="n">
        <v>1503</v>
      </c>
      <c r="B1504" s="7" t="s">
        <v>2033</v>
      </c>
      <c r="C1504" s="7" t="s">
        <v>2034</v>
      </c>
      <c r="D1504" s="7" t="n">
        <v>2264</v>
      </c>
      <c r="E1504" s="7" t="s">
        <v>50</v>
      </c>
      <c r="F1504" s="10" t="b">
        <f aca="false">FALSE()</f>
        <v>0</v>
      </c>
      <c r="G1504" s="7" t="s">
        <v>377</v>
      </c>
      <c r="H1504" s="7" t="s">
        <v>1889</v>
      </c>
      <c r="I1504" s="7" t="n">
        <v>2</v>
      </c>
      <c r="J1504" s="7" t="s">
        <v>107</v>
      </c>
      <c r="K1504" s="7" t="s">
        <v>107</v>
      </c>
      <c r="L1504" s="7"/>
      <c r="M1504" s="10" t="b">
        <f aca="false">FALSE()</f>
        <v>0</v>
      </c>
      <c r="N1504" s="7" t="s">
        <v>399</v>
      </c>
      <c r="O1504" s="7" t="n">
        <v>-33.111034</v>
      </c>
      <c r="P1504" s="7" t="n">
        <v>151.532217</v>
      </c>
    </row>
    <row r="1505" customFormat="false" ht="15" hidden="false" customHeight="false" outlineLevel="0" collapsed="false">
      <c r="A1505" s="7" t="n">
        <v>1504</v>
      </c>
      <c r="B1505" s="7" t="s">
        <v>2035</v>
      </c>
      <c r="C1505" s="7" t="s">
        <v>2036</v>
      </c>
      <c r="D1505" s="7" t="n">
        <v>2720</v>
      </c>
      <c r="E1505" s="7" t="s">
        <v>50</v>
      </c>
      <c r="F1505" s="10" t="b">
        <f aca="false">FALSE()</f>
        <v>0</v>
      </c>
      <c r="G1505" s="7" t="s">
        <v>456</v>
      </c>
      <c r="H1505" s="7" t="s">
        <v>252</v>
      </c>
      <c r="I1505" s="7" t="n">
        <v>2</v>
      </c>
      <c r="J1505" s="7" t="s">
        <v>107</v>
      </c>
      <c r="K1505" s="7" t="s">
        <v>107</v>
      </c>
      <c r="L1505" s="7"/>
      <c r="M1505" s="10" t="b">
        <f aca="false">FALSE()</f>
        <v>0</v>
      </c>
      <c r="N1505" s="7" t="s">
        <v>399</v>
      </c>
      <c r="O1505" s="7" t="n">
        <v>-35.190695</v>
      </c>
      <c r="P1505" s="7" t="n">
        <v>148.20606</v>
      </c>
    </row>
    <row r="1506" customFormat="false" ht="15" hidden="false" customHeight="false" outlineLevel="0" collapsed="false">
      <c r="A1506" s="7" t="n">
        <v>1505</v>
      </c>
      <c r="B1506" s="7" t="s">
        <v>2037</v>
      </c>
      <c r="C1506" s="7" t="s">
        <v>2038</v>
      </c>
      <c r="D1506" s="7" t="n">
        <v>2820</v>
      </c>
      <c r="E1506" s="7" t="s">
        <v>50</v>
      </c>
      <c r="F1506" s="10" t="b">
        <f aca="false">FALSE()</f>
        <v>0</v>
      </c>
      <c r="G1506" s="7" t="s">
        <v>227</v>
      </c>
      <c r="H1506" s="7" t="s">
        <v>237</v>
      </c>
      <c r="I1506" s="7" t="n">
        <v>4</v>
      </c>
      <c r="J1506" s="7" t="s">
        <v>107</v>
      </c>
      <c r="K1506" s="7" t="s">
        <v>107</v>
      </c>
      <c r="L1506" s="7"/>
      <c r="M1506" s="10" t="b">
        <f aca="false">FALSE()</f>
        <v>0</v>
      </c>
      <c r="N1506" s="7" t="s">
        <v>399</v>
      </c>
      <c r="O1506" s="7" t="n">
        <v>-32.551514</v>
      </c>
      <c r="P1506" s="7" t="n">
        <v>148.942183</v>
      </c>
    </row>
    <row r="1507" customFormat="false" ht="15" hidden="false" customHeight="false" outlineLevel="0" collapsed="false">
      <c r="A1507" s="7" t="n">
        <v>1506</v>
      </c>
      <c r="B1507" s="7"/>
      <c r="C1507" s="7" t="s">
        <v>2039</v>
      </c>
      <c r="D1507" s="7" t="n">
        <v>2131</v>
      </c>
      <c r="E1507" s="7" t="s">
        <v>50</v>
      </c>
      <c r="F1507" s="10" t="b">
        <f aca="false">FALSE()</f>
        <v>0</v>
      </c>
      <c r="G1507" s="7" t="s">
        <v>410</v>
      </c>
      <c r="H1507" s="7" t="s">
        <v>1371</v>
      </c>
      <c r="I1507" s="7" t="n">
        <v>1</v>
      </c>
      <c r="J1507" s="7" t="s">
        <v>107</v>
      </c>
      <c r="K1507" s="7" t="s">
        <v>900</v>
      </c>
      <c r="L1507" s="7" t="n">
        <v>7</v>
      </c>
      <c r="M1507" s="10" t="b">
        <f aca="false">FALSE()</f>
        <v>0</v>
      </c>
      <c r="N1507" s="7" t="s">
        <v>557</v>
      </c>
      <c r="O1507" s="7" t="n">
        <v>-33.883434</v>
      </c>
      <c r="P1507" s="7" t="n">
        <v>151.128646</v>
      </c>
    </row>
    <row r="1508" customFormat="false" ht="15" hidden="false" customHeight="false" outlineLevel="0" collapsed="false">
      <c r="A1508" s="7" t="n">
        <v>1507</v>
      </c>
      <c r="B1508" s="7"/>
      <c r="C1508" s="7" t="s">
        <v>2040</v>
      </c>
      <c r="D1508" s="7" t="n">
        <v>2203</v>
      </c>
      <c r="E1508" s="7" t="s">
        <v>50</v>
      </c>
      <c r="F1508" s="10" t="b">
        <f aca="false">FALSE()</f>
        <v>0</v>
      </c>
      <c r="G1508" s="7" t="s">
        <v>410</v>
      </c>
      <c r="H1508" s="7" t="s">
        <v>556</v>
      </c>
      <c r="I1508" s="7" t="n">
        <v>2</v>
      </c>
      <c r="J1508" s="7" t="s">
        <v>107</v>
      </c>
      <c r="K1508" s="7" t="s">
        <v>108</v>
      </c>
      <c r="L1508" s="7" t="n">
        <v>22</v>
      </c>
      <c r="M1508" s="10" t="b">
        <f aca="false">FALSE()</f>
        <v>0</v>
      </c>
      <c r="N1508" s="7" t="s">
        <v>557</v>
      </c>
      <c r="O1508" s="7" t="n">
        <v>-33.907942</v>
      </c>
      <c r="P1508" s="7" t="n">
        <v>151.135673</v>
      </c>
    </row>
    <row r="1509" customFormat="false" ht="15" hidden="false" customHeight="false" outlineLevel="0" collapsed="false">
      <c r="A1509" s="7" t="n">
        <v>1508</v>
      </c>
      <c r="B1509" s="7"/>
      <c r="C1509" s="7" t="s">
        <v>2041</v>
      </c>
      <c r="D1509" s="7" t="n">
        <v>2029</v>
      </c>
      <c r="E1509" s="7" t="s">
        <v>50</v>
      </c>
      <c r="F1509" s="10" t="b">
        <f aca="false">FALSE()</f>
        <v>0</v>
      </c>
      <c r="G1509" s="7" t="s">
        <v>272</v>
      </c>
      <c r="H1509" s="7" t="s">
        <v>1371</v>
      </c>
      <c r="I1509" s="7" t="n">
        <v>1</v>
      </c>
      <c r="J1509" s="7" t="s">
        <v>107</v>
      </c>
      <c r="K1509" s="7" t="s">
        <v>108</v>
      </c>
      <c r="L1509" s="7" t="n">
        <v>22</v>
      </c>
      <c r="M1509" s="10" t="b">
        <f aca="false">FALSE()</f>
        <v>0</v>
      </c>
      <c r="N1509" s="7" t="s">
        <v>557</v>
      </c>
      <c r="O1509" s="7" t="n">
        <v>-33.869772</v>
      </c>
      <c r="P1509" s="7" t="n">
        <v>151.274745</v>
      </c>
    </row>
    <row r="1510" customFormat="false" ht="15" hidden="false" customHeight="false" outlineLevel="0" collapsed="false">
      <c r="A1510" s="7" t="n">
        <v>1509</v>
      </c>
      <c r="B1510" s="7"/>
      <c r="C1510" s="7" t="s">
        <v>2042</v>
      </c>
      <c r="D1510" s="7" t="n">
        <v>2038</v>
      </c>
      <c r="E1510" s="7" t="s">
        <v>50</v>
      </c>
      <c r="F1510" s="10" t="b">
        <f aca="false">FALSE()</f>
        <v>0</v>
      </c>
      <c r="G1510" s="7" t="s">
        <v>410</v>
      </c>
      <c r="H1510" s="7" t="s">
        <v>302</v>
      </c>
      <c r="I1510" s="7" t="n">
        <v>2</v>
      </c>
      <c r="J1510" s="7" t="s">
        <v>107</v>
      </c>
      <c r="K1510" s="7" t="s">
        <v>108</v>
      </c>
      <c r="L1510" s="7" t="n">
        <v>22</v>
      </c>
      <c r="M1510" s="10" t="b">
        <f aca="false">FALSE()</f>
        <v>0</v>
      </c>
      <c r="N1510" s="7" t="s">
        <v>557</v>
      </c>
      <c r="O1510" s="7" t="n">
        <v>-33.883365</v>
      </c>
      <c r="P1510" s="7" t="n">
        <v>151.174288</v>
      </c>
    </row>
    <row r="1511" customFormat="false" ht="15" hidden="false" customHeight="false" outlineLevel="0" collapsed="false">
      <c r="A1511" s="7" t="n">
        <v>1510</v>
      </c>
      <c r="B1511" s="7"/>
      <c r="C1511" s="7" t="s">
        <v>2043</v>
      </c>
      <c r="D1511" s="7" t="n">
        <v>2030</v>
      </c>
      <c r="E1511" s="7" t="s">
        <v>50</v>
      </c>
      <c r="F1511" s="10" t="b">
        <f aca="false">FALSE()</f>
        <v>0</v>
      </c>
      <c r="G1511" s="7" t="s">
        <v>295</v>
      </c>
      <c r="H1511" s="7" t="s">
        <v>1371</v>
      </c>
      <c r="I1511" s="7" t="n">
        <v>1</v>
      </c>
      <c r="J1511" s="7" t="s">
        <v>107</v>
      </c>
      <c r="K1511" s="7" t="s">
        <v>900</v>
      </c>
      <c r="L1511" s="7" t="n">
        <v>7</v>
      </c>
      <c r="M1511" s="10" t="b">
        <f aca="false">FALSE()</f>
        <v>0</v>
      </c>
      <c r="N1511" s="7" t="s">
        <v>557</v>
      </c>
      <c r="O1511" s="7" t="n">
        <v>-33.861344</v>
      </c>
      <c r="P1511" s="7" t="n">
        <v>151.280558</v>
      </c>
    </row>
    <row r="1512" customFormat="false" ht="15" hidden="false" customHeight="false" outlineLevel="0" collapsed="false">
      <c r="A1512" s="7" t="n">
        <v>1511</v>
      </c>
      <c r="B1512" s="7"/>
      <c r="C1512" s="7" t="s">
        <v>2044</v>
      </c>
      <c r="D1512" s="7" t="n">
        <v>2204</v>
      </c>
      <c r="E1512" s="7" t="s">
        <v>50</v>
      </c>
      <c r="F1512" s="10" t="b">
        <f aca="false">FALSE()</f>
        <v>0</v>
      </c>
      <c r="G1512" s="7" t="s">
        <v>410</v>
      </c>
      <c r="H1512" s="7" t="s">
        <v>302</v>
      </c>
      <c r="I1512" s="7" t="n">
        <v>2</v>
      </c>
      <c r="J1512" s="7" t="s">
        <v>107</v>
      </c>
      <c r="K1512" s="7" t="s">
        <v>108</v>
      </c>
      <c r="L1512" s="7" t="n">
        <v>22</v>
      </c>
      <c r="M1512" s="10" t="b">
        <f aca="false">FALSE()</f>
        <v>0</v>
      </c>
      <c r="N1512" s="7" t="s">
        <v>557</v>
      </c>
      <c r="O1512" s="7" t="n">
        <v>-33.909627</v>
      </c>
      <c r="P1512" s="7" t="n">
        <v>151.16587</v>
      </c>
    </row>
    <row r="1513" customFormat="false" ht="15" hidden="false" customHeight="false" outlineLevel="0" collapsed="false">
      <c r="A1513" s="7" t="n">
        <v>1512</v>
      </c>
      <c r="B1513" s="7"/>
      <c r="C1513" s="7" t="s">
        <v>2045</v>
      </c>
      <c r="D1513" s="7" t="n">
        <v>2049</v>
      </c>
      <c r="E1513" s="7" t="s">
        <v>50</v>
      </c>
      <c r="F1513" s="10" t="b">
        <f aca="false">FALSE()</f>
        <v>0</v>
      </c>
      <c r="G1513" s="7" t="s">
        <v>410</v>
      </c>
      <c r="H1513" s="7" t="s">
        <v>1371</v>
      </c>
      <c r="I1513" s="7" t="n">
        <v>1</v>
      </c>
      <c r="J1513" s="7" t="s">
        <v>107</v>
      </c>
      <c r="K1513" s="7" t="s">
        <v>108</v>
      </c>
      <c r="L1513" s="7" t="n">
        <v>22</v>
      </c>
      <c r="M1513" s="10" t="b">
        <f aca="false">FALSE()</f>
        <v>0</v>
      </c>
      <c r="N1513" s="7" t="s">
        <v>557</v>
      </c>
      <c r="O1513" s="7" t="n">
        <v>-33.899558</v>
      </c>
      <c r="P1513" s="7" t="n">
        <v>151.14717</v>
      </c>
    </row>
    <row r="1514" customFormat="false" ht="15" hidden="false" customHeight="false" outlineLevel="0" collapsed="false">
      <c r="A1514" s="7" t="n">
        <v>1513</v>
      </c>
      <c r="B1514" s="7"/>
      <c r="C1514" s="7" t="s">
        <v>2046</v>
      </c>
      <c r="D1514" s="7" t="n">
        <v>2042</v>
      </c>
      <c r="E1514" s="7" t="s">
        <v>50</v>
      </c>
      <c r="F1514" s="10" t="b">
        <f aca="false">FALSE()</f>
        <v>0</v>
      </c>
      <c r="G1514" s="7" t="s">
        <v>410</v>
      </c>
      <c r="H1514" s="7" t="s">
        <v>1371</v>
      </c>
      <c r="I1514" s="7" t="n">
        <v>1</v>
      </c>
      <c r="J1514" s="7" t="s">
        <v>107</v>
      </c>
      <c r="K1514" s="7" t="s">
        <v>108</v>
      </c>
      <c r="L1514" s="7" t="n">
        <v>22</v>
      </c>
      <c r="M1514" s="10" t="b">
        <f aca="false">FALSE()</f>
        <v>0</v>
      </c>
      <c r="N1514" s="7" t="s">
        <v>557</v>
      </c>
      <c r="O1514" s="7" t="n">
        <v>-33.90407</v>
      </c>
      <c r="P1514" s="7" t="n">
        <v>151.178539</v>
      </c>
    </row>
    <row r="1515" customFormat="false" ht="15" hidden="false" customHeight="false" outlineLevel="0" collapsed="false">
      <c r="A1515" s="7" t="n">
        <v>1514</v>
      </c>
      <c r="B1515" s="7" t="s">
        <v>2047</v>
      </c>
      <c r="C1515" s="7" t="s">
        <v>2048</v>
      </c>
      <c r="D1515" s="7" t="n">
        <v>2800</v>
      </c>
      <c r="E1515" s="7" t="s">
        <v>50</v>
      </c>
      <c r="F1515" s="10" t="b">
        <f aca="false">FALSE()</f>
        <v>0</v>
      </c>
      <c r="G1515" s="7" t="s">
        <v>185</v>
      </c>
      <c r="H1515" s="7" t="s">
        <v>1889</v>
      </c>
      <c r="I1515" s="7" t="n">
        <v>1</v>
      </c>
      <c r="J1515" s="7" t="s">
        <v>107</v>
      </c>
      <c r="K1515" s="7" t="s">
        <v>107</v>
      </c>
      <c r="L1515" s="7"/>
      <c r="M1515" s="10" t="b">
        <f aca="false">FALSE()</f>
        <v>0</v>
      </c>
      <c r="N1515" s="7" t="s">
        <v>399</v>
      </c>
      <c r="O1515" s="7" t="n">
        <v>-33.303681</v>
      </c>
      <c r="P1515" s="7" t="n">
        <v>149.03924</v>
      </c>
    </row>
    <row r="1516" customFormat="false" ht="15" hidden="false" customHeight="false" outlineLevel="0" collapsed="false">
      <c r="A1516" s="7" t="n">
        <v>1515</v>
      </c>
      <c r="B1516" s="7"/>
      <c r="C1516" s="7" t="s">
        <v>2049</v>
      </c>
      <c r="D1516" s="7" t="n">
        <v>2042</v>
      </c>
      <c r="E1516" s="7" t="s">
        <v>50</v>
      </c>
      <c r="F1516" s="10" t="b">
        <f aca="false">FALSE()</f>
        <v>0</v>
      </c>
      <c r="G1516" s="7" t="s">
        <v>410</v>
      </c>
      <c r="H1516" s="7" t="s">
        <v>1371</v>
      </c>
      <c r="I1516" s="7" t="n">
        <v>1</v>
      </c>
      <c r="J1516" s="7" t="s">
        <v>107</v>
      </c>
      <c r="K1516" s="7" t="s">
        <v>108</v>
      </c>
      <c r="L1516" s="7" t="n">
        <v>22</v>
      </c>
      <c r="M1516" s="10" t="b">
        <f aca="false">FALSE()</f>
        <v>0</v>
      </c>
      <c r="N1516" s="7" t="s">
        <v>557</v>
      </c>
      <c r="O1516" s="7" t="n">
        <v>-33.900544</v>
      </c>
      <c r="P1516" s="7" t="n">
        <v>151.172173</v>
      </c>
    </row>
    <row r="1517" customFormat="false" ht="15" hidden="false" customHeight="false" outlineLevel="0" collapsed="false">
      <c r="A1517" s="7" t="n">
        <v>1516</v>
      </c>
      <c r="B1517" s="7" t="s">
        <v>2050</v>
      </c>
      <c r="C1517" s="7" t="s">
        <v>2051</v>
      </c>
      <c r="D1517" s="7" t="n">
        <v>2261</v>
      </c>
      <c r="E1517" s="7" t="s">
        <v>50</v>
      </c>
      <c r="F1517" s="10" t="b">
        <f aca="false">FALSE()</f>
        <v>0</v>
      </c>
      <c r="G1517" s="7" t="s">
        <v>276</v>
      </c>
      <c r="H1517" s="7" t="s">
        <v>230</v>
      </c>
      <c r="I1517" s="7" t="n">
        <v>3</v>
      </c>
      <c r="J1517" s="7" t="s">
        <v>107</v>
      </c>
      <c r="K1517" s="7" t="s">
        <v>107</v>
      </c>
      <c r="L1517" s="7"/>
      <c r="M1517" s="10" t="b">
        <f aca="false">FALSE()</f>
        <v>0</v>
      </c>
      <c r="N1517" s="7" t="s">
        <v>374</v>
      </c>
      <c r="O1517" s="7" t="n">
        <v>-33.354263</v>
      </c>
      <c r="P1517" s="7" t="n">
        <v>151.487299</v>
      </c>
    </row>
    <row r="1518" customFormat="false" ht="15" hidden="false" customHeight="false" outlineLevel="0" collapsed="false">
      <c r="A1518" s="7" t="n">
        <v>1517</v>
      </c>
      <c r="B1518" s="7"/>
      <c r="C1518" s="7" t="s">
        <v>2052</v>
      </c>
      <c r="D1518" s="7" t="n">
        <v>2026</v>
      </c>
      <c r="E1518" s="7" t="s">
        <v>50</v>
      </c>
      <c r="F1518" s="10" t="b">
        <f aca="false">FALSE()</f>
        <v>0</v>
      </c>
      <c r="G1518" s="7" t="s">
        <v>295</v>
      </c>
      <c r="H1518" s="7" t="s">
        <v>237</v>
      </c>
      <c r="I1518" s="7" t="n">
        <v>2</v>
      </c>
      <c r="J1518" s="7" t="s">
        <v>107</v>
      </c>
      <c r="K1518" s="7" t="s">
        <v>108</v>
      </c>
      <c r="L1518" s="7" t="n">
        <v>22</v>
      </c>
      <c r="M1518" s="10" t="b">
        <f aca="false">FALSE()</f>
        <v>0</v>
      </c>
      <c r="N1518" s="7" t="s">
        <v>557</v>
      </c>
      <c r="O1518" s="7" t="n">
        <v>-33.892231</v>
      </c>
      <c r="P1518" s="7" t="n">
        <v>151.262315</v>
      </c>
    </row>
    <row r="1519" customFormat="false" ht="15" hidden="false" customHeight="false" outlineLevel="0" collapsed="false">
      <c r="A1519" s="7" t="n">
        <v>1518</v>
      </c>
      <c r="B1519" s="7" t="s">
        <v>2053</v>
      </c>
      <c r="C1519" s="7" t="s">
        <v>2054</v>
      </c>
      <c r="D1519" s="7" t="n">
        <v>2450</v>
      </c>
      <c r="E1519" s="7" t="s">
        <v>50</v>
      </c>
      <c r="F1519" s="10" t="b">
        <f aca="false">FALSE()</f>
        <v>0</v>
      </c>
      <c r="G1519" s="7" t="s">
        <v>360</v>
      </c>
      <c r="H1519" s="7" t="s">
        <v>1748</v>
      </c>
      <c r="I1519" s="7" t="n">
        <v>2</v>
      </c>
      <c r="J1519" s="7" t="s">
        <v>107</v>
      </c>
      <c r="K1519" s="7" t="s">
        <v>107</v>
      </c>
      <c r="L1519" s="7"/>
      <c r="M1519" s="10" t="b">
        <f aca="false">FALSE()</f>
        <v>0</v>
      </c>
      <c r="N1519" s="7" t="s">
        <v>374</v>
      </c>
      <c r="O1519" s="7" t="n">
        <v>-30.297063</v>
      </c>
      <c r="P1519" s="7" t="n">
        <v>153.115799</v>
      </c>
    </row>
    <row r="1520" customFormat="false" ht="15" hidden="false" customHeight="false" outlineLevel="0" collapsed="false">
      <c r="A1520" s="7" t="n">
        <v>1519</v>
      </c>
      <c r="B1520" s="7" t="s">
        <v>2055</v>
      </c>
      <c r="C1520" s="7" t="s">
        <v>2056</v>
      </c>
      <c r="D1520" s="7" t="n">
        <v>2320</v>
      </c>
      <c r="E1520" s="7" t="s">
        <v>50</v>
      </c>
      <c r="F1520" s="10" t="b">
        <f aca="false">FALSE()</f>
        <v>0</v>
      </c>
      <c r="G1520" s="7" t="s">
        <v>111</v>
      </c>
      <c r="H1520" s="7" t="s">
        <v>1795</v>
      </c>
      <c r="I1520" s="7" t="n">
        <v>2</v>
      </c>
      <c r="J1520" s="7" t="s">
        <v>107</v>
      </c>
      <c r="K1520" s="7" t="s">
        <v>107</v>
      </c>
      <c r="L1520" s="7"/>
      <c r="M1520" s="10" t="b">
        <f aca="false">FALSE()</f>
        <v>0</v>
      </c>
      <c r="N1520" s="7" t="s">
        <v>399</v>
      </c>
      <c r="O1520" s="7" t="n">
        <v>-32.782195</v>
      </c>
      <c r="P1520" s="7" t="n">
        <v>151.29988</v>
      </c>
    </row>
    <row r="1521" customFormat="false" ht="15" hidden="false" customHeight="false" outlineLevel="0" collapsed="false">
      <c r="A1521" s="7" t="n">
        <v>1520</v>
      </c>
      <c r="B1521" s="7"/>
      <c r="C1521" s="7" t="s">
        <v>2057</v>
      </c>
      <c r="D1521" s="7" t="n">
        <v>2021</v>
      </c>
      <c r="E1521" s="7" t="s">
        <v>50</v>
      </c>
      <c r="F1521" s="10" t="b">
        <f aca="false">FALSE()</f>
        <v>0</v>
      </c>
      <c r="G1521" s="7" t="s">
        <v>272</v>
      </c>
      <c r="H1521" s="7" t="s">
        <v>302</v>
      </c>
      <c r="I1521" s="7" t="n">
        <v>2</v>
      </c>
      <c r="J1521" s="7" t="s">
        <v>107</v>
      </c>
      <c r="K1521" s="7" t="s">
        <v>108</v>
      </c>
      <c r="L1521" s="7" t="n">
        <v>22</v>
      </c>
      <c r="M1521" s="10" t="b">
        <f aca="false">FALSE()</f>
        <v>0</v>
      </c>
      <c r="N1521" s="7" t="s">
        <v>557</v>
      </c>
      <c r="O1521" s="7" t="n">
        <v>-33.882315</v>
      </c>
      <c r="P1521" s="7" t="n">
        <v>151.221981</v>
      </c>
    </row>
    <row r="1522" customFormat="false" ht="15" hidden="false" customHeight="false" outlineLevel="0" collapsed="false">
      <c r="A1522" s="7" t="n">
        <v>1521</v>
      </c>
      <c r="B1522" s="7"/>
      <c r="C1522" s="7" t="s">
        <v>2058</v>
      </c>
      <c r="D1522" s="7" t="n">
        <v>2021</v>
      </c>
      <c r="E1522" s="7" t="s">
        <v>50</v>
      </c>
      <c r="F1522" s="10" t="b">
        <f aca="false">FALSE()</f>
        <v>0</v>
      </c>
      <c r="G1522" s="7" t="s">
        <v>182</v>
      </c>
      <c r="H1522" s="7" t="s">
        <v>302</v>
      </c>
      <c r="I1522" s="7" t="n">
        <v>2</v>
      </c>
      <c r="J1522" s="7" t="s">
        <v>107</v>
      </c>
      <c r="K1522" s="7" t="s">
        <v>108</v>
      </c>
      <c r="L1522" s="7" t="n">
        <v>22</v>
      </c>
      <c r="M1522" s="10" t="b">
        <f aca="false">FALSE()</f>
        <v>0</v>
      </c>
      <c r="N1522" s="7" t="s">
        <v>557</v>
      </c>
      <c r="O1522" s="7" t="n">
        <v>-33.883141</v>
      </c>
      <c r="P1522" s="7" t="n">
        <v>151.219995</v>
      </c>
    </row>
    <row r="1523" customFormat="false" ht="15" hidden="false" customHeight="false" outlineLevel="0" collapsed="false">
      <c r="A1523" s="7" t="n">
        <v>1522</v>
      </c>
      <c r="B1523" s="7" t="s">
        <v>2059</v>
      </c>
      <c r="C1523" s="7" t="s">
        <v>2060</v>
      </c>
      <c r="D1523" s="7" t="n">
        <v>2800</v>
      </c>
      <c r="E1523" s="7" t="s">
        <v>50</v>
      </c>
      <c r="F1523" s="10" t="b">
        <f aca="false">FALSE()</f>
        <v>0</v>
      </c>
      <c r="G1523" s="7" t="s">
        <v>167</v>
      </c>
      <c r="H1523" s="7" t="s">
        <v>260</v>
      </c>
      <c r="I1523" s="7" t="n">
        <v>2</v>
      </c>
      <c r="J1523" s="7" t="s">
        <v>107</v>
      </c>
      <c r="K1523" s="7" t="s">
        <v>107</v>
      </c>
      <c r="L1523" s="7"/>
      <c r="M1523" s="10" t="b">
        <f aca="false">FALSE()</f>
        <v>0</v>
      </c>
      <c r="N1523" s="7" t="s">
        <v>374</v>
      </c>
      <c r="O1523" s="7" t="n">
        <v>-33.249213</v>
      </c>
      <c r="P1523" s="7" t="n">
        <v>149.10167</v>
      </c>
    </row>
    <row r="1524" customFormat="false" ht="15" hidden="false" customHeight="false" outlineLevel="0" collapsed="false">
      <c r="A1524" s="7" t="n">
        <v>1523</v>
      </c>
      <c r="B1524" s="7" t="s">
        <v>2061</v>
      </c>
      <c r="C1524" s="7" t="s">
        <v>2062</v>
      </c>
      <c r="D1524" s="7" t="n">
        <v>2795</v>
      </c>
      <c r="E1524" s="7" t="s">
        <v>50</v>
      </c>
      <c r="F1524" s="10" t="b">
        <f aca="false">FALSE()</f>
        <v>0</v>
      </c>
      <c r="G1524" s="7" t="s">
        <v>75</v>
      </c>
      <c r="H1524" s="7" t="s">
        <v>260</v>
      </c>
      <c r="I1524" s="7" t="n">
        <v>2</v>
      </c>
      <c r="J1524" s="7" t="s">
        <v>107</v>
      </c>
      <c r="K1524" s="7" t="s">
        <v>107</v>
      </c>
      <c r="L1524" s="7"/>
      <c r="M1524" s="10" t="b">
        <f aca="false">FALSE()</f>
        <v>0</v>
      </c>
      <c r="N1524" s="7" t="s">
        <v>399</v>
      </c>
      <c r="O1524" s="7" t="n">
        <v>-33.422579</v>
      </c>
      <c r="P1524" s="7" t="n">
        <v>149.565398</v>
      </c>
    </row>
    <row r="1525" customFormat="false" ht="15" hidden="false" customHeight="false" outlineLevel="0" collapsed="false">
      <c r="A1525" s="7" t="n">
        <v>1524</v>
      </c>
      <c r="B1525" s="7"/>
      <c r="C1525" s="7" t="s">
        <v>2063</v>
      </c>
      <c r="D1525" s="7" t="n">
        <v>2024</v>
      </c>
      <c r="E1525" s="7" t="s">
        <v>50</v>
      </c>
      <c r="F1525" s="10" t="b">
        <f aca="false">FALSE()</f>
        <v>0</v>
      </c>
      <c r="G1525" s="7" t="s">
        <v>295</v>
      </c>
      <c r="H1525" s="7" t="s">
        <v>302</v>
      </c>
      <c r="I1525" s="7" t="n">
        <v>2</v>
      </c>
      <c r="J1525" s="7" t="s">
        <v>107</v>
      </c>
      <c r="K1525" s="7" t="s">
        <v>108</v>
      </c>
      <c r="L1525" s="7" t="n">
        <v>22</v>
      </c>
      <c r="M1525" s="10" t="b">
        <f aca="false">FALSE()</f>
        <v>0</v>
      </c>
      <c r="N1525" s="7" t="s">
        <v>557</v>
      </c>
      <c r="O1525" s="7" t="n">
        <v>-33.903308</v>
      </c>
      <c r="P1525" s="7" t="n">
        <v>151.260616</v>
      </c>
    </row>
    <row r="1526" customFormat="false" ht="15" hidden="false" customHeight="false" outlineLevel="0" collapsed="false">
      <c r="A1526" s="7" t="n">
        <v>1525</v>
      </c>
      <c r="B1526" s="7"/>
      <c r="C1526" s="7" t="s">
        <v>2064</v>
      </c>
      <c r="D1526" s="7" t="n">
        <v>2031</v>
      </c>
      <c r="E1526" s="7" t="s">
        <v>50</v>
      </c>
      <c r="F1526" s="10" t="b">
        <f aca="false">FALSE()</f>
        <v>0</v>
      </c>
      <c r="G1526" s="7" t="s">
        <v>355</v>
      </c>
      <c r="H1526" s="7" t="s">
        <v>302</v>
      </c>
      <c r="I1526" s="7" t="n">
        <v>2</v>
      </c>
      <c r="J1526" s="7" t="s">
        <v>107</v>
      </c>
      <c r="K1526" s="7" t="s">
        <v>108</v>
      </c>
      <c r="L1526" s="7" t="n">
        <v>22</v>
      </c>
      <c r="M1526" s="10" t="b">
        <f aca="false">FALSE()</f>
        <v>0</v>
      </c>
      <c r="N1526" s="7" t="s">
        <v>557</v>
      </c>
      <c r="O1526" s="7" t="n">
        <v>-33.923489</v>
      </c>
      <c r="P1526" s="7" t="n">
        <v>151.249044</v>
      </c>
    </row>
    <row r="1527" customFormat="false" ht="15" hidden="false" customHeight="false" outlineLevel="0" collapsed="false">
      <c r="A1527" s="7" t="n">
        <v>1526</v>
      </c>
      <c r="B1527" s="7" t="s">
        <v>2065</v>
      </c>
      <c r="C1527" s="7" t="s">
        <v>2066</v>
      </c>
      <c r="D1527" s="7" t="n">
        <v>2580</v>
      </c>
      <c r="E1527" s="7" t="s">
        <v>50</v>
      </c>
      <c r="F1527" s="10" t="b">
        <f aca="false">FALSE()</f>
        <v>0</v>
      </c>
      <c r="G1527" s="7" t="s">
        <v>481</v>
      </c>
      <c r="H1527" s="7" t="s">
        <v>398</v>
      </c>
      <c r="I1527" s="7" t="n">
        <v>1</v>
      </c>
      <c r="J1527" s="7" t="s">
        <v>107</v>
      </c>
      <c r="K1527" s="7" t="s">
        <v>107</v>
      </c>
      <c r="L1527" s="7"/>
      <c r="M1527" s="10" t="b">
        <f aca="false">FALSE()</f>
        <v>0</v>
      </c>
      <c r="N1527" s="7" t="s">
        <v>399</v>
      </c>
      <c r="O1527" s="7" t="n">
        <v>-34.731353</v>
      </c>
      <c r="P1527" s="7" t="n">
        <v>149.743449</v>
      </c>
    </row>
    <row r="1528" customFormat="false" ht="15" hidden="false" customHeight="false" outlineLevel="0" collapsed="false">
      <c r="A1528" s="7" t="n">
        <v>1527</v>
      </c>
      <c r="B1528" s="7"/>
      <c r="C1528" s="7" t="s">
        <v>2067</v>
      </c>
      <c r="D1528" s="7" t="n">
        <v>2340</v>
      </c>
      <c r="E1528" s="7" t="s">
        <v>50</v>
      </c>
      <c r="F1528" s="10" t="b">
        <f aca="false">FALSE()</f>
        <v>0</v>
      </c>
      <c r="G1528" s="7" t="s">
        <v>192</v>
      </c>
      <c r="H1528" s="7" t="s">
        <v>1069</v>
      </c>
      <c r="I1528" s="7" t="n">
        <v>4</v>
      </c>
      <c r="J1528" s="7" t="s">
        <v>71</v>
      </c>
      <c r="K1528" s="7" t="s">
        <v>117</v>
      </c>
      <c r="L1528" s="7" t="n">
        <v>175</v>
      </c>
      <c r="M1528" s="10" t="b">
        <f aca="false">FALSE()</f>
        <v>0</v>
      </c>
      <c r="N1528" s="7" t="s">
        <v>118</v>
      </c>
      <c r="O1528" s="7" t="n">
        <v>-31.090093</v>
      </c>
      <c r="P1528" s="7" t="n">
        <v>150.930475</v>
      </c>
    </row>
    <row r="1529" customFormat="false" ht="15" hidden="false" customHeight="false" outlineLevel="0" collapsed="false">
      <c r="A1529" s="7" t="n">
        <v>1528</v>
      </c>
      <c r="B1529" s="7" t="s">
        <v>2068</v>
      </c>
      <c r="C1529" s="7" t="s">
        <v>2069</v>
      </c>
      <c r="D1529" s="7" t="n">
        <v>2844</v>
      </c>
      <c r="E1529" s="7" t="s">
        <v>50</v>
      </c>
      <c r="F1529" s="10" t="b">
        <f aca="false">FALSE()</f>
        <v>0</v>
      </c>
      <c r="G1529" s="7" t="s">
        <v>175</v>
      </c>
      <c r="H1529" s="7" t="s">
        <v>2070</v>
      </c>
      <c r="I1529" s="7" t="n">
        <v>2</v>
      </c>
      <c r="J1529" s="7" t="s">
        <v>107</v>
      </c>
      <c r="K1529" s="7" t="s">
        <v>107</v>
      </c>
      <c r="L1529" s="7"/>
      <c r="M1529" s="10" t="b">
        <f aca="false">FALSE()</f>
        <v>0</v>
      </c>
      <c r="N1529" s="7" t="s">
        <v>399</v>
      </c>
      <c r="O1529" s="7" t="n">
        <v>-32.018445</v>
      </c>
      <c r="P1529" s="7" t="n">
        <v>149.396529</v>
      </c>
    </row>
    <row r="1530" customFormat="false" ht="15" hidden="false" customHeight="false" outlineLevel="0" collapsed="false">
      <c r="A1530" s="7" t="n">
        <v>1529</v>
      </c>
      <c r="B1530" s="7"/>
      <c r="C1530" s="7" t="s">
        <v>2071</v>
      </c>
      <c r="D1530" s="7" t="n">
        <v>2203</v>
      </c>
      <c r="E1530" s="7" t="s">
        <v>50</v>
      </c>
      <c r="F1530" s="10" t="b">
        <f aca="false">FALSE()</f>
        <v>0</v>
      </c>
      <c r="G1530" s="7" t="s">
        <v>410</v>
      </c>
      <c r="H1530" s="7" t="s">
        <v>1371</v>
      </c>
      <c r="I1530" s="7" t="n">
        <v>1</v>
      </c>
      <c r="J1530" s="7" t="s">
        <v>107</v>
      </c>
      <c r="K1530" s="7" t="s">
        <v>108</v>
      </c>
      <c r="L1530" s="7" t="n">
        <v>22</v>
      </c>
      <c r="M1530" s="10" t="b">
        <f aca="false">FALSE()</f>
        <v>0</v>
      </c>
      <c r="N1530" s="7" t="s">
        <v>557</v>
      </c>
      <c r="O1530" s="7" t="n">
        <v>-33.90302</v>
      </c>
      <c r="P1530" s="7" t="n">
        <v>151.141805</v>
      </c>
    </row>
    <row r="1531" customFormat="false" ht="15" hidden="false" customHeight="false" outlineLevel="0" collapsed="false">
      <c r="A1531" s="7" t="n">
        <v>1530</v>
      </c>
      <c r="B1531" s="7"/>
      <c r="C1531" s="7" t="s">
        <v>2072</v>
      </c>
      <c r="D1531" s="7" t="n">
        <v>2041</v>
      </c>
      <c r="E1531" s="7" t="s">
        <v>50</v>
      </c>
      <c r="F1531" s="10" t="b">
        <f aca="false">FALSE()</f>
        <v>0</v>
      </c>
      <c r="G1531" s="7" t="s">
        <v>410</v>
      </c>
      <c r="H1531" s="7" t="s">
        <v>302</v>
      </c>
      <c r="I1531" s="7" t="n">
        <v>2</v>
      </c>
      <c r="J1531" s="7" t="s">
        <v>107</v>
      </c>
      <c r="K1531" s="7" t="s">
        <v>108</v>
      </c>
      <c r="L1531" s="7" t="n">
        <v>22</v>
      </c>
      <c r="M1531" s="10" t="b">
        <f aca="false">FALSE()</f>
        <v>0</v>
      </c>
      <c r="N1531" s="7" t="s">
        <v>557</v>
      </c>
      <c r="O1531" s="7" t="n">
        <v>-33.851531</v>
      </c>
      <c r="P1531" s="7" t="n">
        <v>151.181799</v>
      </c>
    </row>
    <row r="1532" customFormat="false" ht="15" hidden="false" customHeight="false" outlineLevel="0" collapsed="false">
      <c r="A1532" s="7" t="n">
        <v>1531</v>
      </c>
      <c r="B1532" s="7"/>
      <c r="C1532" s="7" t="s">
        <v>2073</v>
      </c>
      <c r="D1532" s="7" t="n">
        <v>2067</v>
      </c>
      <c r="E1532" s="7" t="s">
        <v>50</v>
      </c>
      <c r="F1532" s="10" t="b">
        <f aca="false">FALSE()</f>
        <v>0</v>
      </c>
      <c r="G1532" s="7" t="s">
        <v>258</v>
      </c>
      <c r="H1532" s="7" t="s">
        <v>302</v>
      </c>
      <c r="I1532" s="7" t="n">
        <v>2</v>
      </c>
      <c r="J1532" s="7" t="s">
        <v>107</v>
      </c>
      <c r="K1532" s="7" t="s">
        <v>108</v>
      </c>
      <c r="L1532" s="7" t="n">
        <v>22</v>
      </c>
      <c r="M1532" s="10" t="b">
        <f aca="false">FALSE()</f>
        <v>0</v>
      </c>
      <c r="N1532" s="7" t="s">
        <v>557</v>
      </c>
      <c r="O1532" s="7" t="n">
        <v>-33.796827</v>
      </c>
      <c r="P1532" s="7" t="n">
        <v>151.185229</v>
      </c>
    </row>
    <row r="1533" customFormat="false" ht="15" hidden="false" customHeight="false" outlineLevel="0" collapsed="false">
      <c r="A1533" s="7" t="n">
        <v>1532</v>
      </c>
      <c r="B1533" s="7"/>
      <c r="C1533" s="7" t="s">
        <v>2074</v>
      </c>
      <c r="D1533" s="7" t="n">
        <v>2250</v>
      </c>
      <c r="E1533" s="7" t="s">
        <v>50</v>
      </c>
      <c r="F1533" s="10" t="b">
        <f aca="false">FALSE()</f>
        <v>0</v>
      </c>
      <c r="G1533" s="7" t="s">
        <v>276</v>
      </c>
      <c r="H1533" s="7" t="s">
        <v>239</v>
      </c>
      <c r="I1533" s="7" t="n">
        <v>12</v>
      </c>
      <c r="J1533" s="7" t="s">
        <v>71</v>
      </c>
      <c r="K1533" s="7" t="s">
        <v>117</v>
      </c>
      <c r="L1533" s="7" t="n">
        <v>175</v>
      </c>
      <c r="M1533" s="10" t="b">
        <f aca="false">FALSE()</f>
        <v>0</v>
      </c>
      <c r="N1533" s="7" t="s">
        <v>118</v>
      </c>
      <c r="O1533" s="7" t="n">
        <v>-33.425897</v>
      </c>
      <c r="P1533" s="7" t="n">
        <v>151.320536</v>
      </c>
    </row>
    <row r="1534" customFormat="false" ht="15" hidden="false" customHeight="false" outlineLevel="0" collapsed="false">
      <c r="A1534" s="7" t="n">
        <v>1533</v>
      </c>
      <c r="B1534" s="7"/>
      <c r="C1534" s="7" t="s">
        <v>2075</v>
      </c>
      <c r="D1534" s="7" t="n">
        <v>2066</v>
      </c>
      <c r="E1534" s="7" t="s">
        <v>50</v>
      </c>
      <c r="F1534" s="10" t="b">
        <f aca="false">FALSE()</f>
        <v>0</v>
      </c>
      <c r="G1534" s="7" t="s">
        <v>389</v>
      </c>
      <c r="H1534" s="7" t="s">
        <v>1371</v>
      </c>
      <c r="I1534" s="7" t="n">
        <v>1</v>
      </c>
      <c r="J1534" s="7" t="s">
        <v>107</v>
      </c>
      <c r="K1534" s="7" t="s">
        <v>108</v>
      </c>
      <c r="L1534" s="7" t="n">
        <v>22</v>
      </c>
      <c r="M1534" s="10" t="b">
        <f aca="false">FALSE()</f>
        <v>0</v>
      </c>
      <c r="N1534" s="7" t="s">
        <v>557</v>
      </c>
      <c r="O1534" s="7" t="n">
        <v>-33.806547</v>
      </c>
      <c r="P1534" s="7" t="n">
        <v>151.175797</v>
      </c>
    </row>
    <row r="1535" customFormat="false" ht="15" hidden="false" customHeight="false" outlineLevel="0" collapsed="false">
      <c r="A1535" s="7" t="n">
        <v>1534</v>
      </c>
      <c r="B1535" s="7" t="s">
        <v>2076</v>
      </c>
      <c r="C1535" s="7" t="s">
        <v>2077</v>
      </c>
      <c r="D1535" s="7" t="n">
        <v>2710</v>
      </c>
      <c r="E1535" s="7" t="s">
        <v>50</v>
      </c>
      <c r="F1535" s="10" t="b">
        <f aca="false">FALSE()</f>
        <v>0</v>
      </c>
      <c r="G1535" s="7" t="s">
        <v>262</v>
      </c>
      <c r="H1535" s="7" t="s">
        <v>230</v>
      </c>
      <c r="I1535" s="7" t="n">
        <v>3</v>
      </c>
      <c r="J1535" s="7" t="s">
        <v>107</v>
      </c>
      <c r="K1535" s="7" t="s">
        <v>107</v>
      </c>
      <c r="L1535" s="7"/>
      <c r="M1535" s="10" t="b">
        <f aca="false">FALSE()</f>
        <v>0</v>
      </c>
      <c r="N1535" s="7" t="s">
        <v>374</v>
      </c>
      <c r="O1535" s="7" t="n">
        <v>-35.526574</v>
      </c>
      <c r="P1535" s="7" t="n">
        <v>144.961657</v>
      </c>
    </row>
    <row r="1536" customFormat="false" ht="15" hidden="false" customHeight="false" outlineLevel="0" collapsed="false">
      <c r="A1536" s="7" t="n">
        <v>1535</v>
      </c>
      <c r="B1536" s="7"/>
      <c r="C1536" s="7" t="s">
        <v>63</v>
      </c>
      <c r="D1536" s="7" t="n">
        <v>2111</v>
      </c>
      <c r="E1536" s="7" t="s">
        <v>50</v>
      </c>
      <c r="F1536" s="10" t="b">
        <f aca="false">FALSE()</f>
        <v>0</v>
      </c>
      <c r="G1536" s="7" t="s">
        <v>807</v>
      </c>
      <c r="H1536" s="7" t="s">
        <v>1069</v>
      </c>
      <c r="I1536" s="7" t="n">
        <v>2</v>
      </c>
      <c r="J1536" s="7" t="s">
        <v>71</v>
      </c>
      <c r="K1536" s="7" t="s">
        <v>83</v>
      </c>
      <c r="L1536" s="7" t="n">
        <v>75</v>
      </c>
      <c r="M1536" s="10" t="b">
        <f aca="false">FALSE()</f>
        <v>0</v>
      </c>
      <c r="N1536" s="7" t="s">
        <v>557</v>
      </c>
      <c r="O1536" s="7" t="n">
        <v>-33.832922</v>
      </c>
      <c r="P1536" s="7" t="n">
        <v>151.127689</v>
      </c>
    </row>
    <row r="1537" customFormat="false" ht="15" hidden="false" customHeight="false" outlineLevel="0" collapsed="false">
      <c r="A1537" s="7" t="n">
        <v>1536</v>
      </c>
      <c r="B1537" s="7"/>
      <c r="C1537" s="7" t="s">
        <v>2078</v>
      </c>
      <c r="D1537" s="7" t="n">
        <v>2295</v>
      </c>
      <c r="E1537" s="7" t="s">
        <v>50</v>
      </c>
      <c r="F1537" s="10" t="b">
        <f aca="false">FALSE()</f>
        <v>0</v>
      </c>
      <c r="G1537" s="7" t="s">
        <v>141</v>
      </c>
      <c r="H1537" s="7" t="s">
        <v>237</v>
      </c>
      <c r="I1537" s="7" t="n">
        <v>4</v>
      </c>
      <c r="J1537" s="7" t="s">
        <v>107</v>
      </c>
      <c r="K1537" s="7" t="s">
        <v>900</v>
      </c>
      <c r="L1537" s="7" t="n">
        <v>7</v>
      </c>
      <c r="M1537" s="10" t="b">
        <f aca="false">FALSE()</f>
        <v>0</v>
      </c>
      <c r="N1537" s="7" t="s">
        <v>557</v>
      </c>
      <c r="O1537" s="7" t="n">
        <v>-32.919303</v>
      </c>
      <c r="P1537" s="7" t="n">
        <v>151.783</v>
      </c>
    </row>
    <row r="1538" customFormat="false" ht="15" hidden="false" customHeight="false" outlineLevel="0" collapsed="false">
      <c r="A1538" s="7" t="n">
        <v>1537</v>
      </c>
      <c r="B1538" s="7" t="s">
        <v>2079</v>
      </c>
      <c r="C1538" s="7" t="s">
        <v>2080</v>
      </c>
      <c r="D1538" s="7" t="n">
        <v>2536</v>
      </c>
      <c r="E1538" s="7" t="s">
        <v>50</v>
      </c>
      <c r="F1538" s="10" t="b">
        <f aca="false">FALSE()</f>
        <v>0</v>
      </c>
      <c r="G1538" s="7" t="s">
        <v>123</v>
      </c>
      <c r="H1538" s="7" t="s">
        <v>260</v>
      </c>
      <c r="I1538" s="7" t="n">
        <v>2</v>
      </c>
      <c r="J1538" s="7" t="s">
        <v>107</v>
      </c>
      <c r="K1538" s="7" t="s">
        <v>107</v>
      </c>
      <c r="L1538" s="7"/>
      <c r="M1538" s="10" t="b">
        <f aca="false">FALSE()</f>
        <v>0</v>
      </c>
      <c r="N1538" s="7" t="s">
        <v>374</v>
      </c>
      <c r="O1538" s="7" t="n">
        <v>-35.709478</v>
      </c>
      <c r="P1538" s="7" t="n">
        <v>150.179081</v>
      </c>
    </row>
    <row r="1539" customFormat="false" ht="15" hidden="false" customHeight="false" outlineLevel="0" collapsed="false">
      <c r="A1539" s="7" t="n">
        <v>1538</v>
      </c>
      <c r="B1539" s="7"/>
      <c r="C1539" s="7" t="s">
        <v>808</v>
      </c>
      <c r="D1539" s="7" t="n">
        <v>2017</v>
      </c>
      <c r="E1539" s="7" t="s">
        <v>50</v>
      </c>
      <c r="F1539" s="10" t="b">
        <f aca="false">FALSE()</f>
        <v>0</v>
      </c>
      <c r="G1539" s="7" t="s">
        <v>182</v>
      </c>
      <c r="H1539" s="7" t="s">
        <v>237</v>
      </c>
      <c r="I1539" s="7" t="n">
        <v>2</v>
      </c>
      <c r="J1539" s="7" t="s">
        <v>107</v>
      </c>
      <c r="K1539" s="7" t="s">
        <v>108</v>
      </c>
      <c r="L1539" s="7" t="n">
        <v>22</v>
      </c>
      <c r="M1539" s="10" t="b">
        <f aca="false">FALSE()</f>
        <v>0</v>
      </c>
      <c r="N1539" s="7" t="s">
        <v>109</v>
      </c>
      <c r="O1539" s="7" t="n">
        <v>-33.90527</v>
      </c>
      <c r="P1539" s="7" t="n">
        <v>151.213089</v>
      </c>
    </row>
    <row r="1540" customFormat="false" ht="15" hidden="false" customHeight="false" outlineLevel="0" collapsed="false">
      <c r="A1540" s="7" t="n">
        <v>1539</v>
      </c>
      <c r="B1540" s="7"/>
      <c r="C1540" s="7" t="s">
        <v>2081</v>
      </c>
      <c r="D1540" s="7" t="n">
        <v>2038</v>
      </c>
      <c r="E1540" s="7" t="s">
        <v>50</v>
      </c>
      <c r="F1540" s="10" t="b">
        <f aca="false">FALSE()</f>
        <v>0</v>
      </c>
      <c r="G1540" s="7" t="s">
        <v>410</v>
      </c>
      <c r="H1540" s="7" t="s">
        <v>1371</v>
      </c>
      <c r="I1540" s="7" t="n">
        <v>1</v>
      </c>
      <c r="J1540" s="7" t="s">
        <v>107</v>
      </c>
      <c r="K1540" s="7" t="s">
        <v>108</v>
      </c>
      <c r="L1540" s="7" t="n">
        <v>22</v>
      </c>
      <c r="M1540" s="10" t="b">
        <f aca="false">FALSE()</f>
        <v>0</v>
      </c>
      <c r="N1540" s="7" t="s">
        <v>557</v>
      </c>
      <c r="O1540" s="7" t="n">
        <v>-33.884785</v>
      </c>
      <c r="P1540" s="7" t="n">
        <v>151.175354</v>
      </c>
    </row>
    <row r="1541" customFormat="false" ht="15" hidden="false" customHeight="false" outlineLevel="0" collapsed="false">
      <c r="A1541" s="7" t="n">
        <v>1540</v>
      </c>
      <c r="B1541" s="7" t="s">
        <v>2082</v>
      </c>
      <c r="C1541" s="7" t="s">
        <v>2083</v>
      </c>
      <c r="D1541" s="7" t="n">
        <v>2325</v>
      </c>
      <c r="E1541" s="7" t="s">
        <v>50</v>
      </c>
      <c r="F1541" s="10" t="b">
        <f aca="false">FALSE()</f>
        <v>0</v>
      </c>
      <c r="G1541" s="7" t="s">
        <v>111</v>
      </c>
      <c r="H1541" s="7" t="s">
        <v>260</v>
      </c>
      <c r="I1541" s="7" t="n">
        <v>2</v>
      </c>
      <c r="J1541" s="7" t="s">
        <v>107</v>
      </c>
      <c r="K1541" s="7" t="s">
        <v>107</v>
      </c>
      <c r="L1541" s="7"/>
      <c r="M1541" s="10" t="b">
        <f aca="false">FALSE()</f>
        <v>0</v>
      </c>
      <c r="N1541" s="7" t="s">
        <v>374</v>
      </c>
      <c r="O1541" s="7" t="n">
        <v>-32.831498</v>
      </c>
      <c r="P1541" s="7" t="n">
        <v>151.338155</v>
      </c>
    </row>
    <row r="1542" customFormat="false" ht="15" hidden="false" customHeight="false" outlineLevel="0" collapsed="false">
      <c r="A1542" s="7" t="n">
        <v>1541</v>
      </c>
      <c r="B1542" s="7"/>
      <c r="C1542" s="7" t="s">
        <v>2084</v>
      </c>
      <c r="D1542" s="7" t="n">
        <v>2022</v>
      </c>
      <c r="E1542" s="7" t="s">
        <v>50</v>
      </c>
      <c r="F1542" s="10" t="b">
        <f aca="false">FALSE()</f>
        <v>0</v>
      </c>
      <c r="G1542" s="7" t="s">
        <v>295</v>
      </c>
      <c r="H1542" s="7" t="s">
        <v>1371</v>
      </c>
      <c r="I1542" s="7" t="n">
        <v>1</v>
      </c>
      <c r="J1542" s="7" t="s">
        <v>107</v>
      </c>
      <c r="K1542" s="7" t="s">
        <v>108</v>
      </c>
      <c r="L1542" s="7" t="n">
        <v>22</v>
      </c>
      <c r="M1542" s="10" t="b">
        <f aca="false">FALSE()</f>
        <v>0</v>
      </c>
      <c r="N1542" s="7" t="s">
        <v>557</v>
      </c>
      <c r="O1542" s="7" t="n">
        <v>-33.895942</v>
      </c>
      <c r="P1542" s="7" t="n">
        <v>151.247804</v>
      </c>
    </row>
    <row r="1543" customFormat="false" ht="15" hidden="false" customHeight="false" outlineLevel="0" collapsed="false">
      <c r="A1543" s="7" t="n">
        <v>1542</v>
      </c>
      <c r="B1543" s="7"/>
      <c r="C1543" s="7" t="s">
        <v>2085</v>
      </c>
      <c r="D1543" s="7" t="n">
        <v>2131</v>
      </c>
      <c r="E1543" s="7" t="s">
        <v>50</v>
      </c>
      <c r="F1543" s="10" t="b">
        <f aca="false">FALSE()</f>
        <v>0</v>
      </c>
      <c r="G1543" s="7" t="s">
        <v>410</v>
      </c>
      <c r="H1543" s="7" t="s">
        <v>556</v>
      </c>
      <c r="I1543" s="7" t="n">
        <v>4</v>
      </c>
      <c r="J1543" s="7" t="s">
        <v>107</v>
      </c>
      <c r="K1543" s="7" t="s">
        <v>108</v>
      </c>
      <c r="L1543" s="7" t="n">
        <v>22</v>
      </c>
      <c r="M1543" s="10" t="b">
        <f aca="false">FALSE()</f>
        <v>0</v>
      </c>
      <c r="N1543" s="7" t="s">
        <v>557</v>
      </c>
      <c r="O1543" s="7" t="n">
        <v>-33.882939</v>
      </c>
      <c r="P1543" s="7" t="n">
        <v>151.122366</v>
      </c>
    </row>
    <row r="1544" customFormat="false" ht="15" hidden="false" customHeight="false" outlineLevel="0" collapsed="false">
      <c r="A1544" s="7" t="n">
        <v>1543</v>
      </c>
      <c r="B1544" s="7"/>
      <c r="C1544" s="7" t="s">
        <v>2086</v>
      </c>
      <c r="D1544" s="7" t="n">
        <v>2204</v>
      </c>
      <c r="E1544" s="7" t="s">
        <v>50</v>
      </c>
      <c r="F1544" s="10" t="b">
        <f aca="false">FALSE()</f>
        <v>0</v>
      </c>
      <c r="G1544" s="7" t="s">
        <v>410</v>
      </c>
      <c r="H1544" s="7" t="s">
        <v>556</v>
      </c>
      <c r="I1544" s="7" t="n">
        <v>2</v>
      </c>
      <c r="J1544" s="7" t="s">
        <v>107</v>
      </c>
      <c r="K1544" s="7" t="s">
        <v>108</v>
      </c>
      <c r="L1544" s="7" t="n">
        <v>22</v>
      </c>
      <c r="M1544" s="10" t="b">
        <f aca="false">FALSE()</f>
        <v>0</v>
      </c>
      <c r="N1544" s="7" t="s">
        <v>557</v>
      </c>
      <c r="O1544" s="7" t="n">
        <v>-33.907902</v>
      </c>
      <c r="P1544" s="7" t="n">
        <v>151.156801</v>
      </c>
    </row>
    <row r="1545" customFormat="false" ht="15" hidden="false" customHeight="false" outlineLevel="0" collapsed="false">
      <c r="A1545" s="7" t="n">
        <v>1544</v>
      </c>
      <c r="B1545" s="7"/>
      <c r="C1545" s="7" t="s">
        <v>2087</v>
      </c>
      <c r="D1545" s="7" t="n">
        <v>2066</v>
      </c>
      <c r="E1545" s="7" t="s">
        <v>50</v>
      </c>
      <c r="F1545" s="10" t="b">
        <f aca="false">FALSE()</f>
        <v>0</v>
      </c>
      <c r="G1545" s="7" t="s">
        <v>389</v>
      </c>
      <c r="H1545" s="7" t="s">
        <v>1371</v>
      </c>
      <c r="I1545" s="7" t="n">
        <v>1</v>
      </c>
      <c r="J1545" s="7" t="s">
        <v>107</v>
      </c>
      <c r="K1545" s="7" t="s">
        <v>900</v>
      </c>
      <c r="L1545" s="7" t="n">
        <v>7</v>
      </c>
      <c r="M1545" s="10" t="b">
        <f aca="false">FALSE()</f>
        <v>0</v>
      </c>
      <c r="N1545" s="7" t="s">
        <v>557</v>
      </c>
      <c r="O1545" s="7" t="n">
        <v>-33.806717</v>
      </c>
      <c r="P1545" s="7" t="n">
        <v>151.175016</v>
      </c>
    </row>
    <row r="1546" customFormat="false" ht="15" hidden="false" customHeight="false" outlineLevel="0" collapsed="false">
      <c r="A1546" s="7" t="n">
        <v>1545</v>
      </c>
      <c r="B1546" s="7" t="s">
        <v>2088</v>
      </c>
      <c r="C1546" s="7" t="s">
        <v>2089</v>
      </c>
      <c r="D1546" s="7" t="n">
        <v>2380</v>
      </c>
      <c r="E1546" s="7" t="s">
        <v>50</v>
      </c>
      <c r="F1546" s="10" t="b">
        <f aca="false">FALSE()</f>
        <v>0</v>
      </c>
      <c r="G1546" s="7" t="s">
        <v>149</v>
      </c>
      <c r="H1546" s="7" t="s">
        <v>1889</v>
      </c>
      <c r="I1546" s="7" t="n">
        <v>1</v>
      </c>
      <c r="J1546" s="7" t="s">
        <v>107</v>
      </c>
      <c r="K1546" s="7" t="s">
        <v>107</v>
      </c>
      <c r="L1546" s="7"/>
      <c r="M1546" s="10" t="b">
        <f aca="false">FALSE()</f>
        <v>0</v>
      </c>
      <c r="N1546" s="7" t="s">
        <v>399</v>
      </c>
      <c r="O1546" s="7" t="n">
        <v>-30.983639</v>
      </c>
      <c r="P1546" s="7" t="n">
        <v>150.264047</v>
      </c>
    </row>
    <row r="1547" customFormat="false" ht="15" hidden="false" customHeight="false" outlineLevel="0" collapsed="false">
      <c r="A1547" s="7" t="n">
        <v>1546</v>
      </c>
      <c r="B1547" s="7" t="s">
        <v>2090</v>
      </c>
      <c r="C1547" s="7" t="s">
        <v>2091</v>
      </c>
      <c r="D1547" s="7" t="n">
        <v>2320</v>
      </c>
      <c r="E1547" s="7" t="s">
        <v>50</v>
      </c>
      <c r="F1547" s="10" t="b">
        <f aca="false">FALSE()</f>
        <v>0</v>
      </c>
      <c r="G1547" s="7" t="s">
        <v>283</v>
      </c>
      <c r="H1547" s="7" t="s">
        <v>260</v>
      </c>
      <c r="I1547" s="7" t="n">
        <v>4</v>
      </c>
      <c r="J1547" s="7" t="s">
        <v>107</v>
      </c>
      <c r="K1547" s="7" t="s">
        <v>107</v>
      </c>
      <c r="L1547" s="7"/>
      <c r="M1547" s="10" t="b">
        <f aca="false">FALSE()</f>
        <v>0</v>
      </c>
      <c r="N1547" s="7" t="s">
        <v>374</v>
      </c>
      <c r="O1547" s="7" t="n">
        <v>-32.733865</v>
      </c>
      <c r="P1547" s="7" t="n">
        <v>151.556126</v>
      </c>
    </row>
    <row r="1548" customFormat="false" ht="15" hidden="false" customHeight="false" outlineLevel="0" collapsed="false">
      <c r="A1548" s="7" t="n">
        <v>1547</v>
      </c>
      <c r="B1548" s="7"/>
      <c r="C1548" s="7" t="s">
        <v>2092</v>
      </c>
      <c r="D1548" s="7" t="n">
        <v>2203</v>
      </c>
      <c r="E1548" s="7" t="s">
        <v>50</v>
      </c>
      <c r="F1548" s="10" t="b">
        <f aca="false">FALSE()</f>
        <v>0</v>
      </c>
      <c r="G1548" s="7" t="s">
        <v>410</v>
      </c>
      <c r="H1548" s="7" t="s">
        <v>556</v>
      </c>
      <c r="I1548" s="7" t="n">
        <v>2</v>
      </c>
      <c r="J1548" s="7" t="s">
        <v>107</v>
      </c>
      <c r="K1548" s="7" t="s">
        <v>108</v>
      </c>
      <c r="L1548" s="7" t="n">
        <v>22</v>
      </c>
      <c r="M1548" s="10" t="b">
        <f aca="false">FALSE()</f>
        <v>0</v>
      </c>
      <c r="N1548" s="7" t="s">
        <v>557</v>
      </c>
      <c r="O1548" s="7" t="n">
        <v>-33.902496</v>
      </c>
      <c r="P1548" s="7" t="n">
        <v>151.143841</v>
      </c>
    </row>
    <row r="1549" customFormat="false" ht="15" hidden="false" customHeight="false" outlineLevel="0" collapsed="false">
      <c r="A1549" s="7" t="n">
        <v>1548</v>
      </c>
      <c r="B1549" s="7" t="s">
        <v>2093</v>
      </c>
      <c r="C1549" s="7" t="s">
        <v>2094</v>
      </c>
      <c r="D1549" s="7" t="n">
        <v>2320</v>
      </c>
      <c r="E1549" s="7" t="s">
        <v>50</v>
      </c>
      <c r="F1549" s="10" t="b">
        <f aca="false">FALSE()</f>
        <v>0</v>
      </c>
      <c r="G1549" s="7" t="s">
        <v>111</v>
      </c>
      <c r="H1549" s="7" t="s">
        <v>237</v>
      </c>
      <c r="I1549" s="7" t="n">
        <v>2</v>
      </c>
      <c r="J1549" s="7" t="s">
        <v>107</v>
      </c>
      <c r="K1549" s="7" t="s">
        <v>107</v>
      </c>
      <c r="L1549" s="7"/>
      <c r="M1549" s="10" t="b">
        <f aca="false">FALSE()</f>
        <v>0</v>
      </c>
      <c r="N1549" s="7" t="s">
        <v>399</v>
      </c>
      <c r="O1549" s="7" t="n">
        <v>-32.753927</v>
      </c>
      <c r="P1549" s="7" t="n">
        <v>151.298235</v>
      </c>
    </row>
    <row r="1550" customFormat="false" ht="15" hidden="false" customHeight="false" outlineLevel="0" collapsed="false">
      <c r="A1550" s="7" t="n">
        <v>1549</v>
      </c>
      <c r="B1550" s="7"/>
      <c r="C1550" s="7" t="s">
        <v>2095</v>
      </c>
      <c r="D1550" s="7" t="n">
        <v>2540</v>
      </c>
      <c r="E1550" s="7" t="s">
        <v>50</v>
      </c>
      <c r="F1550" s="10" t="b">
        <f aca="false">FALSE()</f>
        <v>0</v>
      </c>
      <c r="G1550" s="7" t="s">
        <v>92</v>
      </c>
      <c r="H1550" s="7" t="s">
        <v>252</v>
      </c>
      <c r="I1550" s="7" t="n">
        <v>2</v>
      </c>
      <c r="J1550" s="7" t="s">
        <v>107</v>
      </c>
      <c r="K1550" s="7" t="s">
        <v>107</v>
      </c>
      <c r="L1550" s="7"/>
      <c r="M1550" s="10" t="b">
        <f aca="false">FALSE()</f>
        <v>0</v>
      </c>
      <c r="N1550" s="7" t="s">
        <v>399</v>
      </c>
      <c r="O1550" s="7" t="n">
        <v>-35.038337</v>
      </c>
      <c r="P1550" s="7" t="n">
        <v>150.669248</v>
      </c>
    </row>
    <row r="1551" customFormat="false" ht="15" hidden="false" customHeight="false" outlineLevel="0" collapsed="false">
      <c r="A1551" s="7" t="n">
        <v>1550</v>
      </c>
      <c r="B1551" s="7"/>
      <c r="C1551" s="7" t="s">
        <v>2096</v>
      </c>
      <c r="D1551" s="7" t="n">
        <v>2031</v>
      </c>
      <c r="E1551" s="7" t="s">
        <v>50</v>
      </c>
      <c r="F1551" s="10" t="b">
        <f aca="false">FALSE()</f>
        <v>0</v>
      </c>
      <c r="G1551" s="7" t="s">
        <v>355</v>
      </c>
      <c r="H1551" s="7" t="s">
        <v>1371</v>
      </c>
      <c r="I1551" s="7" t="n">
        <v>1</v>
      </c>
      <c r="J1551" s="7" t="s">
        <v>107</v>
      </c>
      <c r="K1551" s="7" t="s">
        <v>900</v>
      </c>
      <c r="L1551" s="7" t="n">
        <v>7</v>
      </c>
      <c r="M1551" s="10" t="b">
        <f aca="false">FALSE()</f>
        <v>0</v>
      </c>
      <c r="N1551" s="7" t="s">
        <v>557</v>
      </c>
      <c r="O1551" s="7" t="n">
        <v>-33.910476</v>
      </c>
      <c r="P1551" s="7" t="n">
        <v>151.247119</v>
      </c>
    </row>
    <row r="1552" customFormat="false" ht="15" hidden="false" customHeight="false" outlineLevel="0" collapsed="false">
      <c r="A1552" s="7" t="n">
        <v>1551</v>
      </c>
      <c r="B1552" s="7" t="s">
        <v>2097</v>
      </c>
      <c r="C1552" s="7" t="s">
        <v>2098</v>
      </c>
      <c r="D1552" s="7" t="n">
        <v>2641</v>
      </c>
      <c r="E1552" s="7" t="s">
        <v>50</v>
      </c>
      <c r="F1552" s="10" t="b">
        <f aca="false">FALSE()</f>
        <v>0</v>
      </c>
      <c r="G1552" s="7" t="s">
        <v>194</v>
      </c>
      <c r="H1552" s="7" t="s">
        <v>237</v>
      </c>
      <c r="I1552" s="7" t="n">
        <v>4</v>
      </c>
      <c r="J1552" s="7" t="s">
        <v>107</v>
      </c>
      <c r="K1552" s="7" t="s">
        <v>107</v>
      </c>
      <c r="L1552" s="7"/>
      <c r="M1552" s="10" t="b">
        <f aca="false">FALSE()</f>
        <v>0</v>
      </c>
      <c r="N1552" s="7" t="s">
        <v>374</v>
      </c>
      <c r="O1552" s="7" t="n">
        <v>-36.045887</v>
      </c>
      <c r="P1552" s="7" t="n">
        <v>146.943785</v>
      </c>
    </row>
    <row r="1553" customFormat="false" ht="15" hidden="false" customHeight="false" outlineLevel="0" collapsed="false">
      <c r="A1553" s="7" t="n">
        <v>1552</v>
      </c>
      <c r="B1553" s="7"/>
      <c r="C1553" s="7" t="s">
        <v>2099</v>
      </c>
      <c r="D1553" s="7" t="n">
        <v>2096</v>
      </c>
      <c r="E1553" s="7" t="s">
        <v>50</v>
      </c>
      <c r="F1553" s="10" t="b">
        <f aca="false">FALSE()</f>
        <v>0</v>
      </c>
      <c r="G1553" s="7" t="s">
        <v>286</v>
      </c>
      <c r="H1553" s="7" t="s">
        <v>302</v>
      </c>
      <c r="I1553" s="7" t="n">
        <v>2</v>
      </c>
      <c r="J1553" s="7" t="s">
        <v>107</v>
      </c>
      <c r="K1553" s="7" t="s">
        <v>108</v>
      </c>
      <c r="L1553" s="7" t="n">
        <v>22</v>
      </c>
      <c r="M1553" s="10" t="b">
        <f aca="false">FALSE()</f>
        <v>0</v>
      </c>
      <c r="N1553" s="7" t="s">
        <v>557</v>
      </c>
      <c r="O1553" s="7" t="n">
        <v>-33.773966</v>
      </c>
      <c r="P1553" s="7" t="n">
        <v>151.291825</v>
      </c>
    </row>
    <row r="1554" customFormat="false" ht="15" hidden="false" customHeight="false" outlineLevel="0" collapsed="false">
      <c r="A1554" s="7" t="n">
        <v>1553</v>
      </c>
      <c r="B1554" s="7" t="s">
        <v>2053</v>
      </c>
      <c r="C1554" s="7" t="s">
        <v>2100</v>
      </c>
      <c r="D1554" s="7" t="n">
        <v>2444</v>
      </c>
      <c r="E1554" s="7" t="s">
        <v>50</v>
      </c>
      <c r="F1554" s="10" t="b">
        <f aca="false">FALSE()</f>
        <v>0</v>
      </c>
      <c r="G1554" s="7" t="s">
        <v>135</v>
      </c>
      <c r="H1554" s="7" t="s">
        <v>1748</v>
      </c>
      <c r="I1554" s="7" t="n">
        <v>2</v>
      </c>
      <c r="J1554" s="7" t="s">
        <v>107</v>
      </c>
      <c r="K1554" s="7" t="s">
        <v>107</v>
      </c>
      <c r="L1554" s="7"/>
      <c r="M1554" s="10" t="b">
        <f aca="false">FALSE()</f>
        <v>0</v>
      </c>
      <c r="N1554" s="7" t="s">
        <v>374</v>
      </c>
      <c r="O1554" s="7" t="n">
        <v>-31.429928</v>
      </c>
      <c r="P1554" s="7" t="n">
        <v>152.909968</v>
      </c>
    </row>
    <row r="1555" customFormat="false" ht="15" hidden="false" customHeight="false" outlineLevel="0" collapsed="false">
      <c r="A1555" s="7" t="n">
        <v>1554</v>
      </c>
      <c r="B1555" s="7" t="s">
        <v>2101</v>
      </c>
      <c r="C1555" s="7" t="s">
        <v>2102</v>
      </c>
      <c r="D1555" s="7" t="n">
        <v>2800</v>
      </c>
      <c r="E1555" s="7" t="s">
        <v>50</v>
      </c>
      <c r="F1555" s="10" t="b">
        <f aca="false">FALSE()</f>
        <v>0</v>
      </c>
      <c r="G1555" s="7" t="s">
        <v>185</v>
      </c>
      <c r="H1555" s="7" t="s">
        <v>398</v>
      </c>
      <c r="I1555" s="7" t="n">
        <v>2</v>
      </c>
      <c r="J1555" s="7" t="s">
        <v>107</v>
      </c>
      <c r="K1555" s="7" t="s">
        <v>107</v>
      </c>
      <c r="L1555" s="7"/>
      <c r="M1555" s="10" t="b">
        <f aca="false">FALSE()</f>
        <v>0</v>
      </c>
      <c r="N1555" s="7" t="s">
        <v>399</v>
      </c>
      <c r="O1555" s="7" t="n">
        <v>-33.299077</v>
      </c>
      <c r="P1555" s="7" t="n">
        <v>149.019387</v>
      </c>
    </row>
    <row r="1556" customFormat="false" ht="15" hidden="false" customHeight="false" outlineLevel="0" collapsed="false">
      <c r="A1556" s="7" t="n">
        <v>1555</v>
      </c>
      <c r="B1556" s="7"/>
      <c r="C1556" s="7" t="s">
        <v>2103</v>
      </c>
      <c r="D1556" s="7" t="n">
        <v>2027</v>
      </c>
      <c r="E1556" s="7" t="s">
        <v>50</v>
      </c>
      <c r="F1556" s="10" t="b">
        <f aca="false">FALSE()</f>
        <v>0</v>
      </c>
      <c r="G1556" s="7" t="s">
        <v>272</v>
      </c>
      <c r="H1556" s="7" t="s">
        <v>237</v>
      </c>
      <c r="I1556" s="7" t="n">
        <v>2</v>
      </c>
      <c r="J1556" s="7" t="s">
        <v>107</v>
      </c>
      <c r="K1556" s="7" t="s">
        <v>900</v>
      </c>
      <c r="L1556" s="7" t="n">
        <v>7</v>
      </c>
      <c r="M1556" s="10" t="b">
        <f aca="false">FALSE()</f>
        <v>0</v>
      </c>
      <c r="N1556" s="7" t="s">
        <v>557</v>
      </c>
      <c r="O1556" s="7" t="n">
        <v>-33.873399</v>
      </c>
      <c r="P1556" s="7" t="n">
        <v>151.235273</v>
      </c>
    </row>
    <row r="1557" customFormat="false" ht="15" hidden="false" customHeight="false" outlineLevel="0" collapsed="false">
      <c r="A1557" s="7" t="n">
        <v>1556</v>
      </c>
      <c r="B1557" s="7" t="s">
        <v>2104</v>
      </c>
      <c r="C1557" s="7" t="s">
        <v>2105</v>
      </c>
      <c r="D1557" s="7" t="n">
        <v>2421</v>
      </c>
      <c r="E1557" s="7" t="s">
        <v>50</v>
      </c>
      <c r="F1557" s="10" t="b">
        <f aca="false">FALSE()</f>
        <v>0</v>
      </c>
      <c r="G1557" s="7" t="s">
        <v>1800</v>
      </c>
      <c r="H1557" s="7" t="s">
        <v>237</v>
      </c>
      <c r="I1557" s="7" t="n">
        <v>4</v>
      </c>
      <c r="J1557" s="7" t="s">
        <v>107</v>
      </c>
      <c r="K1557" s="7" t="s">
        <v>107</v>
      </c>
      <c r="L1557" s="7"/>
      <c r="M1557" s="10" t="b">
        <f aca="false">FALSE()</f>
        <v>0</v>
      </c>
      <c r="N1557" s="7" t="s">
        <v>399</v>
      </c>
      <c r="O1557" s="7" t="n">
        <v>-32.542329</v>
      </c>
      <c r="P1557" s="7" t="n">
        <v>151.501101</v>
      </c>
    </row>
    <row r="1558" customFormat="false" ht="15" hidden="false" customHeight="false" outlineLevel="0" collapsed="false">
      <c r="A1558" s="7" t="n">
        <v>1557</v>
      </c>
      <c r="B1558" s="7" t="s">
        <v>2106</v>
      </c>
      <c r="C1558" s="7" t="s">
        <v>2107</v>
      </c>
      <c r="D1558" s="7" t="n">
        <v>2316</v>
      </c>
      <c r="E1558" s="7" t="s">
        <v>50</v>
      </c>
      <c r="F1558" s="10" t="b">
        <f aca="false">FALSE()</f>
        <v>0</v>
      </c>
      <c r="G1558" s="7" t="s">
        <v>309</v>
      </c>
      <c r="H1558" s="7" t="s">
        <v>260</v>
      </c>
      <c r="I1558" s="7" t="n">
        <v>4</v>
      </c>
      <c r="J1558" s="7" t="s">
        <v>107</v>
      </c>
      <c r="K1558" s="7" t="s">
        <v>107</v>
      </c>
      <c r="L1558" s="7"/>
      <c r="M1558" s="10" t="b">
        <f aca="false">FALSE()</f>
        <v>0</v>
      </c>
      <c r="N1558" s="7" t="s">
        <v>399</v>
      </c>
      <c r="O1558" s="7" t="n">
        <v>-32.776938</v>
      </c>
      <c r="P1558" s="7" t="n">
        <v>152.113996</v>
      </c>
    </row>
    <row r="1559" customFormat="false" ht="15" hidden="false" customHeight="false" outlineLevel="0" collapsed="false">
      <c r="A1559" s="7" t="n">
        <v>1558</v>
      </c>
      <c r="B1559" s="7"/>
      <c r="C1559" s="7" t="s">
        <v>2108</v>
      </c>
      <c r="D1559" s="7" t="n">
        <v>2029</v>
      </c>
      <c r="E1559" s="7" t="s">
        <v>50</v>
      </c>
      <c r="F1559" s="10" t="b">
        <f aca="false">FALSE()</f>
        <v>0</v>
      </c>
      <c r="G1559" s="7" t="s">
        <v>295</v>
      </c>
      <c r="H1559" s="7" t="s">
        <v>302</v>
      </c>
      <c r="I1559" s="7" t="n">
        <v>2</v>
      </c>
      <c r="J1559" s="7" t="s">
        <v>107</v>
      </c>
      <c r="K1559" s="7" t="s">
        <v>108</v>
      </c>
      <c r="L1559" s="7" t="n">
        <v>22</v>
      </c>
      <c r="M1559" s="10" t="b">
        <f aca="false">FALSE()</f>
        <v>0</v>
      </c>
      <c r="N1559" s="7" t="s">
        <v>557</v>
      </c>
      <c r="O1559" s="7" t="n">
        <v>-33.878617</v>
      </c>
      <c r="P1559" s="7" t="n">
        <v>151.270705</v>
      </c>
    </row>
    <row r="1560" customFormat="false" ht="15" hidden="false" customHeight="false" outlineLevel="0" collapsed="false">
      <c r="A1560" s="7" t="n">
        <v>1559</v>
      </c>
      <c r="B1560" s="7" t="s">
        <v>147</v>
      </c>
      <c r="C1560" s="7" t="s">
        <v>2109</v>
      </c>
      <c r="D1560" s="7" t="n">
        <v>2650</v>
      </c>
      <c r="E1560" s="7" t="s">
        <v>50</v>
      </c>
      <c r="F1560" s="10" t="b">
        <f aca="false">FALSE()</f>
        <v>0</v>
      </c>
      <c r="G1560" s="7" t="s">
        <v>147</v>
      </c>
      <c r="H1560" s="7" t="s">
        <v>1748</v>
      </c>
      <c r="I1560" s="7" t="n">
        <v>2</v>
      </c>
      <c r="J1560" s="7" t="s">
        <v>107</v>
      </c>
      <c r="K1560" s="7" t="s">
        <v>107</v>
      </c>
      <c r="L1560" s="7"/>
      <c r="M1560" s="10" t="b">
        <f aca="false">FALSE()</f>
        <v>0</v>
      </c>
      <c r="N1560" s="7" t="s">
        <v>374</v>
      </c>
      <c r="O1560" s="7" t="n">
        <v>-35.171099</v>
      </c>
      <c r="P1560" s="7" t="n">
        <v>147.378999</v>
      </c>
    </row>
    <row r="1561" customFormat="false" ht="15" hidden="false" customHeight="false" outlineLevel="0" collapsed="false">
      <c r="A1561" s="7" t="n">
        <v>1560</v>
      </c>
      <c r="B1561" s="7" t="s">
        <v>2110</v>
      </c>
      <c r="C1561" s="7" t="s">
        <v>2111</v>
      </c>
      <c r="D1561" s="7" t="n">
        <v>2325</v>
      </c>
      <c r="E1561" s="7" t="s">
        <v>50</v>
      </c>
      <c r="F1561" s="10" t="b">
        <f aca="false">FALSE()</f>
        <v>0</v>
      </c>
      <c r="G1561" s="7" t="s">
        <v>111</v>
      </c>
      <c r="H1561" s="7" t="s">
        <v>237</v>
      </c>
      <c r="I1561" s="7" t="n">
        <v>1</v>
      </c>
      <c r="J1561" s="7" t="s">
        <v>107</v>
      </c>
      <c r="K1561" s="7" t="s">
        <v>107</v>
      </c>
      <c r="L1561" s="7"/>
      <c r="M1561" s="10" t="b">
        <f aca="false">FALSE()</f>
        <v>0</v>
      </c>
      <c r="N1561" s="7" t="s">
        <v>399</v>
      </c>
      <c r="O1561" s="7" t="n">
        <v>-32.742285</v>
      </c>
      <c r="P1561" s="7" t="n">
        <v>151.347702</v>
      </c>
    </row>
    <row r="1562" customFormat="false" ht="15" hidden="false" customHeight="false" outlineLevel="0" collapsed="false">
      <c r="A1562" s="7" t="n">
        <v>1561</v>
      </c>
      <c r="B1562" s="7"/>
      <c r="C1562" s="7" t="s">
        <v>2112</v>
      </c>
      <c r="D1562" s="7" t="n">
        <v>2067</v>
      </c>
      <c r="E1562" s="7" t="s">
        <v>50</v>
      </c>
      <c r="F1562" s="10" t="b">
        <f aca="false">FALSE()</f>
        <v>0</v>
      </c>
      <c r="G1562" s="7" t="s">
        <v>258</v>
      </c>
      <c r="H1562" s="7" t="s">
        <v>302</v>
      </c>
      <c r="I1562" s="7" t="n">
        <v>2</v>
      </c>
      <c r="J1562" s="7" t="s">
        <v>107</v>
      </c>
      <c r="K1562" s="7" t="s">
        <v>108</v>
      </c>
      <c r="L1562" s="7" t="n">
        <v>22</v>
      </c>
      <c r="M1562" s="10" t="b">
        <f aca="false">FALSE()</f>
        <v>0</v>
      </c>
      <c r="N1562" s="7" t="s">
        <v>557</v>
      </c>
      <c r="O1562" s="7" t="n">
        <v>-33.793508</v>
      </c>
      <c r="P1562" s="7" t="n">
        <v>151.181598</v>
      </c>
    </row>
    <row r="1563" customFormat="false" ht="15" hidden="false" customHeight="false" outlineLevel="0" collapsed="false">
      <c r="A1563" s="7" t="n">
        <v>1562</v>
      </c>
      <c r="B1563" s="7" t="s">
        <v>2113</v>
      </c>
      <c r="C1563" s="7" t="s">
        <v>2114</v>
      </c>
      <c r="D1563" s="7" t="n">
        <v>2478</v>
      </c>
      <c r="E1563" s="7" t="s">
        <v>50</v>
      </c>
      <c r="F1563" s="10" t="b">
        <f aca="false">FALSE()</f>
        <v>0</v>
      </c>
      <c r="G1563" s="7" t="s">
        <v>495</v>
      </c>
      <c r="H1563" s="7" t="s">
        <v>398</v>
      </c>
      <c r="I1563" s="7" t="n">
        <v>2</v>
      </c>
      <c r="J1563" s="7" t="s">
        <v>107</v>
      </c>
      <c r="K1563" s="7" t="s">
        <v>107</v>
      </c>
      <c r="L1563" s="7"/>
      <c r="M1563" s="10" t="b">
        <f aca="false">FALSE()</f>
        <v>0</v>
      </c>
      <c r="N1563" s="7" t="s">
        <v>399</v>
      </c>
      <c r="O1563" s="7" t="n">
        <v>-28.885392</v>
      </c>
      <c r="P1563" s="7" t="n">
        <v>153.568439</v>
      </c>
    </row>
    <row r="1564" customFormat="false" ht="15" hidden="false" customHeight="false" outlineLevel="0" collapsed="false">
      <c r="A1564" s="7" t="n">
        <v>1563</v>
      </c>
      <c r="B1564" s="7" t="s">
        <v>2115</v>
      </c>
      <c r="C1564" s="7" t="s">
        <v>2116</v>
      </c>
      <c r="D1564" s="7" t="n">
        <v>2551</v>
      </c>
      <c r="E1564" s="7" t="s">
        <v>50</v>
      </c>
      <c r="F1564" s="10" t="b">
        <f aca="false">FALSE()</f>
        <v>0</v>
      </c>
      <c r="G1564" s="7" t="s">
        <v>188</v>
      </c>
      <c r="H1564" s="7" t="s">
        <v>260</v>
      </c>
      <c r="I1564" s="7" t="n">
        <v>4</v>
      </c>
      <c r="J1564" s="7" t="s">
        <v>107</v>
      </c>
      <c r="K1564" s="7" t="s">
        <v>107</v>
      </c>
      <c r="L1564" s="7"/>
      <c r="M1564" s="10" t="b">
        <f aca="false">FALSE()</f>
        <v>0</v>
      </c>
      <c r="N1564" s="7" t="s">
        <v>399</v>
      </c>
      <c r="O1564" s="7" t="n">
        <v>-37.077025</v>
      </c>
      <c r="P1564" s="7" t="n">
        <v>149.875388</v>
      </c>
    </row>
    <row r="1565" customFormat="false" ht="15" hidden="false" customHeight="false" outlineLevel="0" collapsed="false">
      <c r="A1565" s="7" t="n">
        <v>1564</v>
      </c>
      <c r="B1565" s="7"/>
      <c r="C1565" s="7" t="s">
        <v>2117</v>
      </c>
      <c r="D1565" s="7" t="n">
        <v>2027</v>
      </c>
      <c r="E1565" s="7" t="s">
        <v>50</v>
      </c>
      <c r="F1565" s="10" t="b">
        <f aca="false">FALSE()</f>
        <v>0</v>
      </c>
      <c r="G1565" s="7" t="s">
        <v>272</v>
      </c>
      <c r="H1565" s="7" t="s">
        <v>1371</v>
      </c>
      <c r="I1565" s="7" t="n">
        <v>1</v>
      </c>
      <c r="J1565" s="7" t="s">
        <v>107</v>
      </c>
      <c r="K1565" s="7" t="s">
        <v>900</v>
      </c>
      <c r="L1565" s="7" t="n">
        <v>7</v>
      </c>
      <c r="M1565" s="10" t="b">
        <f aca="false">FALSE()</f>
        <v>0</v>
      </c>
      <c r="N1565" s="7" t="s">
        <v>557</v>
      </c>
      <c r="O1565" s="7" t="n">
        <v>-33.88</v>
      </c>
      <c r="P1565" s="7" t="n">
        <v>151.239216</v>
      </c>
    </row>
    <row r="1566" customFormat="false" ht="15" hidden="false" customHeight="false" outlineLevel="0" collapsed="false">
      <c r="A1566" s="7" t="n">
        <v>1565</v>
      </c>
      <c r="B1566" s="7" t="s">
        <v>1340</v>
      </c>
      <c r="C1566" s="7" t="s">
        <v>2118</v>
      </c>
      <c r="D1566" s="7" t="n">
        <v>2720</v>
      </c>
      <c r="E1566" s="7" t="s">
        <v>50</v>
      </c>
      <c r="F1566" s="10" t="b">
        <f aca="false">FALSE()</f>
        <v>0</v>
      </c>
      <c r="G1566" s="7" t="s">
        <v>456</v>
      </c>
      <c r="H1566" s="7" t="s">
        <v>1862</v>
      </c>
      <c r="I1566" s="7" t="n">
        <v>2</v>
      </c>
      <c r="J1566" s="7" t="s">
        <v>107</v>
      </c>
      <c r="K1566" s="7" t="s">
        <v>107</v>
      </c>
      <c r="L1566" s="7"/>
      <c r="M1566" s="10" t="b">
        <f aca="false">FALSE()</f>
        <v>0</v>
      </c>
      <c r="N1566" s="7" t="s">
        <v>399</v>
      </c>
      <c r="O1566" s="7" t="n">
        <v>-35.584137</v>
      </c>
      <c r="P1566" s="7" t="n">
        <v>148.294237</v>
      </c>
    </row>
    <row r="1567" customFormat="false" ht="15" hidden="false" customHeight="false" outlineLevel="0" collapsed="false">
      <c r="A1567" s="7" t="n">
        <v>1566</v>
      </c>
      <c r="B1567" s="7" t="s">
        <v>2119</v>
      </c>
      <c r="C1567" s="7" t="s">
        <v>2120</v>
      </c>
      <c r="D1567" s="7" t="n">
        <v>2320</v>
      </c>
      <c r="E1567" s="7" t="s">
        <v>50</v>
      </c>
      <c r="F1567" s="10" t="b">
        <f aca="false">FALSE()</f>
        <v>0</v>
      </c>
      <c r="G1567" s="7" t="s">
        <v>283</v>
      </c>
      <c r="H1567" s="7" t="s">
        <v>237</v>
      </c>
      <c r="I1567" s="7" t="n">
        <v>2</v>
      </c>
      <c r="J1567" s="7" t="s">
        <v>107</v>
      </c>
      <c r="K1567" s="7" t="s">
        <v>107</v>
      </c>
      <c r="L1567" s="7"/>
      <c r="M1567" s="10" t="b">
        <f aca="false">FALSE()</f>
        <v>0</v>
      </c>
      <c r="N1567" s="7" t="s">
        <v>374</v>
      </c>
      <c r="O1567" s="7" t="n">
        <v>-32.731015</v>
      </c>
      <c r="P1567" s="7" t="n">
        <v>151.55356</v>
      </c>
    </row>
    <row r="1568" customFormat="false" ht="15" hidden="false" customHeight="false" outlineLevel="0" collapsed="false">
      <c r="A1568" s="7" t="n">
        <v>1567</v>
      </c>
      <c r="B1568" s="7" t="s">
        <v>2121</v>
      </c>
      <c r="C1568" s="7" t="s">
        <v>2122</v>
      </c>
      <c r="D1568" s="7" t="n">
        <v>2594</v>
      </c>
      <c r="E1568" s="7" t="s">
        <v>50</v>
      </c>
      <c r="F1568" s="10" t="b">
        <f aca="false">FALSE()</f>
        <v>0</v>
      </c>
      <c r="G1568" s="7" t="s">
        <v>206</v>
      </c>
      <c r="H1568" s="7" t="s">
        <v>237</v>
      </c>
      <c r="I1568" s="7" t="n">
        <v>4</v>
      </c>
      <c r="J1568" s="7" t="s">
        <v>107</v>
      </c>
      <c r="K1568" s="7" t="s">
        <v>107</v>
      </c>
      <c r="L1568" s="7"/>
      <c r="M1568" s="10" t="b">
        <f aca="false">FALSE()</f>
        <v>0</v>
      </c>
      <c r="N1568" s="7" t="s">
        <v>399</v>
      </c>
      <c r="O1568" s="7" t="n">
        <v>-34.314891</v>
      </c>
      <c r="P1568" s="7" t="n">
        <v>148.29643</v>
      </c>
    </row>
    <row r="1569" customFormat="false" ht="15" hidden="false" customHeight="false" outlineLevel="0" collapsed="false">
      <c r="A1569" s="7" t="n">
        <v>1568</v>
      </c>
      <c r="B1569" s="7" t="s">
        <v>2123</v>
      </c>
      <c r="C1569" s="7" t="s">
        <v>2124</v>
      </c>
      <c r="D1569" s="7" t="n">
        <v>2539</v>
      </c>
      <c r="E1569" s="7" t="s">
        <v>50</v>
      </c>
      <c r="F1569" s="10" t="b">
        <f aca="false">FALSE()</f>
        <v>0</v>
      </c>
      <c r="G1569" s="7" t="s">
        <v>92</v>
      </c>
      <c r="H1569" s="7" t="s">
        <v>260</v>
      </c>
      <c r="I1569" s="7" t="n">
        <v>4</v>
      </c>
      <c r="J1569" s="7" t="s">
        <v>107</v>
      </c>
      <c r="K1569" s="7" t="s">
        <v>107</v>
      </c>
      <c r="L1569" s="7"/>
      <c r="M1569" s="10" t="b">
        <f aca="false">FALSE()</f>
        <v>0</v>
      </c>
      <c r="N1569" s="7" t="s">
        <v>399</v>
      </c>
      <c r="O1569" s="7" t="n">
        <v>-35.565409</v>
      </c>
      <c r="P1569" s="7" t="n">
        <v>150.371976</v>
      </c>
    </row>
    <row r="1570" customFormat="false" ht="15" hidden="false" customHeight="false" outlineLevel="0" collapsed="false">
      <c r="A1570" s="7" t="n">
        <v>1569</v>
      </c>
      <c r="B1570" s="7"/>
      <c r="C1570" s="7" t="s">
        <v>2125</v>
      </c>
      <c r="D1570" s="7" t="n">
        <v>2430</v>
      </c>
      <c r="E1570" s="7" t="s">
        <v>50</v>
      </c>
      <c r="F1570" s="10" t="b">
        <f aca="false">FALSE()</f>
        <v>0</v>
      </c>
      <c r="G1570" s="7" t="s">
        <v>128</v>
      </c>
      <c r="H1570" s="7" t="s">
        <v>239</v>
      </c>
      <c r="I1570" s="7" t="n">
        <v>12</v>
      </c>
      <c r="J1570" s="7" t="s">
        <v>71</v>
      </c>
      <c r="K1570" s="7" t="s">
        <v>117</v>
      </c>
      <c r="L1570" s="7" t="n">
        <v>175</v>
      </c>
      <c r="M1570" s="10" t="b">
        <f aca="false">FALSE()</f>
        <v>0</v>
      </c>
      <c r="N1570" s="7" t="s">
        <v>118</v>
      </c>
      <c r="O1570" s="7" t="n">
        <v>-31.909119</v>
      </c>
      <c r="P1570" s="7" t="n">
        <v>152.460281</v>
      </c>
    </row>
    <row r="1571" customFormat="false" ht="15" hidden="false" customHeight="false" outlineLevel="0" collapsed="false">
      <c r="A1571" s="7" t="n">
        <v>1570</v>
      </c>
      <c r="B1571" s="7"/>
      <c r="C1571" s="7" t="s">
        <v>2126</v>
      </c>
      <c r="D1571" s="7" t="n">
        <v>2067</v>
      </c>
      <c r="E1571" s="7" t="s">
        <v>50</v>
      </c>
      <c r="F1571" s="10" t="b">
        <f aca="false">FALSE()</f>
        <v>0</v>
      </c>
      <c r="G1571" s="7" t="s">
        <v>258</v>
      </c>
      <c r="H1571" s="7" t="s">
        <v>302</v>
      </c>
      <c r="I1571" s="7" t="n">
        <v>2</v>
      </c>
      <c r="J1571" s="7" t="s">
        <v>107</v>
      </c>
      <c r="K1571" s="7" t="s">
        <v>108</v>
      </c>
      <c r="L1571" s="7" t="n">
        <v>22</v>
      </c>
      <c r="M1571" s="10" t="b">
        <f aca="false">FALSE()</f>
        <v>0</v>
      </c>
      <c r="N1571" s="7" t="s">
        <v>557</v>
      </c>
      <c r="O1571" s="7" t="n">
        <v>-33.797934</v>
      </c>
      <c r="P1571" s="7" t="n">
        <v>151.186814</v>
      </c>
    </row>
    <row r="1572" customFormat="false" ht="15" hidden="false" customHeight="false" outlineLevel="0" collapsed="false">
      <c r="A1572" s="7" t="n">
        <v>1571</v>
      </c>
      <c r="B1572" s="7"/>
      <c r="C1572" s="7" t="s">
        <v>2127</v>
      </c>
      <c r="D1572" s="7" t="n">
        <v>2303</v>
      </c>
      <c r="E1572" s="7" t="s">
        <v>50</v>
      </c>
      <c r="F1572" s="10" t="b">
        <f aca="false">FALSE()</f>
        <v>0</v>
      </c>
      <c r="G1572" s="7" t="s">
        <v>141</v>
      </c>
      <c r="H1572" s="7" t="s">
        <v>237</v>
      </c>
      <c r="I1572" s="7" t="n">
        <v>2</v>
      </c>
      <c r="J1572" s="7" t="s">
        <v>71</v>
      </c>
      <c r="K1572" s="7" t="s">
        <v>190</v>
      </c>
      <c r="L1572" s="7" t="n">
        <v>60</v>
      </c>
      <c r="M1572" s="10" t="b">
        <f aca="false">FALSE()</f>
        <v>0</v>
      </c>
      <c r="N1572" s="7" t="s">
        <v>557</v>
      </c>
      <c r="O1572" s="7" t="n">
        <v>-32.921204</v>
      </c>
      <c r="P1572" s="7" t="n">
        <v>151.747974</v>
      </c>
    </row>
    <row r="1573" customFormat="false" ht="15" hidden="false" customHeight="false" outlineLevel="0" collapsed="false">
      <c r="A1573" s="7" t="n">
        <v>1572</v>
      </c>
      <c r="B1573" s="7"/>
      <c r="C1573" s="7" t="s">
        <v>2128</v>
      </c>
      <c r="D1573" s="7" t="n">
        <v>2727</v>
      </c>
      <c r="E1573" s="7" t="s">
        <v>50</v>
      </c>
      <c r="F1573" s="10" t="b">
        <f aca="false">FALSE()</f>
        <v>0</v>
      </c>
      <c r="G1573" s="7" t="s">
        <v>454</v>
      </c>
      <c r="H1573" s="7" t="s">
        <v>239</v>
      </c>
      <c r="I1573" s="7" t="n">
        <v>12</v>
      </c>
      <c r="J1573" s="7" t="s">
        <v>71</v>
      </c>
      <c r="K1573" s="7" t="s">
        <v>117</v>
      </c>
      <c r="L1573" s="7" t="n">
        <v>175</v>
      </c>
      <c r="M1573" s="10" t="b">
        <f aca="false">FALSE()</f>
        <v>0</v>
      </c>
      <c r="N1573" s="7" t="s">
        <v>118</v>
      </c>
      <c r="O1573" s="7" t="n">
        <v>-34.924426</v>
      </c>
      <c r="P1573" s="7" t="n">
        <v>148.165423</v>
      </c>
    </row>
    <row r="1574" customFormat="false" ht="15" hidden="false" customHeight="false" outlineLevel="0" collapsed="false">
      <c r="A1574" s="7" t="n">
        <v>1573</v>
      </c>
      <c r="B1574" s="7" t="s">
        <v>2129</v>
      </c>
      <c r="C1574" s="7" t="s">
        <v>2130</v>
      </c>
      <c r="D1574" s="7" t="n">
        <v>2315</v>
      </c>
      <c r="E1574" s="7" t="s">
        <v>50</v>
      </c>
      <c r="F1574" s="10" t="b">
        <f aca="false">FALSE()</f>
        <v>0</v>
      </c>
      <c r="G1574" s="7" t="s">
        <v>309</v>
      </c>
      <c r="H1574" s="7" t="s">
        <v>230</v>
      </c>
      <c r="I1574" s="7" t="n">
        <v>1</v>
      </c>
      <c r="J1574" s="7" t="s">
        <v>107</v>
      </c>
      <c r="K1574" s="7" t="s">
        <v>107</v>
      </c>
      <c r="L1574" s="7"/>
      <c r="M1574" s="10" t="b">
        <f aca="false">FALSE()</f>
        <v>0</v>
      </c>
      <c r="N1574" s="7" t="s">
        <v>374</v>
      </c>
      <c r="O1574" s="7" t="n">
        <v>-32.742422</v>
      </c>
      <c r="P1574" s="7" t="n">
        <v>152.169223</v>
      </c>
    </row>
    <row r="1575" customFormat="false" ht="15" hidden="false" customHeight="false" outlineLevel="0" collapsed="false">
      <c r="A1575" s="7" t="n">
        <v>1574</v>
      </c>
      <c r="B1575" s="7" t="s">
        <v>2131</v>
      </c>
      <c r="C1575" s="7" t="s">
        <v>2132</v>
      </c>
      <c r="D1575" s="7" t="n">
        <v>2787</v>
      </c>
      <c r="E1575" s="7" t="s">
        <v>50</v>
      </c>
      <c r="F1575" s="10" t="b">
        <f aca="false">FALSE()</f>
        <v>0</v>
      </c>
      <c r="G1575" s="7" t="s">
        <v>870</v>
      </c>
      <c r="H1575" s="7" t="s">
        <v>1956</v>
      </c>
      <c r="I1575" s="7" t="n">
        <v>2</v>
      </c>
      <c r="J1575" s="7" t="s">
        <v>107</v>
      </c>
      <c r="K1575" s="7" t="s">
        <v>107</v>
      </c>
      <c r="L1575" s="7"/>
      <c r="M1575" s="10" t="b">
        <f aca="false">FALSE()</f>
        <v>0</v>
      </c>
      <c r="N1575" s="7" t="s">
        <v>399</v>
      </c>
      <c r="O1575" s="7" t="n">
        <v>-33.708753</v>
      </c>
      <c r="P1575" s="7" t="n">
        <v>149.857792</v>
      </c>
    </row>
    <row r="1576" customFormat="false" ht="15" hidden="false" customHeight="false" outlineLevel="0" collapsed="false">
      <c r="A1576" s="7" t="n">
        <v>1575</v>
      </c>
      <c r="B1576" s="7"/>
      <c r="C1576" s="7" t="s">
        <v>2133</v>
      </c>
      <c r="D1576" s="7" t="n">
        <v>2250</v>
      </c>
      <c r="E1576" s="7" t="s">
        <v>50</v>
      </c>
      <c r="F1576" s="10" t="b">
        <f aca="false">FALSE()</f>
        <v>0</v>
      </c>
      <c r="G1576" s="7" t="s">
        <v>276</v>
      </c>
      <c r="H1576" s="7" t="s">
        <v>233</v>
      </c>
      <c r="I1576" s="7" t="n">
        <v>6</v>
      </c>
      <c r="J1576" s="7" t="s">
        <v>71</v>
      </c>
      <c r="K1576" s="7" t="s">
        <v>117</v>
      </c>
      <c r="L1576" s="7" t="n">
        <v>175</v>
      </c>
      <c r="M1576" s="10" t="b">
        <f aca="false">FALSE()</f>
        <v>0</v>
      </c>
      <c r="N1576" s="7" t="s">
        <v>118</v>
      </c>
      <c r="O1576" s="7" t="n">
        <v>-33.408225</v>
      </c>
      <c r="P1576" s="7" t="n">
        <v>151.351106</v>
      </c>
    </row>
    <row r="1577" customFormat="false" ht="15" hidden="false" customHeight="false" outlineLevel="0" collapsed="false">
      <c r="A1577" s="7" t="n">
        <v>1576</v>
      </c>
      <c r="B1577" s="7" t="s">
        <v>2134</v>
      </c>
      <c r="C1577" s="7" t="s">
        <v>2135</v>
      </c>
      <c r="D1577" s="7" t="n">
        <v>2320</v>
      </c>
      <c r="E1577" s="7" t="s">
        <v>50</v>
      </c>
      <c r="F1577" s="10" t="b">
        <f aca="false">FALSE()</f>
        <v>0</v>
      </c>
      <c r="G1577" s="7" t="s">
        <v>336</v>
      </c>
      <c r="H1577" s="7" t="s">
        <v>260</v>
      </c>
      <c r="I1577" s="7" t="n">
        <v>4</v>
      </c>
      <c r="J1577" s="7" t="s">
        <v>107</v>
      </c>
      <c r="K1577" s="7" t="s">
        <v>107</v>
      </c>
      <c r="L1577" s="7"/>
      <c r="M1577" s="10" t="b">
        <f aca="false">FALSE()</f>
        <v>0</v>
      </c>
      <c r="N1577" s="7" t="s">
        <v>399</v>
      </c>
      <c r="O1577" s="7" t="n">
        <v>-32.771514</v>
      </c>
      <c r="P1577" s="7" t="n">
        <v>151.302431</v>
      </c>
    </row>
    <row r="1578" customFormat="false" ht="15" hidden="false" customHeight="false" outlineLevel="0" collapsed="false">
      <c r="A1578" s="7" t="n">
        <v>1577</v>
      </c>
      <c r="B1578" s="7" t="s">
        <v>2136</v>
      </c>
      <c r="C1578" s="7" t="s">
        <v>2137</v>
      </c>
      <c r="D1578" s="7" t="n">
        <v>2720</v>
      </c>
      <c r="E1578" s="7" t="s">
        <v>50</v>
      </c>
      <c r="F1578" s="10" t="b">
        <f aca="false">FALSE()</f>
        <v>0</v>
      </c>
      <c r="G1578" s="7" t="s">
        <v>456</v>
      </c>
      <c r="H1578" s="7" t="s">
        <v>237</v>
      </c>
      <c r="I1578" s="7" t="n">
        <v>4</v>
      </c>
      <c r="J1578" s="7" t="s">
        <v>107</v>
      </c>
      <c r="K1578" s="7" t="s">
        <v>107</v>
      </c>
      <c r="L1578" s="7"/>
      <c r="M1578" s="10" t="b">
        <f aca="false">FALSE()</f>
        <v>0</v>
      </c>
      <c r="N1578" s="7" t="s">
        <v>399</v>
      </c>
      <c r="O1578" s="7" t="n">
        <v>-35.582525</v>
      </c>
      <c r="P1578" s="7" t="n">
        <v>148.297852</v>
      </c>
    </row>
    <row r="1579" customFormat="false" ht="15" hidden="false" customHeight="false" outlineLevel="0" collapsed="false">
      <c r="A1579" s="7" t="n">
        <v>1578</v>
      </c>
      <c r="B1579" s="7"/>
      <c r="C1579" s="7" t="s">
        <v>2138</v>
      </c>
      <c r="D1579" s="7" t="n">
        <v>2022</v>
      </c>
      <c r="E1579" s="7" t="s">
        <v>50</v>
      </c>
      <c r="F1579" s="10" t="b">
        <f aca="false">FALSE()</f>
        <v>0</v>
      </c>
      <c r="G1579" s="7" t="s">
        <v>295</v>
      </c>
      <c r="H1579" s="7" t="s">
        <v>1371</v>
      </c>
      <c r="I1579" s="7" t="n">
        <v>1</v>
      </c>
      <c r="J1579" s="7" t="s">
        <v>107</v>
      </c>
      <c r="K1579" s="7" t="s">
        <v>108</v>
      </c>
      <c r="L1579" s="7" t="n">
        <v>22</v>
      </c>
      <c r="M1579" s="10" t="b">
        <f aca="false">FALSE()</f>
        <v>0</v>
      </c>
      <c r="N1579" s="7" t="s">
        <v>557</v>
      </c>
      <c r="O1579" s="7" t="n">
        <v>-33.893767</v>
      </c>
      <c r="P1579" s="7" t="n">
        <v>151.253291</v>
      </c>
    </row>
    <row r="1580" customFormat="false" ht="15" hidden="false" customHeight="false" outlineLevel="0" collapsed="false">
      <c r="A1580" s="7" t="n">
        <v>1579</v>
      </c>
      <c r="B1580" s="7"/>
      <c r="C1580" s="7" t="s">
        <v>2139</v>
      </c>
      <c r="D1580" s="7" t="n">
        <v>2022</v>
      </c>
      <c r="E1580" s="7" t="s">
        <v>50</v>
      </c>
      <c r="F1580" s="10" t="b">
        <f aca="false">FALSE()</f>
        <v>0</v>
      </c>
      <c r="G1580" s="7" t="s">
        <v>295</v>
      </c>
      <c r="H1580" s="7" t="s">
        <v>237</v>
      </c>
      <c r="I1580" s="7" t="n">
        <v>2</v>
      </c>
      <c r="J1580" s="7" t="s">
        <v>107</v>
      </c>
      <c r="K1580" s="7" t="s">
        <v>108</v>
      </c>
      <c r="L1580" s="7" t="n">
        <v>22</v>
      </c>
      <c r="M1580" s="10" t="b">
        <f aca="false">FALSE()</f>
        <v>0</v>
      </c>
      <c r="N1580" s="7" t="s">
        <v>557</v>
      </c>
      <c r="O1580" s="7" t="n">
        <v>-33.893292</v>
      </c>
      <c r="P1580" s="7" t="n">
        <v>151.256561</v>
      </c>
    </row>
    <row r="1581" customFormat="false" ht="15" hidden="false" customHeight="false" outlineLevel="0" collapsed="false">
      <c r="A1581" s="7" t="n">
        <v>1580</v>
      </c>
      <c r="B1581" s="7" t="s">
        <v>2140</v>
      </c>
      <c r="C1581" s="7" t="s">
        <v>2141</v>
      </c>
      <c r="D1581" s="7" t="n">
        <v>2428</v>
      </c>
      <c r="E1581" s="7" t="s">
        <v>50</v>
      </c>
      <c r="F1581" s="10" t="b">
        <f aca="false">FALSE()</f>
        <v>0</v>
      </c>
      <c r="G1581" s="7" t="s">
        <v>128</v>
      </c>
      <c r="H1581" s="7" t="s">
        <v>260</v>
      </c>
      <c r="I1581" s="7" t="n">
        <v>4</v>
      </c>
      <c r="J1581" s="7" t="s">
        <v>107</v>
      </c>
      <c r="K1581" s="7" t="s">
        <v>107</v>
      </c>
      <c r="L1581" s="7"/>
      <c r="M1581" s="10" t="b">
        <f aca="false">FALSE()</f>
        <v>0</v>
      </c>
      <c r="N1581" s="7" t="s">
        <v>399</v>
      </c>
      <c r="O1581" s="7" t="n">
        <v>-32.183034</v>
      </c>
      <c r="P1581" s="7" t="n">
        <v>152.514774</v>
      </c>
    </row>
    <row r="1582" customFormat="false" ht="15" hidden="false" customHeight="false" outlineLevel="0" collapsed="false">
      <c r="A1582" s="7" t="n">
        <v>1581</v>
      </c>
      <c r="B1582" s="7"/>
      <c r="C1582" s="7" t="s">
        <v>2142</v>
      </c>
      <c r="D1582" s="7" t="n">
        <v>2064</v>
      </c>
      <c r="E1582" s="7" t="s">
        <v>50</v>
      </c>
      <c r="F1582" s="10" t="b">
        <f aca="false">FALSE()</f>
        <v>0</v>
      </c>
      <c r="G1582" s="7" t="s">
        <v>258</v>
      </c>
      <c r="H1582" s="7" t="s">
        <v>302</v>
      </c>
      <c r="I1582" s="7" t="n">
        <v>2</v>
      </c>
      <c r="J1582" s="7" t="s">
        <v>107</v>
      </c>
      <c r="K1582" s="7" t="s">
        <v>108</v>
      </c>
      <c r="L1582" s="7" t="n">
        <v>22</v>
      </c>
      <c r="M1582" s="10" t="b">
        <f aca="false">FALSE()</f>
        <v>0</v>
      </c>
      <c r="N1582" s="7" t="s">
        <v>557</v>
      </c>
      <c r="O1582" s="7" t="n">
        <v>-33.809362</v>
      </c>
      <c r="P1582" s="7" t="n">
        <v>151.182602</v>
      </c>
    </row>
    <row r="1583" customFormat="false" ht="15" hidden="false" customHeight="false" outlineLevel="0" collapsed="false">
      <c r="A1583" s="7" t="n">
        <v>1582</v>
      </c>
      <c r="B1583" s="7" t="s">
        <v>2143</v>
      </c>
      <c r="C1583" s="7" t="s">
        <v>2144</v>
      </c>
      <c r="D1583" s="7" t="n">
        <v>2250</v>
      </c>
      <c r="E1583" s="7" t="s">
        <v>50</v>
      </c>
      <c r="F1583" s="10" t="b">
        <f aca="false">FALSE()</f>
        <v>0</v>
      </c>
      <c r="G1583" s="7" t="s">
        <v>276</v>
      </c>
      <c r="H1583" s="7" t="s">
        <v>1795</v>
      </c>
      <c r="I1583" s="7" t="n">
        <v>3</v>
      </c>
      <c r="J1583" s="7" t="s">
        <v>107</v>
      </c>
      <c r="K1583" s="7" t="s">
        <v>107</v>
      </c>
      <c r="L1583" s="7"/>
      <c r="M1583" s="10" t="b">
        <f aca="false">FALSE()</f>
        <v>0</v>
      </c>
      <c r="N1583" s="7" t="s">
        <v>374</v>
      </c>
      <c r="O1583" s="7" t="n">
        <v>-33.434931</v>
      </c>
      <c r="P1583" s="7" t="n">
        <v>151.297602</v>
      </c>
    </row>
    <row r="1584" customFormat="false" ht="15" hidden="false" customHeight="false" outlineLevel="0" collapsed="false">
      <c r="A1584" s="7" t="n">
        <v>1583</v>
      </c>
      <c r="B1584" s="7" t="s">
        <v>2145</v>
      </c>
      <c r="C1584" s="7" t="s">
        <v>2146</v>
      </c>
      <c r="D1584" s="7" t="n">
        <v>2325</v>
      </c>
      <c r="E1584" s="7" t="s">
        <v>50</v>
      </c>
      <c r="F1584" s="10" t="b">
        <f aca="false">FALSE()</f>
        <v>0</v>
      </c>
      <c r="G1584" s="7" t="s">
        <v>111</v>
      </c>
      <c r="H1584" s="7" t="s">
        <v>252</v>
      </c>
      <c r="I1584" s="7" t="n">
        <v>4</v>
      </c>
      <c r="J1584" s="7" t="s">
        <v>107</v>
      </c>
      <c r="K1584" s="7" t="s">
        <v>107</v>
      </c>
      <c r="L1584" s="7"/>
      <c r="M1584" s="10" t="b">
        <f aca="false">FALSE()</f>
        <v>0</v>
      </c>
      <c r="N1584" s="7" t="s">
        <v>374</v>
      </c>
      <c r="O1584" s="7" t="n">
        <v>-32.834912</v>
      </c>
      <c r="P1584" s="7" t="n">
        <v>151.35333</v>
      </c>
    </row>
    <row r="1585" customFormat="false" ht="15" hidden="false" customHeight="false" outlineLevel="0" collapsed="false">
      <c r="A1585" s="7" t="n">
        <v>1584</v>
      </c>
      <c r="B1585" s="7"/>
      <c r="C1585" s="7" t="s">
        <v>2147</v>
      </c>
      <c r="D1585" s="7" t="n">
        <v>2203</v>
      </c>
      <c r="E1585" s="7" t="s">
        <v>50</v>
      </c>
      <c r="F1585" s="10" t="b">
        <f aca="false">FALSE()</f>
        <v>0</v>
      </c>
      <c r="G1585" s="7" t="s">
        <v>410</v>
      </c>
      <c r="H1585" s="7" t="s">
        <v>1371</v>
      </c>
      <c r="I1585" s="7" t="n">
        <v>1</v>
      </c>
      <c r="J1585" s="7" t="s">
        <v>107</v>
      </c>
      <c r="K1585" s="7" t="s">
        <v>900</v>
      </c>
      <c r="L1585" s="7" t="n">
        <v>7</v>
      </c>
      <c r="M1585" s="10" t="b">
        <f aca="false">FALSE()</f>
        <v>0</v>
      </c>
      <c r="N1585" s="7" t="s">
        <v>557</v>
      </c>
      <c r="O1585" s="7" t="n">
        <v>-33.901384</v>
      </c>
      <c r="P1585" s="7" t="n">
        <v>151.139751</v>
      </c>
    </row>
    <row r="1586" customFormat="false" ht="15" hidden="false" customHeight="false" outlineLevel="0" collapsed="false">
      <c r="A1586" s="7" t="n">
        <v>1585</v>
      </c>
      <c r="B1586" s="7" t="s">
        <v>2148</v>
      </c>
      <c r="C1586" s="7" t="s">
        <v>2149</v>
      </c>
      <c r="D1586" s="7" t="n">
        <v>2290</v>
      </c>
      <c r="E1586" s="7" t="s">
        <v>50</v>
      </c>
      <c r="F1586" s="10" t="b">
        <f aca="false">FALSE()</f>
        <v>0</v>
      </c>
      <c r="G1586" s="7" t="s">
        <v>377</v>
      </c>
      <c r="H1586" s="7" t="s">
        <v>260</v>
      </c>
      <c r="I1586" s="7" t="n">
        <v>4</v>
      </c>
      <c r="J1586" s="7" t="s">
        <v>107</v>
      </c>
      <c r="K1586" s="7" t="s">
        <v>107</v>
      </c>
      <c r="L1586" s="7"/>
      <c r="M1586" s="10" t="b">
        <f aca="false">FALSE()</f>
        <v>0</v>
      </c>
      <c r="N1586" s="7" t="s">
        <v>374</v>
      </c>
      <c r="O1586" s="7" t="n">
        <v>-32.967048</v>
      </c>
      <c r="P1586" s="7" t="n">
        <v>151.692591</v>
      </c>
    </row>
    <row r="1587" customFormat="false" ht="15" hidden="false" customHeight="false" outlineLevel="0" collapsed="false">
      <c r="A1587" s="7" t="n">
        <v>1586</v>
      </c>
      <c r="B1587" s="7"/>
      <c r="C1587" s="7" t="s">
        <v>2150</v>
      </c>
      <c r="D1587" s="7" t="n">
        <v>2041</v>
      </c>
      <c r="E1587" s="7" t="s">
        <v>50</v>
      </c>
      <c r="F1587" s="10" t="b">
        <f aca="false">FALSE()</f>
        <v>0</v>
      </c>
      <c r="G1587" s="7" t="s">
        <v>410</v>
      </c>
      <c r="H1587" s="7" t="s">
        <v>1371</v>
      </c>
      <c r="I1587" s="7" t="n">
        <v>1</v>
      </c>
      <c r="J1587" s="7" t="s">
        <v>107</v>
      </c>
      <c r="K1587" s="7" t="s">
        <v>108</v>
      </c>
      <c r="L1587" s="7" t="n">
        <v>22</v>
      </c>
      <c r="M1587" s="10" t="b">
        <f aca="false">FALSE()</f>
        <v>0</v>
      </c>
      <c r="N1587" s="7" t="s">
        <v>557</v>
      </c>
      <c r="O1587" s="7" t="n">
        <v>-33.858114</v>
      </c>
      <c r="P1587" s="7" t="n">
        <v>151.195082</v>
      </c>
    </row>
    <row r="1588" customFormat="false" ht="15" hidden="false" customHeight="false" outlineLevel="0" collapsed="false">
      <c r="A1588" s="7" t="n">
        <v>1587</v>
      </c>
      <c r="B1588" s="7"/>
      <c r="C1588" s="7" t="s">
        <v>2151</v>
      </c>
      <c r="D1588" s="7" t="n">
        <v>2030</v>
      </c>
      <c r="E1588" s="7" t="s">
        <v>50</v>
      </c>
      <c r="F1588" s="10" t="b">
        <f aca="false">FALSE()</f>
        <v>0</v>
      </c>
      <c r="G1588" s="7" t="s">
        <v>295</v>
      </c>
      <c r="H1588" s="7" t="s">
        <v>237</v>
      </c>
      <c r="I1588" s="7" t="n">
        <v>2</v>
      </c>
      <c r="J1588" s="7" t="s">
        <v>107</v>
      </c>
      <c r="K1588" s="7" t="s">
        <v>108</v>
      </c>
      <c r="L1588" s="7" t="n">
        <v>22</v>
      </c>
      <c r="M1588" s="10" t="b">
        <f aca="false">FALSE()</f>
        <v>0</v>
      </c>
      <c r="N1588" s="7" t="s">
        <v>557</v>
      </c>
      <c r="O1588" s="7" t="n">
        <v>-33.868843</v>
      </c>
      <c r="P1588" s="7" t="n">
        <v>151.279945</v>
      </c>
    </row>
    <row r="1589" customFormat="false" ht="15" hidden="false" customHeight="false" outlineLevel="0" collapsed="false">
      <c r="A1589" s="7" t="n">
        <v>1588</v>
      </c>
      <c r="B1589" s="7"/>
      <c r="C1589" s="7" t="s">
        <v>2152</v>
      </c>
      <c r="D1589" s="7" t="n">
        <v>2035</v>
      </c>
      <c r="E1589" s="7" t="s">
        <v>50</v>
      </c>
      <c r="F1589" s="10" t="b">
        <f aca="false">FALSE()</f>
        <v>0</v>
      </c>
      <c r="G1589" s="7" t="s">
        <v>355</v>
      </c>
      <c r="H1589" s="7" t="s">
        <v>1371</v>
      </c>
      <c r="I1589" s="7" t="n">
        <v>1</v>
      </c>
      <c r="J1589" s="7" t="s">
        <v>107</v>
      </c>
      <c r="K1589" s="7" t="s">
        <v>108</v>
      </c>
      <c r="L1589" s="7" t="n">
        <v>22</v>
      </c>
      <c r="M1589" s="10" t="b">
        <f aca="false">FALSE()</f>
        <v>0</v>
      </c>
      <c r="N1589" s="7" t="s">
        <v>557</v>
      </c>
      <c r="O1589" s="7" t="n">
        <v>-33.942392</v>
      </c>
      <c r="P1589" s="7" t="n">
        <v>151.237986</v>
      </c>
    </row>
    <row r="1590" customFormat="false" ht="15" hidden="false" customHeight="false" outlineLevel="0" collapsed="false">
      <c r="A1590" s="7" t="n">
        <v>1589</v>
      </c>
      <c r="B1590" s="7"/>
      <c r="C1590" s="7" t="s">
        <v>2153</v>
      </c>
      <c r="D1590" s="7" t="n">
        <v>2021</v>
      </c>
      <c r="E1590" s="7" t="s">
        <v>50</v>
      </c>
      <c r="F1590" s="10" t="b">
        <f aca="false">FALSE()</f>
        <v>0</v>
      </c>
      <c r="G1590" s="7" t="s">
        <v>272</v>
      </c>
      <c r="H1590" s="7" t="s">
        <v>302</v>
      </c>
      <c r="I1590" s="7" t="n">
        <v>2</v>
      </c>
      <c r="J1590" s="7" t="s">
        <v>107</v>
      </c>
      <c r="K1590" s="7" t="s">
        <v>108</v>
      </c>
      <c r="L1590" s="7" t="n">
        <v>22</v>
      </c>
      <c r="M1590" s="10" t="b">
        <f aca="false">FALSE()</f>
        <v>0</v>
      </c>
      <c r="N1590" s="7" t="s">
        <v>557</v>
      </c>
      <c r="O1590" s="7" t="n">
        <v>-33.883511</v>
      </c>
      <c r="P1590" s="7" t="n">
        <v>151.231387</v>
      </c>
    </row>
    <row r="1591" customFormat="false" ht="15" hidden="false" customHeight="false" outlineLevel="0" collapsed="false">
      <c r="A1591" s="7" t="n">
        <v>1590</v>
      </c>
      <c r="B1591" s="7"/>
      <c r="C1591" s="7" t="s">
        <v>2154</v>
      </c>
      <c r="D1591" s="7" t="n">
        <v>2131</v>
      </c>
      <c r="E1591" s="7" t="s">
        <v>50</v>
      </c>
      <c r="F1591" s="10" t="b">
        <f aca="false">FALSE()</f>
        <v>0</v>
      </c>
      <c r="G1591" s="7" t="s">
        <v>410</v>
      </c>
      <c r="H1591" s="7" t="s">
        <v>1371</v>
      </c>
      <c r="I1591" s="7" t="n">
        <v>1</v>
      </c>
      <c r="J1591" s="7" t="s">
        <v>107</v>
      </c>
      <c r="K1591" s="7" t="s">
        <v>108</v>
      </c>
      <c r="L1591" s="7" t="n">
        <v>22</v>
      </c>
      <c r="M1591" s="10" t="b">
        <f aca="false">FALSE()</f>
        <v>0</v>
      </c>
      <c r="N1591" s="7" t="s">
        <v>557</v>
      </c>
      <c r="O1591" s="7" t="n">
        <v>-33.882849</v>
      </c>
      <c r="P1591" s="7" t="n">
        <v>151.130138</v>
      </c>
    </row>
    <row r="1592" customFormat="false" ht="15" hidden="false" customHeight="false" outlineLevel="0" collapsed="false">
      <c r="A1592" s="7" t="n">
        <v>1591</v>
      </c>
      <c r="B1592" s="7"/>
      <c r="C1592" s="7" t="s">
        <v>2155</v>
      </c>
      <c r="D1592" s="7" t="n">
        <v>2031</v>
      </c>
      <c r="E1592" s="7" t="s">
        <v>50</v>
      </c>
      <c r="F1592" s="10" t="b">
        <f aca="false">FALSE()</f>
        <v>0</v>
      </c>
      <c r="G1592" s="7" t="s">
        <v>355</v>
      </c>
      <c r="H1592" s="7" t="s">
        <v>1371</v>
      </c>
      <c r="I1592" s="7" t="n">
        <v>1</v>
      </c>
      <c r="J1592" s="7" t="s">
        <v>107</v>
      </c>
      <c r="K1592" s="7" t="s">
        <v>900</v>
      </c>
      <c r="L1592" s="7" t="n">
        <v>7</v>
      </c>
      <c r="M1592" s="10" t="b">
        <f aca="false">FALSE()</f>
        <v>0</v>
      </c>
      <c r="N1592" s="7" t="s">
        <v>557</v>
      </c>
      <c r="O1592" s="7" t="n">
        <v>-33.911692</v>
      </c>
      <c r="P1592" s="7" t="n">
        <v>151.238865</v>
      </c>
    </row>
    <row r="1593" customFormat="false" ht="15" hidden="false" customHeight="false" outlineLevel="0" collapsed="false">
      <c r="A1593" s="7" t="n">
        <v>1592</v>
      </c>
      <c r="B1593" s="7" t="s">
        <v>147</v>
      </c>
      <c r="C1593" s="7" t="s">
        <v>2156</v>
      </c>
      <c r="D1593" s="7" t="n">
        <v>2650</v>
      </c>
      <c r="E1593" s="7" t="s">
        <v>50</v>
      </c>
      <c r="F1593" s="10" t="b">
        <f aca="false">FALSE()</f>
        <v>0</v>
      </c>
      <c r="G1593" s="7" t="s">
        <v>147</v>
      </c>
      <c r="H1593" s="7" t="s">
        <v>1748</v>
      </c>
      <c r="I1593" s="7" t="n">
        <v>2</v>
      </c>
      <c r="J1593" s="7" t="s">
        <v>107</v>
      </c>
      <c r="K1593" s="7" t="s">
        <v>107</v>
      </c>
      <c r="L1593" s="7"/>
      <c r="M1593" s="10" t="b">
        <f aca="false">FALSE()</f>
        <v>0</v>
      </c>
      <c r="N1593" s="7" t="s">
        <v>374</v>
      </c>
      <c r="O1593" s="7" t="n">
        <v>-35.119909</v>
      </c>
      <c r="P1593" s="7" t="n">
        <v>147.371327</v>
      </c>
    </row>
    <row r="1594" customFormat="false" ht="15" hidden="false" customHeight="false" outlineLevel="0" collapsed="false">
      <c r="A1594" s="7" t="n">
        <v>1593</v>
      </c>
      <c r="B1594" s="7"/>
      <c r="C1594" s="7" t="s">
        <v>2157</v>
      </c>
      <c r="D1594" s="7" t="n">
        <v>2038</v>
      </c>
      <c r="E1594" s="7" t="s">
        <v>50</v>
      </c>
      <c r="F1594" s="10" t="b">
        <f aca="false">FALSE()</f>
        <v>0</v>
      </c>
      <c r="G1594" s="7" t="s">
        <v>410</v>
      </c>
      <c r="H1594" s="7" t="s">
        <v>1371</v>
      </c>
      <c r="I1594" s="7" t="n">
        <v>1</v>
      </c>
      <c r="J1594" s="7" t="s">
        <v>107</v>
      </c>
      <c r="K1594" s="7" t="s">
        <v>108</v>
      </c>
      <c r="L1594" s="7" t="n">
        <v>22</v>
      </c>
      <c r="M1594" s="10" t="b">
        <f aca="false">FALSE()</f>
        <v>0</v>
      </c>
      <c r="N1594" s="7" t="s">
        <v>557</v>
      </c>
      <c r="O1594" s="7" t="n">
        <v>-33.885181</v>
      </c>
      <c r="P1594" s="7" t="n">
        <v>151.171943</v>
      </c>
    </row>
    <row r="1595" customFormat="false" ht="15" hidden="false" customHeight="false" outlineLevel="0" collapsed="false">
      <c r="A1595" s="7" t="n">
        <v>1594</v>
      </c>
      <c r="B1595" s="7"/>
      <c r="C1595" s="7" t="s">
        <v>2158</v>
      </c>
      <c r="D1595" s="7" t="n">
        <v>2029</v>
      </c>
      <c r="E1595" s="7" t="s">
        <v>50</v>
      </c>
      <c r="F1595" s="10" t="b">
        <f aca="false">FALSE()</f>
        <v>0</v>
      </c>
      <c r="G1595" s="7" t="s">
        <v>272</v>
      </c>
      <c r="H1595" s="7" t="s">
        <v>237</v>
      </c>
      <c r="I1595" s="7" t="n">
        <v>2</v>
      </c>
      <c r="J1595" s="7" t="s">
        <v>107</v>
      </c>
      <c r="K1595" s="7" t="s">
        <v>108</v>
      </c>
      <c r="L1595" s="7" t="n">
        <v>22</v>
      </c>
      <c r="M1595" s="10" t="b">
        <f aca="false">FALSE()</f>
        <v>0</v>
      </c>
      <c r="N1595" s="7" t="s">
        <v>557</v>
      </c>
      <c r="O1595" s="7" t="n">
        <v>-33.879038</v>
      </c>
      <c r="P1595" s="7" t="n">
        <v>151.263109</v>
      </c>
    </row>
    <row r="1596" customFormat="false" ht="15" hidden="false" customHeight="false" outlineLevel="0" collapsed="false">
      <c r="A1596" s="7" t="n">
        <v>1595</v>
      </c>
      <c r="B1596" s="7"/>
      <c r="C1596" s="7" t="s">
        <v>2159</v>
      </c>
      <c r="D1596" s="7" t="n">
        <v>2049</v>
      </c>
      <c r="E1596" s="7" t="s">
        <v>50</v>
      </c>
      <c r="F1596" s="10" t="b">
        <f aca="false">FALSE()</f>
        <v>0</v>
      </c>
      <c r="G1596" s="7" t="s">
        <v>410</v>
      </c>
      <c r="H1596" s="7" t="s">
        <v>556</v>
      </c>
      <c r="I1596" s="7" t="n">
        <v>2</v>
      </c>
      <c r="J1596" s="7" t="s">
        <v>107</v>
      </c>
      <c r="K1596" s="7" t="s">
        <v>108</v>
      </c>
      <c r="L1596" s="7" t="n">
        <v>22</v>
      </c>
      <c r="M1596" s="10" t="b">
        <f aca="false">FALSE()</f>
        <v>0</v>
      </c>
      <c r="N1596" s="7" t="s">
        <v>557</v>
      </c>
      <c r="O1596" s="7" t="n">
        <v>-33.897078</v>
      </c>
      <c r="P1596" s="7" t="n">
        <v>151.157994</v>
      </c>
    </row>
    <row r="1597" customFormat="false" ht="15" hidden="false" customHeight="false" outlineLevel="0" collapsed="false">
      <c r="A1597" s="7" t="n">
        <v>1596</v>
      </c>
      <c r="B1597" s="7" t="s">
        <v>2160</v>
      </c>
      <c r="C1597" s="7" t="s">
        <v>2161</v>
      </c>
      <c r="D1597" s="7" t="n">
        <v>2877</v>
      </c>
      <c r="E1597" s="7" t="s">
        <v>50</v>
      </c>
      <c r="F1597" s="10" t="b">
        <f aca="false">FALSE()</f>
        <v>0</v>
      </c>
      <c r="G1597" s="7" t="s">
        <v>896</v>
      </c>
      <c r="H1597" s="7" t="s">
        <v>260</v>
      </c>
      <c r="I1597" s="7" t="n">
        <v>2</v>
      </c>
      <c r="J1597" s="7" t="s">
        <v>107</v>
      </c>
      <c r="K1597" s="7" t="s">
        <v>107</v>
      </c>
      <c r="L1597" s="7"/>
      <c r="M1597" s="10" t="b">
        <f aca="false">FALSE()</f>
        <v>0</v>
      </c>
      <c r="N1597" s="7" t="s">
        <v>399</v>
      </c>
      <c r="O1597" s="7" t="n">
        <v>-33.0886</v>
      </c>
      <c r="P1597" s="7" t="n">
        <v>147.149487</v>
      </c>
    </row>
    <row r="1598" customFormat="false" ht="15" hidden="false" customHeight="false" outlineLevel="0" collapsed="false">
      <c r="A1598" s="7" t="n">
        <v>1597</v>
      </c>
      <c r="B1598" s="7" t="s">
        <v>2162</v>
      </c>
      <c r="C1598" s="7" t="s">
        <v>2163</v>
      </c>
      <c r="D1598" s="7" t="n">
        <v>2286</v>
      </c>
      <c r="E1598" s="7" t="s">
        <v>50</v>
      </c>
      <c r="F1598" s="10" t="b">
        <f aca="false">FALSE()</f>
        <v>0</v>
      </c>
      <c r="G1598" s="7" t="s">
        <v>377</v>
      </c>
      <c r="H1598" s="7" t="s">
        <v>1748</v>
      </c>
      <c r="I1598" s="7" t="n">
        <v>4</v>
      </c>
      <c r="J1598" s="7" t="s">
        <v>107</v>
      </c>
      <c r="K1598" s="7" t="s">
        <v>107</v>
      </c>
      <c r="L1598" s="7"/>
      <c r="M1598" s="10" t="b">
        <f aca="false">FALSE()</f>
        <v>0</v>
      </c>
      <c r="N1598" s="7" t="s">
        <v>374</v>
      </c>
      <c r="O1598" s="7" t="n">
        <v>-32.902336</v>
      </c>
      <c r="P1598" s="7" t="n">
        <v>151.582427</v>
      </c>
    </row>
    <row r="1599" customFormat="false" ht="15" hidden="false" customHeight="false" outlineLevel="0" collapsed="false">
      <c r="A1599" s="7" t="n">
        <v>1598</v>
      </c>
      <c r="B1599" s="7" t="s">
        <v>2164</v>
      </c>
      <c r="C1599" s="7" t="s">
        <v>2165</v>
      </c>
      <c r="D1599" s="7" t="n">
        <v>2250</v>
      </c>
      <c r="E1599" s="7" t="s">
        <v>50</v>
      </c>
      <c r="F1599" s="10" t="b">
        <f aca="false">FALSE()</f>
        <v>0</v>
      </c>
      <c r="G1599" s="7" t="s">
        <v>276</v>
      </c>
      <c r="H1599" s="7" t="s">
        <v>1795</v>
      </c>
      <c r="I1599" s="7" t="n">
        <v>2</v>
      </c>
      <c r="J1599" s="7" t="s">
        <v>107</v>
      </c>
      <c r="K1599" s="7" t="s">
        <v>107</v>
      </c>
      <c r="L1599" s="7"/>
      <c r="M1599" s="10" t="b">
        <f aca="false">FALSE()</f>
        <v>0</v>
      </c>
      <c r="N1599" s="7" t="s">
        <v>399</v>
      </c>
      <c r="O1599" s="7" t="n">
        <v>-33.406527</v>
      </c>
      <c r="P1599" s="7" t="n">
        <v>151.350605</v>
      </c>
    </row>
    <row r="1600" customFormat="false" ht="15" hidden="false" customHeight="false" outlineLevel="0" collapsed="false">
      <c r="A1600" s="7" t="n">
        <v>1599</v>
      </c>
      <c r="B1600" s="7" t="s">
        <v>2166</v>
      </c>
      <c r="C1600" s="7" t="s">
        <v>2167</v>
      </c>
      <c r="D1600" s="7" t="n">
        <v>2430</v>
      </c>
      <c r="E1600" s="7" t="s">
        <v>50</v>
      </c>
      <c r="F1600" s="10" t="b">
        <f aca="false">FALSE()</f>
        <v>0</v>
      </c>
      <c r="G1600" s="7" t="s">
        <v>128</v>
      </c>
      <c r="H1600" s="7" t="s">
        <v>260</v>
      </c>
      <c r="I1600" s="7" t="n">
        <v>4</v>
      </c>
      <c r="J1600" s="7" t="s">
        <v>107</v>
      </c>
      <c r="K1600" s="7" t="s">
        <v>107</v>
      </c>
      <c r="L1600" s="7"/>
      <c r="M1600" s="10" t="b">
        <f aca="false">FALSE()</f>
        <v>0</v>
      </c>
      <c r="N1600" s="7" t="s">
        <v>399</v>
      </c>
      <c r="O1600" s="7" t="n">
        <v>-32.065501</v>
      </c>
      <c r="P1600" s="7" t="n">
        <v>152.532248</v>
      </c>
    </row>
    <row r="1601" customFormat="false" ht="15" hidden="false" customHeight="false" outlineLevel="0" collapsed="false">
      <c r="A1601" s="7" t="n">
        <v>1600</v>
      </c>
      <c r="B1601" s="7" t="s">
        <v>2168</v>
      </c>
      <c r="C1601" s="7" t="s">
        <v>2169</v>
      </c>
      <c r="D1601" s="7" t="n">
        <v>2340</v>
      </c>
      <c r="E1601" s="7" t="s">
        <v>50</v>
      </c>
      <c r="F1601" s="10" t="b">
        <f aca="false">FALSE()</f>
        <v>0</v>
      </c>
      <c r="G1601" s="7" t="s">
        <v>192</v>
      </c>
      <c r="H1601" s="7" t="s">
        <v>1862</v>
      </c>
      <c r="I1601" s="7" t="n">
        <v>4</v>
      </c>
      <c r="J1601" s="7" t="s">
        <v>107</v>
      </c>
      <c r="K1601" s="7" t="s">
        <v>107</v>
      </c>
      <c r="L1601" s="7"/>
      <c r="M1601" s="10" t="b">
        <f aca="false">FALSE()</f>
        <v>0</v>
      </c>
      <c r="N1601" s="7" t="s">
        <v>399</v>
      </c>
      <c r="O1601" s="7" t="n">
        <v>-31.089493</v>
      </c>
      <c r="P1601" s="7" t="n">
        <v>150.929777</v>
      </c>
    </row>
    <row r="1602" customFormat="false" ht="15" hidden="false" customHeight="false" outlineLevel="0" collapsed="false">
      <c r="A1602" s="7" t="n">
        <v>1601</v>
      </c>
      <c r="B1602" s="7"/>
      <c r="C1602" s="7" t="s">
        <v>2170</v>
      </c>
      <c r="D1602" s="7" t="n">
        <v>2034</v>
      </c>
      <c r="E1602" s="7" t="s">
        <v>50</v>
      </c>
      <c r="F1602" s="10" t="b">
        <f aca="false">FALSE()</f>
        <v>0</v>
      </c>
      <c r="G1602" s="7" t="s">
        <v>355</v>
      </c>
      <c r="H1602" s="7" t="s">
        <v>1371</v>
      </c>
      <c r="I1602" s="7" t="n">
        <v>1</v>
      </c>
      <c r="J1602" s="7" t="s">
        <v>107</v>
      </c>
      <c r="K1602" s="7" t="s">
        <v>108</v>
      </c>
      <c r="L1602" s="7" t="n">
        <v>22</v>
      </c>
      <c r="M1602" s="10" t="b">
        <f aca="false">FALSE()</f>
        <v>0</v>
      </c>
      <c r="N1602" s="7" t="s">
        <v>557</v>
      </c>
      <c r="O1602" s="7" t="n">
        <v>-33.924379</v>
      </c>
      <c r="P1602" s="7" t="n">
        <v>151.251526</v>
      </c>
    </row>
    <row r="1603" customFormat="false" ht="15" hidden="false" customHeight="false" outlineLevel="0" collapsed="false">
      <c r="A1603" s="7" t="n">
        <v>1602</v>
      </c>
      <c r="B1603" s="7" t="s">
        <v>2171</v>
      </c>
      <c r="C1603" s="7" t="s">
        <v>2172</v>
      </c>
      <c r="D1603" s="7" t="n">
        <v>2358</v>
      </c>
      <c r="E1603" s="7" t="s">
        <v>50</v>
      </c>
      <c r="F1603" s="10" t="b">
        <f aca="false">FALSE()</f>
        <v>0</v>
      </c>
      <c r="G1603" s="7" t="s">
        <v>2173</v>
      </c>
      <c r="H1603" s="7" t="s">
        <v>1889</v>
      </c>
      <c r="I1603" s="7" t="n">
        <v>4</v>
      </c>
      <c r="J1603" s="7" t="s">
        <v>107</v>
      </c>
      <c r="K1603" s="7" t="s">
        <v>107</v>
      </c>
      <c r="L1603" s="7"/>
      <c r="M1603" s="10" t="b">
        <f aca="false">FALSE()</f>
        <v>0</v>
      </c>
      <c r="N1603" s="7" t="s">
        <v>399</v>
      </c>
      <c r="O1603" s="7" t="n">
        <v>-30.63916</v>
      </c>
      <c r="P1603" s="7" t="n">
        <v>151.498368</v>
      </c>
    </row>
    <row r="1604" customFormat="false" ht="15" hidden="false" customHeight="false" outlineLevel="0" collapsed="false">
      <c r="A1604" s="7" t="n">
        <v>1603</v>
      </c>
      <c r="B1604" s="7"/>
      <c r="C1604" s="7" t="s">
        <v>2174</v>
      </c>
      <c r="D1604" s="7" t="n">
        <v>2029</v>
      </c>
      <c r="E1604" s="7" t="s">
        <v>50</v>
      </c>
      <c r="F1604" s="10" t="b">
        <f aca="false">FALSE()</f>
        <v>0</v>
      </c>
      <c r="G1604" s="7" t="s">
        <v>272</v>
      </c>
      <c r="H1604" s="7" t="s">
        <v>1371</v>
      </c>
      <c r="I1604" s="7" t="n">
        <v>1</v>
      </c>
      <c r="J1604" s="7" t="s">
        <v>107</v>
      </c>
      <c r="K1604" s="7" t="s">
        <v>108</v>
      </c>
      <c r="L1604" s="7" t="n">
        <v>22</v>
      </c>
      <c r="M1604" s="10" t="b">
        <f aca="false">FALSE()</f>
        <v>0</v>
      </c>
      <c r="N1604" s="7" t="s">
        <v>557</v>
      </c>
      <c r="O1604" s="7" t="n">
        <v>-33.869016</v>
      </c>
      <c r="P1604" s="7" t="n">
        <v>151.275008</v>
      </c>
    </row>
    <row r="1605" customFormat="false" ht="15" hidden="false" customHeight="false" outlineLevel="0" collapsed="false">
      <c r="A1605" s="7" t="n">
        <v>1604</v>
      </c>
      <c r="B1605" s="7" t="s">
        <v>2175</v>
      </c>
      <c r="C1605" s="7" t="s">
        <v>2176</v>
      </c>
      <c r="D1605" s="7" t="n">
        <v>2640</v>
      </c>
      <c r="E1605" s="7" t="s">
        <v>50</v>
      </c>
      <c r="F1605" s="10" t="b">
        <f aca="false">FALSE()</f>
        <v>0</v>
      </c>
      <c r="G1605" s="7" t="s">
        <v>194</v>
      </c>
      <c r="H1605" s="7" t="s">
        <v>260</v>
      </c>
      <c r="I1605" s="7" t="n">
        <v>1</v>
      </c>
      <c r="J1605" s="7" t="s">
        <v>107</v>
      </c>
      <c r="K1605" s="7" t="s">
        <v>107</v>
      </c>
      <c r="L1605" s="7"/>
      <c r="M1605" s="10" t="b">
        <f aca="false">FALSE()</f>
        <v>0</v>
      </c>
      <c r="N1605" s="7" t="s">
        <v>374</v>
      </c>
      <c r="O1605" s="7" t="n">
        <v>-36.085318</v>
      </c>
      <c r="P1605" s="7" t="n">
        <v>146.915868</v>
      </c>
    </row>
    <row r="1606" customFormat="false" ht="15" hidden="false" customHeight="false" outlineLevel="0" collapsed="false">
      <c r="A1606" s="7" t="n">
        <v>1605</v>
      </c>
      <c r="B1606" s="7" t="s">
        <v>2177</v>
      </c>
      <c r="C1606" s="7" t="s">
        <v>2178</v>
      </c>
      <c r="D1606" s="7" t="n">
        <v>2640</v>
      </c>
      <c r="E1606" s="7" t="s">
        <v>50</v>
      </c>
      <c r="F1606" s="10" t="b">
        <f aca="false">FALSE()</f>
        <v>0</v>
      </c>
      <c r="G1606" s="7" t="s">
        <v>194</v>
      </c>
      <c r="H1606" s="7" t="s">
        <v>237</v>
      </c>
      <c r="I1606" s="7" t="n">
        <v>4</v>
      </c>
      <c r="J1606" s="7" t="s">
        <v>107</v>
      </c>
      <c r="K1606" s="7" t="s">
        <v>107</v>
      </c>
      <c r="L1606" s="7"/>
      <c r="M1606" s="10" t="b">
        <f aca="false">FALSE()</f>
        <v>0</v>
      </c>
      <c r="N1606" s="7" t="s">
        <v>399</v>
      </c>
      <c r="O1606" s="7" t="n">
        <v>-36.082605</v>
      </c>
      <c r="P1606" s="7" t="n">
        <v>146.916791</v>
      </c>
    </row>
    <row r="1607" customFormat="false" ht="15" hidden="false" customHeight="false" outlineLevel="0" collapsed="false">
      <c r="A1607" s="7" t="n">
        <v>1606</v>
      </c>
      <c r="B1607" s="7" t="s">
        <v>2179</v>
      </c>
      <c r="C1607" s="7" t="s">
        <v>2180</v>
      </c>
      <c r="D1607" s="7" t="n">
        <v>2550</v>
      </c>
      <c r="E1607" s="7" t="s">
        <v>50</v>
      </c>
      <c r="F1607" s="10" t="b">
        <f aca="false">FALSE()</f>
        <v>0</v>
      </c>
      <c r="G1607" s="7" t="s">
        <v>188</v>
      </c>
      <c r="H1607" s="7" t="s">
        <v>237</v>
      </c>
      <c r="I1607" s="7" t="n">
        <v>2</v>
      </c>
      <c r="J1607" s="7" t="s">
        <v>107</v>
      </c>
      <c r="K1607" s="7" t="s">
        <v>107</v>
      </c>
      <c r="L1607" s="7"/>
      <c r="M1607" s="10" t="b">
        <f aca="false">FALSE()</f>
        <v>0</v>
      </c>
      <c r="N1607" s="7" t="s">
        <v>374</v>
      </c>
      <c r="O1607" s="7" t="n">
        <v>-36.386768</v>
      </c>
      <c r="P1607" s="7" t="n">
        <v>149.887693</v>
      </c>
    </row>
    <row r="1608" customFormat="false" ht="15" hidden="false" customHeight="false" outlineLevel="0" collapsed="false">
      <c r="A1608" s="7" t="n">
        <v>1607</v>
      </c>
      <c r="B1608" s="7"/>
      <c r="C1608" s="7" t="s">
        <v>2181</v>
      </c>
      <c r="D1608" s="7" t="n">
        <v>2024</v>
      </c>
      <c r="E1608" s="7" t="s">
        <v>50</v>
      </c>
      <c r="F1608" s="10" t="b">
        <f aca="false">FALSE()</f>
        <v>0</v>
      </c>
      <c r="G1608" s="7" t="s">
        <v>295</v>
      </c>
      <c r="H1608" s="7" t="s">
        <v>237</v>
      </c>
      <c r="I1608" s="7" t="n">
        <v>2</v>
      </c>
      <c r="J1608" s="7" t="s">
        <v>107</v>
      </c>
      <c r="K1608" s="7" t="s">
        <v>108</v>
      </c>
      <c r="L1608" s="7" t="n">
        <v>22</v>
      </c>
      <c r="M1608" s="10" t="b">
        <f aca="false">FALSE()</f>
        <v>0</v>
      </c>
      <c r="N1608" s="7" t="s">
        <v>557</v>
      </c>
      <c r="O1608" s="7" t="n">
        <v>-33.906671</v>
      </c>
      <c r="P1608" s="7" t="n">
        <v>151.26929</v>
      </c>
    </row>
    <row r="1609" customFormat="false" ht="15" hidden="false" customHeight="false" outlineLevel="0" collapsed="false">
      <c r="A1609" s="7" t="n">
        <v>1608</v>
      </c>
      <c r="B1609" s="7"/>
      <c r="C1609" s="7" t="s">
        <v>2182</v>
      </c>
      <c r="D1609" s="7" t="n">
        <v>2204</v>
      </c>
      <c r="E1609" s="7" t="s">
        <v>50</v>
      </c>
      <c r="F1609" s="10" t="b">
        <f aca="false">FALSE()</f>
        <v>0</v>
      </c>
      <c r="G1609" s="7" t="s">
        <v>410</v>
      </c>
      <c r="H1609" s="7" t="s">
        <v>556</v>
      </c>
      <c r="I1609" s="7" t="n">
        <v>4</v>
      </c>
      <c r="J1609" s="7" t="s">
        <v>107</v>
      </c>
      <c r="K1609" s="7" t="s">
        <v>108</v>
      </c>
      <c r="L1609" s="7" t="n">
        <v>22</v>
      </c>
      <c r="M1609" s="10" t="b">
        <f aca="false">FALSE()</f>
        <v>0</v>
      </c>
      <c r="N1609" s="7" t="s">
        <v>557</v>
      </c>
      <c r="O1609" s="7" t="n">
        <v>-33.920088</v>
      </c>
      <c r="P1609" s="7" t="n">
        <v>151.144113</v>
      </c>
    </row>
    <row r="1610" customFormat="false" ht="15" hidden="false" customHeight="false" outlineLevel="0" collapsed="false">
      <c r="A1610" s="7" t="n">
        <v>1609</v>
      </c>
      <c r="B1610" s="7" t="s">
        <v>2183</v>
      </c>
      <c r="C1610" s="7" t="s">
        <v>2184</v>
      </c>
      <c r="D1610" s="7" t="n">
        <v>2285</v>
      </c>
      <c r="E1610" s="7" t="s">
        <v>50</v>
      </c>
      <c r="F1610" s="10" t="b">
        <f aca="false">FALSE()</f>
        <v>0</v>
      </c>
      <c r="G1610" s="7" t="s">
        <v>377</v>
      </c>
      <c r="H1610" s="7" t="s">
        <v>1355</v>
      </c>
      <c r="I1610" s="7" t="n">
        <v>4</v>
      </c>
      <c r="J1610" s="7" t="s">
        <v>107</v>
      </c>
      <c r="K1610" s="7" t="s">
        <v>107</v>
      </c>
      <c r="L1610" s="7"/>
      <c r="M1610" s="10" t="b">
        <f aca="false">FALSE()</f>
        <v>0</v>
      </c>
      <c r="N1610" s="7" t="s">
        <v>374</v>
      </c>
      <c r="O1610" s="7" t="n">
        <v>-32.942839</v>
      </c>
      <c r="P1610" s="7" t="n">
        <v>151.65728</v>
      </c>
    </row>
    <row r="1611" customFormat="false" ht="15" hidden="false" customHeight="false" outlineLevel="0" collapsed="false">
      <c r="A1611" s="7" t="n">
        <v>1610</v>
      </c>
      <c r="B1611" s="7" t="s">
        <v>1257</v>
      </c>
      <c r="C1611" s="7" t="s">
        <v>2185</v>
      </c>
      <c r="D1611" s="7" t="n">
        <v>2680</v>
      </c>
      <c r="E1611" s="7" t="s">
        <v>50</v>
      </c>
      <c r="F1611" s="10" t="b">
        <f aca="false">FALSE()</f>
        <v>0</v>
      </c>
      <c r="G1611" s="7" t="s">
        <v>270</v>
      </c>
      <c r="H1611" s="7" t="s">
        <v>1862</v>
      </c>
      <c r="I1611" s="7" t="n">
        <v>2</v>
      </c>
      <c r="J1611" s="7" t="s">
        <v>107</v>
      </c>
      <c r="K1611" s="7" t="s">
        <v>107</v>
      </c>
      <c r="L1611" s="7"/>
      <c r="M1611" s="10" t="b">
        <f aca="false">FALSE()</f>
        <v>0</v>
      </c>
      <c r="N1611" s="7" t="s">
        <v>399</v>
      </c>
      <c r="O1611" s="7" t="n">
        <v>-34.286631</v>
      </c>
      <c r="P1611" s="7" t="n">
        <v>146.044525</v>
      </c>
    </row>
    <row r="1612" customFormat="false" ht="15" hidden="false" customHeight="false" outlineLevel="0" collapsed="false">
      <c r="A1612" s="7" t="n">
        <v>1611</v>
      </c>
      <c r="B1612" s="7" t="s">
        <v>2186</v>
      </c>
      <c r="C1612" s="7" t="s">
        <v>2187</v>
      </c>
      <c r="D1612" s="7" t="n">
        <v>2620</v>
      </c>
      <c r="E1612" s="7" t="s">
        <v>50</v>
      </c>
      <c r="F1612" s="10" t="b">
        <f aca="false">FALSE()</f>
        <v>0</v>
      </c>
      <c r="G1612" s="7" t="s">
        <v>94</v>
      </c>
      <c r="H1612" s="7" t="s">
        <v>260</v>
      </c>
      <c r="I1612" s="7" t="n">
        <v>4</v>
      </c>
      <c r="J1612" s="7" t="s">
        <v>107</v>
      </c>
      <c r="K1612" s="7" t="s">
        <v>107</v>
      </c>
      <c r="L1612" s="7"/>
      <c r="M1612" s="10" t="b">
        <f aca="false">FALSE()</f>
        <v>0</v>
      </c>
      <c r="N1612" s="7" t="s">
        <v>374</v>
      </c>
      <c r="O1612" s="7" t="n">
        <v>-35.357339</v>
      </c>
      <c r="P1612" s="7" t="n">
        <v>149.22252</v>
      </c>
    </row>
    <row r="1613" customFormat="false" ht="15" hidden="false" customHeight="false" outlineLevel="0" collapsed="false">
      <c r="A1613" s="7" t="n">
        <v>1612</v>
      </c>
      <c r="B1613" s="7" t="s">
        <v>2188</v>
      </c>
      <c r="C1613" s="7" t="s">
        <v>2189</v>
      </c>
      <c r="D1613" s="7" t="n">
        <v>2421</v>
      </c>
      <c r="E1613" s="7" t="s">
        <v>50</v>
      </c>
      <c r="F1613" s="10" t="b">
        <f aca="false">FALSE()</f>
        <v>0</v>
      </c>
      <c r="G1613" s="7" t="s">
        <v>1800</v>
      </c>
      <c r="H1613" s="7" t="s">
        <v>237</v>
      </c>
      <c r="I1613" s="7" t="n">
        <v>1</v>
      </c>
      <c r="J1613" s="7" t="s">
        <v>107</v>
      </c>
      <c r="K1613" s="7" t="s">
        <v>107</v>
      </c>
      <c r="L1613" s="7"/>
      <c r="M1613" s="10" t="b">
        <f aca="false">FALSE()</f>
        <v>0</v>
      </c>
      <c r="N1613" s="7" t="s">
        <v>399</v>
      </c>
      <c r="O1613" s="7" t="n">
        <v>-32.545318</v>
      </c>
      <c r="P1613" s="7" t="n">
        <v>151.50875</v>
      </c>
    </row>
    <row r="1614" customFormat="false" ht="15" hidden="false" customHeight="false" outlineLevel="0" collapsed="false">
      <c r="A1614" s="7" t="n">
        <v>1613</v>
      </c>
      <c r="B1614" s="7" t="s">
        <v>2190</v>
      </c>
      <c r="C1614" s="7" t="s">
        <v>2191</v>
      </c>
      <c r="D1614" s="7" t="n">
        <v>2481</v>
      </c>
      <c r="E1614" s="7" t="s">
        <v>50</v>
      </c>
      <c r="F1614" s="10" t="b">
        <f aca="false">FALSE()</f>
        <v>0</v>
      </c>
      <c r="G1614" s="7" t="s">
        <v>82</v>
      </c>
      <c r="H1614" s="7" t="s">
        <v>260</v>
      </c>
      <c r="I1614" s="7" t="n">
        <v>4</v>
      </c>
      <c r="J1614" s="7" t="s">
        <v>107</v>
      </c>
      <c r="K1614" s="7" t="s">
        <v>107</v>
      </c>
      <c r="L1614" s="7"/>
      <c r="M1614" s="10" t="b">
        <f aca="false">FALSE()</f>
        <v>0</v>
      </c>
      <c r="N1614" s="7" t="s">
        <v>399</v>
      </c>
      <c r="O1614" s="7" t="n">
        <v>-28.673277</v>
      </c>
      <c r="P1614" s="7" t="n">
        <v>153.612586</v>
      </c>
    </row>
    <row r="1615" customFormat="false" ht="15" hidden="false" customHeight="false" outlineLevel="0" collapsed="false">
      <c r="A1615" s="7" t="n">
        <v>1614</v>
      </c>
      <c r="B1615" s="7"/>
      <c r="C1615" s="7" t="s">
        <v>2192</v>
      </c>
      <c r="D1615" s="7" t="n">
        <v>2024</v>
      </c>
      <c r="E1615" s="7" t="s">
        <v>50</v>
      </c>
      <c r="F1615" s="10" t="b">
        <f aca="false">FALSE()</f>
        <v>0</v>
      </c>
      <c r="G1615" s="7" t="s">
        <v>295</v>
      </c>
      <c r="H1615" s="7" t="s">
        <v>302</v>
      </c>
      <c r="I1615" s="7" t="n">
        <v>2</v>
      </c>
      <c r="J1615" s="7" t="s">
        <v>107</v>
      </c>
      <c r="K1615" s="7" t="s">
        <v>108</v>
      </c>
      <c r="L1615" s="7" t="n">
        <v>22</v>
      </c>
      <c r="M1615" s="10" t="b">
        <f aca="false">FALSE()</f>
        <v>0</v>
      </c>
      <c r="N1615" s="7" t="s">
        <v>557</v>
      </c>
      <c r="O1615" s="7" t="n">
        <v>-33.899281</v>
      </c>
      <c r="P1615" s="7" t="n">
        <v>151.258976</v>
      </c>
    </row>
    <row r="1616" customFormat="false" ht="15" hidden="false" customHeight="false" outlineLevel="0" collapsed="false">
      <c r="A1616" s="7" t="n">
        <v>1615</v>
      </c>
      <c r="B1616" s="7"/>
      <c r="C1616" s="7" t="s">
        <v>2193</v>
      </c>
      <c r="D1616" s="7" t="n">
        <v>2022</v>
      </c>
      <c r="E1616" s="7" t="s">
        <v>50</v>
      </c>
      <c r="F1616" s="10" t="b">
        <f aca="false">FALSE()</f>
        <v>0</v>
      </c>
      <c r="G1616" s="7" t="s">
        <v>295</v>
      </c>
      <c r="H1616" s="7" t="s">
        <v>237</v>
      </c>
      <c r="I1616" s="7" t="n">
        <v>2</v>
      </c>
      <c r="J1616" s="7" t="s">
        <v>107</v>
      </c>
      <c r="K1616" s="7" t="s">
        <v>108</v>
      </c>
      <c r="L1616" s="7" t="n">
        <v>22</v>
      </c>
      <c r="M1616" s="10" t="b">
        <f aca="false">FALSE()</f>
        <v>0</v>
      </c>
      <c r="N1616" s="7" t="s">
        <v>557</v>
      </c>
      <c r="O1616" s="7" t="n">
        <v>-33.890588</v>
      </c>
      <c r="P1616" s="7" t="n">
        <v>151.245707</v>
      </c>
    </row>
    <row r="1617" customFormat="false" ht="15" hidden="false" customHeight="false" outlineLevel="0" collapsed="false">
      <c r="A1617" s="7" t="n">
        <v>1616</v>
      </c>
      <c r="B1617" s="7"/>
      <c r="C1617" s="7" t="s">
        <v>2194</v>
      </c>
      <c r="D1617" s="7" t="n">
        <v>2041</v>
      </c>
      <c r="E1617" s="7" t="s">
        <v>50</v>
      </c>
      <c r="F1617" s="10" t="b">
        <f aca="false">FALSE()</f>
        <v>0</v>
      </c>
      <c r="G1617" s="7" t="s">
        <v>410</v>
      </c>
      <c r="H1617" s="7" t="s">
        <v>1371</v>
      </c>
      <c r="I1617" s="7" t="n">
        <v>1</v>
      </c>
      <c r="J1617" s="7" t="s">
        <v>107</v>
      </c>
      <c r="K1617" s="7" t="s">
        <v>108</v>
      </c>
      <c r="L1617" s="7" t="n">
        <v>22</v>
      </c>
      <c r="M1617" s="10" t="b">
        <f aca="false">FALSE()</f>
        <v>0</v>
      </c>
      <c r="N1617" s="7" t="s">
        <v>557</v>
      </c>
      <c r="O1617" s="7" t="n">
        <v>-33.851344</v>
      </c>
      <c r="P1617" s="7" t="n">
        <v>151.182194</v>
      </c>
    </row>
    <row r="1618" customFormat="false" ht="15" hidden="false" customHeight="false" outlineLevel="0" collapsed="false">
      <c r="A1618" s="7" t="n">
        <v>1617</v>
      </c>
      <c r="B1618" s="7"/>
      <c r="C1618" s="7" t="s">
        <v>2195</v>
      </c>
      <c r="D1618" s="7" t="n">
        <v>2039</v>
      </c>
      <c r="E1618" s="7" t="s">
        <v>50</v>
      </c>
      <c r="F1618" s="10" t="b">
        <f aca="false">FALSE()</f>
        <v>0</v>
      </c>
      <c r="G1618" s="7" t="s">
        <v>410</v>
      </c>
      <c r="H1618" s="7" t="s">
        <v>302</v>
      </c>
      <c r="I1618" s="7" t="n">
        <v>2</v>
      </c>
      <c r="J1618" s="7" t="s">
        <v>107</v>
      </c>
      <c r="K1618" s="7" t="s">
        <v>108</v>
      </c>
      <c r="L1618" s="7" t="n">
        <v>22</v>
      </c>
      <c r="M1618" s="10" t="b">
        <f aca="false">FALSE()</f>
        <v>0</v>
      </c>
      <c r="N1618" s="7" t="s">
        <v>557</v>
      </c>
      <c r="O1618" s="7" t="n">
        <v>-33.859157</v>
      </c>
      <c r="P1618" s="7" t="n">
        <v>151.171643</v>
      </c>
    </row>
    <row r="1619" customFormat="false" ht="15" hidden="false" customHeight="false" outlineLevel="0" collapsed="false">
      <c r="A1619" s="7" t="n">
        <v>1618</v>
      </c>
      <c r="B1619" s="7" t="s">
        <v>2196</v>
      </c>
      <c r="C1619" s="7" t="s">
        <v>2197</v>
      </c>
      <c r="D1619" s="7" t="n">
        <v>2316</v>
      </c>
      <c r="E1619" s="7" t="s">
        <v>50</v>
      </c>
      <c r="F1619" s="10" t="b">
        <f aca="false">FALSE()</f>
        <v>0</v>
      </c>
      <c r="G1619" s="7" t="s">
        <v>309</v>
      </c>
      <c r="H1619" s="7" t="s">
        <v>260</v>
      </c>
      <c r="I1619" s="7" t="n">
        <v>1</v>
      </c>
      <c r="J1619" s="7" t="s">
        <v>107</v>
      </c>
      <c r="K1619" s="7" t="s">
        <v>107</v>
      </c>
      <c r="L1619" s="7"/>
      <c r="M1619" s="10" t="b">
        <f aca="false">FALSE()</f>
        <v>0</v>
      </c>
      <c r="N1619" s="7" t="s">
        <v>374</v>
      </c>
      <c r="O1619" s="7" t="n">
        <v>-32.76674</v>
      </c>
      <c r="P1619" s="7" t="n">
        <v>152.11538</v>
      </c>
    </row>
    <row r="1620" customFormat="false" ht="15" hidden="false" customHeight="false" outlineLevel="0" collapsed="false">
      <c r="A1620" s="7" t="n">
        <v>1619</v>
      </c>
      <c r="B1620" s="7" t="s">
        <v>2198</v>
      </c>
      <c r="C1620" s="7" t="s">
        <v>2199</v>
      </c>
      <c r="D1620" s="7" t="n">
        <v>2620</v>
      </c>
      <c r="E1620" s="7" t="s">
        <v>50</v>
      </c>
      <c r="F1620" s="10" t="b">
        <f aca="false">FALSE()</f>
        <v>0</v>
      </c>
      <c r="G1620" s="7" t="s">
        <v>94</v>
      </c>
      <c r="H1620" s="7" t="s">
        <v>1889</v>
      </c>
      <c r="I1620" s="7" t="n">
        <v>2</v>
      </c>
      <c r="J1620" s="7" t="s">
        <v>107</v>
      </c>
      <c r="K1620" s="7" t="s">
        <v>107</v>
      </c>
      <c r="L1620" s="7"/>
      <c r="M1620" s="10" t="b">
        <f aca="false">FALSE()</f>
        <v>0</v>
      </c>
      <c r="N1620" s="7" t="s">
        <v>399</v>
      </c>
      <c r="O1620" s="7" t="n">
        <v>-35.35045</v>
      </c>
      <c r="P1620" s="7" t="n">
        <v>149.241722</v>
      </c>
    </row>
    <row r="1621" customFormat="false" ht="15" hidden="false" customHeight="false" outlineLevel="0" collapsed="false">
      <c r="A1621" s="7" t="n">
        <v>1620</v>
      </c>
      <c r="B1621" s="7"/>
      <c r="C1621" s="7" t="s">
        <v>2200</v>
      </c>
      <c r="D1621" s="7" t="n">
        <v>2050</v>
      </c>
      <c r="E1621" s="7" t="s">
        <v>50</v>
      </c>
      <c r="F1621" s="10" t="b">
        <f aca="false">FALSE()</f>
        <v>0</v>
      </c>
      <c r="G1621" s="7" t="s">
        <v>410</v>
      </c>
      <c r="H1621" s="7" t="s">
        <v>1371</v>
      </c>
      <c r="I1621" s="7" t="n">
        <v>1</v>
      </c>
      <c r="J1621" s="7" t="s">
        <v>107</v>
      </c>
      <c r="K1621" s="7" t="s">
        <v>108</v>
      </c>
      <c r="L1621" s="7" t="n">
        <v>22</v>
      </c>
      <c r="M1621" s="10" t="b">
        <f aca="false">FALSE()</f>
        <v>0</v>
      </c>
      <c r="N1621" s="7" t="s">
        <v>557</v>
      </c>
      <c r="O1621" s="7" t="n">
        <v>-33.890695</v>
      </c>
      <c r="P1621" s="7" t="n">
        <v>151.177829</v>
      </c>
    </row>
    <row r="1622" customFormat="false" ht="15" hidden="false" customHeight="false" outlineLevel="0" collapsed="false">
      <c r="A1622" s="7" t="n">
        <v>1621</v>
      </c>
      <c r="B1622" s="7" t="s">
        <v>2201</v>
      </c>
      <c r="C1622" s="7" t="s">
        <v>2202</v>
      </c>
      <c r="D1622" s="7" t="n">
        <v>2450</v>
      </c>
      <c r="E1622" s="7" t="s">
        <v>50</v>
      </c>
      <c r="F1622" s="10" t="b">
        <f aca="false">FALSE()</f>
        <v>0</v>
      </c>
      <c r="G1622" s="7" t="s">
        <v>87</v>
      </c>
      <c r="H1622" s="7" t="s">
        <v>260</v>
      </c>
      <c r="I1622" s="7" t="n">
        <v>1</v>
      </c>
      <c r="J1622" s="7" t="s">
        <v>107</v>
      </c>
      <c r="K1622" s="7" t="s">
        <v>107</v>
      </c>
      <c r="L1622" s="7"/>
      <c r="M1622" s="10" t="b">
        <f aca="false">FALSE()</f>
        <v>0</v>
      </c>
      <c r="N1622" s="7" t="s">
        <v>374</v>
      </c>
      <c r="O1622" s="7" t="n">
        <v>-30.051057</v>
      </c>
      <c r="P1622" s="7" t="n">
        <v>152.979123</v>
      </c>
    </row>
    <row r="1623" customFormat="false" ht="15" hidden="false" customHeight="false" outlineLevel="0" collapsed="false">
      <c r="A1623" s="7" t="n">
        <v>1622</v>
      </c>
      <c r="B1623" s="7"/>
      <c r="C1623" s="7" t="s">
        <v>2203</v>
      </c>
      <c r="D1623" s="7" t="n">
        <v>2300</v>
      </c>
      <c r="E1623" s="7" t="s">
        <v>50</v>
      </c>
      <c r="F1623" s="10" t="b">
        <f aca="false">FALSE()</f>
        <v>0</v>
      </c>
      <c r="G1623" s="7" t="s">
        <v>141</v>
      </c>
      <c r="H1623" s="7" t="s">
        <v>237</v>
      </c>
      <c r="I1623" s="7" t="n">
        <v>8</v>
      </c>
      <c r="J1623" s="7" t="s">
        <v>107</v>
      </c>
      <c r="K1623" s="7" t="s">
        <v>900</v>
      </c>
      <c r="L1623" s="7" t="n">
        <v>7</v>
      </c>
      <c r="M1623" s="10" t="b">
        <f aca="false">FALSE()</f>
        <v>0</v>
      </c>
      <c r="N1623" s="7" t="s">
        <v>557</v>
      </c>
      <c r="O1623" s="7" t="n">
        <v>-32.92414</v>
      </c>
      <c r="P1623" s="7" t="n">
        <v>151.789427</v>
      </c>
    </row>
    <row r="1624" customFormat="false" ht="15" hidden="false" customHeight="false" outlineLevel="0" collapsed="false">
      <c r="A1624" s="7" t="n">
        <v>1623</v>
      </c>
      <c r="B1624" s="7"/>
      <c r="C1624" s="7" t="s">
        <v>2204</v>
      </c>
      <c r="D1624" s="7" t="n">
        <v>2031</v>
      </c>
      <c r="E1624" s="7" t="s">
        <v>50</v>
      </c>
      <c r="F1624" s="10" t="b">
        <f aca="false">FALSE()</f>
        <v>0</v>
      </c>
      <c r="G1624" s="7" t="s">
        <v>355</v>
      </c>
      <c r="H1624" s="7" t="s">
        <v>1371</v>
      </c>
      <c r="I1624" s="7" t="n">
        <v>1</v>
      </c>
      <c r="J1624" s="7" t="s">
        <v>107</v>
      </c>
      <c r="K1624" s="7" t="s">
        <v>900</v>
      </c>
      <c r="L1624" s="7" t="n">
        <v>7</v>
      </c>
      <c r="M1624" s="10" t="b">
        <f aca="false">FALSE()</f>
        <v>0</v>
      </c>
      <c r="N1624" s="7" t="s">
        <v>557</v>
      </c>
      <c r="O1624" s="7" t="n">
        <v>-33.911903</v>
      </c>
      <c r="P1624" s="7" t="n">
        <v>151.238386</v>
      </c>
    </row>
    <row r="1625" customFormat="false" ht="15" hidden="false" customHeight="false" outlineLevel="0" collapsed="false">
      <c r="A1625" s="7" t="n">
        <v>1624</v>
      </c>
      <c r="B1625" s="7" t="s">
        <v>2205</v>
      </c>
      <c r="C1625" s="7" t="s">
        <v>2206</v>
      </c>
      <c r="D1625" s="7" t="n">
        <v>2621</v>
      </c>
      <c r="E1625" s="7" t="s">
        <v>50</v>
      </c>
      <c r="F1625" s="10" t="b">
        <f aca="false">FALSE()</f>
        <v>0</v>
      </c>
      <c r="G1625" s="7" t="s">
        <v>94</v>
      </c>
      <c r="H1625" s="7" t="s">
        <v>260</v>
      </c>
      <c r="I1625" s="7" t="n">
        <v>8</v>
      </c>
      <c r="J1625" s="7" t="s">
        <v>107</v>
      </c>
      <c r="K1625" s="7" t="s">
        <v>107</v>
      </c>
      <c r="L1625" s="7"/>
      <c r="M1625" s="10" t="b">
        <f aca="false">FALSE()</f>
        <v>0</v>
      </c>
      <c r="N1625" s="7" t="s">
        <v>374</v>
      </c>
      <c r="O1625" s="7" t="n">
        <v>-35.257667</v>
      </c>
      <c r="P1625" s="7" t="n">
        <v>149.43939</v>
      </c>
    </row>
    <row r="1626" customFormat="false" ht="15" hidden="false" customHeight="false" outlineLevel="0" collapsed="false">
      <c r="A1626" s="7" t="n">
        <v>1625</v>
      </c>
      <c r="B1626" s="7"/>
      <c r="C1626" s="7" t="s">
        <v>2207</v>
      </c>
      <c r="D1626" s="7" t="n">
        <v>2042</v>
      </c>
      <c r="E1626" s="7" t="s">
        <v>50</v>
      </c>
      <c r="F1626" s="10" t="b">
        <f aca="false">FALSE()</f>
        <v>0</v>
      </c>
      <c r="G1626" s="7" t="s">
        <v>410</v>
      </c>
      <c r="H1626" s="7" t="s">
        <v>1371</v>
      </c>
      <c r="I1626" s="7" t="n">
        <v>1</v>
      </c>
      <c r="J1626" s="7" t="s">
        <v>107</v>
      </c>
      <c r="K1626" s="7" t="s">
        <v>108</v>
      </c>
      <c r="L1626" s="7" t="n">
        <v>22</v>
      </c>
      <c r="M1626" s="10" t="b">
        <f aca="false">FALSE()</f>
        <v>0</v>
      </c>
      <c r="N1626" s="7" t="s">
        <v>557</v>
      </c>
      <c r="O1626" s="7" t="n">
        <v>-33.90436</v>
      </c>
      <c r="P1626" s="7" t="n">
        <v>151.177795</v>
      </c>
    </row>
    <row r="1627" customFormat="false" ht="15" hidden="false" customHeight="false" outlineLevel="0" collapsed="false">
      <c r="A1627" s="7" t="n">
        <v>1626</v>
      </c>
      <c r="B1627" s="7"/>
      <c r="C1627" s="7" t="s">
        <v>2208</v>
      </c>
      <c r="D1627" s="7" t="n">
        <v>2753</v>
      </c>
      <c r="E1627" s="7" t="s">
        <v>50</v>
      </c>
      <c r="F1627" s="10" t="b">
        <f aca="false">FALSE()</f>
        <v>0</v>
      </c>
      <c r="G1627" s="7" t="s">
        <v>566</v>
      </c>
      <c r="H1627" s="7" t="s">
        <v>2209</v>
      </c>
      <c r="I1627" s="7" t="n">
        <v>2</v>
      </c>
      <c r="J1627" s="7" t="s">
        <v>107</v>
      </c>
      <c r="K1627" s="7" t="s">
        <v>108</v>
      </c>
      <c r="L1627" s="7" t="n">
        <v>22</v>
      </c>
      <c r="M1627" s="10" t="b">
        <f aca="false">FALSE()</f>
        <v>0</v>
      </c>
      <c r="N1627" s="7" t="s">
        <v>109</v>
      </c>
      <c r="O1627" s="7" t="n">
        <v>-33.601292</v>
      </c>
      <c r="P1627" s="7" t="n">
        <v>150.753448</v>
      </c>
    </row>
    <row r="1628" customFormat="false" ht="15" hidden="false" customHeight="false" outlineLevel="0" collapsed="false">
      <c r="A1628" s="7" t="n">
        <v>1627</v>
      </c>
      <c r="B1628" s="7"/>
      <c r="C1628" s="7" t="s">
        <v>2210</v>
      </c>
      <c r="D1628" s="7" t="n">
        <v>2042</v>
      </c>
      <c r="E1628" s="7" t="s">
        <v>50</v>
      </c>
      <c r="F1628" s="10" t="b">
        <f aca="false">FALSE()</f>
        <v>0</v>
      </c>
      <c r="G1628" s="7" t="s">
        <v>410</v>
      </c>
      <c r="H1628" s="7" t="s">
        <v>1371</v>
      </c>
      <c r="I1628" s="7" t="n">
        <v>1</v>
      </c>
      <c r="J1628" s="7" t="s">
        <v>107</v>
      </c>
      <c r="K1628" s="7" t="s">
        <v>108</v>
      </c>
      <c r="L1628" s="7" t="n">
        <v>22</v>
      </c>
      <c r="M1628" s="10" t="b">
        <f aca="false">FALSE()</f>
        <v>0</v>
      </c>
      <c r="N1628" s="7" t="s">
        <v>557</v>
      </c>
      <c r="O1628" s="7" t="n">
        <v>-33.901177</v>
      </c>
      <c r="P1628" s="7" t="n">
        <v>151.172382</v>
      </c>
    </row>
    <row r="1629" customFormat="false" ht="15" hidden="false" customHeight="false" outlineLevel="0" collapsed="false">
      <c r="A1629" s="7" t="n">
        <v>1628</v>
      </c>
      <c r="B1629" s="7"/>
      <c r="C1629" s="7" t="s">
        <v>2211</v>
      </c>
      <c r="D1629" s="7" t="n">
        <v>2021</v>
      </c>
      <c r="E1629" s="7" t="s">
        <v>50</v>
      </c>
      <c r="F1629" s="10" t="b">
        <f aca="false">FALSE()</f>
        <v>0</v>
      </c>
      <c r="G1629" s="7" t="s">
        <v>272</v>
      </c>
      <c r="H1629" s="7" t="s">
        <v>1371</v>
      </c>
      <c r="I1629" s="7" t="n">
        <v>1</v>
      </c>
      <c r="J1629" s="7" t="s">
        <v>107</v>
      </c>
      <c r="K1629" s="7" t="s">
        <v>900</v>
      </c>
      <c r="L1629" s="7" t="n">
        <v>7</v>
      </c>
      <c r="M1629" s="10" t="b">
        <f aca="false">FALSE()</f>
        <v>0</v>
      </c>
      <c r="N1629" s="7" t="s">
        <v>557</v>
      </c>
      <c r="O1629" s="7" t="n">
        <v>-33.885101</v>
      </c>
      <c r="P1629" s="7" t="n">
        <v>151.233372</v>
      </c>
    </row>
    <row r="1630" customFormat="false" ht="15" hidden="false" customHeight="false" outlineLevel="0" collapsed="false">
      <c r="A1630" s="7" t="n">
        <v>1629</v>
      </c>
      <c r="B1630" s="7"/>
      <c r="C1630" s="7" t="s">
        <v>2212</v>
      </c>
      <c r="D1630" s="7" t="n">
        <v>2032</v>
      </c>
      <c r="E1630" s="7" t="s">
        <v>50</v>
      </c>
      <c r="F1630" s="10" t="b">
        <f aca="false">FALSE()</f>
        <v>0</v>
      </c>
      <c r="G1630" s="7" t="s">
        <v>355</v>
      </c>
      <c r="H1630" s="7" t="s">
        <v>1069</v>
      </c>
      <c r="I1630" s="7" t="n">
        <v>4</v>
      </c>
      <c r="J1630" s="7" t="s">
        <v>71</v>
      </c>
      <c r="K1630" s="7" t="s">
        <v>83</v>
      </c>
      <c r="L1630" s="7" t="n">
        <v>75</v>
      </c>
      <c r="M1630" s="10" t="b">
        <f aca="false">FALSE()</f>
        <v>0</v>
      </c>
      <c r="N1630" s="7" t="s">
        <v>557</v>
      </c>
      <c r="O1630" s="7" t="n">
        <v>-33.926032</v>
      </c>
      <c r="P1630" s="7" t="n">
        <v>151.231266</v>
      </c>
    </row>
    <row r="1631" customFormat="false" ht="15" hidden="false" customHeight="false" outlineLevel="0" collapsed="false">
      <c r="A1631" s="7" t="n">
        <v>1630</v>
      </c>
      <c r="B1631" s="7"/>
      <c r="C1631" s="7" t="s">
        <v>2213</v>
      </c>
      <c r="D1631" s="7" t="n">
        <v>2039</v>
      </c>
      <c r="E1631" s="7" t="s">
        <v>50</v>
      </c>
      <c r="F1631" s="10" t="b">
        <f aca="false">FALSE()</f>
        <v>0</v>
      </c>
      <c r="G1631" s="7" t="s">
        <v>410</v>
      </c>
      <c r="H1631" s="7" t="s">
        <v>1371</v>
      </c>
      <c r="I1631" s="7" t="n">
        <v>1</v>
      </c>
      <c r="J1631" s="7" t="s">
        <v>107</v>
      </c>
      <c r="K1631" s="7" t="s">
        <v>108</v>
      </c>
      <c r="L1631" s="7" t="n">
        <v>22</v>
      </c>
      <c r="M1631" s="10" t="b">
        <f aca="false">FALSE()</f>
        <v>0</v>
      </c>
      <c r="N1631" s="7" t="s">
        <v>557</v>
      </c>
      <c r="O1631" s="7" t="n">
        <v>-33.868388</v>
      </c>
      <c r="P1631" s="7" t="n">
        <v>151.17213</v>
      </c>
    </row>
    <row r="1632" customFormat="false" ht="15" hidden="false" customHeight="false" outlineLevel="0" collapsed="false">
      <c r="A1632" s="7" t="n">
        <v>1631</v>
      </c>
      <c r="B1632" s="7" t="s">
        <v>1939</v>
      </c>
      <c r="C1632" s="7" t="s">
        <v>2214</v>
      </c>
      <c r="D1632" s="7" t="n">
        <v>2627</v>
      </c>
      <c r="E1632" s="7" t="s">
        <v>50</v>
      </c>
      <c r="F1632" s="10" t="b">
        <f aca="false">FALSE()</f>
        <v>0</v>
      </c>
      <c r="G1632" s="7" t="s">
        <v>177</v>
      </c>
      <c r="H1632" s="7" t="s">
        <v>237</v>
      </c>
      <c r="I1632" s="7" t="n">
        <v>8</v>
      </c>
      <c r="J1632" s="7" t="s">
        <v>107</v>
      </c>
      <c r="K1632" s="7" t="s">
        <v>107</v>
      </c>
      <c r="L1632" s="7"/>
      <c r="M1632" s="10" t="b">
        <f aca="false">FALSE()</f>
        <v>0</v>
      </c>
      <c r="N1632" s="7" t="s">
        <v>374</v>
      </c>
      <c r="O1632" s="7" t="n">
        <v>-36.413698</v>
      </c>
      <c r="P1632" s="7" t="n">
        <v>148.620004</v>
      </c>
    </row>
    <row r="1633" customFormat="false" ht="15" hidden="false" customHeight="false" outlineLevel="0" collapsed="false">
      <c r="A1633" s="7" t="n">
        <v>1632</v>
      </c>
      <c r="B1633" s="7" t="s">
        <v>2215</v>
      </c>
      <c r="C1633" s="7" t="s">
        <v>2216</v>
      </c>
      <c r="D1633" s="7" t="n">
        <v>2537</v>
      </c>
      <c r="E1633" s="7" t="s">
        <v>50</v>
      </c>
      <c r="F1633" s="10" t="b">
        <f aca="false">FALSE()</f>
        <v>0</v>
      </c>
      <c r="G1633" s="7" t="s">
        <v>123</v>
      </c>
      <c r="H1633" s="7" t="s">
        <v>260</v>
      </c>
      <c r="I1633" s="7" t="n">
        <v>4</v>
      </c>
      <c r="J1633" s="7" t="s">
        <v>107</v>
      </c>
      <c r="K1633" s="7" t="s">
        <v>107</v>
      </c>
      <c r="L1633" s="7"/>
      <c r="M1633" s="10" t="b">
        <f aca="false">FALSE()</f>
        <v>0</v>
      </c>
      <c r="N1633" s="7" t="s">
        <v>399</v>
      </c>
      <c r="O1633" s="7" t="n">
        <v>-35.856913</v>
      </c>
      <c r="P1633" s="7" t="n">
        <v>150.173779</v>
      </c>
    </row>
    <row r="1634" customFormat="false" ht="15" hidden="false" customHeight="false" outlineLevel="0" collapsed="false">
      <c r="A1634" s="7" t="n">
        <v>1633</v>
      </c>
      <c r="B1634" s="7" t="s">
        <v>2217</v>
      </c>
      <c r="C1634" s="7" t="s">
        <v>2218</v>
      </c>
      <c r="D1634" s="7" t="n">
        <v>2739</v>
      </c>
      <c r="E1634" s="7" t="s">
        <v>50</v>
      </c>
      <c r="F1634" s="10" t="b">
        <f aca="false">FALSE()</f>
        <v>0</v>
      </c>
      <c r="G1634" s="7" t="s">
        <v>280</v>
      </c>
      <c r="H1634" s="7" t="s">
        <v>237</v>
      </c>
      <c r="I1634" s="7" t="n">
        <v>2</v>
      </c>
      <c r="J1634" s="7" t="s">
        <v>107</v>
      </c>
      <c r="K1634" s="7" t="s">
        <v>107</v>
      </c>
      <c r="L1634" s="7"/>
      <c r="M1634" s="10" t="b">
        <f aca="false">FALSE()</f>
        <v>0</v>
      </c>
      <c r="N1634" s="7" t="s">
        <v>399</v>
      </c>
      <c r="O1634" s="7" t="n">
        <v>-34.174626</v>
      </c>
      <c r="P1634" s="7" t="n">
        <v>142.199777</v>
      </c>
    </row>
    <row r="1635" customFormat="false" ht="15" hidden="false" customHeight="false" outlineLevel="0" collapsed="false">
      <c r="A1635" s="7" t="n">
        <v>1634</v>
      </c>
      <c r="B1635" s="7" t="s">
        <v>2219</v>
      </c>
      <c r="C1635" s="7" t="s">
        <v>2220</v>
      </c>
      <c r="D1635" s="7" t="n">
        <v>2630</v>
      </c>
      <c r="E1635" s="7" t="s">
        <v>50</v>
      </c>
      <c r="F1635" s="10" t="b">
        <f aca="false">FALSE()</f>
        <v>0</v>
      </c>
      <c r="G1635" s="7" t="s">
        <v>177</v>
      </c>
      <c r="H1635" s="7" t="s">
        <v>1786</v>
      </c>
      <c r="I1635" s="7" t="n">
        <v>4</v>
      </c>
      <c r="J1635" s="7" t="s">
        <v>107</v>
      </c>
      <c r="K1635" s="7" t="s">
        <v>107</v>
      </c>
      <c r="L1635" s="7"/>
      <c r="M1635" s="10" t="b">
        <f aca="false">FALSE()</f>
        <v>0</v>
      </c>
      <c r="N1635" s="7" t="s">
        <v>399</v>
      </c>
      <c r="O1635" s="7" t="n">
        <v>-36.229575</v>
      </c>
      <c r="P1635" s="7" t="n">
        <v>149.135252</v>
      </c>
    </row>
    <row r="1636" customFormat="false" ht="15" hidden="false" customHeight="false" outlineLevel="0" collapsed="false">
      <c r="A1636" s="7" t="n">
        <v>1635</v>
      </c>
      <c r="B1636" s="7"/>
      <c r="C1636" s="7" t="s">
        <v>2221</v>
      </c>
      <c r="D1636" s="7" t="n">
        <v>2062</v>
      </c>
      <c r="E1636" s="7" t="s">
        <v>50</v>
      </c>
      <c r="F1636" s="10" t="b">
        <f aca="false">FALSE()</f>
        <v>0</v>
      </c>
      <c r="G1636" s="7" t="s">
        <v>332</v>
      </c>
      <c r="H1636" s="7" t="s">
        <v>1069</v>
      </c>
      <c r="I1636" s="7" t="n">
        <v>4</v>
      </c>
      <c r="J1636" s="7" t="s">
        <v>71</v>
      </c>
      <c r="K1636" s="7" t="s">
        <v>72</v>
      </c>
      <c r="L1636" s="7" t="n">
        <v>50</v>
      </c>
      <c r="M1636" s="10" t="b">
        <f aca="false">FALSE()</f>
        <v>0</v>
      </c>
      <c r="N1636" s="7" t="s">
        <v>557</v>
      </c>
      <c r="O1636" s="7" t="n">
        <v>-33.822772</v>
      </c>
      <c r="P1636" s="7" t="n">
        <v>151.210925</v>
      </c>
    </row>
    <row r="1637" customFormat="false" ht="15" hidden="false" customHeight="false" outlineLevel="0" collapsed="false">
      <c r="A1637" s="7" t="n">
        <v>1636</v>
      </c>
      <c r="B1637" s="7"/>
      <c r="C1637" s="7" t="s">
        <v>2222</v>
      </c>
      <c r="D1637" s="7" t="n">
        <v>2035</v>
      </c>
      <c r="E1637" s="7" t="s">
        <v>50</v>
      </c>
      <c r="F1637" s="10" t="b">
        <f aca="false">FALSE()</f>
        <v>0</v>
      </c>
      <c r="G1637" s="7" t="s">
        <v>355</v>
      </c>
      <c r="H1637" s="7" t="s">
        <v>1371</v>
      </c>
      <c r="I1637" s="7" t="n">
        <v>1</v>
      </c>
      <c r="J1637" s="7" t="s">
        <v>107</v>
      </c>
      <c r="K1637" s="7" t="s">
        <v>108</v>
      </c>
      <c r="L1637" s="7" t="n">
        <v>22</v>
      </c>
      <c r="M1637" s="10" t="b">
        <f aca="false">FALSE()</f>
        <v>0</v>
      </c>
      <c r="N1637" s="7" t="s">
        <v>557</v>
      </c>
      <c r="O1637" s="7" t="n">
        <v>-33.953264</v>
      </c>
      <c r="P1637" s="7" t="n">
        <v>151.250332</v>
      </c>
    </row>
    <row r="1638" customFormat="false" ht="15" hidden="false" customHeight="false" outlineLevel="0" collapsed="false">
      <c r="A1638" s="7" t="n">
        <v>1637</v>
      </c>
      <c r="B1638" s="7" t="s">
        <v>2223</v>
      </c>
      <c r="C1638" s="7" t="s">
        <v>2224</v>
      </c>
      <c r="D1638" s="7" t="n">
        <v>2500</v>
      </c>
      <c r="E1638" s="7" t="s">
        <v>50</v>
      </c>
      <c r="F1638" s="10" t="b">
        <f aca="false">FALSE()</f>
        <v>0</v>
      </c>
      <c r="G1638" s="7" t="s">
        <v>102</v>
      </c>
      <c r="H1638" s="7" t="s">
        <v>398</v>
      </c>
      <c r="I1638" s="7" t="n">
        <v>3</v>
      </c>
      <c r="J1638" s="7" t="s">
        <v>107</v>
      </c>
      <c r="K1638" s="7" t="s">
        <v>107</v>
      </c>
      <c r="L1638" s="7"/>
      <c r="M1638" s="10" t="b">
        <f aca="false">FALSE()</f>
        <v>0</v>
      </c>
      <c r="N1638" s="7" t="s">
        <v>399</v>
      </c>
      <c r="O1638" s="7" t="n">
        <v>-34.420664</v>
      </c>
      <c r="P1638" s="7" t="n">
        <v>150.896831</v>
      </c>
    </row>
    <row r="1639" customFormat="false" ht="15" hidden="false" customHeight="false" outlineLevel="0" collapsed="false">
      <c r="A1639" s="7" t="n">
        <v>1638</v>
      </c>
      <c r="B1639" s="7"/>
      <c r="C1639" s="7" t="s">
        <v>2225</v>
      </c>
      <c r="D1639" s="7" t="n">
        <v>2203</v>
      </c>
      <c r="E1639" s="7" t="s">
        <v>50</v>
      </c>
      <c r="F1639" s="10" t="b">
        <f aca="false">FALSE()</f>
        <v>0</v>
      </c>
      <c r="G1639" s="7" t="s">
        <v>410</v>
      </c>
      <c r="H1639" s="7" t="s">
        <v>556</v>
      </c>
      <c r="I1639" s="7" t="n">
        <v>2</v>
      </c>
      <c r="J1639" s="7" t="s">
        <v>107</v>
      </c>
      <c r="K1639" s="7" t="s">
        <v>108</v>
      </c>
      <c r="L1639" s="7" t="n">
        <v>22</v>
      </c>
      <c r="M1639" s="10" t="b">
        <f aca="false">FALSE()</f>
        <v>0</v>
      </c>
      <c r="N1639" s="7" t="s">
        <v>557</v>
      </c>
      <c r="O1639" s="7" t="n">
        <v>-33.901509</v>
      </c>
      <c r="P1639" s="7" t="n">
        <v>151.13675</v>
      </c>
    </row>
    <row r="1640" customFormat="false" ht="15" hidden="false" customHeight="false" outlineLevel="0" collapsed="false">
      <c r="A1640" s="7" t="n">
        <v>1639</v>
      </c>
      <c r="B1640" s="7" t="s">
        <v>2226</v>
      </c>
      <c r="C1640" s="7" t="s">
        <v>2227</v>
      </c>
      <c r="D1640" s="7" t="n">
        <v>2448</v>
      </c>
      <c r="E1640" s="7" t="s">
        <v>50</v>
      </c>
      <c r="F1640" s="10" t="b">
        <f aca="false">FALSE()</f>
        <v>0</v>
      </c>
      <c r="G1640" s="7" t="s">
        <v>562</v>
      </c>
      <c r="H1640" s="7" t="s">
        <v>237</v>
      </c>
      <c r="I1640" s="7" t="n">
        <v>4</v>
      </c>
      <c r="J1640" s="7" t="s">
        <v>107</v>
      </c>
      <c r="K1640" s="7" t="s">
        <v>107</v>
      </c>
      <c r="L1640" s="7"/>
      <c r="M1640" s="10" t="b">
        <f aca="false">FALSE()</f>
        <v>0</v>
      </c>
      <c r="N1640" s="7" t="s">
        <v>399</v>
      </c>
      <c r="O1640" s="7" t="n">
        <v>-30.644402</v>
      </c>
      <c r="P1640" s="7" t="n">
        <v>153.003824</v>
      </c>
    </row>
    <row r="1641" customFormat="false" ht="15" hidden="false" customHeight="false" outlineLevel="0" collapsed="false">
      <c r="A1641" s="7" t="n">
        <v>1640</v>
      </c>
      <c r="B1641" s="7" t="s">
        <v>2228</v>
      </c>
      <c r="C1641" s="7" t="s">
        <v>2229</v>
      </c>
      <c r="D1641" s="7" t="n">
        <v>2648</v>
      </c>
      <c r="E1641" s="7" t="s">
        <v>50</v>
      </c>
      <c r="F1641" s="10" t="b">
        <f aca="false">FALSE()</f>
        <v>0</v>
      </c>
      <c r="G1641" s="7" t="s">
        <v>280</v>
      </c>
      <c r="H1641" s="7" t="s">
        <v>237</v>
      </c>
      <c r="I1641" s="7" t="n">
        <v>2</v>
      </c>
      <c r="J1641" s="7" t="s">
        <v>107</v>
      </c>
      <c r="K1641" s="7" t="s">
        <v>107</v>
      </c>
      <c r="L1641" s="7"/>
      <c r="M1641" s="10" t="b">
        <f aca="false">FALSE()</f>
        <v>0</v>
      </c>
      <c r="N1641" s="7" t="s">
        <v>399</v>
      </c>
      <c r="O1641" s="7" t="n">
        <v>-34.106055</v>
      </c>
      <c r="P1641" s="7" t="n">
        <v>141.919789</v>
      </c>
    </row>
    <row r="1642" customFormat="false" ht="15" hidden="false" customHeight="false" outlineLevel="0" collapsed="false">
      <c r="A1642" s="7" t="n">
        <v>1641</v>
      </c>
      <c r="B1642" s="7"/>
      <c r="C1642" s="7" t="s">
        <v>2230</v>
      </c>
      <c r="D1642" s="7" t="n">
        <v>2640</v>
      </c>
      <c r="E1642" s="7" t="s">
        <v>50</v>
      </c>
      <c r="F1642" s="10" t="b">
        <f aca="false">FALSE()</f>
        <v>0</v>
      </c>
      <c r="G1642" s="7" t="s">
        <v>194</v>
      </c>
      <c r="H1642" s="7" t="s">
        <v>239</v>
      </c>
      <c r="I1642" s="7" t="n">
        <v>16</v>
      </c>
      <c r="J1642" s="7" t="s">
        <v>71</v>
      </c>
      <c r="K1642" s="7" t="s">
        <v>117</v>
      </c>
      <c r="L1642" s="7" t="n">
        <v>175</v>
      </c>
      <c r="M1642" s="10" t="b">
        <f aca="false">FALSE()</f>
        <v>0</v>
      </c>
      <c r="N1642" s="7" t="s">
        <v>118</v>
      </c>
      <c r="O1642" s="7" t="n">
        <v>-36.079661</v>
      </c>
      <c r="P1642" s="7" t="n">
        <v>146.91389</v>
      </c>
    </row>
    <row r="1643" customFormat="false" ht="15" hidden="false" customHeight="false" outlineLevel="0" collapsed="false">
      <c r="A1643" s="7" t="n">
        <v>1642</v>
      </c>
      <c r="B1643" s="7" t="s">
        <v>2231</v>
      </c>
      <c r="C1643" s="7" t="s">
        <v>2232</v>
      </c>
      <c r="D1643" s="7" t="n">
        <v>2400</v>
      </c>
      <c r="E1643" s="7" t="s">
        <v>50</v>
      </c>
      <c r="F1643" s="10" t="b">
        <f aca="false">FALSE()</f>
        <v>0</v>
      </c>
      <c r="G1643" s="7" t="s">
        <v>115</v>
      </c>
      <c r="H1643" s="7" t="s">
        <v>992</v>
      </c>
      <c r="I1643" s="7" t="n">
        <v>4</v>
      </c>
      <c r="J1643" s="7" t="s">
        <v>107</v>
      </c>
      <c r="K1643" s="7" t="s">
        <v>107</v>
      </c>
      <c r="L1643" s="7"/>
      <c r="M1643" s="10" t="b">
        <f aca="false">FALSE()</f>
        <v>0</v>
      </c>
      <c r="N1643" s="7" t="s">
        <v>399</v>
      </c>
      <c r="O1643" s="7" t="n">
        <v>-29.471727</v>
      </c>
      <c r="P1643" s="7" t="n">
        <v>149.842626</v>
      </c>
    </row>
    <row r="1644" customFormat="false" ht="15" hidden="false" customHeight="false" outlineLevel="0" collapsed="false">
      <c r="A1644" s="7" t="n">
        <v>1643</v>
      </c>
      <c r="B1644" s="7" t="s">
        <v>2233</v>
      </c>
      <c r="C1644" s="7" t="s">
        <v>2234</v>
      </c>
      <c r="D1644" s="7" t="n">
        <v>2440</v>
      </c>
      <c r="E1644" s="7" t="s">
        <v>50</v>
      </c>
      <c r="F1644" s="10" t="b">
        <f aca="false">FALSE()</f>
        <v>0</v>
      </c>
      <c r="G1644" s="7" t="s">
        <v>533</v>
      </c>
      <c r="H1644" s="7" t="s">
        <v>260</v>
      </c>
      <c r="I1644" s="7" t="n">
        <v>2</v>
      </c>
      <c r="J1644" s="7" t="s">
        <v>107</v>
      </c>
      <c r="K1644" s="7" t="s">
        <v>107</v>
      </c>
      <c r="L1644" s="7"/>
      <c r="M1644" s="10" t="b">
        <f aca="false">FALSE()</f>
        <v>0</v>
      </c>
      <c r="N1644" s="7" t="s">
        <v>399</v>
      </c>
      <c r="O1644" s="7" t="n">
        <v>-31.096702</v>
      </c>
      <c r="P1644" s="7" t="n">
        <v>152.835072</v>
      </c>
    </row>
    <row r="1645" customFormat="false" ht="15" hidden="false" customHeight="false" outlineLevel="0" collapsed="false">
      <c r="A1645" s="7" t="n">
        <v>1644</v>
      </c>
      <c r="B1645" s="7"/>
      <c r="C1645" s="7" t="s">
        <v>2235</v>
      </c>
      <c r="D1645" s="7" t="n">
        <v>2066</v>
      </c>
      <c r="E1645" s="7" t="s">
        <v>50</v>
      </c>
      <c r="F1645" s="10" t="b">
        <f aca="false">FALSE()</f>
        <v>0</v>
      </c>
      <c r="G1645" s="7" t="s">
        <v>389</v>
      </c>
      <c r="H1645" s="7" t="s">
        <v>1371</v>
      </c>
      <c r="I1645" s="7" t="n">
        <v>1</v>
      </c>
      <c r="J1645" s="7" t="s">
        <v>107</v>
      </c>
      <c r="K1645" s="7" t="s">
        <v>108</v>
      </c>
      <c r="L1645" s="7" t="n">
        <v>22</v>
      </c>
      <c r="M1645" s="10" t="b">
        <f aca="false">FALSE()</f>
        <v>0</v>
      </c>
      <c r="N1645" s="7" t="s">
        <v>557</v>
      </c>
      <c r="O1645" s="7" t="n">
        <v>-33.8049</v>
      </c>
      <c r="P1645" s="7" t="n">
        <v>151.156134</v>
      </c>
    </row>
    <row r="1646" customFormat="false" ht="15" hidden="false" customHeight="false" outlineLevel="0" collapsed="false">
      <c r="A1646" s="7" t="n">
        <v>1645</v>
      </c>
      <c r="B1646" s="7" t="s">
        <v>2236</v>
      </c>
      <c r="C1646" s="7" t="s">
        <v>2237</v>
      </c>
      <c r="D1646" s="7" t="n">
        <v>2782</v>
      </c>
      <c r="E1646" s="7" t="s">
        <v>50</v>
      </c>
      <c r="F1646" s="10" t="b">
        <f aca="false">FALSE()</f>
        <v>0</v>
      </c>
      <c r="G1646" s="7" t="s">
        <v>306</v>
      </c>
      <c r="H1646" s="7" t="s">
        <v>1786</v>
      </c>
      <c r="I1646" s="7" t="n">
        <v>1</v>
      </c>
      <c r="J1646" s="7" t="s">
        <v>107</v>
      </c>
      <c r="K1646" s="7" t="s">
        <v>107</v>
      </c>
      <c r="L1646" s="7"/>
      <c r="M1646" s="10" t="b">
        <f aca="false">FALSE()</f>
        <v>0</v>
      </c>
      <c r="N1646" s="7" t="s">
        <v>399</v>
      </c>
      <c r="O1646" s="7" t="n">
        <v>-33.714822</v>
      </c>
      <c r="P1646" s="7" t="n">
        <v>150.363825</v>
      </c>
    </row>
    <row r="1647" customFormat="false" ht="15" hidden="false" customHeight="false" outlineLevel="0" collapsed="false">
      <c r="A1647" s="7" t="n">
        <v>1646</v>
      </c>
      <c r="B1647" s="7"/>
      <c r="C1647" s="7" t="s">
        <v>2238</v>
      </c>
      <c r="D1647" s="7" t="n">
        <v>2035</v>
      </c>
      <c r="E1647" s="7" t="s">
        <v>50</v>
      </c>
      <c r="F1647" s="10" t="b">
        <f aca="false">FALSE()</f>
        <v>0</v>
      </c>
      <c r="G1647" s="7" t="s">
        <v>355</v>
      </c>
      <c r="H1647" s="7" t="s">
        <v>237</v>
      </c>
      <c r="I1647" s="7" t="n">
        <v>2</v>
      </c>
      <c r="J1647" s="7" t="s">
        <v>107</v>
      </c>
      <c r="K1647" s="7" t="s">
        <v>108</v>
      </c>
      <c r="L1647" s="7" t="n">
        <v>22</v>
      </c>
      <c r="M1647" s="10" t="b">
        <f aca="false">FALSE()</f>
        <v>0</v>
      </c>
      <c r="N1647" s="7" t="s">
        <v>557</v>
      </c>
      <c r="O1647" s="7" t="n">
        <v>-33.944523</v>
      </c>
      <c r="P1647" s="7" t="n">
        <v>151.232053</v>
      </c>
    </row>
    <row r="1648" customFormat="false" ht="15" hidden="false" customHeight="false" outlineLevel="0" collapsed="false">
      <c r="A1648" s="7" t="n">
        <v>1647</v>
      </c>
      <c r="B1648" s="7"/>
      <c r="C1648" s="7" t="s">
        <v>2239</v>
      </c>
      <c r="D1648" s="7" t="n">
        <v>2031</v>
      </c>
      <c r="E1648" s="7" t="s">
        <v>50</v>
      </c>
      <c r="F1648" s="10" t="b">
        <f aca="false">FALSE()</f>
        <v>0</v>
      </c>
      <c r="G1648" s="7" t="s">
        <v>355</v>
      </c>
      <c r="H1648" s="7" t="s">
        <v>1371</v>
      </c>
      <c r="I1648" s="7" t="n">
        <v>1</v>
      </c>
      <c r="J1648" s="7" t="s">
        <v>107</v>
      </c>
      <c r="K1648" s="7" t="s">
        <v>108</v>
      </c>
      <c r="L1648" s="7" t="n">
        <v>22</v>
      </c>
      <c r="M1648" s="10" t="b">
        <f aca="false">FALSE()</f>
        <v>0</v>
      </c>
      <c r="N1648" s="7" t="s">
        <v>557</v>
      </c>
      <c r="O1648" s="7" t="n">
        <v>-33.919134</v>
      </c>
      <c r="P1648" s="7" t="n">
        <v>151.247214</v>
      </c>
    </row>
    <row r="1649" customFormat="false" ht="15" hidden="false" customHeight="false" outlineLevel="0" collapsed="false">
      <c r="A1649" s="7" t="n">
        <v>1648</v>
      </c>
      <c r="B1649" s="7" t="s">
        <v>2240</v>
      </c>
      <c r="C1649" s="7" t="s">
        <v>2241</v>
      </c>
      <c r="D1649" s="7" t="n">
        <v>2320</v>
      </c>
      <c r="E1649" s="7" t="s">
        <v>50</v>
      </c>
      <c r="F1649" s="10" t="b">
        <f aca="false">FALSE()</f>
        <v>0</v>
      </c>
      <c r="G1649" s="7" t="s">
        <v>111</v>
      </c>
      <c r="H1649" s="7" t="s">
        <v>398</v>
      </c>
      <c r="I1649" s="7" t="n">
        <v>2</v>
      </c>
      <c r="J1649" s="7" t="s">
        <v>107</v>
      </c>
      <c r="K1649" s="7" t="s">
        <v>107</v>
      </c>
      <c r="L1649" s="7"/>
      <c r="M1649" s="10" t="b">
        <f aca="false">FALSE()</f>
        <v>0</v>
      </c>
      <c r="N1649" s="7" t="s">
        <v>399</v>
      </c>
      <c r="O1649" s="7" t="n">
        <v>-32.780491</v>
      </c>
      <c r="P1649" s="7" t="n">
        <v>151.315169</v>
      </c>
    </row>
    <row r="1650" customFormat="false" ht="15" hidden="false" customHeight="false" outlineLevel="0" collapsed="false">
      <c r="A1650" s="7" t="n">
        <v>1649</v>
      </c>
      <c r="B1650" s="7"/>
      <c r="C1650" s="7" t="s">
        <v>2242</v>
      </c>
      <c r="D1650" s="7" t="n">
        <v>2130</v>
      </c>
      <c r="E1650" s="7" t="s">
        <v>50</v>
      </c>
      <c r="F1650" s="10" t="b">
        <f aca="false">FALSE()</f>
        <v>0</v>
      </c>
      <c r="G1650" s="7" t="s">
        <v>410</v>
      </c>
      <c r="H1650" s="7" t="s">
        <v>1371</v>
      </c>
      <c r="I1650" s="7" t="n">
        <v>1</v>
      </c>
      <c r="J1650" s="7" t="s">
        <v>107</v>
      </c>
      <c r="K1650" s="7" t="s">
        <v>900</v>
      </c>
      <c r="L1650" s="7" t="n">
        <v>7</v>
      </c>
      <c r="M1650" s="10" t="b">
        <f aca="false">FALSE()</f>
        <v>0</v>
      </c>
      <c r="N1650" s="7" t="s">
        <v>557</v>
      </c>
      <c r="O1650" s="7" t="n">
        <v>-33.888245</v>
      </c>
      <c r="P1650" s="7" t="n">
        <v>151.139163</v>
      </c>
    </row>
    <row r="1651" customFormat="false" ht="15" hidden="false" customHeight="false" outlineLevel="0" collapsed="false">
      <c r="A1651" s="7" t="n">
        <v>1650</v>
      </c>
      <c r="B1651" s="7"/>
      <c r="C1651" s="7" t="s">
        <v>2243</v>
      </c>
      <c r="D1651" s="7" t="n">
        <v>2050</v>
      </c>
      <c r="E1651" s="7" t="s">
        <v>50</v>
      </c>
      <c r="F1651" s="10" t="b">
        <f aca="false">FALSE()</f>
        <v>0</v>
      </c>
      <c r="G1651" s="7" t="s">
        <v>182</v>
      </c>
      <c r="H1651" s="7" t="s">
        <v>1371</v>
      </c>
      <c r="I1651" s="7" t="n">
        <v>1</v>
      </c>
      <c r="J1651" s="7" t="s">
        <v>107</v>
      </c>
      <c r="K1651" s="7" t="s">
        <v>108</v>
      </c>
      <c r="L1651" s="7" t="n">
        <v>22</v>
      </c>
      <c r="M1651" s="10" t="b">
        <f aca="false">FALSE()</f>
        <v>0</v>
      </c>
      <c r="N1651" s="7" t="s">
        <v>557</v>
      </c>
      <c r="O1651" s="7" t="n">
        <v>-33.88865</v>
      </c>
      <c r="P1651" s="7" t="n">
        <v>151.177838</v>
      </c>
    </row>
    <row r="1652" customFormat="false" ht="15" hidden="false" customHeight="false" outlineLevel="0" collapsed="false">
      <c r="A1652" s="7" t="n">
        <v>1651</v>
      </c>
      <c r="B1652" s="7"/>
      <c r="C1652" s="7" t="s">
        <v>2244</v>
      </c>
      <c r="D1652" s="7" t="n">
        <v>2066</v>
      </c>
      <c r="E1652" s="7" t="s">
        <v>50</v>
      </c>
      <c r="F1652" s="10" t="b">
        <f aca="false">FALSE()</f>
        <v>0</v>
      </c>
      <c r="G1652" s="7" t="s">
        <v>389</v>
      </c>
      <c r="H1652" s="7" t="s">
        <v>1371</v>
      </c>
      <c r="I1652" s="7" t="n">
        <v>1</v>
      </c>
      <c r="J1652" s="7" t="s">
        <v>107</v>
      </c>
      <c r="K1652" s="7" t="s">
        <v>900</v>
      </c>
      <c r="L1652" s="7" t="n">
        <v>7</v>
      </c>
      <c r="M1652" s="10" t="b">
        <f aca="false">FALSE()</f>
        <v>0</v>
      </c>
      <c r="N1652" s="7" t="s">
        <v>557</v>
      </c>
      <c r="O1652" s="7" t="n">
        <v>-33.804692</v>
      </c>
      <c r="P1652" s="7" t="n">
        <v>151.155116</v>
      </c>
    </row>
    <row r="1653" customFormat="false" ht="15" hidden="false" customHeight="false" outlineLevel="0" collapsed="false">
      <c r="A1653" s="7" t="n">
        <v>1652</v>
      </c>
      <c r="B1653" s="7"/>
      <c r="C1653" s="7" t="s">
        <v>2245</v>
      </c>
      <c r="D1653" s="7" t="n">
        <v>2038</v>
      </c>
      <c r="E1653" s="7" t="s">
        <v>50</v>
      </c>
      <c r="F1653" s="10" t="b">
        <f aca="false">FALSE()</f>
        <v>0</v>
      </c>
      <c r="G1653" s="7" t="s">
        <v>410</v>
      </c>
      <c r="H1653" s="7" t="s">
        <v>302</v>
      </c>
      <c r="I1653" s="7" t="n">
        <v>2</v>
      </c>
      <c r="J1653" s="7" t="s">
        <v>107</v>
      </c>
      <c r="K1653" s="7" t="s">
        <v>108</v>
      </c>
      <c r="L1653" s="7" t="n">
        <v>22</v>
      </c>
      <c r="M1653" s="10" t="b">
        <f aca="false">FALSE()</f>
        <v>0</v>
      </c>
      <c r="N1653" s="7" t="s">
        <v>557</v>
      </c>
      <c r="O1653" s="7" t="n">
        <v>-33.88189</v>
      </c>
      <c r="P1653" s="7" t="n">
        <v>151.172712</v>
      </c>
    </row>
    <row r="1654" customFormat="false" ht="15" hidden="false" customHeight="false" outlineLevel="0" collapsed="false">
      <c r="A1654" s="7" t="n">
        <v>1653</v>
      </c>
      <c r="B1654" s="7"/>
      <c r="C1654" s="7" t="s">
        <v>2246</v>
      </c>
      <c r="D1654" s="7" t="n">
        <v>2021</v>
      </c>
      <c r="E1654" s="7" t="s">
        <v>50</v>
      </c>
      <c r="F1654" s="10" t="b">
        <f aca="false">FALSE()</f>
        <v>0</v>
      </c>
      <c r="G1654" s="7" t="s">
        <v>272</v>
      </c>
      <c r="H1654" s="7" t="s">
        <v>1371</v>
      </c>
      <c r="I1654" s="7" t="n">
        <v>1</v>
      </c>
      <c r="J1654" s="7" t="s">
        <v>107</v>
      </c>
      <c r="K1654" s="7" t="s">
        <v>108</v>
      </c>
      <c r="L1654" s="7" t="n">
        <v>22</v>
      </c>
      <c r="M1654" s="10" t="b">
        <f aca="false">FALSE()</f>
        <v>0</v>
      </c>
      <c r="N1654" s="7" t="s">
        <v>557</v>
      </c>
      <c r="O1654" s="7" t="n">
        <v>-33.884718</v>
      </c>
      <c r="P1654" s="7" t="n">
        <v>151.23348</v>
      </c>
    </row>
    <row r="1655" customFormat="false" ht="15" hidden="false" customHeight="false" outlineLevel="0" collapsed="false">
      <c r="A1655" s="7" t="n">
        <v>1654</v>
      </c>
      <c r="B1655" s="7"/>
      <c r="C1655" s="7" t="s">
        <v>2247</v>
      </c>
      <c r="D1655" s="7" t="n">
        <v>2065</v>
      </c>
      <c r="E1655" s="7" t="s">
        <v>50</v>
      </c>
      <c r="F1655" s="10" t="b">
        <f aca="false">FALSE()</f>
        <v>0</v>
      </c>
      <c r="G1655" s="7" t="s">
        <v>332</v>
      </c>
      <c r="H1655" s="7" t="s">
        <v>1069</v>
      </c>
      <c r="I1655" s="7" t="n">
        <v>4</v>
      </c>
      <c r="J1655" s="7" t="s">
        <v>71</v>
      </c>
      <c r="K1655" s="7" t="s">
        <v>83</v>
      </c>
      <c r="L1655" s="7" t="n">
        <v>75</v>
      </c>
      <c r="M1655" s="10" t="b">
        <f aca="false">FALSE()</f>
        <v>0</v>
      </c>
      <c r="N1655" s="7" t="s">
        <v>557</v>
      </c>
      <c r="O1655" s="7" t="n">
        <v>-33.824319</v>
      </c>
      <c r="P1655" s="7" t="n">
        <v>151.20023</v>
      </c>
    </row>
    <row r="1656" customFormat="false" ht="15" hidden="false" customHeight="false" outlineLevel="0" collapsed="false">
      <c r="A1656" s="7" t="n">
        <v>1655</v>
      </c>
      <c r="B1656" s="7"/>
      <c r="C1656" s="7" t="s">
        <v>2248</v>
      </c>
      <c r="D1656" s="7" t="n">
        <v>2029</v>
      </c>
      <c r="E1656" s="7" t="s">
        <v>50</v>
      </c>
      <c r="F1656" s="10" t="b">
        <f aca="false">FALSE()</f>
        <v>0</v>
      </c>
      <c r="G1656" s="7" t="s">
        <v>295</v>
      </c>
      <c r="H1656" s="7" t="s">
        <v>302</v>
      </c>
      <c r="I1656" s="7" t="n">
        <v>2</v>
      </c>
      <c r="J1656" s="7" t="s">
        <v>107</v>
      </c>
      <c r="K1656" s="7" t="s">
        <v>108</v>
      </c>
      <c r="L1656" s="7" t="n">
        <v>22</v>
      </c>
      <c r="M1656" s="10" t="b">
        <f aca="false">FALSE()</f>
        <v>0</v>
      </c>
      <c r="N1656" s="7" t="s">
        <v>557</v>
      </c>
      <c r="O1656" s="7" t="n">
        <v>-33.87327</v>
      </c>
      <c r="P1656" s="7" t="n">
        <v>151.274317</v>
      </c>
    </row>
    <row r="1657" customFormat="false" ht="15" hidden="false" customHeight="false" outlineLevel="0" collapsed="false">
      <c r="A1657" s="7" t="n">
        <v>1656</v>
      </c>
      <c r="B1657" s="7" t="s">
        <v>2249</v>
      </c>
      <c r="C1657" s="7" t="s">
        <v>2250</v>
      </c>
      <c r="D1657" s="7" t="n">
        <v>2845</v>
      </c>
      <c r="E1657" s="7" t="s">
        <v>50</v>
      </c>
      <c r="F1657" s="10" t="b">
        <f aca="false">FALSE()</f>
        <v>0</v>
      </c>
      <c r="G1657" s="7" t="s">
        <v>139</v>
      </c>
      <c r="H1657" s="7" t="s">
        <v>260</v>
      </c>
      <c r="I1657" s="7" t="n">
        <v>4</v>
      </c>
      <c r="J1657" s="7" t="s">
        <v>107</v>
      </c>
      <c r="K1657" s="7" t="s">
        <v>107</v>
      </c>
      <c r="L1657" s="7"/>
      <c r="M1657" s="10" t="b">
        <f aca="false">FALSE()</f>
        <v>0</v>
      </c>
      <c r="N1657" s="7" t="s">
        <v>399</v>
      </c>
      <c r="O1657" s="7" t="n">
        <v>-33.407318</v>
      </c>
      <c r="P1657" s="7" t="n">
        <v>150.067499</v>
      </c>
    </row>
    <row r="1658" customFormat="false" ht="15" hidden="false" customHeight="false" outlineLevel="0" collapsed="false">
      <c r="A1658" s="7" t="n">
        <v>1657</v>
      </c>
      <c r="B1658" s="7"/>
      <c r="C1658" s="7" t="s">
        <v>2251</v>
      </c>
      <c r="D1658" s="7" t="n">
        <v>2022</v>
      </c>
      <c r="E1658" s="7" t="s">
        <v>50</v>
      </c>
      <c r="F1658" s="10" t="b">
        <f aca="false">FALSE()</f>
        <v>0</v>
      </c>
      <c r="G1658" s="7" t="s">
        <v>295</v>
      </c>
      <c r="H1658" s="7" t="s">
        <v>1371</v>
      </c>
      <c r="I1658" s="7" t="n">
        <v>1</v>
      </c>
      <c r="J1658" s="7" t="s">
        <v>107</v>
      </c>
      <c r="K1658" s="7" t="s">
        <v>108</v>
      </c>
      <c r="L1658" s="7" t="n">
        <v>22</v>
      </c>
      <c r="M1658" s="10" t="b">
        <f aca="false">FALSE()</f>
        <v>0</v>
      </c>
      <c r="N1658" s="7" t="s">
        <v>557</v>
      </c>
      <c r="O1658" s="7" t="n">
        <v>-33.892717</v>
      </c>
      <c r="P1658" s="7" t="n">
        <v>151.244189</v>
      </c>
    </row>
    <row r="1659" customFormat="false" ht="15" hidden="false" customHeight="false" outlineLevel="0" collapsed="false">
      <c r="A1659" s="7" t="n">
        <v>1658</v>
      </c>
      <c r="B1659" s="7"/>
      <c r="C1659" s="7" t="s">
        <v>2252</v>
      </c>
      <c r="D1659" s="7" t="n">
        <v>2045</v>
      </c>
      <c r="E1659" s="7" t="s">
        <v>50</v>
      </c>
      <c r="F1659" s="10" t="b">
        <f aca="false">FALSE()</f>
        <v>0</v>
      </c>
      <c r="G1659" s="7" t="s">
        <v>410</v>
      </c>
      <c r="H1659" s="7" t="s">
        <v>1371</v>
      </c>
      <c r="I1659" s="7" t="n">
        <v>1</v>
      </c>
      <c r="J1659" s="7" t="s">
        <v>107</v>
      </c>
      <c r="K1659" s="7" t="s">
        <v>108</v>
      </c>
      <c r="L1659" s="7" t="n">
        <v>22</v>
      </c>
      <c r="M1659" s="10" t="b">
        <f aca="false">FALSE()</f>
        <v>0</v>
      </c>
      <c r="N1659" s="7" t="s">
        <v>557</v>
      </c>
      <c r="O1659" s="7" t="n">
        <v>-33.870799</v>
      </c>
      <c r="P1659" s="7" t="n">
        <v>151.145484</v>
      </c>
    </row>
    <row r="1660" customFormat="false" ht="15" hidden="false" customHeight="false" outlineLevel="0" collapsed="false">
      <c r="A1660" s="7" t="n">
        <v>1659</v>
      </c>
      <c r="B1660" s="7"/>
      <c r="C1660" s="7" t="s">
        <v>2253</v>
      </c>
      <c r="D1660" s="7" t="n">
        <v>2040</v>
      </c>
      <c r="E1660" s="7" t="s">
        <v>50</v>
      </c>
      <c r="F1660" s="10" t="b">
        <f aca="false">FALSE()</f>
        <v>0</v>
      </c>
      <c r="G1660" s="7" t="s">
        <v>410</v>
      </c>
      <c r="H1660" s="7" t="s">
        <v>556</v>
      </c>
      <c r="I1660" s="7" t="n">
        <v>4</v>
      </c>
      <c r="J1660" s="7" t="s">
        <v>107</v>
      </c>
      <c r="K1660" s="7" t="s">
        <v>108</v>
      </c>
      <c r="L1660" s="7" t="n">
        <v>22</v>
      </c>
      <c r="M1660" s="10" t="b">
        <f aca="false">FALSE()</f>
        <v>0</v>
      </c>
      <c r="N1660" s="7" t="s">
        <v>557</v>
      </c>
      <c r="O1660" s="7" t="n">
        <v>-33.880497</v>
      </c>
      <c r="P1660" s="7" t="n">
        <v>151.166168</v>
      </c>
    </row>
    <row r="1661" customFormat="false" ht="15" hidden="false" customHeight="false" outlineLevel="0" collapsed="false">
      <c r="A1661" s="7" t="n">
        <v>1660</v>
      </c>
      <c r="B1661" s="7"/>
      <c r="C1661" s="7" t="s">
        <v>2254</v>
      </c>
      <c r="D1661" s="7" t="n">
        <v>2039</v>
      </c>
      <c r="E1661" s="7" t="s">
        <v>50</v>
      </c>
      <c r="F1661" s="10" t="b">
        <f aca="false">FALSE()</f>
        <v>0</v>
      </c>
      <c r="G1661" s="7" t="s">
        <v>410</v>
      </c>
      <c r="H1661" s="7" t="s">
        <v>556</v>
      </c>
      <c r="I1661" s="7" t="n">
        <v>2</v>
      </c>
      <c r="J1661" s="7" t="s">
        <v>107</v>
      </c>
      <c r="K1661" s="7" t="s">
        <v>108</v>
      </c>
      <c r="L1661" s="7" t="n">
        <v>22</v>
      </c>
      <c r="M1661" s="10" t="b">
        <f aca="false">FALSE()</f>
        <v>0</v>
      </c>
      <c r="N1661" s="7" t="s">
        <v>557</v>
      </c>
      <c r="O1661" s="7" t="n">
        <v>-33.86895</v>
      </c>
      <c r="P1661" s="7" t="n">
        <v>151.171672</v>
      </c>
    </row>
    <row r="1662" customFormat="false" ht="15" hidden="false" customHeight="false" outlineLevel="0" collapsed="false">
      <c r="A1662" s="7" t="n">
        <v>1661</v>
      </c>
      <c r="B1662" s="7" t="s">
        <v>2255</v>
      </c>
      <c r="C1662" s="7" t="s">
        <v>2256</v>
      </c>
      <c r="D1662" s="7" t="n">
        <v>2423</v>
      </c>
      <c r="E1662" s="7" t="s">
        <v>50</v>
      </c>
      <c r="F1662" s="10" t="b">
        <f aca="false">FALSE()</f>
        <v>0</v>
      </c>
      <c r="G1662" s="7" t="s">
        <v>128</v>
      </c>
      <c r="H1662" s="7" t="s">
        <v>398</v>
      </c>
      <c r="I1662" s="7" t="n">
        <v>2</v>
      </c>
      <c r="J1662" s="7" t="s">
        <v>107</v>
      </c>
      <c r="K1662" s="7" t="s">
        <v>107</v>
      </c>
      <c r="L1662" s="7"/>
      <c r="M1662" s="10" t="b">
        <f aca="false">FALSE()</f>
        <v>0</v>
      </c>
      <c r="N1662" s="7" t="s">
        <v>399</v>
      </c>
      <c r="O1662" s="7" t="n">
        <v>-32.409206</v>
      </c>
      <c r="P1662" s="7" t="n">
        <v>152.210664</v>
      </c>
    </row>
    <row r="1663" customFormat="false" ht="15" hidden="false" customHeight="false" outlineLevel="0" collapsed="false">
      <c r="A1663" s="7" t="n">
        <v>1662</v>
      </c>
      <c r="B1663" s="7" t="s">
        <v>2257</v>
      </c>
      <c r="C1663" s="7" t="s">
        <v>2258</v>
      </c>
      <c r="D1663" s="7" t="n">
        <v>2644</v>
      </c>
      <c r="E1663" s="7" t="s">
        <v>50</v>
      </c>
      <c r="F1663" s="10" t="b">
        <f aca="false">FALSE()</f>
        <v>0</v>
      </c>
      <c r="G1663" s="7" t="s">
        <v>173</v>
      </c>
      <c r="H1663" s="7" t="s">
        <v>230</v>
      </c>
      <c r="I1663" s="7" t="n">
        <v>4</v>
      </c>
      <c r="J1663" s="7" t="s">
        <v>107</v>
      </c>
      <c r="K1663" s="7" t="s">
        <v>107</v>
      </c>
      <c r="L1663" s="7"/>
      <c r="M1663" s="10" t="b">
        <f aca="false">FALSE()</f>
        <v>0</v>
      </c>
      <c r="N1663" s="7" t="s">
        <v>399</v>
      </c>
      <c r="O1663" s="7" t="n">
        <v>-35.833243</v>
      </c>
      <c r="P1663" s="7" t="n">
        <v>147.24846</v>
      </c>
    </row>
    <row r="1664" customFormat="false" ht="15" hidden="false" customHeight="false" outlineLevel="0" collapsed="false">
      <c r="A1664" s="7" t="n">
        <v>1663</v>
      </c>
      <c r="B1664" s="7" t="s">
        <v>2259</v>
      </c>
      <c r="C1664" s="7" t="s">
        <v>2260</v>
      </c>
      <c r="D1664" s="7" t="n">
        <v>2710</v>
      </c>
      <c r="E1664" s="7" t="s">
        <v>50</v>
      </c>
      <c r="F1664" s="10" t="b">
        <f aca="false">FALSE()</f>
        <v>0</v>
      </c>
      <c r="G1664" s="7" t="s">
        <v>262</v>
      </c>
      <c r="H1664" s="7" t="s">
        <v>230</v>
      </c>
      <c r="I1664" s="7" t="n">
        <v>3</v>
      </c>
      <c r="J1664" s="7" t="s">
        <v>107</v>
      </c>
      <c r="K1664" s="7" t="s">
        <v>107</v>
      </c>
      <c r="L1664" s="7"/>
      <c r="M1664" s="10" t="b">
        <f aca="false">FALSE()</f>
        <v>0</v>
      </c>
      <c r="N1664" s="7" t="s">
        <v>374</v>
      </c>
      <c r="O1664" s="7" t="n">
        <v>-35.537285</v>
      </c>
      <c r="P1664" s="7" t="n">
        <v>144.966411</v>
      </c>
    </row>
    <row r="1665" customFormat="false" ht="15" hidden="false" customHeight="false" outlineLevel="0" collapsed="false">
      <c r="A1665" s="7" t="n">
        <v>1664</v>
      </c>
      <c r="B1665" s="7"/>
      <c r="C1665" s="7" t="s">
        <v>2261</v>
      </c>
      <c r="D1665" s="7" t="n">
        <v>2582</v>
      </c>
      <c r="E1665" s="7" t="s">
        <v>50</v>
      </c>
      <c r="F1665" s="10" t="b">
        <f aca="false">FALSE()</f>
        <v>0</v>
      </c>
      <c r="G1665" s="7" t="s">
        <v>153</v>
      </c>
      <c r="H1665" s="7" t="s">
        <v>239</v>
      </c>
      <c r="I1665" s="7" t="n">
        <v>12</v>
      </c>
      <c r="J1665" s="7" t="s">
        <v>71</v>
      </c>
      <c r="K1665" s="7" t="s">
        <v>117</v>
      </c>
      <c r="L1665" s="7" t="n">
        <v>175</v>
      </c>
      <c r="M1665" s="10" t="b">
        <f aca="false">FALSE()</f>
        <v>0</v>
      </c>
      <c r="N1665" s="7" t="s">
        <v>118</v>
      </c>
      <c r="O1665" s="7" t="n">
        <v>-34.843604</v>
      </c>
      <c r="P1665" s="7" t="n">
        <v>148.914229</v>
      </c>
    </row>
    <row r="1666" customFormat="false" ht="15" hidden="false" customHeight="false" outlineLevel="0" collapsed="false">
      <c r="A1666" s="7" t="n">
        <v>1665</v>
      </c>
      <c r="B1666" s="7" t="s">
        <v>2262</v>
      </c>
      <c r="C1666" s="7" t="s">
        <v>2263</v>
      </c>
      <c r="D1666" s="7" t="n">
        <v>2330</v>
      </c>
      <c r="E1666" s="7" t="s">
        <v>50</v>
      </c>
      <c r="F1666" s="10" t="b">
        <f aca="false">FALSE()</f>
        <v>0</v>
      </c>
      <c r="G1666" s="7" t="s">
        <v>336</v>
      </c>
      <c r="H1666" s="7" t="s">
        <v>260</v>
      </c>
      <c r="I1666" s="7" t="n">
        <v>2</v>
      </c>
      <c r="J1666" s="7" t="s">
        <v>107</v>
      </c>
      <c r="K1666" s="7" t="s">
        <v>107</v>
      </c>
      <c r="L1666" s="7"/>
      <c r="M1666" s="10" t="b">
        <f aca="false">FALSE()</f>
        <v>0</v>
      </c>
      <c r="N1666" s="7" t="s">
        <v>399</v>
      </c>
      <c r="O1666" s="7" t="n">
        <v>-32.738156</v>
      </c>
      <c r="P1666" s="7" t="n">
        <v>151.099194</v>
      </c>
    </row>
    <row r="1667" customFormat="false" ht="15" hidden="false" customHeight="false" outlineLevel="0" collapsed="false">
      <c r="A1667" s="7" t="n">
        <v>1666</v>
      </c>
      <c r="B1667" s="7"/>
      <c r="C1667" s="7" t="s">
        <v>2264</v>
      </c>
      <c r="D1667" s="7" t="n">
        <v>2028</v>
      </c>
      <c r="E1667" s="7" t="s">
        <v>50</v>
      </c>
      <c r="F1667" s="10" t="b">
        <f aca="false">FALSE()</f>
        <v>0</v>
      </c>
      <c r="G1667" s="7" t="s">
        <v>272</v>
      </c>
      <c r="H1667" s="7" t="s">
        <v>237</v>
      </c>
      <c r="I1667" s="7" t="n">
        <v>2</v>
      </c>
      <c r="J1667" s="7" t="s">
        <v>107</v>
      </c>
      <c r="K1667" s="7" t="s">
        <v>108</v>
      </c>
      <c r="L1667" s="7" t="n">
        <v>22</v>
      </c>
      <c r="M1667" s="10" t="b">
        <f aca="false">FALSE()</f>
        <v>0</v>
      </c>
      <c r="N1667" s="7" t="s">
        <v>557</v>
      </c>
      <c r="O1667" s="7" t="n">
        <v>-33.874608</v>
      </c>
      <c r="P1667" s="7" t="n">
        <v>151.242577</v>
      </c>
    </row>
    <row r="1668" customFormat="false" ht="15" hidden="false" customHeight="false" outlineLevel="0" collapsed="false">
      <c r="A1668" s="7" t="n">
        <v>1667</v>
      </c>
      <c r="B1668" s="7" t="s">
        <v>2265</v>
      </c>
      <c r="C1668" s="7" t="s">
        <v>2266</v>
      </c>
      <c r="D1668" s="7" t="n">
        <v>2250</v>
      </c>
      <c r="E1668" s="7" t="s">
        <v>50</v>
      </c>
      <c r="F1668" s="10" t="b">
        <f aca="false">FALSE()</f>
        <v>0</v>
      </c>
      <c r="G1668" s="7" t="s">
        <v>276</v>
      </c>
      <c r="H1668" s="7" t="s">
        <v>252</v>
      </c>
      <c r="I1668" s="7" t="n">
        <v>4</v>
      </c>
      <c r="J1668" s="7" t="s">
        <v>107</v>
      </c>
      <c r="K1668" s="7" t="s">
        <v>107</v>
      </c>
      <c r="L1668" s="7"/>
      <c r="M1668" s="10" t="b">
        <f aca="false">FALSE()</f>
        <v>0</v>
      </c>
      <c r="N1668" s="7" t="s">
        <v>374</v>
      </c>
      <c r="O1668" s="7" t="n">
        <v>-33.403152</v>
      </c>
      <c r="P1668" s="7" t="n">
        <v>151.192874</v>
      </c>
    </row>
    <row r="1669" customFormat="false" ht="15" hidden="false" customHeight="false" outlineLevel="0" collapsed="false">
      <c r="A1669" s="7" t="n">
        <v>1668</v>
      </c>
      <c r="B1669" s="7"/>
      <c r="C1669" s="7" t="s">
        <v>2267</v>
      </c>
      <c r="D1669" s="7" t="n">
        <v>2031</v>
      </c>
      <c r="E1669" s="7" t="s">
        <v>50</v>
      </c>
      <c r="F1669" s="10" t="b">
        <f aca="false">FALSE()</f>
        <v>0</v>
      </c>
      <c r="G1669" s="7" t="s">
        <v>355</v>
      </c>
      <c r="H1669" s="7" t="s">
        <v>1371</v>
      </c>
      <c r="I1669" s="7" t="n">
        <v>1</v>
      </c>
      <c r="J1669" s="7" t="s">
        <v>107</v>
      </c>
      <c r="K1669" s="7" t="s">
        <v>108</v>
      </c>
      <c r="L1669" s="7" t="n">
        <v>22</v>
      </c>
      <c r="M1669" s="10" t="b">
        <f aca="false">FALSE()</f>
        <v>0</v>
      </c>
      <c r="N1669" s="7" t="s">
        <v>557</v>
      </c>
      <c r="O1669" s="7" t="n">
        <v>-33.913122</v>
      </c>
      <c r="P1669" s="7" t="n">
        <v>151.24663</v>
      </c>
    </row>
    <row r="1670" customFormat="false" ht="15" hidden="false" customHeight="false" outlineLevel="0" collapsed="false">
      <c r="A1670" s="7" t="n">
        <v>1669</v>
      </c>
      <c r="B1670" s="7" t="s">
        <v>2268</v>
      </c>
      <c r="C1670" s="7" t="s">
        <v>2269</v>
      </c>
      <c r="D1670" s="7" t="n">
        <v>2330</v>
      </c>
      <c r="E1670" s="7" t="s">
        <v>50</v>
      </c>
      <c r="F1670" s="10" t="b">
        <f aca="false">FALSE()</f>
        <v>0</v>
      </c>
      <c r="G1670" s="7" t="s">
        <v>336</v>
      </c>
      <c r="H1670" s="7" t="s">
        <v>260</v>
      </c>
      <c r="I1670" s="7" t="n">
        <v>2</v>
      </c>
      <c r="J1670" s="7" t="s">
        <v>107</v>
      </c>
      <c r="K1670" s="7" t="s">
        <v>107</v>
      </c>
      <c r="L1670" s="7"/>
      <c r="M1670" s="10" t="b">
        <f aca="false">FALSE()</f>
        <v>0</v>
      </c>
      <c r="N1670" s="7" t="s">
        <v>399</v>
      </c>
      <c r="O1670" s="7" t="n">
        <v>-32.795486</v>
      </c>
      <c r="P1670" s="7" t="n">
        <v>151.076909</v>
      </c>
    </row>
    <row r="1671" customFormat="false" ht="15" hidden="false" customHeight="false" outlineLevel="0" collapsed="false">
      <c r="A1671" s="7" t="n">
        <v>1670</v>
      </c>
      <c r="B1671" s="7" t="s">
        <v>2270</v>
      </c>
      <c r="C1671" s="7" t="s">
        <v>2271</v>
      </c>
      <c r="D1671" s="7" t="n">
        <v>2576</v>
      </c>
      <c r="E1671" s="7" t="s">
        <v>50</v>
      </c>
      <c r="F1671" s="10" t="b">
        <f aca="false">FALSE()</f>
        <v>0</v>
      </c>
      <c r="G1671" s="7" t="s">
        <v>161</v>
      </c>
      <c r="H1671" s="7" t="s">
        <v>260</v>
      </c>
      <c r="I1671" s="7" t="n">
        <v>4</v>
      </c>
      <c r="J1671" s="7" t="s">
        <v>107</v>
      </c>
      <c r="K1671" s="7" t="s">
        <v>107</v>
      </c>
      <c r="L1671" s="7"/>
      <c r="M1671" s="10" t="b">
        <f aca="false">FALSE()</f>
        <v>0</v>
      </c>
      <c r="N1671" s="7" t="s">
        <v>399</v>
      </c>
      <c r="O1671" s="7" t="n">
        <v>-34.466296</v>
      </c>
      <c r="P1671" s="7" t="n">
        <v>150.413618</v>
      </c>
    </row>
    <row r="1672" customFormat="false" ht="15" hidden="false" customHeight="false" outlineLevel="0" collapsed="false">
      <c r="A1672" s="7" t="n">
        <v>1671</v>
      </c>
      <c r="B1672" s="7"/>
      <c r="C1672" s="7" t="s">
        <v>2272</v>
      </c>
      <c r="D1672" s="7" t="n">
        <v>2024</v>
      </c>
      <c r="E1672" s="7" t="s">
        <v>50</v>
      </c>
      <c r="F1672" s="10" t="b">
        <f aca="false">FALSE()</f>
        <v>0</v>
      </c>
      <c r="G1672" s="7" t="s">
        <v>295</v>
      </c>
      <c r="H1672" s="7" t="s">
        <v>237</v>
      </c>
      <c r="I1672" s="7" t="n">
        <v>2</v>
      </c>
      <c r="J1672" s="7" t="s">
        <v>107</v>
      </c>
      <c r="K1672" s="7" t="s">
        <v>108</v>
      </c>
      <c r="L1672" s="7" t="n">
        <v>22</v>
      </c>
      <c r="M1672" s="10" t="b">
        <f aca="false">FALSE()</f>
        <v>0</v>
      </c>
      <c r="N1672" s="7" t="s">
        <v>557</v>
      </c>
      <c r="O1672" s="7" t="n">
        <v>-33.907174</v>
      </c>
      <c r="P1672" s="7" t="n">
        <v>151.26553</v>
      </c>
    </row>
    <row r="1673" customFormat="false" ht="15" hidden="false" customHeight="false" outlineLevel="0" collapsed="false">
      <c r="A1673" s="7" t="n">
        <v>1672</v>
      </c>
      <c r="B1673" s="7"/>
      <c r="C1673" s="7" t="s">
        <v>2273</v>
      </c>
      <c r="D1673" s="7" t="n">
        <v>2042</v>
      </c>
      <c r="E1673" s="7" t="s">
        <v>50</v>
      </c>
      <c r="F1673" s="10" t="b">
        <f aca="false">FALSE()</f>
        <v>0</v>
      </c>
      <c r="G1673" s="7" t="s">
        <v>410</v>
      </c>
      <c r="H1673" s="7" t="s">
        <v>1371</v>
      </c>
      <c r="I1673" s="7" t="n">
        <v>1</v>
      </c>
      <c r="J1673" s="7" t="s">
        <v>107</v>
      </c>
      <c r="K1673" s="7" t="s">
        <v>108</v>
      </c>
      <c r="L1673" s="7" t="n">
        <v>22</v>
      </c>
      <c r="M1673" s="10" t="b">
        <f aca="false">FALSE()</f>
        <v>0</v>
      </c>
      <c r="N1673" s="7" t="s">
        <v>557</v>
      </c>
      <c r="O1673" s="7" t="n">
        <v>-33.903876</v>
      </c>
      <c r="P1673" s="7" t="n">
        <v>151.179333</v>
      </c>
    </row>
    <row r="1674" customFormat="false" ht="15" hidden="false" customHeight="false" outlineLevel="0" collapsed="false">
      <c r="A1674" s="7" t="n">
        <v>1673</v>
      </c>
      <c r="B1674" s="7"/>
      <c r="C1674" s="7" t="s">
        <v>2274</v>
      </c>
      <c r="D1674" s="7" t="n">
        <v>2025</v>
      </c>
      <c r="E1674" s="7" t="s">
        <v>50</v>
      </c>
      <c r="F1674" s="10" t="b">
        <f aca="false">FALSE()</f>
        <v>0</v>
      </c>
      <c r="G1674" s="7" t="s">
        <v>272</v>
      </c>
      <c r="H1674" s="7" t="s">
        <v>1371</v>
      </c>
      <c r="I1674" s="7" t="n">
        <v>1</v>
      </c>
      <c r="J1674" s="7" t="s">
        <v>107</v>
      </c>
      <c r="K1674" s="7" t="s">
        <v>108</v>
      </c>
      <c r="L1674" s="7" t="n">
        <v>22</v>
      </c>
      <c r="M1674" s="10" t="b">
        <f aca="false">FALSE()</f>
        <v>0</v>
      </c>
      <c r="N1674" s="7" t="s">
        <v>557</v>
      </c>
      <c r="O1674" s="7" t="n">
        <v>-33.888478</v>
      </c>
      <c r="P1674" s="7" t="n">
        <v>151.232697</v>
      </c>
    </row>
    <row r="1675" customFormat="false" ht="15" hidden="false" customHeight="false" outlineLevel="0" collapsed="false">
      <c r="A1675" s="7" t="n">
        <v>1674</v>
      </c>
      <c r="B1675" s="7" t="s">
        <v>2275</v>
      </c>
      <c r="C1675" s="7" t="s">
        <v>2276</v>
      </c>
      <c r="D1675" s="7" t="n">
        <v>2316</v>
      </c>
      <c r="E1675" s="7" t="s">
        <v>50</v>
      </c>
      <c r="F1675" s="10" t="b">
        <f aca="false">FALSE()</f>
        <v>0</v>
      </c>
      <c r="G1675" s="7" t="s">
        <v>309</v>
      </c>
      <c r="H1675" s="7" t="s">
        <v>252</v>
      </c>
      <c r="I1675" s="7" t="n">
        <v>4</v>
      </c>
      <c r="J1675" s="7" t="s">
        <v>107</v>
      </c>
      <c r="K1675" s="7" t="s">
        <v>107</v>
      </c>
      <c r="L1675" s="7"/>
      <c r="M1675" s="10" t="b">
        <f aca="false">FALSE()</f>
        <v>0</v>
      </c>
      <c r="N1675" s="7" t="s">
        <v>399</v>
      </c>
      <c r="O1675" s="7" t="n">
        <v>-32.776552</v>
      </c>
      <c r="P1675" s="7" t="n">
        <v>152.109818</v>
      </c>
    </row>
    <row r="1676" customFormat="false" ht="15" hidden="false" customHeight="false" outlineLevel="0" collapsed="false">
      <c r="A1676" s="7" t="n">
        <v>1675</v>
      </c>
      <c r="B1676" s="7" t="s">
        <v>2277</v>
      </c>
      <c r="C1676" s="7" t="s">
        <v>2278</v>
      </c>
      <c r="D1676" s="7" t="n">
        <v>2250</v>
      </c>
      <c r="E1676" s="7" t="s">
        <v>50</v>
      </c>
      <c r="F1676" s="10" t="b">
        <f aca="false">FALSE()</f>
        <v>0</v>
      </c>
      <c r="G1676" s="7" t="s">
        <v>276</v>
      </c>
      <c r="H1676" s="7" t="s">
        <v>1795</v>
      </c>
      <c r="I1676" s="7" t="n">
        <v>2</v>
      </c>
      <c r="J1676" s="7" t="s">
        <v>107</v>
      </c>
      <c r="K1676" s="7" t="s">
        <v>107</v>
      </c>
      <c r="L1676" s="7"/>
      <c r="M1676" s="10" t="b">
        <f aca="false">FALSE()</f>
        <v>0</v>
      </c>
      <c r="N1676" s="7" t="s">
        <v>399</v>
      </c>
      <c r="O1676" s="7" t="n">
        <v>-33.426463</v>
      </c>
      <c r="P1676" s="7" t="n">
        <v>151.332527</v>
      </c>
    </row>
    <row r="1677" customFormat="false" ht="15" hidden="false" customHeight="false" outlineLevel="0" collapsed="false">
      <c r="A1677" s="7" t="n">
        <v>1676</v>
      </c>
      <c r="B1677" s="7"/>
      <c r="C1677" s="7" t="s">
        <v>2279</v>
      </c>
      <c r="D1677" s="7" t="n">
        <v>2066</v>
      </c>
      <c r="E1677" s="7" t="s">
        <v>50</v>
      </c>
      <c r="F1677" s="10" t="b">
        <f aca="false">FALSE()</f>
        <v>0</v>
      </c>
      <c r="G1677" s="7" t="s">
        <v>389</v>
      </c>
      <c r="H1677" s="7" t="s">
        <v>233</v>
      </c>
      <c r="I1677" s="7" t="n">
        <v>4</v>
      </c>
      <c r="J1677" s="7" t="s">
        <v>71</v>
      </c>
      <c r="K1677" s="7" t="s">
        <v>117</v>
      </c>
      <c r="L1677" s="7" t="n">
        <v>175</v>
      </c>
      <c r="M1677" s="10" t="b">
        <f aca="false">FALSE()</f>
        <v>0</v>
      </c>
      <c r="N1677" s="7" t="s">
        <v>118</v>
      </c>
      <c r="O1677" s="7" t="n">
        <v>-33.82454</v>
      </c>
      <c r="P1677" s="7" t="n">
        <v>151.172579</v>
      </c>
    </row>
    <row r="1678" customFormat="false" ht="15" hidden="false" customHeight="false" outlineLevel="0" collapsed="false">
      <c r="A1678" s="7" t="n">
        <v>1677</v>
      </c>
      <c r="B1678" s="7"/>
      <c r="C1678" s="7" t="s">
        <v>2280</v>
      </c>
      <c r="D1678" s="7" t="n">
        <v>2322</v>
      </c>
      <c r="E1678" s="7" t="s">
        <v>50</v>
      </c>
      <c r="F1678" s="10" t="b">
        <f aca="false">FALSE()</f>
        <v>0</v>
      </c>
      <c r="G1678" s="7" t="s">
        <v>283</v>
      </c>
      <c r="H1678" s="7" t="s">
        <v>237</v>
      </c>
      <c r="I1678" s="7" t="n">
        <v>2</v>
      </c>
      <c r="J1678" s="7" t="s">
        <v>107</v>
      </c>
      <c r="K1678" s="7" t="s">
        <v>107</v>
      </c>
      <c r="L1678" s="7"/>
      <c r="M1678" s="10" t="b">
        <f aca="false">FALSE()</f>
        <v>0</v>
      </c>
      <c r="N1678" s="7" t="s">
        <v>374</v>
      </c>
      <c r="O1678" s="7" t="n">
        <v>-32.79587</v>
      </c>
      <c r="P1678" s="7" t="n">
        <v>151.638377</v>
      </c>
    </row>
    <row r="1679" customFormat="false" ht="15" hidden="false" customHeight="false" outlineLevel="0" collapsed="false">
      <c r="A1679" s="7" t="n">
        <v>1678</v>
      </c>
      <c r="B1679" s="7" t="s">
        <v>2281</v>
      </c>
      <c r="C1679" s="7" t="s">
        <v>2282</v>
      </c>
      <c r="D1679" s="7" t="n">
        <v>2790</v>
      </c>
      <c r="E1679" s="7" t="s">
        <v>50</v>
      </c>
      <c r="F1679" s="10" t="b">
        <f aca="false">FALSE()</f>
        <v>0</v>
      </c>
      <c r="G1679" s="7" t="s">
        <v>139</v>
      </c>
      <c r="H1679" s="7" t="s">
        <v>252</v>
      </c>
      <c r="I1679" s="7" t="n">
        <v>2</v>
      </c>
      <c r="J1679" s="7" t="s">
        <v>107</v>
      </c>
      <c r="K1679" s="7" t="s">
        <v>107</v>
      </c>
      <c r="L1679" s="7"/>
      <c r="M1679" s="10" t="b">
        <f aca="false">FALSE()</f>
        <v>0</v>
      </c>
      <c r="N1679" s="7" t="s">
        <v>399</v>
      </c>
      <c r="O1679" s="7" t="n">
        <v>-33.477129</v>
      </c>
      <c r="P1679" s="7" t="n">
        <v>150.172547</v>
      </c>
    </row>
    <row r="1680" customFormat="false" ht="15" hidden="false" customHeight="false" outlineLevel="0" collapsed="false">
      <c r="A1680" s="7" t="n">
        <v>1679</v>
      </c>
      <c r="B1680" s="7"/>
      <c r="C1680" s="7" t="s">
        <v>2283</v>
      </c>
      <c r="D1680" s="7" t="n">
        <v>2067</v>
      </c>
      <c r="E1680" s="7" t="s">
        <v>50</v>
      </c>
      <c r="F1680" s="10" t="b">
        <f aca="false">FALSE()</f>
        <v>0</v>
      </c>
      <c r="G1680" s="7" t="s">
        <v>258</v>
      </c>
      <c r="H1680" s="7" t="s">
        <v>302</v>
      </c>
      <c r="I1680" s="7" t="n">
        <v>2</v>
      </c>
      <c r="J1680" s="7" t="s">
        <v>107</v>
      </c>
      <c r="K1680" s="7" t="s">
        <v>108</v>
      </c>
      <c r="L1680" s="7" t="n">
        <v>22</v>
      </c>
      <c r="M1680" s="10" t="b">
        <f aca="false">FALSE()</f>
        <v>0</v>
      </c>
      <c r="N1680" s="7" t="s">
        <v>557</v>
      </c>
      <c r="O1680" s="7" t="n">
        <v>-33.785633</v>
      </c>
      <c r="P1680" s="7" t="n">
        <v>151.197632</v>
      </c>
    </row>
    <row r="1681" customFormat="false" ht="15" hidden="false" customHeight="false" outlineLevel="0" collapsed="false">
      <c r="A1681" s="7" t="n">
        <v>1680</v>
      </c>
      <c r="B1681" s="7" t="s">
        <v>2284</v>
      </c>
      <c r="C1681" s="7" t="s">
        <v>2285</v>
      </c>
      <c r="D1681" s="7" t="n">
        <v>2482</v>
      </c>
      <c r="E1681" s="7" t="s">
        <v>50</v>
      </c>
      <c r="F1681" s="10" t="b">
        <f aca="false">FALSE()</f>
        <v>0</v>
      </c>
      <c r="G1681" s="7" t="s">
        <v>82</v>
      </c>
      <c r="H1681" s="7" t="s">
        <v>237</v>
      </c>
      <c r="I1681" s="7" t="n">
        <v>2</v>
      </c>
      <c r="J1681" s="7" t="s">
        <v>107</v>
      </c>
      <c r="K1681" s="7" t="s">
        <v>107</v>
      </c>
      <c r="L1681" s="7"/>
      <c r="M1681" s="10" t="b">
        <f aca="false">FALSE()</f>
        <v>0</v>
      </c>
      <c r="N1681" s="7" t="s">
        <v>399</v>
      </c>
      <c r="O1681" s="7" t="n">
        <v>-28.554407</v>
      </c>
      <c r="P1681" s="7" t="n">
        <v>153.502509</v>
      </c>
    </row>
    <row r="1682" customFormat="false" ht="15" hidden="false" customHeight="false" outlineLevel="0" collapsed="false">
      <c r="A1682" s="7" t="n">
        <v>1681</v>
      </c>
      <c r="B1682" s="7" t="s">
        <v>2286</v>
      </c>
      <c r="C1682" s="7" t="s">
        <v>2287</v>
      </c>
      <c r="D1682" s="7" t="n">
        <v>2325</v>
      </c>
      <c r="E1682" s="7" t="s">
        <v>50</v>
      </c>
      <c r="F1682" s="10" t="b">
        <f aca="false">FALSE()</f>
        <v>0</v>
      </c>
      <c r="G1682" s="7" t="s">
        <v>111</v>
      </c>
      <c r="H1682" s="7" t="s">
        <v>1795</v>
      </c>
      <c r="I1682" s="7" t="n">
        <v>2</v>
      </c>
      <c r="J1682" s="7" t="s">
        <v>107</v>
      </c>
      <c r="K1682" s="7" t="s">
        <v>107</v>
      </c>
      <c r="L1682" s="7"/>
      <c r="M1682" s="10" t="b">
        <f aca="false">FALSE()</f>
        <v>0</v>
      </c>
      <c r="N1682" s="7" t="s">
        <v>399</v>
      </c>
      <c r="O1682" s="7" t="n">
        <v>-32.74506</v>
      </c>
      <c r="P1682" s="7" t="n">
        <v>151.387928</v>
      </c>
    </row>
    <row r="1683" customFormat="false" ht="15" hidden="false" customHeight="false" outlineLevel="0" collapsed="false">
      <c r="A1683" s="7" t="n">
        <v>1682</v>
      </c>
      <c r="B1683" s="7"/>
      <c r="C1683" s="7" t="s">
        <v>2288</v>
      </c>
      <c r="D1683" s="7" t="n">
        <v>2575</v>
      </c>
      <c r="E1683" s="7" t="s">
        <v>50</v>
      </c>
      <c r="F1683" s="10" t="b">
        <f aca="false">FALSE()</f>
        <v>0</v>
      </c>
      <c r="G1683" s="7" t="s">
        <v>161</v>
      </c>
      <c r="H1683" s="7" t="s">
        <v>1748</v>
      </c>
      <c r="I1683" s="7" t="n">
        <v>2</v>
      </c>
      <c r="J1683" s="7" t="s">
        <v>107</v>
      </c>
      <c r="K1683" s="7" t="s">
        <v>107</v>
      </c>
      <c r="L1683" s="7"/>
      <c r="M1683" s="10" t="b">
        <f aca="false">FALSE()</f>
        <v>0</v>
      </c>
      <c r="N1683" s="7" t="s">
        <v>374</v>
      </c>
      <c r="O1683" s="7" t="n">
        <v>-34.448082</v>
      </c>
      <c r="P1683" s="7" t="n">
        <v>150.456152</v>
      </c>
    </row>
    <row r="1684" customFormat="false" ht="15" hidden="false" customHeight="false" outlineLevel="0" collapsed="false">
      <c r="A1684" s="7" t="n">
        <v>1683</v>
      </c>
      <c r="B1684" s="7" t="s">
        <v>2289</v>
      </c>
      <c r="C1684" s="7" t="s">
        <v>2290</v>
      </c>
      <c r="D1684" s="7" t="n">
        <v>2710</v>
      </c>
      <c r="E1684" s="7" t="s">
        <v>50</v>
      </c>
      <c r="F1684" s="10" t="b">
        <f aca="false">FALSE()</f>
        <v>0</v>
      </c>
      <c r="G1684" s="7" t="s">
        <v>262</v>
      </c>
      <c r="H1684" s="7" t="s">
        <v>1748</v>
      </c>
      <c r="I1684" s="7" t="n">
        <v>8</v>
      </c>
      <c r="J1684" s="7" t="s">
        <v>107</v>
      </c>
      <c r="K1684" s="7" t="s">
        <v>107</v>
      </c>
      <c r="L1684" s="7"/>
      <c r="M1684" s="10" t="b">
        <f aca="false">FALSE()</f>
        <v>0</v>
      </c>
      <c r="N1684" s="7" t="s">
        <v>374</v>
      </c>
      <c r="O1684" s="7" t="n">
        <v>-35.535574</v>
      </c>
      <c r="P1684" s="7" t="n">
        <v>144.967345</v>
      </c>
    </row>
    <row r="1685" customFormat="false" ht="15" hidden="false" customHeight="false" outlineLevel="0" collapsed="false">
      <c r="A1685" s="7" t="n">
        <v>1684</v>
      </c>
      <c r="B1685" s="7" t="s">
        <v>2291</v>
      </c>
      <c r="C1685" s="7" t="s">
        <v>2292</v>
      </c>
      <c r="D1685" s="7" t="n">
        <v>2402</v>
      </c>
      <c r="E1685" s="7" t="s">
        <v>50</v>
      </c>
      <c r="F1685" s="10" t="b">
        <f aca="false">FALSE()</f>
        <v>0</v>
      </c>
      <c r="G1685" s="7" t="s">
        <v>986</v>
      </c>
      <c r="H1685" s="7" t="s">
        <v>260</v>
      </c>
      <c r="I1685" s="7" t="n">
        <v>1</v>
      </c>
      <c r="J1685" s="7" t="s">
        <v>107</v>
      </c>
      <c r="K1685" s="7" t="s">
        <v>107</v>
      </c>
      <c r="L1685" s="7"/>
      <c r="M1685" s="10" t="b">
        <f aca="false">FALSE()</f>
        <v>0</v>
      </c>
      <c r="N1685" s="7" t="s">
        <v>399</v>
      </c>
      <c r="O1685" s="7" t="n">
        <v>-29.54082</v>
      </c>
      <c r="P1685" s="7" t="n">
        <v>150.576003</v>
      </c>
    </row>
    <row r="1686" customFormat="false" ht="15" hidden="false" customHeight="false" outlineLevel="0" collapsed="false">
      <c r="A1686" s="7" t="n">
        <v>1685</v>
      </c>
      <c r="B1686" s="7"/>
      <c r="C1686" s="7" t="s">
        <v>2293</v>
      </c>
      <c r="D1686" s="7" t="n">
        <v>2711</v>
      </c>
      <c r="E1686" s="7" t="s">
        <v>50</v>
      </c>
      <c r="F1686" s="10" t="b">
        <f aca="false">FALSE()</f>
        <v>0</v>
      </c>
      <c r="G1686" s="7" t="s">
        <v>89</v>
      </c>
      <c r="H1686" s="7" t="s">
        <v>239</v>
      </c>
      <c r="I1686" s="7" t="n">
        <v>6</v>
      </c>
      <c r="J1686" s="7" t="s">
        <v>71</v>
      </c>
      <c r="K1686" s="7" t="s">
        <v>117</v>
      </c>
      <c r="L1686" s="7" t="n">
        <v>175</v>
      </c>
      <c r="M1686" s="10" t="b">
        <f aca="false">FALSE()</f>
        <v>0</v>
      </c>
      <c r="N1686" s="7" t="s">
        <v>118</v>
      </c>
      <c r="O1686" s="7" t="n">
        <v>-34.511508</v>
      </c>
      <c r="P1686" s="7" t="n">
        <v>144.842282</v>
      </c>
    </row>
    <row r="1687" customFormat="false" ht="15" hidden="false" customHeight="false" outlineLevel="0" collapsed="false">
      <c r="A1687" s="7" t="n">
        <v>1686</v>
      </c>
      <c r="B1687" s="7"/>
      <c r="C1687" s="7" t="s">
        <v>2294</v>
      </c>
      <c r="D1687" s="7" t="n">
        <v>2300</v>
      </c>
      <c r="E1687" s="7" t="s">
        <v>50</v>
      </c>
      <c r="F1687" s="10" t="b">
        <f aca="false">FALSE()</f>
        <v>0</v>
      </c>
      <c r="G1687" s="7" t="s">
        <v>141</v>
      </c>
      <c r="H1687" s="7" t="s">
        <v>237</v>
      </c>
      <c r="I1687" s="7" t="n">
        <v>2</v>
      </c>
      <c r="J1687" s="7" t="s">
        <v>107</v>
      </c>
      <c r="K1687" s="7" t="s">
        <v>108</v>
      </c>
      <c r="L1687" s="7" t="n">
        <v>22</v>
      </c>
      <c r="M1687" s="10" t="b">
        <f aca="false">FALSE()</f>
        <v>0</v>
      </c>
      <c r="N1687" s="7" t="s">
        <v>557</v>
      </c>
      <c r="O1687" s="7" t="n">
        <v>-32.931405</v>
      </c>
      <c r="P1687" s="7" t="n">
        <v>151.78206</v>
      </c>
    </row>
    <row r="1688" customFormat="false" ht="15" hidden="false" customHeight="false" outlineLevel="0" collapsed="false">
      <c r="A1688" s="7" t="n">
        <v>1687</v>
      </c>
      <c r="B1688" s="7"/>
      <c r="C1688" s="7" t="s">
        <v>2295</v>
      </c>
      <c r="D1688" s="7" t="n">
        <v>2016</v>
      </c>
      <c r="E1688" s="7" t="s">
        <v>50</v>
      </c>
      <c r="F1688" s="10" t="b">
        <f aca="false">FALSE()</f>
        <v>0</v>
      </c>
      <c r="G1688" s="7" t="s">
        <v>182</v>
      </c>
      <c r="H1688" s="7" t="s">
        <v>302</v>
      </c>
      <c r="I1688" s="7" t="n">
        <v>2</v>
      </c>
      <c r="J1688" s="7" t="s">
        <v>107</v>
      </c>
      <c r="K1688" s="7" t="s">
        <v>108</v>
      </c>
      <c r="L1688" s="7" t="n">
        <v>22</v>
      </c>
      <c r="M1688" s="10" t="b">
        <f aca="false">FALSE()</f>
        <v>0</v>
      </c>
      <c r="N1688" s="7" t="s">
        <v>557</v>
      </c>
      <c r="O1688" s="7" t="n">
        <v>-33.89402</v>
      </c>
      <c r="P1688" s="7" t="n">
        <v>151.214175</v>
      </c>
    </row>
    <row r="1689" customFormat="false" ht="15" hidden="false" customHeight="false" outlineLevel="0" collapsed="false">
      <c r="A1689" s="7" t="n">
        <v>1688</v>
      </c>
      <c r="B1689" s="7" t="s">
        <v>199</v>
      </c>
      <c r="C1689" s="7" t="s">
        <v>2296</v>
      </c>
      <c r="D1689" s="7" t="n">
        <v>2849</v>
      </c>
      <c r="E1689" s="7" t="s">
        <v>50</v>
      </c>
      <c r="F1689" s="10" t="b">
        <f aca="false">FALSE()</f>
        <v>0</v>
      </c>
      <c r="G1689" s="7" t="s">
        <v>199</v>
      </c>
      <c r="H1689" s="7" t="s">
        <v>1748</v>
      </c>
      <c r="I1689" s="7" t="n">
        <v>2</v>
      </c>
      <c r="J1689" s="7" t="s">
        <v>107</v>
      </c>
      <c r="K1689" s="7" t="s">
        <v>107</v>
      </c>
      <c r="L1689" s="7"/>
      <c r="M1689" s="10" t="b">
        <f aca="false">FALSE()</f>
        <v>0</v>
      </c>
      <c r="N1689" s="7" t="s">
        <v>374</v>
      </c>
      <c r="O1689" s="7" t="n">
        <v>-32.797647</v>
      </c>
      <c r="P1689" s="7" t="n">
        <v>149.970402</v>
      </c>
    </row>
    <row r="1690" customFormat="false" ht="15" hidden="false" customHeight="false" outlineLevel="0" collapsed="false">
      <c r="A1690" s="7" t="n">
        <v>1689</v>
      </c>
      <c r="B1690" s="7" t="s">
        <v>2297</v>
      </c>
      <c r="C1690" s="7" t="s">
        <v>2298</v>
      </c>
      <c r="D1690" s="7" t="n">
        <v>2546</v>
      </c>
      <c r="E1690" s="7" t="s">
        <v>50</v>
      </c>
      <c r="F1690" s="10" t="b">
        <f aca="false">FALSE()</f>
        <v>0</v>
      </c>
      <c r="G1690" s="7" t="s">
        <v>188</v>
      </c>
      <c r="H1690" s="7" t="s">
        <v>237</v>
      </c>
      <c r="I1690" s="7" t="n">
        <v>2</v>
      </c>
      <c r="J1690" s="7" t="s">
        <v>107</v>
      </c>
      <c r="K1690" s="7" t="s">
        <v>107</v>
      </c>
      <c r="L1690" s="7"/>
      <c r="M1690" s="10" t="b">
        <f aca="false">FALSE()</f>
        <v>0</v>
      </c>
      <c r="N1690" s="7" t="s">
        <v>374</v>
      </c>
      <c r="O1690" s="7" t="n">
        <v>-36.426641</v>
      </c>
      <c r="P1690" s="7" t="n">
        <v>150.071439</v>
      </c>
    </row>
    <row r="1691" customFormat="false" ht="15" hidden="false" customHeight="false" outlineLevel="0" collapsed="false">
      <c r="A1691" s="7" t="n">
        <v>1690</v>
      </c>
      <c r="B1691" s="7"/>
      <c r="C1691" s="7" t="s">
        <v>2299</v>
      </c>
      <c r="D1691" s="7" t="n">
        <v>2048</v>
      </c>
      <c r="E1691" s="7" t="s">
        <v>50</v>
      </c>
      <c r="F1691" s="10" t="b">
        <f aca="false">FALSE()</f>
        <v>0</v>
      </c>
      <c r="G1691" s="7" t="s">
        <v>410</v>
      </c>
      <c r="H1691" s="7" t="s">
        <v>1371</v>
      </c>
      <c r="I1691" s="7" t="n">
        <v>1</v>
      </c>
      <c r="J1691" s="7" t="s">
        <v>107</v>
      </c>
      <c r="K1691" s="7" t="s">
        <v>108</v>
      </c>
      <c r="L1691" s="7" t="n">
        <v>22</v>
      </c>
      <c r="M1691" s="10" t="b">
        <f aca="false">FALSE()</f>
        <v>0</v>
      </c>
      <c r="N1691" s="7" t="s">
        <v>557</v>
      </c>
      <c r="O1691" s="7" t="n">
        <v>-33.888983</v>
      </c>
      <c r="P1691" s="7" t="n">
        <v>151.168461</v>
      </c>
    </row>
    <row r="1692" customFormat="false" ht="15" hidden="false" customHeight="false" outlineLevel="0" collapsed="false">
      <c r="A1692" s="7" t="n">
        <v>1691</v>
      </c>
      <c r="B1692" s="7"/>
      <c r="C1692" s="7" t="s">
        <v>2300</v>
      </c>
      <c r="D1692" s="7" t="n">
        <v>2065</v>
      </c>
      <c r="E1692" s="7" t="s">
        <v>50</v>
      </c>
      <c r="F1692" s="10" t="b">
        <f aca="false">FALSE()</f>
        <v>0</v>
      </c>
      <c r="G1692" s="7" t="s">
        <v>258</v>
      </c>
      <c r="H1692" s="7" t="s">
        <v>302</v>
      </c>
      <c r="I1692" s="7" t="n">
        <v>2</v>
      </c>
      <c r="J1692" s="7" t="s">
        <v>107</v>
      </c>
      <c r="K1692" s="7" t="s">
        <v>108</v>
      </c>
      <c r="L1692" s="7" t="n">
        <v>22</v>
      </c>
      <c r="M1692" s="10" t="b">
        <f aca="false">FALSE()</f>
        <v>0</v>
      </c>
      <c r="N1692" s="7" t="s">
        <v>557</v>
      </c>
      <c r="O1692" s="7" t="n">
        <v>-33.815547</v>
      </c>
      <c r="P1692" s="7" t="n">
        <v>151.194236</v>
      </c>
    </row>
    <row r="1693" customFormat="false" ht="15" hidden="false" customHeight="false" outlineLevel="0" collapsed="false">
      <c r="A1693" s="7" t="n">
        <v>1692</v>
      </c>
      <c r="B1693" s="7" t="s">
        <v>2301</v>
      </c>
      <c r="C1693" s="7" t="s">
        <v>2302</v>
      </c>
      <c r="D1693" s="7" t="n">
        <v>2720</v>
      </c>
      <c r="E1693" s="7" t="s">
        <v>50</v>
      </c>
      <c r="F1693" s="10" t="b">
        <f aca="false">FALSE()</f>
        <v>0</v>
      </c>
      <c r="G1693" s="7" t="s">
        <v>456</v>
      </c>
      <c r="H1693" s="7" t="s">
        <v>237</v>
      </c>
      <c r="I1693" s="7" t="n">
        <v>4</v>
      </c>
      <c r="J1693" s="7" t="s">
        <v>107</v>
      </c>
      <c r="K1693" s="7" t="s">
        <v>107</v>
      </c>
      <c r="L1693" s="7"/>
      <c r="M1693" s="10" t="b">
        <f aca="false">FALSE()</f>
        <v>0</v>
      </c>
      <c r="N1693" s="7" t="s">
        <v>399</v>
      </c>
      <c r="O1693" s="7" t="n">
        <v>-35.301235</v>
      </c>
      <c r="P1693" s="7" t="n">
        <v>148.220143</v>
      </c>
    </row>
    <row r="1694" customFormat="false" ht="15" hidden="false" customHeight="false" outlineLevel="0" collapsed="false">
      <c r="A1694" s="7" t="n">
        <v>1693</v>
      </c>
      <c r="B1694" s="7" t="s">
        <v>1188</v>
      </c>
      <c r="C1694" s="7" t="s">
        <v>2303</v>
      </c>
      <c r="D1694" s="7" t="n">
        <v>2702</v>
      </c>
      <c r="E1694" s="7" t="s">
        <v>50</v>
      </c>
      <c r="F1694" s="10" t="b">
        <f aca="false">FALSE()</f>
        <v>0</v>
      </c>
      <c r="G1694" s="7" t="s">
        <v>1188</v>
      </c>
      <c r="H1694" s="7" t="s">
        <v>260</v>
      </c>
      <c r="I1694" s="7" t="n">
        <v>2</v>
      </c>
      <c r="J1694" s="7" t="s">
        <v>107</v>
      </c>
      <c r="K1694" s="7" t="s">
        <v>107</v>
      </c>
      <c r="L1694" s="7"/>
      <c r="M1694" s="10" t="b">
        <f aca="false">FALSE()</f>
        <v>0</v>
      </c>
      <c r="N1694" s="7" t="s">
        <v>374</v>
      </c>
      <c r="O1694" s="7" t="n">
        <v>-34.793385</v>
      </c>
      <c r="P1694" s="7" t="n">
        <v>147.038851</v>
      </c>
    </row>
    <row r="1695" customFormat="false" ht="15" hidden="false" customHeight="false" outlineLevel="0" collapsed="false">
      <c r="A1695" s="7" t="n">
        <v>1694</v>
      </c>
      <c r="B1695" s="7" t="s">
        <v>2304</v>
      </c>
      <c r="C1695" s="7" t="s">
        <v>2305</v>
      </c>
      <c r="D1695" s="7" t="n">
        <v>2426</v>
      </c>
      <c r="E1695" s="7" t="s">
        <v>50</v>
      </c>
      <c r="F1695" s="10" t="b">
        <f aca="false">FALSE()</f>
        <v>0</v>
      </c>
      <c r="G1695" s="7" t="s">
        <v>128</v>
      </c>
      <c r="H1695" s="7" t="s">
        <v>252</v>
      </c>
      <c r="I1695" s="7" t="n">
        <v>2</v>
      </c>
      <c r="J1695" s="7" t="s">
        <v>107</v>
      </c>
      <c r="K1695" s="7" t="s">
        <v>107</v>
      </c>
      <c r="L1695" s="7"/>
      <c r="M1695" s="10" t="b">
        <f aca="false">FALSE()</f>
        <v>0</v>
      </c>
      <c r="N1695" s="7" t="s">
        <v>399</v>
      </c>
      <c r="O1695" s="7" t="n">
        <v>-31.823489</v>
      </c>
      <c r="P1695" s="7" t="n">
        <v>152.616172</v>
      </c>
    </row>
    <row r="1696" customFormat="false" ht="15" hidden="false" customHeight="false" outlineLevel="0" collapsed="false">
      <c r="A1696" s="7" t="n">
        <v>1695</v>
      </c>
      <c r="B1696" s="7"/>
      <c r="C1696" s="7" t="s">
        <v>2306</v>
      </c>
      <c r="D1696" s="7" t="n">
        <v>2760</v>
      </c>
      <c r="E1696" s="7" t="s">
        <v>50</v>
      </c>
      <c r="F1696" s="10" t="b">
        <f aca="false">FALSE()</f>
        <v>0</v>
      </c>
      <c r="G1696" s="7" t="s">
        <v>472</v>
      </c>
      <c r="H1696" s="7" t="s">
        <v>233</v>
      </c>
      <c r="I1696" s="7" t="n">
        <v>4</v>
      </c>
      <c r="J1696" s="7" t="s">
        <v>71</v>
      </c>
      <c r="K1696" s="7" t="s">
        <v>117</v>
      </c>
      <c r="L1696" s="7" t="n">
        <v>175</v>
      </c>
      <c r="M1696" s="10" t="b">
        <f aca="false">FALSE()</f>
        <v>0</v>
      </c>
      <c r="N1696" s="7" t="s">
        <v>118</v>
      </c>
      <c r="O1696" s="7" t="n">
        <v>-33.760198</v>
      </c>
      <c r="P1696" s="7" t="n">
        <v>150.781634</v>
      </c>
    </row>
    <row r="1697" customFormat="false" ht="15" hidden="false" customHeight="false" outlineLevel="0" collapsed="false">
      <c r="A1697" s="7" t="n">
        <v>1696</v>
      </c>
      <c r="B1697" s="7" t="s">
        <v>2307</v>
      </c>
      <c r="C1697" s="7" t="s">
        <v>2308</v>
      </c>
      <c r="D1697" s="7" t="n">
        <v>2320</v>
      </c>
      <c r="E1697" s="7" t="s">
        <v>50</v>
      </c>
      <c r="F1697" s="10" t="b">
        <f aca="false">FALSE()</f>
        <v>0</v>
      </c>
      <c r="G1697" s="7" t="s">
        <v>336</v>
      </c>
      <c r="H1697" s="7" t="s">
        <v>398</v>
      </c>
      <c r="I1697" s="7" t="n">
        <v>2</v>
      </c>
      <c r="J1697" s="7" t="s">
        <v>107</v>
      </c>
      <c r="K1697" s="7" t="s">
        <v>107</v>
      </c>
      <c r="L1697" s="7"/>
      <c r="M1697" s="10" t="b">
        <f aca="false">FALSE()</f>
        <v>0</v>
      </c>
      <c r="N1697" s="7" t="s">
        <v>399</v>
      </c>
      <c r="O1697" s="7" t="n">
        <v>-32.716558</v>
      </c>
      <c r="P1697" s="7" t="n">
        <v>151.257288</v>
      </c>
    </row>
    <row r="1698" customFormat="false" ht="15" hidden="false" customHeight="false" outlineLevel="0" collapsed="false">
      <c r="A1698" s="7" t="n">
        <v>1697</v>
      </c>
      <c r="B1698" s="7" t="s">
        <v>2309</v>
      </c>
      <c r="C1698" s="7" t="s">
        <v>2310</v>
      </c>
      <c r="D1698" s="7" t="n">
        <v>2787</v>
      </c>
      <c r="E1698" s="7" t="s">
        <v>50</v>
      </c>
      <c r="F1698" s="10" t="b">
        <f aca="false">FALSE()</f>
        <v>0</v>
      </c>
      <c r="G1698" s="7" t="s">
        <v>870</v>
      </c>
      <c r="H1698" s="7" t="s">
        <v>1956</v>
      </c>
      <c r="I1698" s="7" t="n">
        <v>2</v>
      </c>
      <c r="J1698" s="7" t="s">
        <v>107</v>
      </c>
      <c r="K1698" s="7" t="s">
        <v>107</v>
      </c>
      <c r="L1698" s="7"/>
      <c r="M1698" s="10" t="b">
        <f aca="false">FALSE()</f>
        <v>0</v>
      </c>
      <c r="N1698" s="7" t="s">
        <v>399</v>
      </c>
      <c r="O1698" s="7" t="n">
        <v>-33.702177</v>
      </c>
      <c r="P1698" s="7" t="n">
        <v>149.855783</v>
      </c>
    </row>
    <row r="1699" customFormat="false" ht="15" hidden="false" customHeight="false" outlineLevel="0" collapsed="false">
      <c r="A1699" s="7" t="n">
        <v>1698</v>
      </c>
      <c r="B1699" s="7" t="s">
        <v>2311</v>
      </c>
      <c r="C1699" s="7" t="s">
        <v>2312</v>
      </c>
      <c r="D1699" s="7" t="n">
        <v>2540</v>
      </c>
      <c r="E1699" s="7" t="s">
        <v>50</v>
      </c>
      <c r="F1699" s="10" t="b">
        <f aca="false">FALSE()</f>
        <v>0</v>
      </c>
      <c r="G1699" s="7" t="s">
        <v>92</v>
      </c>
      <c r="H1699" s="7" t="s">
        <v>260</v>
      </c>
      <c r="I1699" s="7" t="n">
        <v>2</v>
      </c>
      <c r="J1699" s="7" t="s">
        <v>107</v>
      </c>
      <c r="K1699" s="7" t="s">
        <v>107</v>
      </c>
      <c r="L1699" s="7"/>
      <c r="M1699" s="10" t="b">
        <f aca="false">FALSE()</f>
        <v>0</v>
      </c>
      <c r="N1699" s="7" t="s">
        <v>399</v>
      </c>
      <c r="O1699" s="7" t="n">
        <v>-35.022614</v>
      </c>
      <c r="P1699" s="7" t="n">
        <v>150.660877</v>
      </c>
    </row>
    <row r="1700" customFormat="false" ht="15" hidden="false" customHeight="false" outlineLevel="0" collapsed="false">
      <c r="A1700" s="7" t="n">
        <v>1699</v>
      </c>
      <c r="B1700" s="7" t="s">
        <v>2313</v>
      </c>
      <c r="C1700" s="7" t="s">
        <v>2314</v>
      </c>
      <c r="D1700" s="7" t="n">
        <v>2320</v>
      </c>
      <c r="E1700" s="7" t="s">
        <v>50</v>
      </c>
      <c r="F1700" s="10" t="b">
        <f aca="false">FALSE()</f>
        <v>0</v>
      </c>
      <c r="G1700" s="7" t="s">
        <v>111</v>
      </c>
      <c r="H1700" s="7" t="s">
        <v>237</v>
      </c>
      <c r="I1700" s="7" t="n">
        <v>2</v>
      </c>
      <c r="J1700" s="7" t="s">
        <v>107</v>
      </c>
      <c r="K1700" s="7" t="s">
        <v>107</v>
      </c>
      <c r="L1700" s="7"/>
      <c r="M1700" s="10" t="b">
        <f aca="false">FALSE()</f>
        <v>0</v>
      </c>
      <c r="N1700" s="7" t="s">
        <v>399</v>
      </c>
      <c r="O1700" s="7" t="n">
        <v>-32.744206</v>
      </c>
      <c r="P1700" s="7" t="n">
        <v>151.315608</v>
      </c>
    </row>
    <row r="1701" customFormat="false" ht="15" hidden="false" customHeight="false" outlineLevel="0" collapsed="false">
      <c r="A1701" s="7" t="n">
        <v>1700</v>
      </c>
      <c r="B1701" s="7"/>
      <c r="C1701" s="7" t="s">
        <v>2315</v>
      </c>
      <c r="D1701" s="7" t="n">
        <v>2042</v>
      </c>
      <c r="E1701" s="7" t="s">
        <v>50</v>
      </c>
      <c r="F1701" s="10" t="b">
        <f aca="false">FALSE()</f>
        <v>0</v>
      </c>
      <c r="G1701" s="7" t="s">
        <v>410</v>
      </c>
      <c r="H1701" s="7" t="s">
        <v>1371</v>
      </c>
      <c r="I1701" s="7" t="n">
        <v>1</v>
      </c>
      <c r="J1701" s="7" t="s">
        <v>107</v>
      </c>
      <c r="K1701" s="7" t="s">
        <v>108</v>
      </c>
      <c r="L1701" s="7" t="n">
        <v>22</v>
      </c>
      <c r="M1701" s="10" t="b">
        <f aca="false">FALSE()</f>
        <v>0</v>
      </c>
      <c r="N1701" s="7" t="s">
        <v>557</v>
      </c>
      <c r="O1701" s="7" t="n">
        <v>-33.898277</v>
      </c>
      <c r="P1701" s="7" t="n">
        <v>151.173084</v>
      </c>
    </row>
    <row r="1702" customFormat="false" ht="15" hidden="false" customHeight="false" outlineLevel="0" collapsed="false">
      <c r="A1702" s="7" t="n">
        <v>1701</v>
      </c>
      <c r="B1702" s="7"/>
      <c r="C1702" s="7" t="s">
        <v>2316</v>
      </c>
      <c r="D1702" s="7" t="n">
        <v>2031</v>
      </c>
      <c r="E1702" s="7" t="s">
        <v>50</v>
      </c>
      <c r="F1702" s="10" t="b">
        <f aca="false">FALSE()</f>
        <v>0</v>
      </c>
      <c r="G1702" s="7" t="s">
        <v>355</v>
      </c>
      <c r="H1702" s="7" t="s">
        <v>237</v>
      </c>
      <c r="I1702" s="7" t="n">
        <v>2</v>
      </c>
      <c r="J1702" s="7" t="s">
        <v>107</v>
      </c>
      <c r="K1702" s="7" t="s">
        <v>108</v>
      </c>
      <c r="L1702" s="7" t="n">
        <v>22</v>
      </c>
      <c r="M1702" s="10" t="b">
        <f aca="false">FALSE()</f>
        <v>0</v>
      </c>
      <c r="N1702" s="7" t="s">
        <v>557</v>
      </c>
      <c r="O1702" s="7" t="n">
        <v>-33.912892</v>
      </c>
      <c r="P1702" s="7" t="n">
        <v>151.267091</v>
      </c>
    </row>
    <row r="1703" customFormat="false" ht="15" hidden="false" customHeight="false" outlineLevel="0" collapsed="false">
      <c r="A1703" s="7" t="n">
        <v>1702</v>
      </c>
      <c r="B1703" s="7"/>
      <c r="C1703" s="7" t="s">
        <v>2317</v>
      </c>
      <c r="D1703" s="7" t="n">
        <v>2050</v>
      </c>
      <c r="E1703" s="7" t="s">
        <v>50</v>
      </c>
      <c r="F1703" s="10" t="b">
        <f aca="false">FALSE()</f>
        <v>0</v>
      </c>
      <c r="G1703" s="7" t="s">
        <v>410</v>
      </c>
      <c r="H1703" s="7" t="s">
        <v>556</v>
      </c>
      <c r="I1703" s="7" t="n">
        <v>2</v>
      </c>
      <c r="J1703" s="7" t="s">
        <v>71</v>
      </c>
      <c r="K1703" s="7" t="s">
        <v>190</v>
      </c>
      <c r="L1703" s="7" t="n">
        <v>60</v>
      </c>
      <c r="M1703" s="10" t="b">
        <f aca="false">FALSE()</f>
        <v>0</v>
      </c>
      <c r="N1703" s="7" t="s">
        <v>557</v>
      </c>
      <c r="O1703" s="7" t="n">
        <v>-33.893475</v>
      </c>
      <c r="P1703" s="7" t="n">
        <v>151.178294</v>
      </c>
    </row>
    <row r="1704" customFormat="false" ht="15" hidden="false" customHeight="false" outlineLevel="0" collapsed="false">
      <c r="A1704" s="7" t="n">
        <v>1703</v>
      </c>
      <c r="B1704" s="7"/>
      <c r="C1704" s="7" t="s">
        <v>2318</v>
      </c>
      <c r="D1704" s="7" t="n">
        <v>2287</v>
      </c>
      <c r="E1704" s="7" t="s">
        <v>50</v>
      </c>
      <c r="F1704" s="10" t="b">
        <f aca="false">FALSE()</f>
        <v>0</v>
      </c>
      <c r="G1704" s="7" t="s">
        <v>141</v>
      </c>
      <c r="H1704" s="7" t="s">
        <v>237</v>
      </c>
      <c r="I1704" s="7" t="n">
        <v>2</v>
      </c>
      <c r="J1704" s="7" t="s">
        <v>107</v>
      </c>
      <c r="K1704" s="7" t="s">
        <v>900</v>
      </c>
      <c r="L1704" s="7" t="n">
        <v>7</v>
      </c>
      <c r="M1704" s="10" t="b">
        <f aca="false">FALSE()</f>
        <v>0</v>
      </c>
      <c r="N1704" s="7" t="s">
        <v>557</v>
      </c>
      <c r="O1704" s="7" t="n">
        <v>-32.900014</v>
      </c>
      <c r="P1704" s="7" t="n">
        <v>151.669741</v>
      </c>
    </row>
    <row r="1705" customFormat="false" ht="15" hidden="false" customHeight="false" outlineLevel="0" collapsed="false">
      <c r="A1705" s="7" t="n">
        <v>1704</v>
      </c>
      <c r="B1705" s="7"/>
      <c r="C1705" s="7" t="s">
        <v>2319</v>
      </c>
      <c r="D1705" s="7" t="n">
        <v>2065</v>
      </c>
      <c r="E1705" s="7" t="s">
        <v>50</v>
      </c>
      <c r="F1705" s="10" t="b">
        <f aca="false">FALSE()</f>
        <v>0</v>
      </c>
      <c r="G1705" s="7" t="s">
        <v>332</v>
      </c>
      <c r="H1705" s="7" t="s">
        <v>1744</v>
      </c>
      <c r="I1705" s="7" t="n">
        <v>26</v>
      </c>
      <c r="J1705" s="7" t="s">
        <v>107</v>
      </c>
      <c r="K1705" s="7" t="s">
        <v>108</v>
      </c>
      <c r="L1705" s="7" t="n">
        <v>22</v>
      </c>
      <c r="M1705" s="10" t="b">
        <f aca="false">FALSE()</f>
        <v>0</v>
      </c>
      <c r="N1705" s="7" t="s">
        <v>557</v>
      </c>
      <c r="O1705" s="7" t="n">
        <v>-33.824556</v>
      </c>
      <c r="P1705" s="7" t="n">
        <v>151.201752</v>
      </c>
    </row>
    <row r="1706" customFormat="false" ht="15" hidden="false" customHeight="false" outlineLevel="0" collapsed="false">
      <c r="A1706" s="7" t="n">
        <v>1705</v>
      </c>
      <c r="B1706" s="7" t="s">
        <v>2320</v>
      </c>
      <c r="C1706" s="7" t="s">
        <v>2321</v>
      </c>
      <c r="D1706" s="7" t="n">
        <v>2627</v>
      </c>
      <c r="E1706" s="7" t="s">
        <v>50</v>
      </c>
      <c r="F1706" s="10" t="b">
        <f aca="false">FALSE()</f>
        <v>0</v>
      </c>
      <c r="G1706" s="7" t="s">
        <v>177</v>
      </c>
      <c r="H1706" s="7" t="s">
        <v>260</v>
      </c>
      <c r="I1706" s="7" t="n">
        <v>4</v>
      </c>
      <c r="J1706" s="7" t="s">
        <v>107</v>
      </c>
      <c r="K1706" s="7" t="s">
        <v>107</v>
      </c>
      <c r="L1706" s="7"/>
      <c r="M1706" s="10" t="b">
        <f aca="false">FALSE()</f>
        <v>0</v>
      </c>
      <c r="N1706" s="7" t="s">
        <v>399</v>
      </c>
      <c r="O1706" s="7" t="n">
        <v>-36.41917</v>
      </c>
      <c r="P1706" s="7" t="n">
        <v>148.608621</v>
      </c>
    </row>
    <row r="1707" customFormat="false" ht="15" hidden="false" customHeight="false" outlineLevel="0" collapsed="false">
      <c r="A1707" s="7" t="n">
        <v>1706</v>
      </c>
      <c r="B1707" s="7"/>
      <c r="C1707" s="7" t="s">
        <v>2322</v>
      </c>
      <c r="D1707" s="7" t="n">
        <v>2204</v>
      </c>
      <c r="E1707" s="7" t="s">
        <v>50</v>
      </c>
      <c r="F1707" s="10" t="b">
        <f aca="false">FALSE()</f>
        <v>0</v>
      </c>
      <c r="G1707" s="7" t="s">
        <v>410</v>
      </c>
      <c r="H1707" s="7" t="s">
        <v>556</v>
      </c>
      <c r="I1707" s="7" t="n">
        <v>2</v>
      </c>
      <c r="J1707" s="7" t="s">
        <v>107</v>
      </c>
      <c r="K1707" s="7" t="s">
        <v>108</v>
      </c>
      <c r="L1707" s="7" t="n">
        <v>22</v>
      </c>
      <c r="M1707" s="10" t="b">
        <f aca="false">FALSE()</f>
        <v>0</v>
      </c>
      <c r="N1707" s="7" t="s">
        <v>557</v>
      </c>
      <c r="O1707" s="7" t="n">
        <v>-33.906301</v>
      </c>
      <c r="P1707" s="7" t="n">
        <v>151.168997</v>
      </c>
    </row>
    <row r="1708" customFormat="false" ht="15" hidden="false" customHeight="false" outlineLevel="0" collapsed="false">
      <c r="A1708" s="7" t="n">
        <v>1707</v>
      </c>
      <c r="B1708" s="7" t="s">
        <v>2323</v>
      </c>
      <c r="C1708" s="7" t="s">
        <v>2324</v>
      </c>
      <c r="D1708" s="7" t="n">
        <v>2700</v>
      </c>
      <c r="E1708" s="7" t="s">
        <v>50</v>
      </c>
      <c r="F1708" s="10" t="b">
        <f aca="false">FALSE()</f>
        <v>0</v>
      </c>
      <c r="G1708" s="7" t="s">
        <v>121</v>
      </c>
      <c r="H1708" s="7" t="s">
        <v>2070</v>
      </c>
      <c r="I1708" s="7" t="n">
        <v>4</v>
      </c>
      <c r="J1708" s="7" t="s">
        <v>107</v>
      </c>
      <c r="K1708" s="7" t="s">
        <v>107</v>
      </c>
      <c r="L1708" s="7"/>
      <c r="M1708" s="10" t="b">
        <f aca="false">FALSE()</f>
        <v>0</v>
      </c>
      <c r="N1708" s="7" t="s">
        <v>399</v>
      </c>
      <c r="O1708" s="7" t="n">
        <v>-34.741197</v>
      </c>
      <c r="P1708" s="7" t="n">
        <v>146.554945</v>
      </c>
    </row>
    <row r="1709" customFormat="false" ht="15" hidden="false" customHeight="false" outlineLevel="0" collapsed="false">
      <c r="A1709" s="7" t="n">
        <v>1708</v>
      </c>
      <c r="B1709" s="7"/>
      <c r="C1709" s="7" t="s">
        <v>2325</v>
      </c>
      <c r="D1709" s="7" t="n">
        <v>2036</v>
      </c>
      <c r="E1709" s="7" t="s">
        <v>50</v>
      </c>
      <c r="F1709" s="10" t="b">
        <f aca="false">FALSE()</f>
        <v>0</v>
      </c>
      <c r="G1709" s="7" t="s">
        <v>295</v>
      </c>
      <c r="H1709" s="7" t="s">
        <v>237</v>
      </c>
      <c r="I1709" s="7" t="n">
        <v>2</v>
      </c>
      <c r="J1709" s="7" t="s">
        <v>71</v>
      </c>
      <c r="K1709" s="7" t="s">
        <v>72</v>
      </c>
      <c r="L1709" s="7" t="n">
        <v>50</v>
      </c>
      <c r="M1709" s="10" t="b">
        <f aca="false">FALSE()</f>
        <v>0</v>
      </c>
      <c r="N1709" s="7" t="s">
        <v>557</v>
      </c>
      <c r="O1709" s="7" t="n">
        <v>-33.972961</v>
      </c>
      <c r="P1709" s="7" t="n">
        <v>151.236565</v>
      </c>
    </row>
    <row r="1710" customFormat="false" ht="15" hidden="false" customHeight="false" outlineLevel="0" collapsed="false">
      <c r="A1710" s="7" t="n">
        <v>1709</v>
      </c>
      <c r="B1710" s="7" t="s">
        <v>2326</v>
      </c>
      <c r="C1710" s="7" t="s">
        <v>2327</v>
      </c>
      <c r="D1710" s="7" t="n">
        <v>2421</v>
      </c>
      <c r="E1710" s="7" t="s">
        <v>50</v>
      </c>
      <c r="F1710" s="10" t="b">
        <f aca="false">FALSE()</f>
        <v>0</v>
      </c>
      <c r="G1710" s="7" t="s">
        <v>1800</v>
      </c>
      <c r="H1710" s="7" t="s">
        <v>260</v>
      </c>
      <c r="I1710" s="7" t="n">
        <v>1</v>
      </c>
      <c r="J1710" s="7" t="s">
        <v>107</v>
      </c>
      <c r="K1710" s="7" t="s">
        <v>107</v>
      </c>
      <c r="L1710" s="7"/>
      <c r="M1710" s="10" t="b">
        <f aca="false">FALSE()</f>
        <v>0</v>
      </c>
      <c r="N1710" s="7" t="s">
        <v>399</v>
      </c>
      <c r="O1710" s="7" t="n">
        <v>-32.540058</v>
      </c>
      <c r="P1710" s="7" t="n">
        <v>151.577654</v>
      </c>
    </row>
    <row r="1711" customFormat="false" ht="15" hidden="false" customHeight="false" outlineLevel="0" collapsed="false">
      <c r="A1711" s="7" t="n">
        <v>1710</v>
      </c>
      <c r="B1711" s="7"/>
      <c r="C1711" s="7" t="s">
        <v>2328</v>
      </c>
      <c r="D1711" s="7" t="n">
        <v>2299</v>
      </c>
      <c r="E1711" s="7" t="s">
        <v>50</v>
      </c>
      <c r="F1711" s="10" t="b">
        <f aca="false">FALSE()</f>
        <v>0</v>
      </c>
      <c r="G1711" s="7" t="s">
        <v>141</v>
      </c>
      <c r="H1711" s="7" t="s">
        <v>237</v>
      </c>
      <c r="I1711" s="7" t="n">
        <v>2</v>
      </c>
      <c r="J1711" s="7" t="s">
        <v>107</v>
      </c>
      <c r="K1711" s="7" t="s">
        <v>900</v>
      </c>
      <c r="L1711" s="7" t="n">
        <v>7</v>
      </c>
      <c r="M1711" s="10" t="b">
        <f aca="false">FALSE()</f>
        <v>0</v>
      </c>
      <c r="N1711" s="7" t="s">
        <v>557</v>
      </c>
      <c r="O1711" s="7" t="n">
        <v>-32.91101</v>
      </c>
      <c r="P1711" s="7" t="n">
        <v>151.708291</v>
      </c>
    </row>
    <row r="1712" customFormat="false" ht="15" hidden="false" customHeight="false" outlineLevel="0" collapsed="false">
      <c r="A1712" s="7" t="n">
        <v>1711</v>
      </c>
      <c r="B1712" s="7" t="s">
        <v>2329</v>
      </c>
      <c r="C1712" s="7" t="s">
        <v>2330</v>
      </c>
      <c r="D1712" s="7" t="n">
        <v>2590</v>
      </c>
      <c r="E1712" s="7" t="s">
        <v>50</v>
      </c>
      <c r="F1712" s="10" t="b">
        <f aca="false">FALSE()</f>
        <v>0</v>
      </c>
      <c r="G1712" s="7" t="s">
        <v>454</v>
      </c>
      <c r="H1712" s="7" t="s">
        <v>260</v>
      </c>
      <c r="I1712" s="7" t="n">
        <v>4</v>
      </c>
      <c r="J1712" s="7" t="s">
        <v>107</v>
      </c>
      <c r="K1712" s="7" t="s">
        <v>107</v>
      </c>
      <c r="L1712" s="7"/>
      <c r="M1712" s="10" t="b">
        <f aca="false">FALSE()</f>
        <v>0</v>
      </c>
      <c r="N1712" s="7" t="s">
        <v>399</v>
      </c>
      <c r="O1712" s="7" t="n">
        <v>-34.639503</v>
      </c>
      <c r="P1712" s="7" t="n">
        <v>148.025706</v>
      </c>
    </row>
    <row r="1713" customFormat="false" ht="15" hidden="false" customHeight="false" outlineLevel="0" collapsed="false">
      <c r="A1713" s="7" t="n">
        <v>1712</v>
      </c>
      <c r="B1713" s="7"/>
      <c r="C1713" s="7" t="s">
        <v>2331</v>
      </c>
      <c r="D1713" s="7" t="n">
        <v>2550</v>
      </c>
      <c r="E1713" s="7" t="s">
        <v>50</v>
      </c>
      <c r="F1713" s="10" t="b">
        <f aca="false">FALSE()</f>
        <v>0</v>
      </c>
      <c r="G1713" s="7" t="s">
        <v>188</v>
      </c>
      <c r="H1713" s="7" t="s">
        <v>237</v>
      </c>
      <c r="I1713" s="7" t="n">
        <v>2</v>
      </c>
      <c r="J1713" s="7" t="s">
        <v>107</v>
      </c>
      <c r="K1713" s="7" t="s">
        <v>107</v>
      </c>
      <c r="L1713" s="7"/>
      <c r="M1713" s="10" t="b">
        <f aca="false">FALSE()</f>
        <v>0</v>
      </c>
      <c r="N1713" s="7" t="s">
        <v>374</v>
      </c>
      <c r="O1713" s="7" t="n">
        <v>-36.727827</v>
      </c>
      <c r="P1713" s="7" t="n">
        <v>149.988506</v>
      </c>
    </row>
    <row r="1714" customFormat="false" ht="15" hidden="false" customHeight="false" outlineLevel="0" collapsed="false">
      <c r="A1714" s="7" t="n">
        <v>1713</v>
      </c>
      <c r="B1714" s="7" t="s">
        <v>2332</v>
      </c>
      <c r="C1714" s="7" t="s">
        <v>2333</v>
      </c>
      <c r="D1714" s="7" t="n">
        <v>2330</v>
      </c>
      <c r="E1714" s="7" t="s">
        <v>50</v>
      </c>
      <c r="F1714" s="10" t="b">
        <f aca="false">FALSE()</f>
        <v>0</v>
      </c>
      <c r="G1714" s="7" t="s">
        <v>336</v>
      </c>
      <c r="H1714" s="7" t="s">
        <v>260</v>
      </c>
      <c r="I1714" s="7" t="n">
        <v>2</v>
      </c>
      <c r="J1714" s="7" t="s">
        <v>107</v>
      </c>
      <c r="K1714" s="7" t="s">
        <v>107</v>
      </c>
      <c r="L1714" s="7"/>
      <c r="M1714" s="10" t="b">
        <f aca="false">FALSE()</f>
        <v>0</v>
      </c>
      <c r="N1714" s="7" t="s">
        <v>374</v>
      </c>
      <c r="O1714" s="7" t="n">
        <v>-32.549161</v>
      </c>
      <c r="P1714" s="7" t="n">
        <v>151.161954</v>
      </c>
    </row>
    <row r="1715" customFormat="false" ht="15" hidden="false" customHeight="false" outlineLevel="0" collapsed="false">
      <c r="A1715" s="7" t="n">
        <v>1714</v>
      </c>
      <c r="B1715" s="7"/>
      <c r="C1715" s="7" t="s">
        <v>2334</v>
      </c>
      <c r="D1715" s="7" t="n">
        <v>2800</v>
      </c>
      <c r="E1715" s="7" t="s">
        <v>50</v>
      </c>
      <c r="F1715" s="10" t="b">
        <f aca="false">FALSE()</f>
        <v>0</v>
      </c>
      <c r="G1715" s="7" t="s">
        <v>167</v>
      </c>
      <c r="H1715" s="7" t="s">
        <v>239</v>
      </c>
      <c r="I1715" s="7" t="n">
        <v>6</v>
      </c>
      <c r="J1715" s="7" t="s">
        <v>71</v>
      </c>
      <c r="K1715" s="7" t="s">
        <v>117</v>
      </c>
      <c r="L1715" s="7" t="n">
        <v>175</v>
      </c>
      <c r="M1715" s="10" t="b">
        <f aca="false">FALSE()</f>
        <v>0</v>
      </c>
      <c r="N1715" s="7" t="s">
        <v>118</v>
      </c>
      <c r="O1715" s="7" t="n">
        <v>-33.283326</v>
      </c>
      <c r="P1715" s="7" t="n">
        <v>149.09446</v>
      </c>
    </row>
    <row r="1716" customFormat="false" ht="15" hidden="false" customHeight="false" outlineLevel="0" collapsed="false">
      <c r="A1716" s="7" t="n">
        <v>1715</v>
      </c>
      <c r="B1716" s="7" t="s">
        <v>2335</v>
      </c>
      <c r="C1716" s="7" t="s">
        <v>2336</v>
      </c>
      <c r="D1716" s="7" t="n">
        <v>2650</v>
      </c>
      <c r="E1716" s="7" t="s">
        <v>50</v>
      </c>
      <c r="F1716" s="10" t="b">
        <f aca="false">FALSE()</f>
        <v>0</v>
      </c>
      <c r="G1716" s="7" t="s">
        <v>147</v>
      </c>
      <c r="H1716" s="7" t="s">
        <v>1862</v>
      </c>
      <c r="I1716" s="7" t="n">
        <v>3</v>
      </c>
      <c r="J1716" s="7" t="s">
        <v>107</v>
      </c>
      <c r="K1716" s="7" t="s">
        <v>107</v>
      </c>
      <c r="L1716" s="7"/>
      <c r="M1716" s="10" t="b">
        <f aca="false">FALSE()</f>
        <v>0</v>
      </c>
      <c r="N1716" s="7" t="s">
        <v>374</v>
      </c>
      <c r="O1716" s="7" t="n">
        <v>-35.115134</v>
      </c>
      <c r="P1716" s="7" t="n">
        <v>147.375342</v>
      </c>
    </row>
    <row r="1717" customFormat="false" ht="15" hidden="false" customHeight="false" outlineLevel="0" collapsed="false">
      <c r="A1717" s="7" t="n">
        <v>1716</v>
      </c>
      <c r="B1717" s="7"/>
      <c r="C1717" s="7" t="s">
        <v>2337</v>
      </c>
      <c r="D1717" s="7" t="n">
        <v>2472</v>
      </c>
      <c r="E1717" s="7" t="s">
        <v>50</v>
      </c>
      <c r="F1717" s="10" t="b">
        <f aca="false">FALSE()</f>
        <v>0</v>
      </c>
      <c r="G1717" s="7" t="s">
        <v>78</v>
      </c>
      <c r="H1717" s="7" t="s">
        <v>239</v>
      </c>
      <c r="I1717" s="7" t="n">
        <v>12</v>
      </c>
      <c r="J1717" s="7" t="s">
        <v>71</v>
      </c>
      <c r="K1717" s="7" t="s">
        <v>117</v>
      </c>
      <c r="L1717" s="7" t="n">
        <v>175</v>
      </c>
      <c r="M1717" s="10" t="b">
        <f aca="false">FALSE()</f>
        <v>0</v>
      </c>
      <c r="N1717" s="7" t="s">
        <v>118</v>
      </c>
      <c r="O1717" s="7" t="n">
        <v>-30.801549</v>
      </c>
      <c r="P1717" s="7" t="n">
        <v>152.868954</v>
      </c>
    </row>
    <row r="1718" customFormat="false" ht="15" hidden="false" customHeight="false" outlineLevel="0" collapsed="false">
      <c r="A1718" s="7" t="n">
        <v>1717</v>
      </c>
      <c r="B1718" s="7" t="s">
        <v>2338</v>
      </c>
      <c r="C1718" s="7" t="s">
        <v>2339</v>
      </c>
      <c r="D1718" s="7" t="n">
        <v>2380</v>
      </c>
      <c r="E1718" s="7" t="s">
        <v>50</v>
      </c>
      <c r="F1718" s="10" t="b">
        <f aca="false">FALSE()</f>
        <v>0</v>
      </c>
      <c r="G1718" s="7" t="s">
        <v>149</v>
      </c>
      <c r="H1718" s="7" t="s">
        <v>260</v>
      </c>
      <c r="I1718" s="7" t="n">
        <v>4</v>
      </c>
      <c r="J1718" s="7" t="s">
        <v>107</v>
      </c>
      <c r="K1718" s="7" t="s">
        <v>107</v>
      </c>
      <c r="L1718" s="7"/>
      <c r="M1718" s="10" t="b">
        <f aca="false">FALSE()</f>
        <v>0</v>
      </c>
      <c r="N1718" s="7" t="s">
        <v>399</v>
      </c>
      <c r="O1718" s="7" t="n">
        <v>-30.976129</v>
      </c>
      <c r="P1718" s="7" t="n">
        <v>150.251911</v>
      </c>
    </row>
    <row r="1719" customFormat="false" ht="15" hidden="false" customHeight="false" outlineLevel="0" collapsed="false">
      <c r="A1719" s="7" t="n">
        <v>1718</v>
      </c>
      <c r="B1719" s="7" t="s">
        <v>1926</v>
      </c>
      <c r="C1719" s="7" t="s">
        <v>2340</v>
      </c>
      <c r="D1719" s="7" t="n">
        <v>2777</v>
      </c>
      <c r="E1719" s="7" t="s">
        <v>50</v>
      </c>
      <c r="F1719" s="10" t="b">
        <f aca="false">FALSE()</f>
        <v>0</v>
      </c>
      <c r="G1719" s="7" t="s">
        <v>306</v>
      </c>
      <c r="H1719" s="7" t="s">
        <v>260</v>
      </c>
      <c r="I1719" s="7" t="n">
        <v>2</v>
      </c>
      <c r="J1719" s="7" t="s">
        <v>107</v>
      </c>
      <c r="K1719" s="7" t="s">
        <v>107</v>
      </c>
      <c r="L1719" s="7"/>
      <c r="M1719" s="10" t="b">
        <f aca="false">FALSE()</f>
        <v>0</v>
      </c>
      <c r="N1719" s="7" t="s">
        <v>374</v>
      </c>
      <c r="O1719" s="7" t="n">
        <v>-33.698469</v>
      </c>
      <c r="P1719" s="7" t="n">
        <v>150.569674</v>
      </c>
    </row>
    <row r="1720" customFormat="false" ht="15" hidden="false" customHeight="false" outlineLevel="0" collapsed="false">
      <c r="A1720" s="7" t="n">
        <v>1719</v>
      </c>
      <c r="B1720" s="7" t="s">
        <v>2341</v>
      </c>
      <c r="C1720" s="7" t="s">
        <v>2342</v>
      </c>
      <c r="D1720" s="7" t="n">
        <v>2640</v>
      </c>
      <c r="E1720" s="7" t="s">
        <v>50</v>
      </c>
      <c r="F1720" s="10" t="b">
        <f aca="false">FALSE()</f>
        <v>0</v>
      </c>
      <c r="G1720" s="7" t="s">
        <v>194</v>
      </c>
      <c r="H1720" s="7" t="s">
        <v>260</v>
      </c>
      <c r="I1720" s="7" t="n">
        <v>1</v>
      </c>
      <c r="J1720" s="7" t="s">
        <v>107</v>
      </c>
      <c r="K1720" s="7" t="s">
        <v>107</v>
      </c>
      <c r="L1720" s="7"/>
      <c r="M1720" s="10" t="b">
        <f aca="false">FALSE()</f>
        <v>0</v>
      </c>
      <c r="N1720" s="7" t="s">
        <v>399</v>
      </c>
      <c r="O1720" s="7" t="n">
        <v>-36.065979</v>
      </c>
      <c r="P1720" s="7" t="n">
        <v>146.935055</v>
      </c>
    </row>
    <row r="1721" customFormat="false" ht="15" hidden="false" customHeight="false" outlineLevel="0" collapsed="false">
      <c r="A1721" s="7" t="n">
        <v>1720</v>
      </c>
      <c r="B1721" s="7"/>
      <c r="C1721" s="7" t="s">
        <v>2343</v>
      </c>
      <c r="D1721" s="7" t="n">
        <v>2031</v>
      </c>
      <c r="E1721" s="7" t="s">
        <v>50</v>
      </c>
      <c r="F1721" s="10" t="b">
        <f aca="false">FALSE()</f>
        <v>0</v>
      </c>
      <c r="G1721" s="7" t="s">
        <v>355</v>
      </c>
      <c r="H1721" s="7" t="s">
        <v>1371</v>
      </c>
      <c r="I1721" s="7" t="n">
        <v>1</v>
      </c>
      <c r="J1721" s="7" t="s">
        <v>107</v>
      </c>
      <c r="K1721" s="7" t="s">
        <v>108</v>
      </c>
      <c r="L1721" s="7" t="n">
        <v>22</v>
      </c>
      <c r="M1721" s="10" t="b">
        <f aca="false">FALSE()</f>
        <v>0</v>
      </c>
      <c r="N1721" s="7" t="s">
        <v>557</v>
      </c>
      <c r="O1721" s="7" t="n">
        <v>-33.907249</v>
      </c>
      <c r="P1721" s="7" t="n">
        <v>151.250513</v>
      </c>
    </row>
    <row r="1722" customFormat="false" ht="15" hidden="false" customHeight="false" outlineLevel="0" collapsed="false">
      <c r="A1722" s="7" t="n">
        <v>1721</v>
      </c>
      <c r="B1722" s="7" t="s">
        <v>2344</v>
      </c>
      <c r="C1722" s="7" t="s">
        <v>2345</v>
      </c>
      <c r="D1722" s="7" t="n">
        <v>2320</v>
      </c>
      <c r="E1722" s="7" t="s">
        <v>50</v>
      </c>
      <c r="F1722" s="10" t="b">
        <f aca="false">FALSE()</f>
        <v>0</v>
      </c>
      <c r="G1722" s="7" t="s">
        <v>111</v>
      </c>
      <c r="H1722" s="7" t="s">
        <v>260</v>
      </c>
      <c r="I1722" s="7" t="n">
        <v>4</v>
      </c>
      <c r="J1722" s="7" t="s">
        <v>107</v>
      </c>
      <c r="K1722" s="7" t="s">
        <v>107</v>
      </c>
      <c r="L1722" s="7"/>
      <c r="M1722" s="10" t="b">
        <f aca="false">FALSE()</f>
        <v>0</v>
      </c>
      <c r="N1722" s="7" t="s">
        <v>399</v>
      </c>
      <c r="O1722" s="7" t="n">
        <v>-32.732647</v>
      </c>
      <c r="P1722" s="7" t="n">
        <v>151.392334</v>
      </c>
    </row>
    <row r="1723" customFormat="false" ht="15" hidden="false" customHeight="false" outlineLevel="0" collapsed="false">
      <c r="A1723" s="7" t="n">
        <v>1722</v>
      </c>
      <c r="B1723" s="7"/>
      <c r="C1723" s="7" t="s">
        <v>2346</v>
      </c>
      <c r="D1723" s="7" t="n">
        <v>2031</v>
      </c>
      <c r="E1723" s="7" t="s">
        <v>50</v>
      </c>
      <c r="F1723" s="10" t="b">
        <f aca="false">FALSE()</f>
        <v>0</v>
      </c>
      <c r="G1723" s="7" t="s">
        <v>355</v>
      </c>
      <c r="H1723" s="7" t="s">
        <v>302</v>
      </c>
      <c r="I1723" s="7" t="n">
        <v>2</v>
      </c>
      <c r="J1723" s="7" t="s">
        <v>107</v>
      </c>
      <c r="K1723" s="7" t="s">
        <v>108</v>
      </c>
      <c r="L1723" s="7" t="n">
        <v>22</v>
      </c>
      <c r="M1723" s="10" t="b">
        <f aca="false">FALSE()</f>
        <v>0</v>
      </c>
      <c r="N1723" s="7" t="s">
        <v>557</v>
      </c>
      <c r="O1723" s="7" t="n">
        <v>-33.909254</v>
      </c>
      <c r="P1723" s="7" t="n">
        <v>151.242107</v>
      </c>
    </row>
    <row r="1724" customFormat="false" ht="15" hidden="false" customHeight="false" outlineLevel="0" collapsed="false">
      <c r="A1724" s="7" t="n">
        <v>1723</v>
      </c>
      <c r="B1724" s="7"/>
      <c r="C1724" s="7" t="s">
        <v>2347</v>
      </c>
      <c r="D1724" s="7" t="n">
        <v>2022</v>
      </c>
      <c r="E1724" s="7" t="s">
        <v>50</v>
      </c>
      <c r="F1724" s="10" t="b">
        <f aca="false">FALSE()</f>
        <v>0</v>
      </c>
      <c r="G1724" s="7" t="s">
        <v>295</v>
      </c>
      <c r="H1724" s="7" t="s">
        <v>1371</v>
      </c>
      <c r="I1724" s="7" t="n">
        <v>1</v>
      </c>
      <c r="J1724" s="7" t="s">
        <v>107</v>
      </c>
      <c r="K1724" s="7" t="s">
        <v>108</v>
      </c>
      <c r="L1724" s="7" t="n">
        <v>22</v>
      </c>
      <c r="M1724" s="10" t="b">
        <f aca="false">FALSE()</f>
        <v>0</v>
      </c>
      <c r="N1724" s="7" t="s">
        <v>557</v>
      </c>
      <c r="O1724" s="7" t="n">
        <v>-33.89343</v>
      </c>
      <c r="P1724" s="7" t="n">
        <v>151.244388</v>
      </c>
    </row>
    <row r="1725" customFormat="false" ht="15" hidden="false" customHeight="false" outlineLevel="0" collapsed="false">
      <c r="A1725" s="7" t="n">
        <v>1724</v>
      </c>
      <c r="B1725" s="7"/>
      <c r="C1725" s="7" t="s">
        <v>2348</v>
      </c>
      <c r="D1725" s="7" t="n">
        <v>2539</v>
      </c>
      <c r="E1725" s="7" t="s">
        <v>50</v>
      </c>
      <c r="F1725" s="10" t="b">
        <f aca="false">FALSE()</f>
        <v>0</v>
      </c>
      <c r="G1725" s="7" t="s">
        <v>92</v>
      </c>
      <c r="H1725" s="7" t="s">
        <v>1069</v>
      </c>
      <c r="I1725" s="7" t="n">
        <v>4</v>
      </c>
      <c r="J1725" s="7" t="s">
        <v>71</v>
      </c>
      <c r="K1725" s="7" t="s">
        <v>117</v>
      </c>
      <c r="L1725" s="7" t="n">
        <v>175</v>
      </c>
      <c r="M1725" s="10" t="b">
        <f aca="false">FALSE()</f>
        <v>0</v>
      </c>
      <c r="N1725" s="7" t="s">
        <v>118</v>
      </c>
      <c r="O1725" s="7" t="n">
        <v>-35.359557</v>
      </c>
      <c r="P1725" s="7" t="n">
        <v>150.475401</v>
      </c>
    </row>
    <row r="1726" customFormat="false" ht="15" hidden="false" customHeight="false" outlineLevel="0" collapsed="false">
      <c r="A1726" s="7" t="n">
        <v>1725</v>
      </c>
      <c r="B1726" s="7"/>
      <c r="C1726" s="7" t="s">
        <v>2349</v>
      </c>
      <c r="D1726" s="7" t="n">
        <v>2163</v>
      </c>
      <c r="E1726" s="7" t="s">
        <v>50</v>
      </c>
      <c r="F1726" s="10" t="b">
        <f aca="false">FALSE()</f>
        <v>0</v>
      </c>
      <c r="G1726" s="7" t="s">
        <v>345</v>
      </c>
      <c r="H1726" s="7" t="s">
        <v>1069</v>
      </c>
      <c r="I1726" s="7" t="n">
        <v>4</v>
      </c>
      <c r="J1726" s="7" t="s">
        <v>71</v>
      </c>
      <c r="K1726" s="7" t="s">
        <v>117</v>
      </c>
      <c r="L1726" s="7" t="n">
        <v>175</v>
      </c>
      <c r="M1726" s="10" t="b">
        <f aca="false">FALSE()</f>
        <v>0</v>
      </c>
      <c r="N1726" s="7" t="s">
        <v>658</v>
      </c>
      <c r="O1726" s="7" t="n">
        <v>-33.879121</v>
      </c>
      <c r="P1726" s="7" t="n">
        <v>150.977644</v>
      </c>
    </row>
    <row r="1727" customFormat="false" ht="15" hidden="false" customHeight="false" outlineLevel="0" collapsed="false">
      <c r="A1727" s="7" t="n">
        <v>1726</v>
      </c>
      <c r="B1727" s="7" t="s">
        <v>2350</v>
      </c>
      <c r="C1727" s="7" t="s">
        <v>2351</v>
      </c>
      <c r="D1727" s="7" t="n">
        <v>2624</v>
      </c>
      <c r="E1727" s="7" t="s">
        <v>50</v>
      </c>
      <c r="F1727" s="10" t="b">
        <f aca="false">FALSE()</f>
        <v>0</v>
      </c>
      <c r="G1727" s="7" t="s">
        <v>177</v>
      </c>
      <c r="H1727" s="7" t="s">
        <v>260</v>
      </c>
      <c r="I1727" s="7" t="n">
        <v>4</v>
      </c>
      <c r="J1727" s="7" t="s">
        <v>107</v>
      </c>
      <c r="K1727" s="7" t="s">
        <v>107</v>
      </c>
      <c r="L1727" s="7"/>
      <c r="M1727" s="10" t="b">
        <f aca="false">FALSE()</f>
        <v>0</v>
      </c>
      <c r="N1727" s="7" t="s">
        <v>399</v>
      </c>
      <c r="O1727" s="7" t="n">
        <v>-36.359929</v>
      </c>
      <c r="P1727" s="7" t="n">
        <v>148.484945</v>
      </c>
    </row>
    <row r="1728" customFormat="false" ht="15" hidden="false" customHeight="false" outlineLevel="0" collapsed="false">
      <c r="A1728" s="7" t="n">
        <v>1727</v>
      </c>
      <c r="B1728" s="7"/>
      <c r="C1728" s="7" t="s">
        <v>2352</v>
      </c>
      <c r="D1728" s="7" t="n">
        <v>2040</v>
      </c>
      <c r="E1728" s="7" t="s">
        <v>50</v>
      </c>
      <c r="F1728" s="10" t="b">
        <f aca="false">FALSE()</f>
        <v>0</v>
      </c>
      <c r="G1728" s="7" t="s">
        <v>410</v>
      </c>
      <c r="H1728" s="7" t="s">
        <v>1371</v>
      </c>
      <c r="I1728" s="7" t="n">
        <v>1</v>
      </c>
      <c r="J1728" s="7" t="s">
        <v>107</v>
      </c>
      <c r="K1728" s="7" t="s">
        <v>900</v>
      </c>
      <c r="L1728" s="7" t="n">
        <v>7</v>
      </c>
      <c r="M1728" s="10" t="b">
        <f aca="false">FALSE()</f>
        <v>0</v>
      </c>
      <c r="N1728" s="7" t="s">
        <v>557</v>
      </c>
      <c r="O1728" s="7" t="n">
        <v>-33.885178</v>
      </c>
      <c r="P1728" s="7" t="n">
        <v>151.151927</v>
      </c>
    </row>
    <row r="1729" customFormat="false" ht="15" hidden="false" customHeight="false" outlineLevel="0" collapsed="false">
      <c r="A1729" s="7" t="n">
        <v>1728</v>
      </c>
      <c r="B1729" s="7" t="s">
        <v>2353</v>
      </c>
      <c r="C1729" s="7" t="s">
        <v>2354</v>
      </c>
      <c r="D1729" s="7" t="n">
        <v>2800</v>
      </c>
      <c r="E1729" s="7" t="s">
        <v>50</v>
      </c>
      <c r="F1729" s="10" t="b">
        <f aca="false">FALSE()</f>
        <v>0</v>
      </c>
      <c r="G1729" s="7" t="s">
        <v>185</v>
      </c>
      <c r="H1729" s="7" t="s">
        <v>260</v>
      </c>
      <c r="I1729" s="7" t="n">
        <v>2</v>
      </c>
      <c r="J1729" s="7" t="s">
        <v>107</v>
      </c>
      <c r="K1729" s="7" t="s">
        <v>107</v>
      </c>
      <c r="L1729" s="7"/>
      <c r="M1729" s="10" t="b">
        <f aca="false">FALSE()</f>
        <v>0</v>
      </c>
      <c r="N1729" s="7" t="s">
        <v>399</v>
      </c>
      <c r="O1729" s="7" t="n">
        <v>-33.296872</v>
      </c>
      <c r="P1729" s="7" t="n">
        <v>149.02457</v>
      </c>
    </row>
    <row r="1730" customFormat="false" ht="15" hidden="false" customHeight="false" outlineLevel="0" collapsed="false">
      <c r="A1730" s="7" t="n">
        <v>1729</v>
      </c>
      <c r="B1730" s="7"/>
      <c r="C1730" s="7" t="s">
        <v>2355</v>
      </c>
      <c r="D1730" s="7" t="n">
        <v>2035</v>
      </c>
      <c r="E1730" s="7" t="s">
        <v>50</v>
      </c>
      <c r="F1730" s="10" t="b">
        <f aca="false">FALSE()</f>
        <v>0</v>
      </c>
      <c r="G1730" s="7" t="s">
        <v>355</v>
      </c>
      <c r="H1730" s="7" t="s">
        <v>1069</v>
      </c>
      <c r="I1730" s="7" t="n">
        <v>4</v>
      </c>
      <c r="J1730" s="7" t="s">
        <v>71</v>
      </c>
      <c r="K1730" s="7" t="s">
        <v>83</v>
      </c>
      <c r="L1730" s="7" t="n">
        <v>75</v>
      </c>
      <c r="M1730" s="10" t="b">
        <f aca="false">FALSE()</f>
        <v>0</v>
      </c>
      <c r="N1730" s="7" t="s">
        <v>557</v>
      </c>
      <c r="O1730" s="7" t="n">
        <v>-33.940605</v>
      </c>
      <c r="P1730" s="7" t="n">
        <v>151.239517</v>
      </c>
    </row>
    <row r="1731" customFormat="false" ht="15" hidden="false" customHeight="false" outlineLevel="0" collapsed="false">
      <c r="A1731" s="7" t="n">
        <v>1730</v>
      </c>
      <c r="B1731" s="7"/>
      <c r="C1731" s="7" t="s">
        <v>2356</v>
      </c>
      <c r="D1731" s="7" t="n">
        <v>2044</v>
      </c>
      <c r="E1731" s="7" t="s">
        <v>50</v>
      </c>
      <c r="F1731" s="10" t="b">
        <f aca="false">FALSE()</f>
        <v>0</v>
      </c>
      <c r="G1731" s="7" t="s">
        <v>410</v>
      </c>
      <c r="H1731" s="7" t="s">
        <v>1371</v>
      </c>
      <c r="I1731" s="7" t="n">
        <v>1</v>
      </c>
      <c r="J1731" s="7" t="s">
        <v>107</v>
      </c>
      <c r="K1731" s="7" t="s">
        <v>108</v>
      </c>
      <c r="L1731" s="7" t="n">
        <v>22</v>
      </c>
      <c r="M1731" s="10" t="b">
        <f aca="false">FALSE()</f>
        <v>0</v>
      </c>
      <c r="N1731" s="7" t="s">
        <v>557</v>
      </c>
      <c r="O1731" s="7" t="n">
        <v>-33.918651</v>
      </c>
      <c r="P1731" s="7" t="n">
        <v>151.165252</v>
      </c>
    </row>
    <row r="1732" customFormat="false" ht="15" hidden="false" customHeight="false" outlineLevel="0" collapsed="false">
      <c r="A1732" s="7" t="n">
        <v>1731</v>
      </c>
      <c r="B1732" s="7"/>
      <c r="C1732" s="7" t="s">
        <v>2357</v>
      </c>
      <c r="D1732" s="7" t="n">
        <v>2031</v>
      </c>
      <c r="E1732" s="7" t="s">
        <v>50</v>
      </c>
      <c r="F1732" s="10" t="b">
        <f aca="false">FALSE()</f>
        <v>0</v>
      </c>
      <c r="G1732" s="7" t="s">
        <v>355</v>
      </c>
      <c r="H1732" s="7" t="s">
        <v>1371</v>
      </c>
      <c r="I1732" s="7" t="n">
        <v>1</v>
      </c>
      <c r="J1732" s="7" t="s">
        <v>107</v>
      </c>
      <c r="K1732" s="7" t="s">
        <v>108</v>
      </c>
      <c r="L1732" s="7" t="n">
        <v>22</v>
      </c>
      <c r="M1732" s="10" t="b">
        <f aca="false">FALSE()</f>
        <v>0</v>
      </c>
      <c r="N1732" s="7" t="s">
        <v>557</v>
      </c>
      <c r="O1732" s="7" t="n">
        <v>-33.909124</v>
      </c>
      <c r="P1732" s="7" t="n">
        <v>151.248602</v>
      </c>
    </row>
    <row r="1733" customFormat="false" ht="15" hidden="false" customHeight="false" outlineLevel="0" collapsed="false">
      <c r="A1733" s="7" t="n">
        <v>1732</v>
      </c>
      <c r="B1733" s="7"/>
      <c r="C1733" s="7" t="s">
        <v>2358</v>
      </c>
      <c r="D1733" s="7" t="n">
        <v>2026</v>
      </c>
      <c r="E1733" s="7" t="s">
        <v>50</v>
      </c>
      <c r="F1733" s="10" t="b">
        <f aca="false">FALSE()</f>
        <v>0</v>
      </c>
      <c r="G1733" s="7" t="s">
        <v>295</v>
      </c>
      <c r="H1733" s="7" t="s">
        <v>237</v>
      </c>
      <c r="I1733" s="7" t="n">
        <v>1</v>
      </c>
      <c r="J1733" s="7" t="s">
        <v>107</v>
      </c>
      <c r="K1733" s="7" t="s">
        <v>900</v>
      </c>
      <c r="L1733" s="7" t="n">
        <v>7</v>
      </c>
      <c r="M1733" s="10" t="b">
        <f aca="false">FALSE()</f>
        <v>0</v>
      </c>
      <c r="N1733" s="7" t="s">
        <v>557</v>
      </c>
      <c r="O1733" s="7" t="n">
        <v>-33.887905</v>
      </c>
      <c r="P1733" s="7" t="n">
        <v>151.272205</v>
      </c>
    </row>
    <row r="1734" customFormat="false" ht="15" hidden="false" customHeight="false" outlineLevel="0" collapsed="false">
      <c r="A1734" s="7" t="n">
        <v>1733</v>
      </c>
      <c r="B1734" s="7"/>
      <c r="C1734" s="7" t="s">
        <v>2359</v>
      </c>
      <c r="D1734" s="7" t="n">
        <v>2033</v>
      </c>
      <c r="E1734" s="7" t="s">
        <v>50</v>
      </c>
      <c r="F1734" s="10" t="b">
        <f aca="false">FALSE()</f>
        <v>0</v>
      </c>
      <c r="G1734" s="7" t="s">
        <v>355</v>
      </c>
      <c r="H1734" s="7" t="s">
        <v>302</v>
      </c>
      <c r="I1734" s="7" t="n">
        <v>2</v>
      </c>
      <c r="J1734" s="7" t="s">
        <v>107</v>
      </c>
      <c r="K1734" s="7" t="s">
        <v>108</v>
      </c>
      <c r="L1734" s="7" t="n">
        <v>22</v>
      </c>
      <c r="M1734" s="10" t="b">
        <f aca="false">FALSE()</f>
        <v>0</v>
      </c>
      <c r="N1734" s="7" t="s">
        <v>557</v>
      </c>
      <c r="O1734" s="7" t="n">
        <v>-33.907747</v>
      </c>
      <c r="P1734" s="7" t="n">
        <v>151.224102</v>
      </c>
    </row>
    <row r="1735" customFormat="false" ht="15" hidden="false" customHeight="false" outlineLevel="0" collapsed="false">
      <c r="A1735" s="7" t="n">
        <v>1734</v>
      </c>
      <c r="B1735" s="7"/>
      <c r="C1735" s="7" t="s">
        <v>2360</v>
      </c>
      <c r="D1735" s="7" t="n">
        <v>2049</v>
      </c>
      <c r="E1735" s="7" t="s">
        <v>50</v>
      </c>
      <c r="F1735" s="10" t="b">
        <f aca="false">FALSE()</f>
        <v>0</v>
      </c>
      <c r="G1735" s="7" t="s">
        <v>410</v>
      </c>
      <c r="H1735" s="7" t="s">
        <v>1371</v>
      </c>
      <c r="I1735" s="7" t="n">
        <v>1</v>
      </c>
      <c r="J1735" s="7" t="s">
        <v>107</v>
      </c>
      <c r="K1735" s="7" t="s">
        <v>108</v>
      </c>
      <c r="L1735" s="7" t="n">
        <v>22</v>
      </c>
      <c r="M1735" s="10" t="b">
        <f aca="false">FALSE()</f>
        <v>0</v>
      </c>
      <c r="N1735" s="7" t="s">
        <v>557</v>
      </c>
      <c r="O1735" s="7" t="n">
        <v>-33.890109</v>
      </c>
      <c r="P1735" s="7" t="n">
        <v>151.157767</v>
      </c>
    </row>
    <row r="1736" customFormat="false" ht="15" hidden="false" customHeight="false" outlineLevel="0" collapsed="false">
      <c r="A1736" s="7" t="n">
        <v>1735</v>
      </c>
      <c r="B1736" s="7" t="s">
        <v>2361</v>
      </c>
      <c r="C1736" s="7" t="s">
        <v>2362</v>
      </c>
      <c r="D1736" s="7" t="n">
        <v>2487</v>
      </c>
      <c r="E1736" s="7" t="s">
        <v>50</v>
      </c>
      <c r="F1736" s="10" t="b">
        <f aca="false">FALSE()</f>
        <v>0</v>
      </c>
      <c r="G1736" s="7" t="s">
        <v>164</v>
      </c>
      <c r="H1736" s="7" t="s">
        <v>237</v>
      </c>
      <c r="I1736" s="7" t="n">
        <v>2</v>
      </c>
      <c r="J1736" s="7" t="s">
        <v>107</v>
      </c>
      <c r="K1736" s="7" t="s">
        <v>107</v>
      </c>
      <c r="L1736" s="7"/>
      <c r="M1736" s="10" t="b">
        <f aca="false">FALSE()</f>
        <v>0</v>
      </c>
      <c r="N1736" s="7" t="s">
        <v>374</v>
      </c>
      <c r="O1736" s="7" t="n">
        <v>-28.277964</v>
      </c>
      <c r="P1736" s="7" t="n">
        <v>153.577631</v>
      </c>
    </row>
    <row r="1737" customFormat="false" ht="15" hidden="false" customHeight="false" outlineLevel="0" collapsed="false">
      <c r="A1737" s="7" t="n">
        <v>1736</v>
      </c>
      <c r="B1737" s="7" t="s">
        <v>2363</v>
      </c>
      <c r="C1737" s="7" t="s">
        <v>2364</v>
      </c>
      <c r="D1737" s="7" t="n">
        <v>2283</v>
      </c>
      <c r="E1737" s="7" t="s">
        <v>50</v>
      </c>
      <c r="F1737" s="10" t="b">
        <f aca="false">FALSE()</f>
        <v>0</v>
      </c>
      <c r="G1737" s="7" t="s">
        <v>377</v>
      </c>
      <c r="H1737" s="7" t="s">
        <v>1956</v>
      </c>
      <c r="I1737" s="7" t="n">
        <v>4</v>
      </c>
      <c r="J1737" s="7" t="s">
        <v>107</v>
      </c>
      <c r="K1737" s="7" t="s">
        <v>107</v>
      </c>
      <c r="L1737" s="7"/>
      <c r="M1737" s="10" t="b">
        <f aca="false">FALSE()</f>
        <v>0</v>
      </c>
      <c r="N1737" s="7" t="s">
        <v>399</v>
      </c>
      <c r="O1737" s="7" t="n">
        <v>-33.010417</v>
      </c>
      <c r="P1737" s="7" t="n">
        <v>151.591566</v>
      </c>
    </row>
    <row r="1738" customFormat="false" ht="15" hidden="false" customHeight="false" outlineLevel="0" collapsed="false">
      <c r="A1738" s="7" t="n">
        <v>1737</v>
      </c>
      <c r="B1738" s="7"/>
      <c r="C1738" s="7" t="s">
        <v>2365</v>
      </c>
      <c r="D1738" s="7" t="n">
        <v>2041</v>
      </c>
      <c r="E1738" s="7" t="s">
        <v>50</v>
      </c>
      <c r="F1738" s="10" t="b">
        <f aca="false">FALSE()</f>
        <v>0</v>
      </c>
      <c r="G1738" s="7" t="s">
        <v>410</v>
      </c>
      <c r="H1738" s="7" t="s">
        <v>1371</v>
      </c>
      <c r="I1738" s="7" t="n">
        <v>1</v>
      </c>
      <c r="J1738" s="7" t="s">
        <v>107</v>
      </c>
      <c r="K1738" s="7" t="s">
        <v>900</v>
      </c>
      <c r="L1738" s="7" t="n">
        <v>7</v>
      </c>
      <c r="M1738" s="10" t="b">
        <f aca="false">FALSE()</f>
        <v>0</v>
      </c>
      <c r="N1738" s="7" t="s">
        <v>557</v>
      </c>
      <c r="O1738" s="7" t="n">
        <v>-33.856438</v>
      </c>
      <c r="P1738" s="7" t="n">
        <v>151.193394</v>
      </c>
    </row>
    <row r="1739" customFormat="false" ht="15" hidden="false" customHeight="false" outlineLevel="0" collapsed="false">
      <c r="A1739" s="7" t="n">
        <v>1738</v>
      </c>
      <c r="B1739" s="7" t="s">
        <v>2366</v>
      </c>
      <c r="C1739" s="7" t="s">
        <v>2367</v>
      </c>
      <c r="D1739" s="7" t="n">
        <v>2548</v>
      </c>
      <c r="E1739" s="7" t="s">
        <v>50</v>
      </c>
      <c r="F1739" s="10" t="b">
        <f aca="false">FALSE()</f>
        <v>0</v>
      </c>
      <c r="G1739" s="7" t="s">
        <v>188</v>
      </c>
      <c r="H1739" s="7" t="s">
        <v>230</v>
      </c>
      <c r="I1739" s="7" t="n">
        <v>1</v>
      </c>
      <c r="J1739" s="7" t="s">
        <v>107</v>
      </c>
      <c r="K1739" s="7" t="s">
        <v>107</v>
      </c>
      <c r="L1739" s="7"/>
      <c r="M1739" s="10" t="b">
        <f aca="false">FALSE()</f>
        <v>0</v>
      </c>
      <c r="N1739" s="7" t="s">
        <v>399</v>
      </c>
      <c r="O1739" s="7" t="n">
        <v>-36.863888</v>
      </c>
      <c r="P1739" s="7" t="n">
        <v>149.915105</v>
      </c>
    </row>
    <row r="1740" customFormat="false" ht="15" hidden="false" customHeight="false" outlineLevel="0" collapsed="false">
      <c r="A1740" s="7" t="n">
        <v>1739</v>
      </c>
      <c r="B1740" s="7"/>
      <c r="C1740" s="7" t="s">
        <v>2368</v>
      </c>
      <c r="D1740" s="7" t="n">
        <v>2029</v>
      </c>
      <c r="E1740" s="7" t="s">
        <v>50</v>
      </c>
      <c r="F1740" s="10" t="b">
        <f aca="false">FALSE()</f>
        <v>0</v>
      </c>
      <c r="G1740" s="7" t="s">
        <v>272</v>
      </c>
      <c r="H1740" s="7" t="s">
        <v>1069</v>
      </c>
      <c r="I1740" s="7" t="n">
        <v>4</v>
      </c>
      <c r="J1740" s="7" t="s">
        <v>71</v>
      </c>
      <c r="K1740" s="7" t="s">
        <v>83</v>
      </c>
      <c r="L1740" s="7" t="n">
        <v>75</v>
      </c>
      <c r="M1740" s="10" t="b">
        <f aca="false">FALSE()</f>
        <v>0</v>
      </c>
      <c r="N1740" s="7" t="s">
        <v>557</v>
      </c>
      <c r="O1740" s="7" t="n">
        <v>-33.870354</v>
      </c>
      <c r="P1740" s="7" t="n">
        <v>151.264257</v>
      </c>
    </row>
    <row r="1741" customFormat="false" ht="15" hidden="false" customHeight="false" outlineLevel="0" collapsed="false">
      <c r="A1741" s="7" t="n">
        <v>1740</v>
      </c>
      <c r="B1741" s="7"/>
      <c r="C1741" s="7" t="s">
        <v>2369</v>
      </c>
      <c r="D1741" s="7" t="n">
        <v>2021</v>
      </c>
      <c r="E1741" s="7" t="s">
        <v>50</v>
      </c>
      <c r="F1741" s="10" t="b">
        <f aca="false">FALSE()</f>
        <v>0</v>
      </c>
      <c r="G1741" s="7" t="s">
        <v>272</v>
      </c>
      <c r="H1741" s="7" t="s">
        <v>1371</v>
      </c>
      <c r="I1741" s="7" t="n">
        <v>1</v>
      </c>
      <c r="J1741" s="7" t="s">
        <v>107</v>
      </c>
      <c r="K1741" s="7" t="s">
        <v>108</v>
      </c>
      <c r="L1741" s="7" t="n">
        <v>22</v>
      </c>
      <c r="M1741" s="10" t="b">
        <f aca="false">FALSE()</f>
        <v>0</v>
      </c>
      <c r="N1741" s="7" t="s">
        <v>557</v>
      </c>
      <c r="O1741" s="7" t="n">
        <v>-33.87922</v>
      </c>
      <c r="P1741" s="7" t="n">
        <v>151.224936</v>
      </c>
    </row>
    <row r="1742" customFormat="false" ht="15" hidden="false" customHeight="false" outlineLevel="0" collapsed="false">
      <c r="A1742" s="7" t="n">
        <v>1741</v>
      </c>
      <c r="B1742" s="7" t="s">
        <v>199</v>
      </c>
      <c r="C1742" s="7" t="s">
        <v>2370</v>
      </c>
      <c r="D1742" s="7" t="n">
        <v>2850</v>
      </c>
      <c r="E1742" s="7" t="s">
        <v>50</v>
      </c>
      <c r="F1742" s="10" t="b">
        <f aca="false">FALSE()</f>
        <v>0</v>
      </c>
      <c r="G1742" s="7" t="s">
        <v>199</v>
      </c>
      <c r="H1742" s="7" t="s">
        <v>1748</v>
      </c>
      <c r="I1742" s="7" t="n">
        <v>2</v>
      </c>
      <c r="J1742" s="7" t="s">
        <v>107</v>
      </c>
      <c r="K1742" s="7" t="s">
        <v>107</v>
      </c>
      <c r="L1742" s="7"/>
      <c r="M1742" s="10" t="b">
        <f aca="false">FALSE()</f>
        <v>0</v>
      </c>
      <c r="N1742" s="7" t="s">
        <v>374</v>
      </c>
      <c r="O1742" s="7" t="n">
        <v>-32.59009</v>
      </c>
      <c r="P1742" s="7" t="n">
        <v>149.583547</v>
      </c>
    </row>
    <row r="1743" customFormat="false" ht="15" hidden="false" customHeight="false" outlineLevel="0" collapsed="false">
      <c r="A1743" s="7" t="n">
        <v>1742</v>
      </c>
      <c r="B1743" s="7"/>
      <c r="C1743" s="7" t="s">
        <v>2371</v>
      </c>
      <c r="D1743" s="7" t="n">
        <v>2041</v>
      </c>
      <c r="E1743" s="7" t="s">
        <v>50</v>
      </c>
      <c r="F1743" s="10" t="b">
        <f aca="false">FALSE()</f>
        <v>0</v>
      </c>
      <c r="G1743" s="7" t="s">
        <v>410</v>
      </c>
      <c r="H1743" s="7" t="s">
        <v>1371</v>
      </c>
      <c r="I1743" s="7" t="n">
        <v>1</v>
      </c>
      <c r="J1743" s="7" t="s">
        <v>107</v>
      </c>
      <c r="K1743" s="7" t="s">
        <v>900</v>
      </c>
      <c r="L1743" s="7" t="n">
        <v>7</v>
      </c>
      <c r="M1743" s="10" t="b">
        <f aca="false">FALSE()</f>
        <v>0</v>
      </c>
      <c r="N1743" s="7" t="s">
        <v>557</v>
      </c>
      <c r="O1743" s="7" t="n">
        <v>-33.853435</v>
      </c>
      <c r="P1743" s="7" t="n">
        <v>151.180239</v>
      </c>
    </row>
    <row r="1744" customFormat="false" ht="15" hidden="false" customHeight="false" outlineLevel="0" collapsed="false">
      <c r="A1744" s="7" t="n">
        <v>1743</v>
      </c>
      <c r="B1744" s="7"/>
      <c r="C1744" s="7" t="s">
        <v>2372</v>
      </c>
      <c r="D1744" s="7" t="n">
        <v>2038</v>
      </c>
      <c r="E1744" s="7" t="s">
        <v>50</v>
      </c>
      <c r="F1744" s="10" t="b">
        <f aca="false">FALSE()</f>
        <v>0</v>
      </c>
      <c r="G1744" s="7" t="s">
        <v>410</v>
      </c>
      <c r="H1744" s="7" t="s">
        <v>1371</v>
      </c>
      <c r="I1744" s="7" t="n">
        <v>1</v>
      </c>
      <c r="J1744" s="7" t="s">
        <v>107</v>
      </c>
      <c r="K1744" s="7" t="s">
        <v>108</v>
      </c>
      <c r="L1744" s="7" t="n">
        <v>22</v>
      </c>
      <c r="M1744" s="10" t="b">
        <f aca="false">FALSE()</f>
        <v>0</v>
      </c>
      <c r="N1744" s="7" t="s">
        <v>557</v>
      </c>
      <c r="O1744" s="7" t="n">
        <v>-33.883053</v>
      </c>
      <c r="P1744" s="7" t="n">
        <v>151.168667</v>
      </c>
    </row>
    <row r="1745" customFormat="false" ht="15" hidden="false" customHeight="false" outlineLevel="0" collapsed="false">
      <c r="A1745" s="7" t="n">
        <v>1744</v>
      </c>
      <c r="B1745" s="7" t="s">
        <v>2373</v>
      </c>
      <c r="C1745" s="7" t="s">
        <v>2374</v>
      </c>
      <c r="D1745" s="7" t="n">
        <v>2360</v>
      </c>
      <c r="E1745" s="7" t="s">
        <v>50</v>
      </c>
      <c r="F1745" s="10" t="b">
        <f aca="false">FALSE()</f>
        <v>0</v>
      </c>
      <c r="G1745" s="7" t="s">
        <v>169</v>
      </c>
      <c r="H1745" s="7" t="s">
        <v>230</v>
      </c>
      <c r="I1745" s="7" t="n">
        <v>2</v>
      </c>
      <c r="J1745" s="7" t="s">
        <v>107</v>
      </c>
      <c r="K1745" s="7" t="s">
        <v>107</v>
      </c>
      <c r="L1745" s="7"/>
      <c r="M1745" s="10" t="b">
        <f aca="false">FALSE()</f>
        <v>0</v>
      </c>
      <c r="N1745" s="7" t="s">
        <v>374</v>
      </c>
      <c r="O1745" s="7" t="n">
        <v>-29.779375</v>
      </c>
      <c r="P1745" s="7" t="n">
        <v>151.116445</v>
      </c>
    </row>
    <row r="1746" customFormat="false" ht="15" hidden="false" customHeight="false" outlineLevel="0" collapsed="false">
      <c r="A1746" s="7" t="n">
        <v>1745</v>
      </c>
      <c r="B1746" s="7"/>
      <c r="C1746" s="7" t="s">
        <v>2375</v>
      </c>
      <c r="D1746" s="7" t="n">
        <v>2050</v>
      </c>
      <c r="E1746" s="7" t="s">
        <v>50</v>
      </c>
      <c r="F1746" s="10" t="b">
        <f aca="false">FALSE()</f>
        <v>0</v>
      </c>
      <c r="G1746" s="7" t="s">
        <v>182</v>
      </c>
      <c r="H1746" s="7" t="s">
        <v>302</v>
      </c>
      <c r="I1746" s="7" t="n">
        <v>2</v>
      </c>
      <c r="J1746" s="7" t="s">
        <v>107</v>
      </c>
      <c r="K1746" s="7" t="s">
        <v>108</v>
      </c>
      <c r="L1746" s="7" t="n">
        <v>22</v>
      </c>
      <c r="M1746" s="10" t="b">
        <f aca="false">FALSE()</f>
        <v>0</v>
      </c>
      <c r="N1746" s="7" t="s">
        <v>557</v>
      </c>
      <c r="O1746" s="7" t="n">
        <v>-33.885881</v>
      </c>
      <c r="P1746" s="7" t="n">
        <v>151.176933</v>
      </c>
    </row>
    <row r="1747" customFormat="false" ht="15" hidden="false" customHeight="false" outlineLevel="0" collapsed="false">
      <c r="A1747" s="7" t="n">
        <v>1746</v>
      </c>
      <c r="B1747" s="7"/>
      <c r="C1747" s="7" t="s">
        <v>2376</v>
      </c>
      <c r="D1747" s="7" t="n">
        <v>2870</v>
      </c>
      <c r="E1747" s="7" t="s">
        <v>50</v>
      </c>
      <c r="F1747" s="10" t="b">
        <f aca="false">FALSE()</f>
        <v>0</v>
      </c>
      <c r="G1747" s="7" t="s">
        <v>180</v>
      </c>
      <c r="H1747" s="7" t="s">
        <v>239</v>
      </c>
      <c r="I1747" s="7" t="n">
        <v>4</v>
      </c>
      <c r="J1747" s="7" t="s">
        <v>71</v>
      </c>
      <c r="K1747" s="7" t="s">
        <v>117</v>
      </c>
      <c r="L1747" s="7" t="n">
        <v>175</v>
      </c>
      <c r="M1747" s="10" t="b">
        <f aca="false">FALSE()</f>
        <v>0</v>
      </c>
      <c r="N1747" s="7" t="s">
        <v>118</v>
      </c>
      <c r="O1747" s="7" t="n">
        <v>-33.141378</v>
      </c>
      <c r="P1747" s="7" t="n">
        <v>148.174069</v>
      </c>
    </row>
    <row r="1748" customFormat="false" ht="15" hidden="false" customHeight="false" outlineLevel="0" collapsed="false">
      <c r="A1748" s="7" t="n">
        <v>1747</v>
      </c>
      <c r="B1748" s="7"/>
      <c r="C1748" s="7" t="s">
        <v>2377</v>
      </c>
      <c r="D1748" s="7" t="n">
        <v>2035</v>
      </c>
      <c r="E1748" s="7" t="s">
        <v>50</v>
      </c>
      <c r="F1748" s="10" t="b">
        <f aca="false">FALSE()</f>
        <v>0</v>
      </c>
      <c r="G1748" s="7" t="s">
        <v>355</v>
      </c>
      <c r="H1748" s="7" t="s">
        <v>1069</v>
      </c>
      <c r="I1748" s="7" t="n">
        <v>2</v>
      </c>
      <c r="J1748" s="7" t="s">
        <v>71</v>
      </c>
      <c r="K1748" s="7" t="s">
        <v>83</v>
      </c>
      <c r="L1748" s="7" t="n">
        <v>75</v>
      </c>
      <c r="M1748" s="10" t="b">
        <f aca="false">FALSE()</f>
        <v>0</v>
      </c>
      <c r="N1748" s="7" t="s">
        <v>557</v>
      </c>
      <c r="O1748" s="7" t="n">
        <v>-33.942769</v>
      </c>
      <c r="P1748" s="7" t="n">
        <v>151.24012</v>
      </c>
    </row>
    <row r="1749" customFormat="false" ht="15" hidden="false" customHeight="false" outlineLevel="0" collapsed="false">
      <c r="A1749" s="7" t="n">
        <v>1748</v>
      </c>
      <c r="B1749" s="7" t="s">
        <v>2378</v>
      </c>
      <c r="C1749" s="7" t="s">
        <v>2379</v>
      </c>
      <c r="D1749" s="7" t="n">
        <v>2650</v>
      </c>
      <c r="E1749" s="7" t="s">
        <v>50</v>
      </c>
      <c r="F1749" s="10" t="b">
        <f aca="false">FALSE()</f>
        <v>0</v>
      </c>
      <c r="G1749" s="7" t="s">
        <v>147</v>
      </c>
      <c r="H1749" s="7" t="s">
        <v>260</v>
      </c>
      <c r="I1749" s="7" t="n">
        <v>4</v>
      </c>
      <c r="J1749" s="7" t="s">
        <v>107</v>
      </c>
      <c r="K1749" s="7" t="s">
        <v>107</v>
      </c>
      <c r="L1749" s="7"/>
      <c r="M1749" s="10" t="b">
        <f aca="false">FALSE()</f>
        <v>0</v>
      </c>
      <c r="N1749" s="7" t="s">
        <v>399</v>
      </c>
      <c r="O1749" s="7" t="n">
        <v>-35.121225</v>
      </c>
      <c r="P1749" s="7" t="n">
        <v>147.388612</v>
      </c>
    </row>
    <row r="1750" customFormat="false" ht="15" hidden="false" customHeight="false" outlineLevel="0" collapsed="false">
      <c r="A1750" s="7" t="n">
        <v>1749</v>
      </c>
      <c r="B1750" s="7"/>
      <c r="C1750" s="7" t="s">
        <v>2380</v>
      </c>
      <c r="D1750" s="7" t="n">
        <v>2042</v>
      </c>
      <c r="E1750" s="7" t="s">
        <v>50</v>
      </c>
      <c r="F1750" s="10" t="b">
        <f aca="false">FALSE()</f>
        <v>0</v>
      </c>
      <c r="G1750" s="7" t="s">
        <v>410</v>
      </c>
      <c r="H1750" s="7" t="s">
        <v>1371</v>
      </c>
      <c r="I1750" s="7" t="n">
        <v>1</v>
      </c>
      <c r="J1750" s="7" t="s">
        <v>107</v>
      </c>
      <c r="K1750" s="7" t="s">
        <v>108</v>
      </c>
      <c r="L1750" s="7" t="n">
        <v>22</v>
      </c>
      <c r="M1750" s="10" t="b">
        <f aca="false">FALSE()</f>
        <v>0</v>
      </c>
      <c r="N1750" s="7" t="s">
        <v>557</v>
      </c>
      <c r="O1750" s="7" t="n">
        <v>-33.902056</v>
      </c>
      <c r="P1750" s="7" t="n">
        <v>151.172703</v>
      </c>
    </row>
    <row r="1751" customFormat="false" ht="15" hidden="false" customHeight="false" outlineLevel="0" collapsed="false">
      <c r="A1751" s="7" t="n">
        <v>1750</v>
      </c>
      <c r="B1751" s="7" t="s">
        <v>2381</v>
      </c>
      <c r="C1751" s="7" t="s">
        <v>2382</v>
      </c>
      <c r="D1751" s="7" t="n">
        <v>2850</v>
      </c>
      <c r="E1751" s="7" t="s">
        <v>50</v>
      </c>
      <c r="F1751" s="10" t="b">
        <f aca="false">FALSE()</f>
        <v>0</v>
      </c>
      <c r="G1751" s="7" t="s">
        <v>199</v>
      </c>
      <c r="H1751" s="7" t="s">
        <v>230</v>
      </c>
      <c r="I1751" s="7" t="n">
        <v>2</v>
      </c>
      <c r="J1751" s="7" t="s">
        <v>107</v>
      </c>
      <c r="K1751" s="7" t="s">
        <v>107</v>
      </c>
      <c r="L1751" s="7"/>
      <c r="M1751" s="10" t="b">
        <f aca="false">FALSE()</f>
        <v>0</v>
      </c>
      <c r="N1751" s="7" t="s">
        <v>399</v>
      </c>
      <c r="O1751" s="7" t="n">
        <v>-32.278467</v>
      </c>
      <c r="P1751" s="7" t="n">
        <v>149.744306</v>
      </c>
    </row>
    <row r="1752" customFormat="false" ht="15" hidden="false" customHeight="false" outlineLevel="0" collapsed="false">
      <c r="A1752" s="7" t="n">
        <v>1751</v>
      </c>
      <c r="B1752" s="7" t="s">
        <v>2383</v>
      </c>
      <c r="C1752" s="7" t="s">
        <v>2384</v>
      </c>
      <c r="D1752" s="7" t="n">
        <v>2578</v>
      </c>
      <c r="E1752" s="7" t="s">
        <v>50</v>
      </c>
      <c r="F1752" s="10" t="b">
        <f aca="false">FALSE()</f>
        <v>0</v>
      </c>
      <c r="G1752" s="7" t="s">
        <v>161</v>
      </c>
      <c r="H1752" s="7" t="s">
        <v>260</v>
      </c>
      <c r="I1752" s="7" t="n">
        <v>4</v>
      </c>
      <c r="J1752" s="7" t="s">
        <v>107</v>
      </c>
      <c r="K1752" s="7" t="s">
        <v>107</v>
      </c>
      <c r="L1752" s="7"/>
      <c r="M1752" s="10" t="b">
        <f aca="false">FALSE()</f>
        <v>0</v>
      </c>
      <c r="N1752" s="7" t="s">
        <v>399</v>
      </c>
      <c r="O1752" s="7" t="n">
        <v>-34.657549</v>
      </c>
      <c r="P1752" s="7" t="n">
        <v>150.302941</v>
      </c>
    </row>
    <row r="1753" customFormat="false" ht="15" hidden="false" customHeight="false" outlineLevel="0" collapsed="false">
      <c r="A1753" s="7" t="n">
        <v>1752</v>
      </c>
      <c r="B1753" s="7"/>
      <c r="C1753" s="7" t="s">
        <v>2385</v>
      </c>
      <c r="D1753" s="7" t="n">
        <v>2034</v>
      </c>
      <c r="E1753" s="7" t="s">
        <v>50</v>
      </c>
      <c r="F1753" s="10" t="b">
        <f aca="false">FALSE()</f>
        <v>0</v>
      </c>
      <c r="G1753" s="7" t="s">
        <v>355</v>
      </c>
      <c r="H1753" s="7" t="s">
        <v>1371</v>
      </c>
      <c r="I1753" s="7" t="n">
        <v>1</v>
      </c>
      <c r="J1753" s="7" t="s">
        <v>107</v>
      </c>
      <c r="K1753" s="7" t="s">
        <v>108</v>
      </c>
      <c r="L1753" s="7" t="n">
        <v>22</v>
      </c>
      <c r="M1753" s="10" t="b">
        <f aca="false">FALSE()</f>
        <v>0</v>
      </c>
      <c r="N1753" s="7" t="s">
        <v>557</v>
      </c>
      <c r="O1753" s="7" t="n">
        <v>-33.924867</v>
      </c>
      <c r="P1753" s="7" t="n">
        <v>151.255378</v>
      </c>
    </row>
    <row r="1754" customFormat="false" ht="15" hidden="false" customHeight="false" outlineLevel="0" collapsed="false">
      <c r="A1754" s="7" t="n">
        <v>1753</v>
      </c>
      <c r="B1754" s="7"/>
      <c r="C1754" s="7" t="s">
        <v>2386</v>
      </c>
      <c r="D1754" s="7" t="n">
        <v>2021</v>
      </c>
      <c r="E1754" s="7" t="s">
        <v>50</v>
      </c>
      <c r="F1754" s="10" t="b">
        <f aca="false">FALSE()</f>
        <v>0</v>
      </c>
      <c r="G1754" s="7" t="s">
        <v>272</v>
      </c>
      <c r="H1754" s="7" t="s">
        <v>1371</v>
      </c>
      <c r="I1754" s="7" t="n">
        <v>1</v>
      </c>
      <c r="J1754" s="7" t="s">
        <v>107</v>
      </c>
      <c r="K1754" s="7" t="s">
        <v>108</v>
      </c>
      <c r="L1754" s="7" t="n">
        <v>22</v>
      </c>
      <c r="M1754" s="10" t="b">
        <f aca="false">FALSE()</f>
        <v>0</v>
      </c>
      <c r="N1754" s="7" t="s">
        <v>557</v>
      </c>
      <c r="O1754" s="7" t="n">
        <v>-33.880735</v>
      </c>
      <c r="P1754" s="7" t="n">
        <v>151.232653</v>
      </c>
    </row>
    <row r="1755" customFormat="false" ht="15" hidden="false" customHeight="false" outlineLevel="0" collapsed="false">
      <c r="A1755" s="7" t="n">
        <v>1754</v>
      </c>
      <c r="B1755" s="7" t="s">
        <v>2387</v>
      </c>
      <c r="C1755" s="7" t="s">
        <v>2388</v>
      </c>
      <c r="D1755" s="7" t="n">
        <v>2320</v>
      </c>
      <c r="E1755" s="7" t="s">
        <v>50</v>
      </c>
      <c r="F1755" s="10" t="b">
        <f aca="false">FALSE()</f>
        <v>0</v>
      </c>
      <c r="G1755" s="7" t="s">
        <v>336</v>
      </c>
      <c r="H1755" s="7" t="s">
        <v>260</v>
      </c>
      <c r="I1755" s="7" t="n">
        <v>2</v>
      </c>
      <c r="J1755" s="7" t="s">
        <v>107</v>
      </c>
      <c r="K1755" s="7" t="s">
        <v>107</v>
      </c>
      <c r="L1755" s="7"/>
      <c r="M1755" s="10" t="b">
        <f aca="false">FALSE()</f>
        <v>0</v>
      </c>
      <c r="N1755" s="7" t="s">
        <v>399</v>
      </c>
      <c r="O1755" s="7" t="n">
        <v>-32.73515</v>
      </c>
      <c r="P1755" s="7" t="n">
        <v>151.259784</v>
      </c>
    </row>
    <row r="1756" customFormat="false" ht="15" hidden="false" customHeight="false" outlineLevel="0" collapsed="false">
      <c r="A1756" s="7" t="n">
        <v>1755</v>
      </c>
      <c r="B1756" s="7" t="s">
        <v>2389</v>
      </c>
      <c r="C1756" s="7" t="s">
        <v>2390</v>
      </c>
      <c r="D1756" s="7" t="n">
        <v>2486</v>
      </c>
      <c r="E1756" s="7" t="s">
        <v>50</v>
      </c>
      <c r="F1756" s="10" t="b">
        <f aca="false">FALSE()</f>
        <v>0</v>
      </c>
      <c r="G1756" s="7" t="s">
        <v>164</v>
      </c>
      <c r="H1756" s="7" t="s">
        <v>237</v>
      </c>
      <c r="I1756" s="7" t="n">
        <v>2</v>
      </c>
      <c r="J1756" s="7" t="s">
        <v>107</v>
      </c>
      <c r="K1756" s="7" t="s">
        <v>107</v>
      </c>
      <c r="L1756" s="7"/>
      <c r="M1756" s="10" t="b">
        <f aca="false">FALSE()</f>
        <v>0</v>
      </c>
      <c r="N1756" s="7" t="s">
        <v>399</v>
      </c>
      <c r="O1756" s="7" t="n">
        <v>-28.201621</v>
      </c>
      <c r="P1756" s="7" t="n">
        <v>153.522817</v>
      </c>
    </row>
    <row r="1757" customFormat="false" ht="15" hidden="false" customHeight="false" outlineLevel="0" collapsed="false">
      <c r="A1757" s="7" t="n">
        <v>1756</v>
      </c>
      <c r="B1757" s="7" t="s">
        <v>2391</v>
      </c>
      <c r="C1757" s="7" t="s">
        <v>2392</v>
      </c>
      <c r="D1757" s="7" t="n">
        <v>2480</v>
      </c>
      <c r="E1757" s="7" t="s">
        <v>50</v>
      </c>
      <c r="F1757" s="10" t="b">
        <f aca="false">FALSE()</f>
        <v>0</v>
      </c>
      <c r="G1757" s="7" t="s">
        <v>655</v>
      </c>
      <c r="H1757" s="7" t="s">
        <v>252</v>
      </c>
      <c r="I1757" s="7" t="n">
        <v>4</v>
      </c>
      <c r="J1757" s="7" t="s">
        <v>107</v>
      </c>
      <c r="K1757" s="7" t="s">
        <v>107</v>
      </c>
      <c r="L1757" s="7"/>
      <c r="M1757" s="10" t="b">
        <f aca="false">FALSE()</f>
        <v>0</v>
      </c>
      <c r="N1757" s="7" t="s">
        <v>374</v>
      </c>
      <c r="O1757" s="7" t="n">
        <v>-28.808421</v>
      </c>
      <c r="P1757" s="7" t="n">
        <v>153.279344</v>
      </c>
    </row>
    <row r="1758" customFormat="false" ht="15" hidden="false" customHeight="false" outlineLevel="0" collapsed="false">
      <c r="A1758" s="7" t="n">
        <v>1757</v>
      </c>
      <c r="B1758" s="7"/>
      <c r="C1758" s="7" t="s">
        <v>2393</v>
      </c>
      <c r="D1758" s="7" t="n">
        <v>2041</v>
      </c>
      <c r="E1758" s="7" t="s">
        <v>50</v>
      </c>
      <c r="F1758" s="10" t="b">
        <f aca="false">FALSE()</f>
        <v>0</v>
      </c>
      <c r="G1758" s="7" t="s">
        <v>410</v>
      </c>
      <c r="H1758" s="7" t="s">
        <v>1371</v>
      </c>
      <c r="I1758" s="7" t="n">
        <v>1</v>
      </c>
      <c r="J1758" s="7" t="s">
        <v>107</v>
      </c>
      <c r="K1758" s="7" t="s">
        <v>900</v>
      </c>
      <c r="L1758" s="7" t="n">
        <v>7</v>
      </c>
      <c r="M1758" s="10" t="b">
        <f aca="false">FALSE()</f>
        <v>0</v>
      </c>
      <c r="N1758" s="7" t="s">
        <v>557</v>
      </c>
      <c r="O1758" s="7" t="n">
        <v>-33.853145</v>
      </c>
      <c r="P1758" s="7" t="n">
        <v>151.180718</v>
      </c>
    </row>
    <row r="1759" customFormat="false" ht="15" hidden="false" customHeight="false" outlineLevel="0" collapsed="false">
      <c r="A1759" s="7" t="n">
        <v>1758</v>
      </c>
      <c r="B1759" s="7" t="s">
        <v>2394</v>
      </c>
      <c r="C1759" s="7" t="s">
        <v>2395</v>
      </c>
      <c r="D1759" s="7" t="n">
        <v>2540</v>
      </c>
      <c r="E1759" s="7" t="s">
        <v>50</v>
      </c>
      <c r="F1759" s="10" t="b">
        <f aca="false">FALSE()</f>
        <v>0</v>
      </c>
      <c r="G1759" s="7" t="s">
        <v>92</v>
      </c>
      <c r="H1759" s="7" t="s">
        <v>260</v>
      </c>
      <c r="I1759" s="7" t="n">
        <v>4</v>
      </c>
      <c r="J1759" s="7" t="s">
        <v>107</v>
      </c>
      <c r="K1759" s="7" t="s">
        <v>107</v>
      </c>
      <c r="L1759" s="7"/>
      <c r="M1759" s="10" t="b">
        <f aca="false">FALSE()</f>
        <v>0</v>
      </c>
      <c r="N1759" s="7" t="s">
        <v>399</v>
      </c>
      <c r="O1759" s="7" t="n">
        <v>-35.102608</v>
      </c>
      <c r="P1759" s="7" t="n">
        <v>150.650295</v>
      </c>
    </row>
    <row r="1760" customFormat="false" ht="15" hidden="false" customHeight="false" outlineLevel="0" collapsed="false">
      <c r="A1760" s="7" t="n">
        <v>1759</v>
      </c>
      <c r="B1760" s="7" t="s">
        <v>227</v>
      </c>
      <c r="C1760" s="7" t="s">
        <v>2396</v>
      </c>
      <c r="D1760" s="7" t="n">
        <v>2820</v>
      </c>
      <c r="E1760" s="7" t="s">
        <v>50</v>
      </c>
      <c r="F1760" s="10" t="b">
        <f aca="false">FALSE()</f>
        <v>0</v>
      </c>
      <c r="G1760" s="7" t="s">
        <v>227</v>
      </c>
      <c r="H1760" s="7" t="s">
        <v>1748</v>
      </c>
      <c r="I1760" s="7" t="n">
        <v>2</v>
      </c>
      <c r="J1760" s="7" t="s">
        <v>107</v>
      </c>
      <c r="K1760" s="7" t="s">
        <v>107</v>
      </c>
      <c r="L1760" s="7"/>
      <c r="M1760" s="10" t="b">
        <f aca="false">FALSE()</f>
        <v>0</v>
      </c>
      <c r="N1760" s="7" t="s">
        <v>374</v>
      </c>
      <c r="O1760" s="7" t="n">
        <v>-32.554919</v>
      </c>
      <c r="P1760" s="7" t="n">
        <v>148.942181</v>
      </c>
    </row>
    <row r="1761" customFormat="false" ht="15" hidden="false" customHeight="false" outlineLevel="0" collapsed="false">
      <c r="A1761" s="7" t="n">
        <v>1760</v>
      </c>
      <c r="B1761" s="7" t="s">
        <v>2397</v>
      </c>
      <c r="C1761" s="7" t="s">
        <v>2398</v>
      </c>
      <c r="D1761" s="7" t="n">
        <v>2250</v>
      </c>
      <c r="E1761" s="7" t="s">
        <v>50</v>
      </c>
      <c r="F1761" s="10" t="b">
        <f aca="false">FALSE()</f>
        <v>0</v>
      </c>
      <c r="G1761" s="7" t="s">
        <v>276</v>
      </c>
      <c r="H1761" s="7" t="s">
        <v>1889</v>
      </c>
      <c r="I1761" s="7" t="n">
        <v>3</v>
      </c>
      <c r="J1761" s="7" t="s">
        <v>107</v>
      </c>
      <c r="K1761" s="7" t="s">
        <v>107</v>
      </c>
      <c r="L1761" s="7"/>
      <c r="M1761" s="10" t="b">
        <f aca="false">FALSE()</f>
        <v>0</v>
      </c>
      <c r="N1761" s="7" t="s">
        <v>399</v>
      </c>
      <c r="O1761" s="7" t="n">
        <v>-33.229984</v>
      </c>
      <c r="P1761" s="7" t="n">
        <v>151.217985</v>
      </c>
    </row>
    <row r="1762" customFormat="false" ht="15" hidden="false" customHeight="false" outlineLevel="0" collapsed="false">
      <c r="A1762" s="7" t="n">
        <v>1761</v>
      </c>
      <c r="B1762" s="7" t="s">
        <v>2399</v>
      </c>
      <c r="C1762" s="7" t="s">
        <v>2400</v>
      </c>
      <c r="D1762" s="7" t="n">
        <v>2323</v>
      </c>
      <c r="E1762" s="7" t="s">
        <v>50</v>
      </c>
      <c r="F1762" s="10" t="b">
        <f aca="false">FALSE()</f>
        <v>0</v>
      </c>
      <c r="G1762" s="7" t="s">
        <v>283</v>
      </c>
      <c r="H1762" s="7" t="s">
        <v>260</v>
      </c>
      <c r="I1762" s="7" t="n">
        <v>4</v>
      </c>
      <c r="J1762" s="7" t="s">
        <v>107</v>
      </c>
      <c r="K1762" s="7" t="s">
        <v>107</v>
      </c>
      <c r="L1762" s="7"/>
      <c r="M1762" s="10" t="b">
        <f aca="false">FALSE()</f>
        <v>0</v>
      </c>
      <c r="N1762" s="7" t="s">
        <v>374</v>
      </c>
      <c r="O1762" s="7" t="n">
        <v>-32.748883</v>
      </c>
      <c r="P1762" s="7" t="n">
        <v>151.581178</v>
      </c>
    </row>
    <row r="1763" customFormat="false" ht="15" hidden="false" customHeight="false" outlineLevel="0" collapsed="false">
      <c r="A1763" s="7" t="n">
        <v>1762</v>
      </c>
      <c r="B1763" s="7"/>
      <c r="C1763" s="7" t="s">
        <v>2401</v>
      </c>
      <c r="D1763" s="7" t="n">
        <v>2015</v>
      </c>
      <c r="E1763" s="7" t="s">
        <v>50</v>
      </c>
      <c r="F1763" s="10" t="b">
        <f aca="false">FALSE()</f>
        <v>0</v>
      </c>
      <c r="G1763" s="7" t="s">
        <v>182</v>
      </c>
      <c r="H1763" s="7" t="s">
        <v>758</v>
      </c>
      <c r="I1763" s="7" t="n">
        <v>4</v>
      </c>
      <c r="J1763" s="7" t="s">
        <v>107</v>
      </c>
      <c r="K1763" s="7" t="s">
        <v>108</v>
      </c>
      <c r="L1763" s="7" t="n">
        <v>22</v>
      </c>
      <c r="M1763" s="10" t="b">
        <f aca="false">FALSE()</f>
        <v>0</v>
      </c>
      <c r="N1763" s="7" t="s">
        <v>109</v>
      </c>
      <c r="O1763" s="7" t="n">
        <v>-33.920945</v>
      </c>
      <c r="P1763" s="7" t="n">
        <v>151.194485</v>
      </c>
    </row>
    <row r="1764" customFormat="false" ht="15" hidden="false" customHeight="false" outlineLevel="0" collapsed="false">
      <c r="A1764" s="7" t="n">
        <v>1763</v>
      </c>
      <c r="B1764" s="7" t="s">
        <v>1939</v>
      </c>
      <c r="C1764" s="7" t="s">
        <v>2402</v>
      </c>
      <c r="D1764" s="7" t="n">
        <v>2423</v>
      </c>
      <c r="E1764" s="7" t="s">
        <v>50</v>
      </c>
      <c r="F1764" s="10" t="b">
        <f aca="false">FALSE()</f>
        <v>0</v>
      </c>
      <c r="G1764" s="7" t="s">
        <v>128</v>
      </c>
      <c r="H1764" s="7" t="s">
        <v>237</v>
      </c>
      <c r="I1764" s="7" t="n">
        <v>8</v>
      </c>
      <c r="J1764" s="7" t="s">
        <v>107</v>
      </c>
      <c r="K1764" s="7" t="s">
        <v>107</v>
      </c>
      <c r="L1764" s="7"/>
      <c r="M1764" s="10" t="b">
        <f aca="false">FALSE()</f>
        <v>0</v>
      </c>
      <c r="N1764" s="7" t="s">
        <v>374</v>
      </c>
      <c r="O1764" s="7" t="n">
        <v>-32.440015</v>
      </c>
      <c r="P1764" s="7" t="n">
        <v>152.232825</v>
      </c>
    </row>
    <row r="1765" customFormat="false" ht="15" hidden="false" customHeight="false" outlineLevel="0" collapsed="false">
      <c r="A1765" s="7" t="n">
        <v>1764</v>
      </c>
      <c r="B1765" s="7"/>
      <c r="C1765" s="7" t="s">
        <v>2403</v>
      </c>
      <c r="D1765" s="7" t="n">
        <v>2137</v>
      </c>
      <c r="E1765" s="7" t="s">
        <v>50</v>
      </c>
      <c r="F1765" s="10" t="b">
        <f aca="false">FALSE()</f>
        <v>0</v>
      </c>
      <c r="G1765" s="7" t="s">
        <v>2404</v>
      </c>
      <c r="H1765" s="7" t="s">
        <v>1069</v>
      </c>
      <c r="I1765" s="7" t="n">
        <v>4</v>
      </c>
      <c r="J1765" s="7" t="s">
        <v>71</v>
      </c>
      <c r="K1765" s="7" t="s">
        <v>83</v>
      </c>
      <c r="L1765" s="7" t="n">
        <v>75</v>
      </c>
      <c r="M1765" s="10" t="b">
        <f aca="false">FALSE()</f>
        <v>0</v>
      </c>
      <c r="N1765" s="7" t="s">
        <v>557</v>
      </c>
      <c r="O1765" s="7" t="n">
        <v>-33.853834</v>
      </c>
      <c r="P1765" s="7" t="n">
        <v>151.105406</v>
      </c>
    </row>
    <row r="1766" customFormat="false" ht="15" hidden="false" customHeight="false" outlineLevel="0" collapsed="false">
      <c r="A1766" s="7" t="n">
        <v>1765</v>
      </c>
      <c r="B1766" s="7" t="s">
        <v>1622</v>
      </c>
      <c r="C1766" s="7" t="s">
        <v>2405</v>
      </c>
      <c r="D1766" s="7" t="n">
        <v>2707</v>
      </c>
      <c r="E1766" s="7" t="s">
        <v>50</v>
      </c>
      <c r="F1766" s="10" t="b">
        <f aca="false">FALSE()</f>
        <v>0</v>
      </c>
      <c r="G1766" s="7" t="s">
        <v>1622</v>
      </c>
      <c r="H1766" s="7" t="s">
        <v>237</v>
      </c>
      <c r="I1766" s="7" t="n">
        <v>2</v>
      </c>
      <c r="J1766" s="7" t="s">
        <v>107</v>
      </c>
      <c r="K1766" s="7" t="s">
        <v>107</v>
      </c>
      <c r="L1766" s="7"/>
      <c r="M1766" s="10" t="b">
        <f aca="false">FALSE()</f>
        <v>0</v>
      </c>
      <c r="N1766" s="7" t="s">
        <v>374</v>
      </c>
      <c r="O1766" s="7" t="n">
        <v>-34.806479</v>
      </c>
      <c r="P1766" s="7" t="n">
        <v>145.880176</v>
      </c>
    </row>
    <row r="1767" customFormat="false" ht="15" hidden="false" customHeight="false" outlineLevel="0" collapsed="false">
      <c r="A1767" s="7" t="n">
        <v>1766</v>
      </c>
      <c r="B1767" s="7" t="s">
        <v>75</v>
      </c>
      <c r="C1767" s="7" t="s">
        <v>2406</v>
      </c>
      <c r="D1767" s="7" t="n">
        <v>2795</v>
      </c>
      <c r="E1767" s="7" t="s">
        <v>50</v>
      </c>
      <c r="F1767" s="10" t="b">
        <f aca="false">FALSE()</f>
        <v>0</v>
      </c>
      <c r="G1767" s="7" t="s">
        <v>75</v>
      </c>
      <c r="H1767" s="7" t="s">
        <v>260</v>
      </c>
      <c r="I1767" s="7" t="n">
        <v>2</v>
      </c>
      <c r="J1767" s="7" t="s">
        <v>107</v>
      </c>
      <c r="K1767" s="7" t="s">
        <v>107</v>
      </c>
      <c r="L1767" s="7"/>
      <c r="M1767" s="10" t="b">
        <f aca="false">FALSE()</f>
        <v>0</v>
      </c>
      <c r="N1767" s="7" t="s">
        <v>374</v>
      </c>
      <c r="O1767" s="7" t="n">
        <v>-33.689765</v>
      </c>
      <c r="P1767" s="7" t="n">
        <v>149.566386</v>
      </c>
    </row>
    <row r="1768" customFormat="false" ht="15" hidden="false" customHeight="false" outlineLevel="0" collapsed="false">
      <c r="A1768" s="7" t="n">
        <v>1767</v>
      </c>
      <c r="B1768" s="7" t="s">
        <v>2407</v>
      </c>
      <c r="C1768" s="7" t="s">
        <v>2408</v>
      </c>
      <c r="D1768" s="7" t="n">
        <v>2873</v>
      </c>
      <c r="E1768" s="7" t="s">
        <v>50</v>
      </c>
      <c r="F1768" s="10" t="b">
        <f aca="false">FALSE()</f>
        <v>0</v>
      </c>
      <c r="G1768" s="7" t="s">
        <v>896</v>
      </c>
      <c r="H1768" s="7" t="s">
        <v>260</v>
      </c>
      <c r="I1768" s="7" t="n">
        <v>2</v>
      </c>
      <c r="J1768" s="7" t="s">
        <v>107</v>
      </c>
      <c r="K1768" s="7" t="s">
        <v>107</v>
      </c>
      <c r="L1768" s="7"/>
      <c r="M1768" s="10" t="b">
        <f aca="false">FALSE()</f>
        <v>0</v>
      </c>
      <c r="N1768" s="7" t="s">
        <v>399</v>
      </c>
      <c r="O1768" s="7" t="n">
        <v>-32.249495</v>
      </c>
      <c r="P1768" s="7" t="n">
        <v>147.354086</v>
      </c>
    </row>
    <row r="1769" customFormat="false" ht="15" hidden="false" customHeight="false" outlineLevel="0" collapsed="false">
      <c r="A1769" s="7" t="n">
        <v>1768</v>
      </c>
      <c r="B1769" s="7" t="s">
        <v>2409</v>
      </c>
      <c r="C1769" s="7" t="s">
        <v>2410</v>
      </c>
      <c r="D1769" s="7" t="n">
        <v>3644</v>
      </c>
      <c r="E1769" s="7" t="s">
        <v>50</v>
      </c>
      <c r="F1769" s="10" t="b">
        <f aca="false">FALSE()</f>
        <v>0</v>
      </c>
      <c r="G1769" s="7" t="s">
        <v>314</v>
      </c>
      <c r="H1769" s="7" t="s">
        <v>398</v>
      </c>
      <c r="I1769" s="7" t="n">
        <v>2</v>
      </c>
      <c r="J1769" s="7" t="s">
        <v>107</v>
      </c>
      <c r="K1769" s="7" t="s">
        <v>107</v>
      </c>
      <c r="L1769" s="7"/>
      <c r="M1769" s="10" t="b">
        <f aca="false">FALSE()</f>
        <v>0</v>
      </c>
      <c r="N1769" s="7" t="s">
        <v>374</v>
      </c>
      <c r="O1769" s="7" t="n">
        <v>-35.906687</v>
      </c>
      <c r="P1769" s="7" t="n">
        <v>145.688043</v>
      </c>
    </row>
    <row r="1770" customFormat="false" ht="15" hidden="false" customHeight="false" outlineLevel="0" collapsed="false">
      <c r="A1770" s="7" t="n">
        <v>1769</v>
      </c>
      <c r="B1770" s="7" t="s">
        <v>227</v>
      </c>
      <c r="C1770" s="7" t="s">
        <v>2411</v>
      </c>
      <c r="D1770" s="7" t="n">
        <v>2820</v>
      </c>
      <c r="E1770" s="7" t="s">
        <v>50</v>
      </c>
      <c r="F1770" s="10" t="b">
        <f aca="false">FALSE()</f>
        <v>0</v>
      </c>
      <c r="G1770" s="7" t="s">
        <v>227</v>
      </c>
      <c r="H1770" s="7" t="s">
        <v>1748</v>
      </c>
      <c r="I1770" s="7" t="n">
        <v>2</v>
      </c>
      <c r="J1770" s="7" t="s">
        <v>107</v>
      </c>
      <c r="K1770" s="7" t="s">
        <v>107</v>
      </c>
      <c r="L1770" s="7"/>
      <c r="M1770" s="10" t="b">
        <f aca="false">FALSE()</f>
        <v>0</v>
      </c>
      <c r="N1770" s="7" t="s">
        <v>374</v>
      </c>
      <c r="O1770" s="7" t="n">
        <v>-32.620241</v>
      </c>
      <c r="P1770" s="7" t="n">
        <v>148.94704</v>
      </c>
    </row>
    <row r="1771" customFormat="false" ht="15" hidden="false" customHeight="false" outlineLevel="0" collapsed="false">
      <c r="A1771" s="7" t="n">
        <v>1770</v>
      </c>
      <c r="B1771" s="7" t="s">
        <v>801</v>
      </c>
      <c r="C1771" s="7" t="s">
        <v>2412</v>
      </c>
      <c r="D1771" s="7" t="n">
        <v>2469</v>
      </c>
      <c r="E1771" s="7" t="s">
        <v>50</v>
      </c>
      <c r="F1771" s="10" t="b">
        <f aca="false">FALSE()</f>
        <v>0</v>
      </c>
      <c r="G1771" s="7" t="s">
        <v>801</v>
      </c>
      <c r="H1771" s="7" t="s">
        <v>260</v>
      </c>
      <c r="I1771" s="7" t="n">
        <v>2</v>
      </c>
      <c r="J1771" s="7" t="s">
        <v>107</v>
      </c>
      <c r="K1771" s="7" t="s">
        <v>107</v>
      </c>
      <c r="L1771" s="7"/>
      <c r="M1771" s="10" t="b">
        <f aca="false">FALSE()</f>
        <v>0</v>
      </c>
      <c r="N1771" s="7" t="s">
        <v>374</v>
      </c>
      <c r="O1771" s="7" t="n">
        <v>-28.889074</v>
      </c>
      <c r="P1771" s="7" t="n">
        <v>152.567742</v>
      </c>
    </row>
    <row r="1772" customFormat="false" ht="15" hidden="false" customHeight="false" outlineLevel="0" collapsed="false">
      <c r="A1772" s="7" t="n">
        <v>1771</v>
      </c>
      <c r="B1772" s="7"/>
      <c r="C1772" s="7" t="s">
        <v>2413</v>
      </c>
      <c r="D1772" s="7" t="n">
        <v>2166</v>
      </c>
      <c r="E1772" s="7" t="s">
        <v>50</v>
      </c>
      <c r="F1772" s="10" t="b">
        <f aca="false">FALSE()</f>
        <v>0</v>
      </c>
      <c r="G1772" s="7" t="s">
        <v>370</v>
      </c>
      <c r="H1772" s="7" t="s">
        <v>233</v>
      </c>
      <c r="I1772" s="7" t="n">
        <v>4</v>
      </c>
      <c r="J1772" s="7" t="s">
        <v>71</v>
      </c>
      <c r="K1772" s="7" t="s">
        <v>117</v>
      </c>
      <c r="L1772" s="7" t="n">
        <v>175</v>
      </c>
      <c r="M1772" s="10" t="b">
        <f aca="false">FALSE()</f>
        <v>0</v>
      </c>
      <c r="N1772" s="7" t="s">
        <v>118</v>
      </c>
      <c r="O1772" s="7" t="n">
        <v>-33.899373</v>
      </c>
      <c r="P1772" s="7" t="n">
        <v>150.919108</v>
      </c>
    </row>
    <row r="1773" customFormat="false" ht="15" hidden="false" customHeight="false" outlineLevel="0" collapsed="false">
      <c r="A1773" s="7" t="n">
        <v>1772</v>
      </c>
      <c r="B1773" s="7" t="s">
        <v>2414</v>
      </c>
      <c r="C1773" s="7" t="s">
        <v>2415</v>
      </c>
      <c r="D1773" s="7" t="n">
        <v>2652</v>
      </c>
      <c r="E1773" s="7" t="s">
        <v>50</v>
      </c>
      <c r="F1773" s="10" t="b">
        <f aca="false">FALSE()</f>
        <v>0</v>
      </c>
      <c r="G1773" s="7" t="s">
        <v>614</v>
      </c>
      <c r="H1773" s="7" t="s">
        <v>260</v>
      </c>
      <c r="I1773" s="7" t="n">
        <v>2</v>
      </c>
      <c r="J1773" s="7" t="s">
        <v>107</v>
      </c>
      <c r="K1773" s="7" t="s">
        <v>107</v>
      </c>
      <c r="L1773" s="7"/>
      <c r="M1773" s="10" t="b">
        <f aca="false">FALSE()</f>
        <v>0</v>
      </c>
      <c r="N1773" s="7" t="s">
        <v>399</v>
      </c>
      <c r="O1773" s="7" t="n">
        <v>-33.980344</v>
      </c>
      <c r="P1773" s="7" t="n">
        <v>145.707344</v>
      </c>
    </row>
    <row r="1774" customFormat="false" ht="15" hidden="false" customHeight="false" outlineLevel="0" collapsed="false">
      <c r="A1774" s="7" t="n">
        <v>1773</v>
      </c>
      <c r="B1774" s="7"/>
      <c r="C1774" s="7" t="s">
        <v>2416</v>
      </c>
      <c r="D1774" s="7" t="n">
        <v>2324</v>
      </c>
      <c r="E1774" s="7" t="s">
        <v>50</v>
      </c>
      <c r="F1774" s="10" t="b">
        <f aca="false">FALSE()</f>
        <v>0</v>
      </c>
      <c r="G1774" s="7" t="s">
        <v>309</v>
      </c>
      <c r="H1774" s="7" t="s">
        <v>239</v>
      </c>
      <c r="I1774" s="7" t="n">
        <v>12</v>
      </c>
      <c r="J1774" s="7" t="s">
        <v>71</v>
      </c>
      <c r="K1774" s="7" t="s">
        <v>117</v>
      </c>
      <c r="L1774" s="7" t="n">
        <v>175</v>
      </c>
      <c r="M1774" s="10" t="b">
        <f aca="false">FALSE()</f>
        <v>0</v>
      </c>
      <c r="N1774" s="7" t="s">
        <v>118</v>
      </c>
      <c r="O1774" s="7" t="n">
        <v>-32.764542</v>
      </c>
      <c r="P1774" s="7" t="n">
        <v>151.742523</v>
      </c>
    </row>
    <row r="1775" customFormat="false" ht="15" hidden="false" customHeight="false" outlineLevel="0" collapsed="false">
      <c r="A1775" s="7" t="n">
        <v>1774</v>
      </c>
      <c r="B1775" s="7" t="s">
        <v>262</v>
      </c>
      <c r="C1775" s="7" t="s">
        <v>2417</v>
      </c>
      <c r="D1775" s="7" t="n">
        <v>2710</v>
      </c>
      <c r="E1775" s="7" t="s">
        <v>50</v>
      </c>
      <c r="F1775" s="10" t="b">
        <f aca="false">FALSE()</f>
        <v>0</v>
      </c>
      <c r="G1775" s="7" t="s">
        <v>262</v>
      </c>
      <c r="H1775" s="7" t="s">
        <v>260</v>
      </c>
      <c r="I1775" s="7" t="n">
        <v>4</v>
      </c>
      <c r="J1775" s="7" t="s">
        <v>107</v>
      </c>
      <c r="K1775" s="7" t="s">
        <v>107</v>
      </c>
      <c r="L1775" s="7"/>
      <c r="M1775" s="10" t="b">
        <f aca="false">FALSE()</f>
        <v>0</v>
      </c>
      <c r="N1775" s="7" t="s">
        <v>374</v>
      </c>
      <c r="O1775" s="7" t="n">
        <v>-35.526843</v>
      </c>
      <c r="P1775" s="7" t="n">
        <v>144.960996</v>
      </c>
    </row>
    <row r="1776" customFormat="false" ht="15" hidden="false" customHeight="false" outlineLevel="0" collapsed="false">
      <c r="A1776" s="7" t="n">
        <v>1775</v>
      </c>
      <c r="B1776" s="7" t="s">
        <v>2418</v>
      </c>
      <c r="C1776" s="7" t="s">
        <v>2419</v>
      </c>
      <c r="D1776" s="7" t="n">
        <v>2588</v>
      </c>
      <c r="E1776" s="7" t="s">
        <v>50</v>
      </c>
      <c r="F1776" s="10" t="b">
        <f aca="false">FALSE()</f>
        <v>0</v>
      </c>
      <c r="G1776" s="7" t="s">
        <v>454</v>
      </c>
      <c r="H1776" s="7" t="s">
        <v>260</v>
      </c>
      <c r="I1776" s="7" t="n">
        <v>1</v>
      </c>
      <c r="J1776" s="7" t="s">
        <v>107</v>
      </c>
      <c r="K1776" s="7" t="s">
        <v>107</v>
      </c>
      <c r="L1776" s="7"/>
      <c r="M1776" s="10" t="b">
        <f aca="false">FALSE()</f>
        <v>0</v>
      </c>
      <c r="N1776" s="7" t="s">
        <v>399</v>
      </c>
      <c r="O1776" s="7" t="n">
        <v>-34.561555</v>
      </c>
      <c r="P1776" s="7" t="n">
        <v>148.171015</v>
      </c>
    </row>
    <row r="1777" customFormat="false" ht="15" hidden="false" customHeight="false" outlineLevel="0" collapsed="false">
      <c r="A1777" s="7" t="n">
        <v>1776</v>
      </c>
      <c r="B1777" s="7" t="s">
        <v>316</v>
      </c>
      <c r="C1777" s="7" t="s">
        <v>2420</v>
      </c>
      <c r="D1777" s="7" t="n">
        <v>2529</v>
      </c>
      <c r="E1777" s="7" t="s">
        <v>50</v>
      </c>
      <c r="F1777" s="10" t="b">
        <f aca="false">FALSE()</f>
        <v>0</v>
      </c>
      <c r="G1777" s="7" t="s">
        <v>316</v>
      </c>
      <c r="H1777" s="7" t="s">
        <v>237</v>
      </c>
      <c r="I1777" s="7" t="n">
        <v>4</v>
      </c>
      <c r="J1777" s="7" t="s">
        <v>107</v>
      </c>
      <c r="K1777" s="7" t="s">
        <v>107</v>
      </c>
      <c r="L1777" s="7"/>
      <c r="M1777" s="10" t="b">
        <f aca="false">FALSE()</f>
        <v>0</v>
      </c>
      <c r="N1777" s="7" t="s">
        <v>374</v>
      </c>
      <c r="O1777" s="7" t="n">
        <v>-34.565502</v>
      </c>
      <c r="P1777" s="7" t="n">
        <v>150.833452</v>
      </c>
    </row>
    <row r="1778" customFormat="false" ht="15" hidden="false" customHeight="false" outlineLevel="0" collapsed="false">
      <c r="A1778" s="7" t="n">
        <v>1777</v>
      </c>
      <c r="B1778" s="7" t="s">
        <v>2421</v>
      </c>
      <c r="C1778" s="7" t="s">
        <v>2422</v>
      </c>
      <c r="D1778" s="7" t="n">
        <v>2342</v>
      </c>
      <c r="E1778" s="7" t="s">
        <v>50</v>
      </c>
      <c r="F1778" s="10" t="b">
        <f aca="false">FALSE()</f>
        <v>0</v>
      </c>
      <c r="G1778" s="7" t="s">
        <v>545</v>
      </c>
      <c r="H1778" s="7" t="s">
        <v>260</v>
      </c>
      <c r="I1778" s="7" t="n">
        <v>2</v>
      </c>
      <c r="J1778" s="7" t="s">
        <v>107</v>
      </c>
      <c r="K1778" s="7" t="s">
        <v>107</v>
      </c>
      <c r="L1778" s="7"/>
      <c r="M1778" s="10" t="b">
        <f aca="false">FALSE()</f>
        <v>0</v>
      </c>
      <c r="N1778" s="7" t="s">
        <v>399</v>
      </c>
      <c r="O1778" s="7" t="n">
        <v>-31.262109</v>
      </c>
      <c r="P1778" s="7" t="n">
        <v>150.736308</v>
      </c>
    </row>
    <row r="1779" customFormat="false" ht="15" hidden="false" customHeight="false" outlineLevel="0" collapsed="false">
      <c r="A1779" s="7" t="n">
        <v>1778</v>
      </c>
      <c r="B1779" s="7" t="s">
        <v>2423</v>
      </c>
      <c r="C1779" s="7" t="s">
        <v>2424</v>
      </c>
      <c r="D1779" s="7" t="n">
        <v>2522</v>
      </c>
      <c r="E1779" s="7" t="s">
        <v>50</v>
      </c>
      <c r="F1779" s="10" t="b">
        <f aca="false">FALSE()</f>
        <v>0</v>
      </c>
      <c r="G1779" s="7" t="s">
        <v>102</v>
      </c>
      <c r="H1779" s="7" t="s">
        <v>237</v>
      </c>
      <c r="I1779" s="7" t="n">
        <v>4</v>
      </c>
      <c r="J1779" s="7" t="s">
        <v>107</v>
      </c>
      <c r="K1779" s="7" t="s">
        <v>107</v>
      </c>
      <c r="L1779" s="7"/>
      <c r="M1779" s="10" t="b">
        <f aca="false">FALSE()</f>
        <v>0</v>
      </c>
      <c r="N1779" s="7" t="s">
        <v>399</v>
      </c>
      <c r="O1779" s="7" t="n">
        <v>-34.407957</v>
      </c>
      <c r="P1779" s="7" t="n">
        <v>150.877135</v>
      </c>
    </row>
    <row r="1780" customFormat="false" ht="15" hidden="false" customHeight="false" outlineLevel="0" collapsed="false">
      <c r="A1780" s="7" t="n">
        <v>1779</v>
      </c>
      <c r="B1780" s="7"/>
      <c r="C1780" s="7" t="s">
        <v>2425</v>
      </c>
      <c r="D1780" s="7" t="n">
        <v>2031</v>
      </c>
      <c r="E1780" s="7" t="s">
        <v>50</v>
      </c>
      <c r="F1780" s="10" t="b">
        <f aca="false">FALSE()</f>
        <v>0</v>
      </c>
      <c r="G1780" s="7" t="s">
        <v>355</v>
      </c>
      <c r="H1780" s="7" t="s">
        <v>1371</v>
      </c>
      <c r="I1780" s="7" t="n">
        <v>1</v>
      </c>
      <c r="J1780" s="7" t="s">
        <v>107</v>
      </c>
      <c r="K1780" s="7" t="s">
        <v>108</v>
      </c>
      <c r="L1780" s="7" t="n">
        <v>22</v>
      </c>
      <c r="M1780" s="10" t="b">
        <f aca="false">FALSE()</f>
        <v>0</v>
      </c>
      <c r="N1780" s="7" t="s">
        <v>557</v>
      </c>
      <c r="O1780" s="7" t="n">
        <v>-33.90392</v>
      </c>
      <c r="P1780" s="7" t="n">
        <v>151.238689</v>
      </c>
    </row>
    <row r="1781" customFormat="false" ht="15" hidden="false" customHeight="false" outlineLevel="0" collapsed="false">
      <c r="A1781" s="7" t="n">
        <v>1780</v>
      </c>
      <c r="B1781" s="7" t="s">
        <v>1184</v>
      </c>
      <c r="C1781" s="7" t="s">
        <v>2426</v>
      </c>
      <c r="D1781" s="7" t="n">
        <v>2810</v>
      </c>
      <c r="E1781" s="7" t="s">
        <v>50</v>
      </c>
      <c r="F1781" s="10" t="b">
        <f aca="false">FALSE()</f>
        <v>0</v>
      </c>
      <c r="G1781" s="7" t="s">
        <v>1184</v>
      </c>
      <c r="H1781" s="7" t="s">
        <v>260</v>
      </c>
      <c r="I1781" s="7" t="n">
        <v>2</v>
      </c>
      <c r="J1781" s="7" t="s">
        <v>107</v>
      </c>
      <c r="K1781" s="7" t="s">
        <v>107</v>
      </c>
      <c r="L1781" s="7"/>
      <c r="M1781" s="10" t="b">
        <f aca="false">FALSE()</f>
        <v>0</v>
      </c>
      <c r="N1781" s="7" t="s">
        <v>374</v>
      </c>
      <c r="O1781" s="7" t="n">
        <v>-33.896076</v>
      </c>
      <c r="P1781" s="7" t="n">
        <v>148.159985</v>
      </c>
    </row>
    <row r="1782" customFormat="false" ht="15" hidden="false" customHeight="false" outlineLevel="0" collapsed="false">
      <c r="A1782" s="7" t="n">
        <v>1781</v>
      </c>
      <c r="B1782" s="7" t="s">
        <v>2427</v>
      </c>
      <c r="C1782" s="7" t="s">
        <v>2428</v>
      </c>
      <c r="D1782" s="7" t="n">
        <v>2502</v>
      </c>
      <c r="E1782" s="7" t="s">
        <v>50</v>
      </c>
      <c r="F1782" s="10" t="b">
        <f aca="false">FALSE()</f>
        <v>0</v>
      </c>
      <c r="G1782" s="7" t="s">
        <v>102</v>
      </c>
      <c r="H1782" s="7" t="s">
        <v>1889</v>
      </c>
      <c r="I1782" s="7" t="n">
        <v>4</v>
      </c>
      <c r="J1782" s="7" t="s">
        <v>107</v>
      </c>
      <c r="K1782" s="7" t="s">
        <v>107</v>
      </c>
      <c r="L1782" s="7"/>
      <c r="M1782" s="10" t="b">
        <f aca="false">FALSE()</f>
        <v>0</v>
      </c>
      <c r="N1782" s="7" t="s">
        <v>399</v>
      </c>
      <c r="O1782" s="7" t="n">
        <v>-34.508</v>
      </c>
      <c r="P1782" s="7" t="n">
        <v>150.878648</v>
      </c>
    </row>
    <row r="1783" customFormat="false" ht="15" hidden="false" customHeight="false" outlineLevel="0" collapsed="false">
      <c r="A1783" s="7" t="n">
        <v>1782</v>
      </c>
      <c r="B1783" s="7" t="s">
        <v>2429</v>
      </c>
      <c r="C1783" s="7" t="s">
        <v>2430</v>
      </c>
      <c r="D1783" s="7" t="n">
        <v>2431</v>
      </c>
      <c r="E1783" s="7" t="s">
        <v>50</v>
      </c>
      <c r="F1783" s="10" t="b">
        <f aca="false">FALSE()</f>
        <v>0</v>
      </c>
      <c r="G1783" s="7" t="s">
        <v>533</v>
      </c>
      <c r="H1783" s="7" t="s">
        <v>260</v>
      </c>
      <c r="I1783" s="7" t="n">
        <v>4</v>
      </c>
      <c r="J1783" s="7" t="s">
        <v>107</v>
      </c>
      <c r="K1783" s="7" t="s">
        <v>107</v>
      </c>
      <c r="L1783" s="7"/>
      <c r="M1783" s="10" t="b">
        <f aca="false">FALSE()</f>
        <v>0</v>
      </c>
      <c r="N1783" s="7" t="s">
        <v>399</v>
      </c>
      <c r="O1783" s="7" t="n">
        <v>-30.889722</v>
      </c>
      <c r="P1783" s="7" t="n">
        <v>153.032919</v>
      </c>
    </row>
    <row r="1784" customFormat="false" ht="15" hidden="false" customHeight="false" outlineLevel="0" collapsed="false">
      <c r="A1784" s="7" t="n">
        <v>1783</v>
      </c>
      <c r="B1784" s="7" t="s">
        <v>2431</v>
      </c>
      <c r="C1784" s="7" t="s">
        <v>2432</v>
      </c>
      <c r="D1784" s="7" t="n">
        <v>2319</v>
      </c>
      <c r="E1784" s="7" t="s">
        <v>50</v>
      </c>
      <c r="F1784" s="10" t="b">
        <f aca="false">FALSE()</f>
        <v>0</v>
      </c>
      <c r="G1784" s="7" t="s">
        <v>309</v>
      </c>
      <c r="H1784" s="7" t="s">
        <v>260</v>
      </c>
      <c r="I1784" s="7" t="n">
        <v>4</v>
      </c>
      <c r="J1784" s="7" t="s">
        <v>107</v>
      </c>
      <c r="K1784" s="7" t="s">
        <v>107</v>
      </c>
      <c r="L1784" s="7"/>
      <c r="M1784" s="10" t="b">
        <f aca="false">FALSE()</f>
        <v>0</v>
      </c>
      <c r="N1784" s="7" t="s">
        <v>374</v>
      </c>
      <c r="O1784" s="7" t="n">
        <v>-32.734428</v>
      </c>
      <c r="P1784" s="7" t="n">
        <v>152.035467</v>
      </c>
    </row>
    <row r="1785" customFormat="false" ht="15" hidden="false" customHeight="false" outlineLevel="0" collapsed="false">
      <c r="A1785" s="7" t="n">
        <v>1784</v>
      </c>
      <c r="B1785" s="7"/>
      <c r="C1785" s="7" t="s">
        <v>2433</v>
      </c>
      <c r="D1785" s="7" t="n">
        <v>2088</v>
      </c>
      <c r="E1785" s="7" t="s">
        <v>50</v>
      </c>
      <c r="F1785" s="10" t="b">
        <f aca="false">FALSE()</f>
        <v>0</v>
      </c>
      <c r="G1785" s="7" t="s">
        <v>246</v>
      </c>
      <c r="H1785" s="7" t="s">
        <v>1069</v>
      </c>
      <c r="I1785" s="7" t="n">
        <v>2</v>
      </c>
      <c r="J1785" s="7" t="s">
        <v>71</v>
      </c>
      <c r="K1785" s="7" t="s">
        <v>83</v>
      </c>
      <c r="L1785" s="7" t="n">
        <v>75</v>
      </c>
      <c r="M1785" s="10" t="b">
        <f aca="false">FALSE()</f>
        <v>0</v>
      </c>
      <c r="N1785" s="7" t="s">
        <v>557</v>
      </c>
      <c r="O1785" s="7" t="n">
        <v>-33.827659</v>
      </c>
      <c r="P1785" s="7" t="n">
        <v>151.242382</v>
      </c>
    </row>
    <row r="1786" customFormat="false" ht="15" hidden="false" customHeight="false" outlineLevel="0" collapsed="false">
      <c r="A1786" s="7" t="n">
        <v>1785</v>
      </c>
      <c r="B1786" s="7" t="s">
        <v>2434</v>
      </c>
      <c r="C1786" s="7" t="s">
        <v>2435</v>
      </c>
      <c r="D1786" s="7" t="n">
        <v>2474</v>
      </c>
      <c r="E1786" s="7" t="s">
        <v>50</v>
      </c>
      <c r="F1786" s="10" t="b">
        <f aca="false">FALSE()</f>
        <v>0</v>
      </c>
      <c r="G1786" s="7" t="s">
        <v>801</v>
      </c>
      <c r="H1786" s="7" t="s">
        <v>260</v>
      </c>
      <c r="I1786" s="7" t="n">
        <v>1</v>
      </c>
      <c r="J1786" s="7" t="s">
        <v>107</v>
      </c>
      <c r="K1786" s="7" t="s">
        <v>107</v>
      </c>
      <c r="L1786" s="7"/>
      <c r="M1786" s="10" t="b">
        <f aca="false">FALSE()</f>
        <v>0</v>
      </c>
      <c r="N1786" s="7" t="s">
        <v>399</v>
      </c>
      <c r="O1786" s="7" t="n">
        <v>-28.436763</v>
      </c>
      <c r="P1786" s="7" t="n">
        <v>152.958956</v>
      </c>
    </row>
    <row r="1787" customFormat="false" ht="15" hidden="false" customHeight="false" outlineLevel="0" collapsed="false">
      <c r="A1787" s="7" t="n">
        <v>1786</v>
      </c>
      <c r="B1787" s="7" t="s">
        <v>469</v>
      </c>
      <c r="C1787" s="7" t="s">
        <v>2436</v>
      </c>
      <c r="D1787" s="7" t="n">
        <v>2656</v>
      </c>
      <c r="E1787" s="7" t="s">
        <v>50</v>
      </c>
      <c r="F1787" s="10" t="b">
        <f aca="false">FALSE()</f>
        <v>0</v>
      </c>
      <c r="G1787" s="7" t="s">
        <v>469</v>
      </c>
      <c r="H1787" s="7" t="s">
        <v>260</v>
      </c>
      <c r="I1787" s="7" t="n">
        <v>2</v>
      </c>
      <c r="J1787" s="7" t="s">
        <v>107</v>
      </c>
      <c r="K1787" s="7" t="s">
        <v>107</v>
      </c>
      <c r="L1787" s="7"/>
      <c r="M1787" s="10" t="b">
        <f aca="false">FALSE()</f>
        <v>0</v>
      </c>
      <c r="N1787" s="7" t="s">
        <v>374</v>
      </c>
      <c r="O1787" s="7" t="n">
        <v>-35.221701</v>
      </c>
      <c r="P1787" s="7" t="n">
        <v>146.720696</v>
      </c>
    </row>
    <row r="1788" customFormat="false" ht="15" hidden="false" customHeight="false" outlineLevel="0" collapsed="false">
      <c r="A1788" s="7" t="n">
        <v>1787</v>
      </c>
      <c r="B1788" s="7" t="s">
        <v>2437</v>
      </c>
      <c r="C1788" s="7" t="s">
        <v>2438</v>
      </c>
      <c r="D1788" s="7" t="n">
        <v>2526</v>
      </c>
      <c r="E1788" s="7" t="s">
        <v>50</v>
      </c>
      <c r="F1788" s="10" t="b">
        <f aca="false">FALSE()</f>
        <v>0</v>
      </c>
      <c r="G1788" s="7" t="s">
        <v>102</v>
      </c>
      <c r="H1788" s="7" t="s">
        <v>260</v>
      </c>
      <c r="I1788" s="7" t="n">
        <v>4</v>
      </c>
      <c r="J1788" s="7" t="s">
        <v>107</v>
      </c>
      <c r="K1788" s="7" t="s">
        <v>107</v>
      </c>
      <c r="L1788" s="7"/>
      <c r="M1788" s="10" t="b">
        <f aca="false">FALSE()</f>
        <v>0</v>
      </c>
      <c r="N1788" s="7" t="s">
        <v>399</v>
      </c>
      <c r="O1788" s="7" t="n">
        <v>-34.451906</v>
      </c>
      <c r="P1788" s="7" t="n">
        <v>150.842505</v>
      </c>
    </row>
    <row r="1789" customFormat="false" ht="15" hidden="false" customHeight="false" outlineLevel="0" collapsed="false">
      <c r="A1789" s="7" t="n">
        <v>1788</v>
      </c>
      <c r="B1789" s="7" t="s">
        <v>229</v>
      </c>
      <c r="C1789" s="7" t="s">
        <v>2439</v>
      </c>
      <c r="D1789" s="7" t="n">
        <v>2333</v>
      </c>
      <c r="E1789" s="7" t="s">
        <v>50</v>
      </c>
      <c r="F1789" s="10" t="b">
        <f aca="false">FALSE()</f>
        <v>0</v>
      </c>
      <c r="G1789" s="7" t="s">
        <v>229</v>
      </c>
      <c r="H1789" s="7" t="s">
        <v>230</v>
      </c>
      <c r="I1789" s="7" t="n">
        <v>2</v>
      </c>
      <c r="J1789" s="7" t="s">
        <v>107</v>
      </c>
      <c r="K1789" s="7" t="s">
        <v>107</v>
      </c>
      <c r="L1789" s="7"/>
      <c r="M1789" s="10" t="b">
        <f aca="false">FALSE()</f>
        <v>0</v>
      </c>
      <c r="N1789" s="7" t="s">
        <v>374</v>
      </c>
      <c r="O1789" s="7" t="n">
        <v>-32.261908</v>
      </c>
      <c r="P1789" s="7" t="n">
        <v>150.894087</v>
      </c>
    </row>
    <row r="1790" customFormat="false" ht="15" hidden="false" customHeight="false" outlineLevel="0" collapsed="false">
      <c r="A1790" s="7" t="n">
        <v>1789</v>
      </c>
      <c r="B1790" s="7"/>
      <c r="C1790" s="7" t="s">
        <v>2440</v>
      </c>
      <c r="D1790" s="7" t="n">
        <v>2774</v>
      </c>
      <c r="E1790" s="7" t="s">
        <v>50</v>
      </c>
      <c r="F1790" s="10" t="b">
        <f aca="false">FALSE()</f>
        <v>0</v>
      </c>
      <c r="G1790" s="7" t="s">
        <v>306</v>
      </c>
      <c r="H1790" s="7" t="s">
        <v>239</v>
      </c>
      <c r="I1790" s="7" t="n">
        <v>6</v>
      </c>
      <c r="J1790" s="7" t="s">
        <v>71</v>
      </c>
      <c r="K1790" s="7" t="s">
        <v>117</v>
      </c>
      <c r="L1790" s="7" t="n">
        <v>175</v>
      </c>
      <c r="M1790" s="10" t="b">
        <f aca="false">FALSE()</f>
        <v>0</v>
      </c>
      <c r="N1790" s="7" t="s">
        <v>118</v>
      </c>
      <c r="O1790" s="7" t="n">
        <v>-33.745229</v>
      </c>
      <c r="P1790" s="7" t="n">
        <v>150.610129</v>
      </c>
    </row>
    <row r="1791" customFormat="false" ht="15" hidden="false" customHeight="false" outlineLevel="0" collapsed="false">
      <c r="A1791" s="7" t="n">
        <v>1790</v>
      </c>
      <c r="B1791" s="7"/>
      <c r="C1791" s="7" t="s">
        <v>2441</v>
      </c>
      <c r="D1791" s="7" t="n">
        <v>2350</v>
      </c>
      <c r="E1791" s="7" t="s">
        <v>50</v>
      </c>
      <c r="F1791" s="10" t="b">
        <f aca="false">FALSE()</f>
        <v>0</v>
      </c>
      <c r="G1791" s="7" t="s">
        <v>155</v>
      </c>
      <c r="H1791" s="7" t="s">
        <v>239</v>
      </c>
      <c r="I1791" s="7" t="n">
        <v>4</v>
      </c>
      <c r="J1791" s="7" t="s">
        <v>71</v>
      </c>
      <c r="K1791" s="7" t="s">
        <v>117</v>
      </c>
      <c r="L1791" s="7" t="n">
        <v>175</v>
      </c>
      <c r="M1791" s="10" t="b">
        <f aca="false">FALSE()</f>
        <v>0</v>
      </c>
      <c r="N1791" s="7" t="s">
        <v>118</v>
      </c>
      <c r="O1791" s="7" t="n">
        <v>-30.513231</v>
      </c>
      <c r="P1791" s="7" t="n">
        <v>151.663364</v>
      </c>
    </row>
    <row r="1792" customFormat="false" ht="15" hidden="false" customHeight="false" outlineLevel="0" collapsed="false">
      <c r="A1792" s="7" t="n">
        <v>1791</v>
      </c>
      <c r="B1792" s="7" t="s">
        <v>2442</v>
      </c>
      <c r="C1792" s="7" t="s">
        <v>2443</v>
      </c>
      <c r="D1792" s="7" t="n">
        <v>2486</v>
      </c>
      <c r="E1792" s="7" t="s">
        <v>50</v>
      </c>
      <c r="F1792" s="10" t="b">
        <f aca="false">FALSE()</f>
        <v>0</v>
      </c>
      <c r="G1792" s="7" t="s">
        <v>164</v>
      </c>
      <c r="H1792" s="7" t="s">
        <v>237</v>
      </c>
      <c r="I1792" s="7" t="n">
        <v>4</v>
      </c>
      <c r="J1792" s="7" t="s">
        <v>107</v>
      </c>
      <c r="K1792" s="7" t="s">
        <v>107</v>
      </c>
      <c r="L1792" s="7"/>
      <c r="M1792" s="10" t="b">
        <f aca="false">FALSE()</f>
        <v>0</v>
      </c>
      <c r="N1792" s="7" t="s">
        <v>374</v>
      </c>
      <c r="O1792" s="7" t="n">
        <v>-28.212505</v>
      </c>
      <c r="P1792" s="7" t="n">
        <v>153.530593</v>
      </c>
    </row>
    <row r="1793" customFormat="false" ht="15" hidden="false" customHeight="false" outlineLevel="0" collapsed="false">
      <c r="A1793" s="7" t="n">
        <v>1792</v>
      </c>
      <c r="B1793" s="7" t="s">
        <v>1188</v>
      </c>
      <c r="C1793" s="7" t="s">
        <v>2444</v>
      </c>
      <c r="D1793" s="7" t="n">
        <v>2701</v>
      </c>
      <c r="E1793" s="7" t="s">
        <v>50</v>
      </c>
      <c r="F1793" s="10" t="b">
        <f aca="false">FALSE()</f>
        <v>0</v>
      </c>
      <c r="G1793" s="7" t="s">
        <v>1188</v>
      </c>
      <c r="H1793" s="7" t="s">
        <v>260</v>
      </c>
      <c r="I1793" s="7" t="n">
        <v>2</v>
      </c>
      <c r="J1793" s="7" t="s">
        <v>107</v>
      </c>
      <c r="K1793" s="7" t="s">
        <v>107</v>
      </c>
      <c r="L1793" s="7"/>
      <c r="M1793" s="10" t="b">
        <f aca="false">FALSE()</f>
        <v>0</v>
      </c>
      <c r="N1793" s="7" t="s">
        <v>374</v>
      </c>
      <c r="O1793" s="7" t="n">
        <v>-34.814503</v>
      </c>
      <c r="P1793" s="7" t="n">
        <v>147.195718</v>
      </c>
    </row>
    <row r="1794" customFormat="false" ht="15" hidden="false" customHeight="false" outlineLevel="0" collapsed="false">
      <c r="A1794" s="7" t="n">
        <v>1793</v>
      </c>
      <c r="B1794" s="7" t="s">
        <v>2445</v>
      </c>
      <c r="C1794" s="7" t="s">
        <v>2446</v>
      </c>
      <c r="D1794" s="7" t="n">
        <v>2400</v>
      </c>
      <c r="E1794" s="7" t="s">
        <v>50</v>
      </c>
      <c r="F1794" s="10" t="b">
        <f aca="false">FALSE()</f>
        <v>0</v>
      </c>
      <c r="G1794" s="7" t="s">
        <v>115</v>
      </c>
      <c r="H1794" s="7" t="s">
        <v>1748</v>
      </c>
      <c r="I1794" s="7" t="n">
        <v>4</v>
      </c>
      <c r="J1794" s="7" t="s">
        <v>107</v>
      </c>
      <c r="K1794" s="7" t="s">
        <v>107</v>
      </c>
      <c r="L1794" s="7"/>
      <c r="M1794" s="10" t="b">
        <f aca="false">FALSE()</f>
        <v>0</v>
      </c>
      <c r="N1794" s="7" t="s">
        <v>374</v>
      </c>
      <c r="O1794" s="7" t="n">
        <v>-29.469598</v>
      </c>
      <c r="P1794" s="7" t="n">
        <v>149.848721</v>
      </c>
    </row>
    <row r="1795" customFormat="false" ht="15" hidden="false" customHeight="false" outlineLevel="0" collapsed="false">
      <c r="A1795" s="7" t="n">
        <v>1794</v>
      </c>
      <c r="B1795" s="7" t="s">
        <v>2447</v>
      </c>
      <c r="C1795" s="7" t="s">
        <v>2448</v>
      </c>
      <c r="D1795" s="7" t="n">
        <v>2534</v>
      </c>
      <c r="E1795" s="7" t="s">
        <v>50</v>
      </c>
      <c r="F1795" s="10" t="b">
        <f aca="false">FALSE()</f>
        <v>0</v>
      </c>
      <c r="G1795" s="7" t="s">
        <v>446</v>
      </c>
      <c r="H1795" s="7" t="s">
        <v>1889</v>
      </c>
      <c r="I1795" s="7" t="n">
        <v>2</v>
      </c>
      <c r="J1795" s="7" t="s">
        <v>107</v>
      </c>
      <c r="K1795" s="7" t="s">
        <v>107</v>
      </c>
      <c r="L1795" s="7"/>
      <c r="M1795" s="10" t="b">
        <f aca="false">FALSE()</f>
        <v>0</v>
      </c>
      <c r="N1795" s="7" t="s">
        <v>399</v>
      </c>
      <c r="O1795" s="7" t="n">
        <v>-34.74269</v>
      </c>
      <c r="P1795" s="7" t="n">
        <v>150.832335</v>
      </c>
    </row>
    <row r="1796" customFormat="false" ht="15" hidden="false" customHeight="false" outlineLevel="0" collapsed="false">
      <c r="A1796" s="7" t="n">
        <v>1795</v>
      </c>
      <c r="B1796" s="7" t="s">
        <v>2003</v>
      </c>
      <c r="C1796" s="7" t="s">
        <v>2449</v>
      </c>
      <c r="D1796" s="7" t="n">
        <v>2284</v>
      </c>
      <c r="E1796" s="7" t="s">
        <v>50</v>
      </c>
      <c r="F1796" s="10" t="b">
        <f aca="false">FALSE()</f>
        <v>0</v>
      </c>
      <c r="G1796" s="7" t="s">
        <v>377</v>
      </c>
      <c r="H1796" s="7" t="s">
        <v>252</v>
      </c>
      <c r="I1796" s="7" t="n">
        <v>2</v>
      </c>
      <c r="J1796" s="7" t="s">
        <v>107</v>
      </c>
      <c r="K1796" s="7" t="s">
        <v>107</v>
      </c>
      <c r="L1796" s="7"/>
      <c r="M1796" s="10" t="b">
        <f aca="false">FALSE()</f>
        <v>0</v>
      </c>
      <c r="N1796" s="7" t="s">
        <v>374</v>
      </c>
      <c r="O1796" s="7" t="n">
        <v>-32.961217</v>
      </c>
      <c r="P1796" s="7" t="n">
        <v>151.620933</v>
      </c>
    </row>
    <row r="1797" customFormat="false" ht="15" hidden="false" customHeight="false" outlineLevel="0" collapsed="false">
      <c r="A1797" s="7" t="n">
        <v>1796</v>
      </c>
      <c r="B1797" s="7" t="s">
        <v>2450</v>
      </c>
      <c r="C1797" s="7" t="s">
        <v>2451</v>
      </c>
      <c r="D1797" s="7" t="n">
        <v>2650</v>
      </c>
      <c r="E1797" s="7" t="s">
        <v>50</v>
      </c>
      <c r="F1797" s="10" t="b">
        <f aca="false">FALSE()</f>
        <v>0</v>
      </c>
      <c r="G1797" s="7" t="s">
        <v>147</v>
      </c>
      <c r="H1797" s="7" t="s">
        <v>1862</v>
      </c>
      <c r="I1797" s="7" t="n">
        <v>2</v>
      </c>
      <c r="J1797" s="7" t="s">
        <v>107</v>
      </c>
      <c r="K1797" s="7" t="s">
        <v>107</v>
      </c>
      <c r="L1797" s="7"/>
      <c r="M1797" s="10" t="b">
        <f aca="false">FALSE()</f>
        <v>0</v>
      </c>
      <c r="N1797" s="7" t="s">
        <v>374</v>
      </c>
      <c r="O1797" s="7" t="n">
        <v>-35.15204</v>
      </c>
      <c r="P1797" s="7" t="n">
        <v>147.370569</v>
      </c>
    </row>
    <row r="1798" customFormat="false" ht="15" hidden="false" customHeight="false" outlineLevel="0" collapsed="false">
      <c r="A1798" s="7" t="n">
        <v>1797</v>
      </c>
      <c r="B1798" s="7"/>
      <c r="C1798" s="7" t="s">
        <v>2452</v>
      </c>
      <c r="D1798" s="7" t="n">
        <v>2046</v>
      </c>
      <c r="E1798" s="7" t="s">
        <v>50</v>
      </c>
      <c r="F1798" s="10" t="b">
        <f aca="false">FALSE()</f>
        <v>0</v>
      </c>
      <c r="G1798" s="7" t="s">
        <v>2404</v>
      </c>
      <c r="H1798" s="7" t="s">
        <v>1069</v>
      </c>
      <c r="I1798" s="7" t="n">
        <v>4</v>
      </c>
      <c r="J1798" s="7" t="s">
        <v>71</v>
      </c>
      <c r="K1798" s="7" t="s">
        <v>83</v>
      </c>
      <c r="L1798" s="7" t="n">
        <v>75</v>
      </c>
      <c r="M1798" s="10" t="b">
        <f aca="false">FALSE()</f>
        <v>0</v>
      </c>
      <c r="N1798" s="7" t="s">
        <v>557</v>
      </c>
      <c r="O1798" s="7" t="n">
        <v>-33.869631</v>
      </c>
      <c r="P1798" s="7" t="n">
        <v>151.122375</v>
      </c>
    </row>
    <row r="1799" customFormat="false" ht="15" hidden="false" customHeight="false" outlineLevel="0" collapsed="false">
      <c r="A1799" s="7" t="n">
        <v>1798</v>
      </c>
      <c r="B1799" s="7" t="s">
        <v>2453</v>
      </c>
      <c r="C1799" s="7" t="s">
        <v>2454</v>
      </c>
      <c r="D1799" s="7" t="n">
        <v>2720</v>
      </c>
      <c r="E1799" s="7" t="s">
        <v>50</v>
      </c>
      <c r="F1799" s="10" t="b">
        <f aca="false">FALSE()</f>
        <v>0</v>
      </c>
      <c r="G1799" s="7" t="s">
        <v>456</v>
      </c>
      <c r="H1799" s="7" t="s">
        <v>1355</v>
      </c>
      <c r="I1799" s="7" t="n">
        <v>4</v>
      </c>
      <c r="J1799" s="7" t="s">
        <v>107</v>
      </c>
      <c r="K1799" s="7" t="s">
        <v>107</v>
      </c>
      <c r="L1799" s="7"/>
      <c r="M1799" s="10" t="b">
        <f aca="false">FALSE()</f>
        <v>0</v>
      </c>
      <c r="N1799" s="7" t="s">
        <v>374</v>
      </c>
      <c r="O1799" s="7" t="n">
        <v>-35.294701</v>
      </c>
      <c r="P1799" s="7" t="n">
        <v>148.219813</v>
      </c>
    </row>
    <row r="1800" customFormat="false" ht="15" hidden="false" customHeight="false" outlineLevel="0" collapsed="false">
      <c r="A1800" s="7" t="n">
        <v>1799</v>
      </c>
      <c r="B1800" s="7" t="s">
        <v>2455</v>
      </c>
      <c r="C1800" s="7" t="s">
        <v>2456</v>
      </c>
      <c r="D1800" s="7" t="n">
        <v>2500</v>
      </c>
      <c r="E1800" s="7" t="s">
        <v>50</v>
      </c>
      <c r="F1800" s="10" t="b">
        <f aca="false">FALSE()</f>
        <v>0</v>
      </c>
      <c r="G1800" s="7" t="s">
        <v>102</v>
      </c>
      <c r="H1800" s="7" t="s">
        <v>237</v>
      </c>
      <c r="I1800" s="7" t="n">
        <v>4</v>
      </c>
      <c r="J1800" s="7" t="s">
        <v>107</v>
      </c>
      <c r="K1800" s="7" t="s">
        <v>107</v>
      </c>
      <c r="L1800" s="7"/>
      <c r="M1800" s="10" t="b">
        <f aca="false">FALSE()</f>
        <v>0</v>
      </c>
      <c r="N1800" s="7" t="s">
        <v>399</v>
      </c>
      <c r="O1800" s="7" t="n">
        <v>-34.404303</v>
      </c>
      <c r="P1800" s="7" t="n">
        <v>150.899878</v>
      </c>
    </row>
    <row r="1801" customFormat="false" ht="15" hidden="false" customHeight="false" outlineLevel="0" collapsed="false">
      <c r="A1801" s="7" t="n">
        <v>1800</v>
      </c>
      <c r="B1801" s="7" t="s">
        <v>2457</v>
      </c>
      <c r="C1801" s="7" t="s">
        <v>2458</v>
      </c>
      <c r="D1801" s="7" t="n">
        <v>2322</v>
      </c>
      <c r="E1801" s="7" t="s">
        <v>50</v>
      </c>
      <c r="F1801" s="10" t="b">
        <f aca="false">FALSE()</f>
        <v>0</v>
      </c>
      <c r="G1801" s="7" t="s">
        <v>283</v>
      </c>
      <c r="H1801" s="7" t="s">
        <v>260</v>
      </c>
      <c r="I1801" s="7" t="n">
        <v>4</v>
      </c>
      <c r="J1801" s="7" t="s">
        <v>107</v>
      </c>
      <c r="K1801" s="7" t="s">
        <v>107</v>
      </c>
      <c r="L1801" s="7"/>
      <c r="M1801" s="10" t="b">
        <f aca="false">FALSE()</f>
        <v>0</v>
      </c>
      <c r="N1801" s="7" t="s">
        <v>399</v>
      </c>
      <c r="O1801" s="7" t="n">
        <v>-32.777545</v>
      </c>
      <c r="P1801" s="7" t="n">
        <v>151.64036</v>
      </c>
    </row>
    <row r="1802" customFormat="false" ht="15" hidden="false" customHeight="false" outlineLevel="0" collapsed="false">
      <c r="A1802" s="7" t="n">
        <v>1801</v>
      </c>
      <c r="B1802" s="7" t="s">
        <v>2459</v>
      </c>
      <c r="C1802" s="7" t="s">
        <v>2460</v>
      </c>
      <c r="D1802" s="7" t="n">
        <v>2731</v>
      </c>
      <c r="E1802" s="7" t="s">
        <v>50</v>
      </c>
      <c r="F1802" s="10" t="b">
        <f aca="false">FALSE()</f>
        <v>0</v>
      </c>
      <c r="G1802" s="7" t="s">
        <v>914</v>
      </c>
      <c r="H1802" s="7" t="s">
        <v>1748</v>
      </c>
      <c r="I1802" s="7" t="n">
        <v>4</v>
      </c>
      <c r="J1802" s="7" t="s">
        <v>107</v>
      </c>
      <c r="K1802" s="7" t="s">
        <v>107</v>
      </c>
      <c r="L1802" s="7"/>
      <c r="M1802" s="10" t="b">
        <f aca="false">FALSE()</f>
        <v>0</v>
      </c>
      <c r="N1802" s="7" t="s">
        <v>374</v>
      </c>
      <c r="O1802" s="7" t="n">
        <v>-36.039047</v>
      </c>
      <c r="P1802" s="7" t="n">
        <v>144.732734</v>
      </c>
    </row>
    <row r="1803" customFormat="false" ht="15" hidden="false" customHeight="false" outlineLevel="0" collapsed="false">
      <c r="A1803" s="7" t="n">
        <v>1802</v>
      </c>
      <c r="B1803" s="7" t="s">
        <v>2461</v>
      </c>
      <c r="C1803" s="7" t="s">
        <v>2462</v>
      </c>
      <c r="D1803" s="7" t="n">
        <v>2653</v>
      </c>
      <c r="E1803" s="7" t="s">
        <v>50</v>
      </c>
      <c r="F1803" s="10" t="b">
        <f aca="false">FALSE()</f>
        <v>0</v>
      </c>
      <c r="G1803" s="7" t="s">
        <v>456</v>
      </c>
      <c r="H1803" s="7" t="s">
        <v>237</v>
      </c>
      <c r="I1803" s="7" t="n">
        <v>4</v>
      </c>
      <c r="J1803" s="7" t="s">
        <v>107</v>
      </c>
      <c r="K1803" s="7" t="s">
        <v>107</v>
      </c>
      <c r="L1803" s="7"/>
      <c r="M1803" s="10" t="b">
        <f aca="false">FALSE()</f>
        <v>0</v>
      </c>
      <c r="N1803" s="7" t="s">
        <v>399</v>
      </c>
      <c r="O1803" s="7" t="n">
        <v>-35.775989</v>
      </c>
      <c r="P1803" s="7" t="n">
        <v>148.010855</v>
      </c>
    </row>
    <row r="1804" customFormat="false" ht="15" hidden="false" customHeight="false" outlineLevel="0" collapsed="false">
      <c r="A1804" s="7" t="n">
        <v>1803</v>
      </c>
      <c r="B1804" s="7" t="s">
        <v>2463</v>
      </c>
      <c r="C1804" s="7" t="s">
        <v>2464</v>
      </c>
      <c r="D1804" s="7" t="n">
        <v>2729</v>
      </c>
      <c r="E1804" s="7" t="s">
        <v>50</v>
      </c>
      <c r="F1804" s="10" t="b">
        <f aca="false">FALSE()</f>
        <v>0</v>
      </c>
      <c r="G1804" s="7" t="s">
        <v>456</v>
      </c>
      <c r="H1804" s="7" t="s">
        <v>398</v>
      </c>
      <c r="I1804" s="7" t="n">
        <v>4</v>
      </c>
      <c r="J1804" s="7" t="s">
        <v>107</v>
      </c>
      <c r="K1804" s="7" t="s">
        <v>107</v>
      </c>
      <c r="L1804" s="7"/>
      <c r="M1804" s="10" t="b">
        <f aca="false">FALSE()</f>
        <v>0</v>
      </c>
      <c r="N1804" s="7" t="s">
        <v>399</v>
      </c>
      <c r="O1804" s="7" t="n">
        <v>-35.306256</v>
      </c>
      <c r="P1804" s="7" t="n">
        <v>148.064293</v>
      </c>
    </row>
    <row r="1805" customFormat="false" ht="15" hidden="false" customHeight="false" outlineLevel="0" collapsed="false">
      <c r="A1805" s="7" t="n">
        <v>1804</v>
      </c>
      <c r="B1805" s="7" t="s">
        <v>2465</v>
      </c>
      <c r="C1805" s="7" t="s">
        <v>2466</v>
      </c>
      <c r="D1805" s="7" t="n">
        <v>2587</v>
      </c>
      <c r="E1805" s="7" t="s">
        <v>50</v>
      </c>
      <c r="F1805" s="10" t="b">
        <f aca="false">FALSE()</f>
        <v>0</v>
      </c>
      <c r="G1805" s="7" t="s">
        <v>206</v>
      </c>
      <c r="H1805" s="7" t="s">
        <v>260</v>
      </c>
      <c r="I1805" s="7" t="n">
        <v>1</v>
      </c>
      <c r="J1805" s="7" t="s">
        <v>107</v>
      </c>
      <c r="K1805" s="7" t="s">
        <v>107</v>
      </c>
      <c r="L1805" s="7"/>
      <c r="M1805" s="10" t="b">
        <f aca="false">FALSE()</f>
        <v>0</v>
      </c>
      <c r="N1805" s="7" t="s">
        <v>399</v>
      </c>
      <c r="O1805" s="7" t="n">
        <v>-34.554346</v>
      </c>
      <c r="P1805" s="7" t="n">
        <v>148.369572</v>
      </c>
    </row>
    <row r="1806" customFormat="false" ht="15" hidden="false" customHeight="false" outlineLevel="0" collapsed="false">
      <c r="A1806" s="7" t="n">
        <v>1805</v>
      </c>
      <c r="B1806" s="7" t="s">
        <v>1939</v>
      </c>
      <c r="C1806" s="7" t="s">
        <v>2467</v>
      </c>
      <c r="D1806" s="7" t="n">
        <v>2830</v>
      </c>
      <c r="E1806" s="7" t="s">
        <v>50</v>
      </c>
      <c r="F1806" s="10" t="b">
        <f aca="false">FALSE()</f>
        <v>0</v>
      </c>
      <c r="G1806" s="7" t="s">
        <v>227</v>
      </c>
      <c r="H1806" s="7" t="s">
        <v>237</v>
      </c>
      <c r="I1806" s="7" t="n">
        <v>8</v>
      </c>
      <c r="J1806" s="7" t="s">
        <v>107</v>
      </c>
      <c r="K1806" s="7" t="s">
        <v>107</v>
      </c>
      <c r="L1806" s="7"/>
      <c r="M1806" s="10" t="b">
        <f aca="false">FALSE()</f>
        <v>0</v>
      </c>
      <c r="N1806" s="7" t="s">
        <v>374</v>
      </c>
      <c r="O1806" s="7" t="n">
        <v>-32.24847</v>
      </c>
      <c r="P1806" s="7" t="n">
        <v>148.593128</v>
      </c>
    </row>
    <row r="1807" customFormat="false" ht="15" hidden="false" customHeight="false" outlineLevel="0" collapsed="false">
      <c r="A1807" s="7" t="n">
        <v>1806</v>
      </c>
      <c r="B1807" s="7" t="s">
        <v>469</v>
      </c>
      <c r="C1807" s="7" t="s">
        <v>2468</v>
      </c>
      <c r="D1807" s="7" t="n">
        <v>2655</v>
      </c>
      <c r="E1807" s="7" t="s">
        <v>50</v>
      </c>
      <c r="F1807" s="10" t="b">
        <f aca="false">FALSE()</f>
        <v>0</v>
      </c>
      <c r="G1807" s="7" t="s">
        <v>469</v>
      </c>
      <c r="H1807" s="7" t="s">
        <v>260</v>
      </c>
      <c r="I1807" s="7" t="n">
        <v>2</v>
      </c>
      <c r="J1807" s="7" t="s">
        <v>107</v>
      </c>
      <c r="K1807" s="7" t="s">
        <v>107</v>
      </c>
      <c r="L1807" s="7"/>
      <c r="M1807" s="10" t="b">
        <f aca="false">FALSE()</f>
        <v>0</v>
      </c>
      <c r="N1807" s="7" t="s">
        <v>374</v>
      </c>
      <c r="O1807" s="7" t="n">
        <v>-35.266666</v>
      </c>
      <c r="P1807" s="7" t="n">
        <v>147.11016</v>
      </c>
    </row>
    <row r="1808" customFormat="false" ht="15" hidden="false" customHeight="false" outlineLevel="0" collapsed="false">
      <c r="A1808" s="7" t="n">
        <v>1807</v>
      </c>
      <c r="B1808" s="7"/>
      <c r="C1808" s="7" t="s">
        <v>2469</v>
      </c>
      <c r="D1808" s="7" t="n">
        <v>2750</v>
      </c>
      <c r="E1808" s="7" t="s">
        <v>50</v>
      </c>
      <c r="F1808" s="10" t="b">
        <f aca="false">FALSE()</f>
        <v>0</v>
      </c>
      <c r="G1808" s="7" t="s">
        <v>472</v>
      </c>
      <c r="H1808" s="7" t="s">
        <v>237</v>
      </c>
      <c r="I1808" s="7" t="n">
        <v>2</v>
      </c>
      <c r="J1808" s="7" t="s">
        <v>107</v>
      </c>
      <c r="K1808" s="7" t="s">
        <v>277</v>
      </c>
      <c r="L1808" s="7" t="n">
        <v>6</v>
      </c>
      <c r="M1808" s="10" t="b">
        <f aca="false">FALSE()</f>
        <v>0</v>
      </c>
      <c r="N1808" s="7" t="s">
        <v>109</v>
      </c>
      <c r="O1808" s="7" t="n">
        <v>-33.758135</v>
      </c>
      <c r="P1808" s="7" t="n">
        <v>150.691857</v>
      </c>
    </row>
    <row r="1809" customFormat="false" ht="15" hidden="false" customHeight="false" outlineLevel="0" collapsed="false">
      <c r="A1809" s="7" t="n">
        <v>1808</v>
      </c>
      <c r="B1809" s="7" t="s">
        <v>2470</v>
      </c>
      <c r="C1809" s="7" t="s">
        <v>2471</v>
      </c>
      <c r="D1809" s="7" t="n">
        <v>2325</v>
      </c>
      <c r="E1809" s="7" t="s">
        <v>50</v>
      </c>
      <c r="F1809" s="10" t="b">
        <f aca="false">FALSE()</f>
        <v>0</v>
      </c>
      <c r="G1809" s="7" t="s">
        <v>111</v>
      </c>
      <c r="H1809" s="7" t="s">
        <v>1889</v>
      </c>
      <c r="I1809" s="7" t="n">
        <v>4</v>
      </c>
      <c r="J1809" s="7" t="s">
        <v>107</v>
      </c>
      <c r="K1809" s="7" t="s">
        <v>107</v>
      </c>
      <c r="L1809" s="7"/>
      <c r="M1809" s="10" t="b">
        <f aca="false">FALSE()</f>
        <v>0</v>
      </c>
      <c r="N1809" s="7" t="s">
        <v>399</v>
      </c>
      <c r="O1809" s="7" t="n">
        <v>-32.831655</v>
      </c>
      <c r="P1809" s="7" t="n">
        <v>151.359974</v>
      </c>
    </row>
    <row r="1810" customFormat="false" ht="15" hidden="false" customHeight="false" outlineLevel="0" collapsed="false">
      <c r="A1810" s="7" t="n">
        <v>1809</v>
      </c>
      <c r="B1810" s="7" t="s">
        <v>2472</v>
      </c>
      <c r="C1810" s="7" t="s">
        <v>2473</v>
      </c>
      <c r="D1810" s="7" t="n">
        <v>2550</v>
      </c>
      <c r="E1810" s="7" t="s">
        <v>50</v>
      </c>
      <c r="F1810" s="10" t="b">
        <f aca="false">FALSE()</f>
        <v>0</v>
      </c>
      <c r="G1810" s="7" t="s">
        <v>188</v>
      </c>
      <c r="H1810" s="7" t="s">
        <v>237</v>
      </c>
      <c r="I1810" s="7" t="n">
        <v>2</v>
      </c>
      <c r="J1810" s="7" t="s">
        <v>107</v>
      </c>
      <c r="K1810" s="7" t="s">
        <v>107</v>
      </c>
      <c r="L1810" s="7"/>
      <c r="M1810" s="10" t="b">
        <f aca="false">FALSE()</f>
        <v>0</v>
      </c>
      <c r="N1810" s="7" t="s">
        <v>399</v>
      </c>
      <c r="O1810" s="7" t="n">
        <v>-36.712544</v>
      </c>
      <c r="P1810" s="7" t="n">
        <v>149.976018</v>
      </c>
    </row>
    <row r="1811" customFormat="false" ht="15" hidden="false" customHeight="false" outlineLevel="0" collapsed="false">
      <c r="A1811" s="7" t="n">
        <v>1810</v>
      </c>
      <c r="B1811" s="7" t="s">
        <v>1939</v>
      </c>
      <c r="C1811" s="7" t="s">
        <v>2474</v>
      </c>
      <c r="D1811" s="7" t="n">
        <v>2428</v>
      </c>
      <c r="E1811" s="7" t="s">
        <v>50</v>
      </c>
      <c r="F1811" s="10" t="b">
        <f aca="false">FALSE()</f>
        <v>0</v>
      </c>
      <c r="G1811" s="7" t="s">
        <v>128</v>
      </c>
      <c r="H1811" s="7" t="s">
        <v>237</v>
      </c>
      <c r="I1811" s="7" t="n">
        <v>8</v>
      </c>
      <c r="J1811" s="7" t="s">
        <v>107</v>
      </c>
      <c r="K1811" s="7" t="s">
        <v>107</v>
      </c>
      <c r="L1811" s="7"/>
      <c r="M1811" s="10" t="b">
        <f aca="false">FALSE()</f>
        <v>0</v>
      </c>
      <c r="N1811" s="7" t="s">
        <v>374</v>
      </c>
      <c r="O1811" s="7" t="n">
        <v>-32.183843</v>
      </c>
      <c r="P1811" s="7" t="n">
        <v>152.491878</v>
      </c>
    </row>
    <row r="1812" customFormat="false" ht="15" hidden="false" customHeight="false" outlineLevel="0" collapsed="false">
      <c r="A1812" s="7" t="n">
        <v>1811</v>
      </c>
      <c r="B1812" s="7" t="s">
        <v>2475</v>
      </c>
      <c r="C1812" s="7" t="s">
        <v>2476</v>
      </c>
      <c r="D1812" s="7" t="n">
        <v>2546</v>
      </c>
      <c r="E1812" s="7" t="s">
        <v>50</v>
      </c>
      <c r="F1812" s="10" t="b">
        <f aca="false">FALSE()</f>
        <v>0</v>
      </c>
      <c r="G1812" s="7" t="s">
        <v>123</v>
      </c>
      <c r="H1812" s="7" t="s">
        <v>1889</v>
      </c>
      <c r="I1812" s="7" t="n">
        <v>2</v>
      </c>
      <c r="J1812" s="7" t="s">
        <v>107</v>
      </c>
      <c r="K1812" s="7" t="s">
        <v>107</v>
      </c>
      <c r="L1812" s="7"/>
      <c r="M1812" s="10" t="b">
        <f aca="false">FALSE()</f>
        <v>0</v>
      </c>
      <c r="N1812" s="7" t="s">
        <v>399</v>
      </c>
      <c r="O1812" s="7" t="n">
        <v>-36.219204</v>
      </c>
      <c r="P1812" s="7" t="n">
        <v>150.139297</v>
      </c>
    </row>
    <row r="1813" customFormat="false" ht="15" hidden="false" customHeight="false" outlineLevel="0" collapsed="false">
      <c r="A1813" s="7" t="n">
        <v>1812</v>
      </c>
      <c r="B1813" s="7" t="s">
        <v>1939</v>
      </c>
      <c r="C1813" s="7" t="s">
        <v>2477</v>
      </c>
      <c r="D1813" s="7" t="n">
        <v>2536</v>
      </c>
      <c r="E1813" s="7" t="s">
        <v>50</v>
      </c>
      <c r="F1813" s="10" t="b">
        <f aca="false">FALSE()</f>
        <v>0</v>
      </c>
      <c r="G1813" s="7" t="s">
        <v>123</v>
      </c>
      <c r="H1813" s="7" t="s">
        <v>237</v>
      </c>
      <c r="I1813" s="7" t="n">
        <v>8</v>
      </c>
      <c r="J1813" s="7" t="s">
        <v>107</v>
      </c>
      <c r="K1813" s="7" t="s">
        <v>107</v>
      </c>
      <c r="L1813" s="7"/>
      <c r="M1813" s="10" t="b">
        <f aca="false">FALSE()</f>
        <v>0</v>
      </c>
      <c r="N1813" s="7" t="s">
        <v>374</v>
      </c>
      <c r="O1813" s="7" t="n">
        <v>-35.661631</v>
      </c>
      <c r="P1813" s="7" t="n">
        <v>150.292982</v>
      </c>
    </row>
    <row r="1814" customFormat="false" ht="15" hidden="false" customHeight="false" outlineLevel="0" collapsed="false">
      <c r="A1814" s="7" t="n">
        <v>1813</v>
      </c>
      <c r="B1814" s="7" t="s">
        <v>2478</v>
      </c>
      <c r="C1814" s="7" t="s">
        <v>2479</v>
      </c>
      <c r="D1814" s="7" t="n">
        <v>2731</v>
      </c>
      <c r="E1814" s="7" t="s">
        <v>50</v>
      </c>
      <c r="F1814" s="10" t="b">
        <f aca="false">FALSE()</f>
        <v>0</v>
      </c>
      <c r="G1814" s="7" t="s">
        <v>914</v>
      </c>
      <c r="H1814" s="7" t="s">
        <v>1748</v>
      </c>
      <c r="I1814" s="7" t="n">
        <v>2</v>
      </c>
      <c r="J1814" s="7" t="s">
        <v>107</v>
      </c>
      <c r="K1814" s="7" t="s">
        <v>107</v>
      </c>
      <c r="L1814" s="7"/>
      <c r="M1814" s="10" t="b">
        <f aca="false">FALSE()</f>
        <v>0</v>
      </c>
      <c r="N1814" s="7" t="s">
        <v>374</v>
      </c>
      <c r="O1814" s="7" t="n">
        <v>-36.097248</v>
      </c>
      <c r="P1814" s="7" t="n">
        <v>144.759055</v>
      </c>
    </row>
    <row r="1815" customFormat="false" ht="15" hidden="false" customHeight="false" outlineLevel="0" collapsed="false">
      <c r="A1815" s="7" t="n">
        <v>1814</v>
      </c>
      <c r="B1815" s="7" t="s">
        <v>2480</v>
      </c>
      <c r="C1815" s="7" t="s">
        <v>2481</v>
      </c>
      <c r="D1815" s="7" t="n">
        <v>2732</v>
      </c>
      <c r="E1815" s="7" t="s">
        <v>50</v>
      </c>
      <c r="F1815" s="10" t="b">
        <f aca="false">FALSE()</f>
        <v>0</v>
      </c>
      <c r="G1815" s="7" t="s">
        <v>914</v>
      </c>
      <c r="H1815" s="7" t="s">
        <v>1889</v>
      </c>
      <c r="I1815" s="7" t="n">
        <v>2</v>
      </c>
      <c r="J1815" s="7" t="s">
        <v>107</v>
      </c>
      <c r="K1815" s="7" t="s">
        <v>107</v>
      </c>
      <c r="L1815" s="7"/>
      <c r="M1815" s="10" t="b">
        <f aca="false">FALSE()</f>
        <v>0</v>
      </c>
      <c r="N1815" s="7" t="s">
        <v>399</v>
      </c>
      <c r="O1815" s="7" t="n">
        <v>-35.629145</v>
      </c>
      <c r="P1815" s="7" t="n">
        <v>144.124311</v>
      </c>
    </row>
    <row r="1816" customFormat="false" ht="15" hidden="false" customHeight="false" outlineLevel="0" collapsed="false">
      <c r="A1816" s="7" t="n">
        <v>1815</v>
      </c>
      <c r="B1816" s="7"/>
      <c r="C1816" s="7" t="s">
        <v>2482</v>
      </c>
      <c r="D1816" s="7" t="n">
        <v>2031</v>
      </c>
      <c r="E1816" s="7" t="s">
        <v>50</v>
      </c>
      <c r="F1816" s="10" t="b">
        <f aca="false">FALSE()</f>
        <v>0</v>
      </c>
      <c r="G1816" s="7" t="s">
        <v>355</v>
      </c>
      <c r="H1816" s="7" t="s">
        <v>302</v>
      </c>
      <c r="I1816" s="7" t="n">
        <v>2</v>
      </c>
      <c r="J1816" s="7" t="s">
        <v>107</v>
      </c>
      <c r="K1816" s="7" t="s">
        <v>108</v>
      </c>
      <c r="L1816" s="7" t="n">
        <v>22</v>
      </c>
      <c r="M1816" s="10" t="b">
        <f aca="false">FALSE()</f>
        <v>0</v>
      </c>
      <c r="N1816" s="7" t="s">
        <v>557</v>
      </c>
      <c r="O1816" s="7" t="n">
        <v>-33.906092</v>
      </c>
      <c r="P1816" s="7" t="n">
        <v>151.232138</v>
      </c>
    </row>
    <row r="1817" customFormat="false" ht="15" hidden="false" customHeight="false" outlineLevel="0" collapsed="false">
      <c r="A1817" s="7" t="n">
        <v>1816</v>
      </c>
      <c r="B1817" s="7"/>
      <c r="C1817" s="7" t="s">
        <v>2483</v>
      </c>
      <c r="D1817" s="7" t="n">
        <v>2039</v>
      </c>
      <c r="E1817" s="7" t="s">
        <v>50</v>
      </c>
      <c r="F1817" s="10" t="b">
        <f aca="false">FALSE()</f>
        <v>0</v>
      </c>
      <c r="G1817" s="7" t="s">
        <v>410</v>
      </c>
      <c r="H1817" s="7" t="s">
        <v>302</v>
      </c>
      <c r="I1817" s="7" t="n">
        <v>2</v>
      </c>
      <c r="J1817" s="7" t="s">
        <v>107</v>
      </c>
      <c r="K1817" s="7" t="s">
        <v>108</v>
      </c>
      <c r="L1817" s="7" t="n">
        <v>22</v>
      </c>
      <c r="M1817" s="10" t="b">
        <f aca="false">FALSE()</f>
        <v>0</v>
      </c>
      <c r="N1817" s="7" t="s">
        <v>557</v>
      </c>
      <c r="O1817" s="7" t="n">
        <v>-33.865873</v>
      </c>
      <c r="P1817" s="7" t="n">
        <v>151.167777</v>
      </c>
    </row>
    <row r="1818" customFormat="false" ht="15" hidden="false" customHeight="false" outlineLevel="0" collapsed="false">
      <c r="A1818" s="7" t="n">
        <v>1817</v>
      </c>
      <c r="B1818" s="7" t="s">
        <v>2003</v>
      </c>
      <c r="C1818" s="7" t="s">
        <v>2484</v>
      </c>
      <c r="D1818" s="7" t="n">
        <v>2281</v>
      </c>
      <c r="E1818" s="7" t="s">
        <v>50</v>
      </c>
      <c r="F1818" s="10" t="b">
        <f aca="false">FALSE()</f>
        <v>0</v>
      </c>
      <c r="G1818" s="7" t="s">
        <v>377</v>
      </c>
      <c r="H1818" s="7" t="s">
        <v>252</v>
      </c>
      <c r="I1818" s="7" t="n">
        <v>4</v>
      </c>
      <c r="J1818" s="7" t="s">
        <v>107</v>
      </c>
      <c r="K1818" s="7" t="s">
        <v>107</v>
      </c>
      <c r="L1818" s="7"/>
      <c r="M1818" s="10" t="b">
        <f aca="false">FALSE()</f>
        <v>0</v>
      </c>
      <c r="N1818" s="7" t="s">
        <v>374</v>
      </c>
      <c r="O1818" s="7" t="n">
        <v>-33.074543</v>
      </c>
      <c r="P1818" s="7" t="n">
        <v>151.634781</v>
      </c>
    </row>
    <row r="1819" customFormat="false" ht="15" hidden="false" customHeight="false" outlineLevel="0" collapsed="false">
      <c r="A1819" s="7" t="n">
        <v>1818</v>
      </c>
      <c r="B1819" s="7"/>
      <c r="C1819" s="7" t="s">
        <v>2485</v>
      </c>
      <c r="D1819" s="7" t="n">
        <v>2026</v>
      </c>
      <c r="E1819" s="7" t="s">
        <v>50</v>
      </c>
      <c r="F1819" s="10" t="b">
        <f aca="false">FALSE()</f>
        <v>0</v>
      </c>
      <c r="G1819" s="7" t="s">
        <v>295</v>
      </c>
      <c r="H1819" s="7" t="s">
        <v>1371</v>
      </c>
      <c r="I1819" s="7" t="n">
        <v>1</v>
      </c>
      <c r="J1819" s="7" t="s">
        <v>107</v>
      </c>
      <c r="K1819" s="7" t="s">
        <v>108</v>
      </c>
      <c r="L1819" s="7" t="n">
        <v>22</v>
      </c>
      <c r="M1819" s="10" t="b">
        <f aca="false">FALSE()</f>
        <v>0</v>
      </c>
      <c r="N1819" s="7" t="s">
        <v>557</v>
      </c>
      <c r="O1819" s="7" t="n">
        <v>-33.896565</v>
      </c>
      <c r="P1819" s="7" t="n">
        <v>151.260795</v>
      </c>
    </row>
    <row r="1820" customFormat="false" ht="15" hidden="false" customHeight="false" outlineLevel="0" collapsed="false">
      <c r="A1820" s="7" t="n">
        <v>1819</v>
      </c>
      <c r="B1820" s="7" t="s">
        <v>2486</v>
      </c>
      <c r="C1820" s="7" t="s">
        <v>2487</v>
      </c>
      <c r="D1820" s="7" t="n">
        <v>2672</v>
      </c>
      <c r="E1820" s="7" t="s">
        <v>50</v>
      </c>
      <c r="F1820" s="10" t="b">
        <f aca="false">FALSE()</f>
        <v>0</v>
      </c>
      <c r="G1820" s="7" t="s">
        <v>896</v>
      </c>
      <c r="H1820" s="7" t="s">
        <v>260</v>
      </c>
      <c r="I1820" s="7" t="n">
        <v>2</v>
      </c>
      <c r="J1820" s="7" t="s">
        <v>107</v>
      </c>
      <c r="K1820" s="7" t="s">
        <v>107</v>
      </c>
      <c r="L1820" s="7"/>
      <c r="M1820" s="10" t="b">
        <f aca="false">FALSE()</f>
        <v>0</v>
      </c>
      <c r="N1820" s="7" t="s">
        <v>399</v>
      </c>
      <c r="O1820" s="7" t="n">
        <v>-33.297815</v>
      </c>
      <c r="P1820" s="7" t="n">
        <v>146.376197</v>
      </c>
    </row>
    <row r="1821" customFormat="false" ht="15" hidden="false" customHeight="false" outlineLevel="0" collapsed="false">
      <c r="A1821" s="7" t="n">
        <v>1820</v>
      </c>
      <c r="B1821" s="7" t="s">
        <v>2488</v>
      </c>
      <c r="C1821" s="7" t="s">
        <v>2489</v>
      </c>
      <c r="D1821" s="7" t="n">
        <v>2710</v>
      </c>
      <c r="E1821" s="7" t="s">
        <v>50</v>
      </c>
      <c r="F1821" s="10" t="b">
        <f aca="false">FALSE()</f>
        <v>0</v>
      </c>
      <c r="G1821" s="7" t="s">
        <v>262</v>
      </c>
      <c r="H1821" s="7" t="s">
        <v>237</v>
      </c>
      <c r="I1821" s="7" t="n">
        <v>4</v>
      </c>
      <c r="J1821" s="7" t="s">
        <v>107</v>
      </c>
      <c r="K1821" s="7" t="s">
        <v>107</v>
      </c>
      <c r="L1821" s="7"/>
      <c r="M1821" s="10" t="b">
        <f aca="false">FALSE()</f>
        <v>0</v>
      </c>
      <c r="N1821" s="7" t="s">
        <v>399</v>
      </c>
      <c r="O1821" s="7" t="n">
        <v>-35.536851</v>
      </c>
      <c r="P1821" s="7" t="n">
        <v>144.973721</v>
      </c>
    </row>
    <row r="1822" customFormat="false" ht="15" hidden="false" customHeight="false" outlineLevel="0" collapsed="false">
      <c r="A1822" s="7" t="n">
        <v>1821</v>
      </c>
      <c r="B1822" s="7" t="s">
        <v>2490</v>
      </c>
      <c r="C1822" s="7" t="s">
        <v>2491</v>
      </c>
      <c r="D1822" s="7" t="n">
        <v>2647</v>
      </c>
      <c r="E1822" s="7" t="s">
        <v>50</v>
      </c>
      <c r="F1822" s="10" t="b">
        <f aca="false">FALSE()</f>
        <v>0</v>
      </c>
      <c r="G1822" s="7" t="s">
        <v>477</v>
      </c>
      <c r="H1822" s="7" t="s">
        <v>1862</v>
      </c>
      <c r="I1822" s="7" t="n">
        <v>2</v>
      </c>
      <c r="J1822" s="7" t="s">
        <v>107</v>
      </c>
      <c r="K1822" s="7" t="s">
        <v>107</v>
      </c>
      <c r="L1822" s="7"/>
      <c r="M1822" s="10" t="b">
        <f aca="false">FALSE()</f>
        <v>0</v>
      </c>
      <c r="N1822" s="7" t="s">
        <v>399</v>
      </c>
      <c r="O1822" s="7" t="n">
        <v>-36.004909</v>
      </c>
      <c r="P1822" s="7" t="n">
        <v>145.994038</v>
      </c>
    </row>
    <row r="1823" customFormat="false" ht="15" hidden="false" customHeight="false" outlineLevel="0" collapsed="false">
      <c r="A1823" s="7" t="n">
        <v>1822</v>
      </c>
      <c r="B1823" s="7"/>
      <c r="C1823" s="7" t="s">
        <v>2492</v>
      </c>
      <c r="D1823" s="7" t="n">
        <v>2034</v>
      </c>
      <c r="E1823" s="7" t="s">
        <v>50</v>
      </c>
      <c r="F1823" s="10" t="b">
        <f aca="false">FALSE()</f>
        <v>0</v>
      </c>
      <c r="G1823" s="7" t="s">
        <v>355</v>
      </c>
      <c r="H1823" s="7" t="s">
        <v>302</v>
      </c>
      <c r="I1823" s="7" t="n">
        <v>2</v>
      </c>
      <c r="J1823" s="7" t="s">
        <v>107</v>
      </c>
      <c r="K1823" s="7" t="s">
        <v>108</v>
      </c>
      <c r="L1823" s="7" t="n">
        <v>22</v>
      </c>
      <c r="M1823" s="10" t="b">
        <f aca="false">FALSE()</f>
        <v>0</v>
      </c>
      <c r="N1823" s="7" t="s">
        <v>557</v>
      </c>
      <c r="O1823" s="7" t="n">
        <v>-33.929821</v>
      </c>
      <c r="P1823" s="7" t="n">
        <v>151.255909</v>
      </c>
    </row>
    <row r="1824" customFormat="false" ht="15" hidden="false" customHeight="false" outlineLevel="0" collapsed="false">
      <c r="A1824" s="7" t="n">
        <v>1823</v>
      </c>
      <c r="B1824" s="7" t="s">
        <v>2493</v>
      </c>
      <c r="C1824" s="7" t="s">
        <v>2494</v>
      </c>
      <c r="D1824" s="7" t="n">
        <v>2481</v>
      </c>
      <c r="E1824" s="7" t="s">
        <v>50</v>
      </c>
      <c r="F1824" s="10" t="b">
        <f aca="false">FALSE()</f>
        <v>0</v>
      </c>
      <c r="G1824" s="7" t="s">
        <v>82</v>
      </c>
      <c r="H1824" s="7" t="s">
        <v>237</v>
      </c>
      <c r="I1824" s="7" t="n">
        <v>2</v>
      </c>
      <c r="J1824" s="7" t="s">
        <v>107</v>
      </c>
      <c r="K1824" s="7" t="s">
        <v>107</v>
      </c>
      <c r="L1824" s="7"/>
      <c r="M1824" s="10" t="b">
        <f aca="false">FALSE()</f>
        <v>0</v>
      </c>
      <c r="N1824" s="7" t="s">
        <v>399</v>
      </c>
      <c r="O1824" s="7" t="n">
        <v>-28.640647</v>
      </c>
      <c r="P1824" s="7" t="n">
        <v>153.612963</v>
      </c>
    </row>
    <row r="1825" customFormat="false" ht="15" hidden="false" customHeight="false" outlineLevel="0" collapsed="false">
      <c r="A1825" s="7" t="n">
        <v>1824</v>
      </c>
      <c r="B1825" s="7"/>
      <c r="C1825" s="7" t="s">
        <v>2495</v>
      </c>
      <c r="D1825" s="7" t="n">
        <v>2795</v>
      </c>
      <c r="E1825" s="7" t="s">
        <v>50</v>
      </c>
      <c r="F1825" s="10" t="b">
        <f aca="false">FALSE()</f>
        <v>0</v>
      </c>
      <c r="G1825" s="7" t="s">
        <v>75</v>
      </c>
      <c r="H1825" s="7" t="s">
        <v>239</v>
      </c>
      <c r="I1825" s="7" t="n">
        <v>12</v>
      </c>
      <c r="J1825" s="7" t="s">
        <v>71</v>
      </c>
      <c r="K1825" s="7" t="s">
        <v>242</v>
      </c>
      <c r="L1825" s="7" t="n">
        <v>130</v>
      </c>
      <c r="M1825" s="10" t="b">
        <f aca="false">FALSE()</f>
        <v>0</v>
      </c>
      <c r="N1825" s="7" t="s">
        <v>76</v>
      </c>
      <c r="O1825" s="7" t="n">
        <v>-33.41901</v>
      </c>
      <c r="P1825" s="7" t="n">
        <v>149.586757</v>
      </c>
    </row>
    <row r="1826" customFormat="false" ht="15" hidden="false" customHeight="false" outlineLevel="0" collapsed="false">
      <c r="A1826" s="7" t="n">
        <v>1825</v>
      </c>
      <c r="B1826" s="7"/>
      <c r="C1826" s="7" t="s">
        <v>2496</v>
      </c>
      <c r="D1826" s="7" t="n">
        <v>2031</v>
      </c>
      <c r="E1826" s="7" t="s">
        <v>50</v>
      </c>
      <c r="F1826" s="10" t="b">
        <f aca="false">FALSE()</f>
        <v>0</v>
      </c>
      <c r="G1826" s="7" t="s">
        <v>355</v>
      </c>
      <c r="H1826" s="7" t="s">
        <v>302</v>
      </c>
      <c r="I1826" s="7" t="n">
        <v>2</v>
      </c>
      <c r="J1826" s="7" t="s">
        <v>107</v>
      </c>
      <c r="K1826" s="7" t="s">
        <v>108</v>
      </c>
      <c r="L1826" s="7" t="n">
        <v>22</v>
      </c>
      <c r="M1826" s="10" t="b">
        <f aca="false">FALSE()</f>
        <v>0</v>
      </c>
      <c r="N1826" s="7" t="s">
        <v>557</v>
      </c>
      <c r="O1826" s="7" t="n">
        <v>-33.916929</v>
      </c>
      <c r="P1826" s="7" t="n">
        <v>151.241528</v>
      </c>
    </row>
    <row r="1827" customFormat="false" ht="15" hidden="false" customHeight="false" outlineLevel="0" collapsed="false">
      <c r="A1827" s="7" t="n">
        <v>1826</v>
      </c>
      <c r="B1827" s="7" t="s">
        <v>1939</v>
      </c>
      <c r="C1827" s="7" t="s">
        <v>2497</v>
      </c>
      <c r="D1827" s="7" t="n">
        <v>2444</v>
      </c>
      <c r="E1827" s="7" t="s">
        <v>50</v>
      </c>
      <c r="F1827" s="10" t="b">
        <f aca="false">FALSE()</f>
        <v>0</v>
      </c>
      <c r="G1827" s="7" t="s">
        <v>135</v>
      </c>
      <c r="H1827" s="7" t="s">
        <v>237</v>
      </c>
      <c r="I1827" s="7" t="n">
        <v>8</v>
      </c>
      <c r="J1827" s="7" t="s">
        <v>107</v>
      </c>
      <c r="K1827" s="7" t="s">
        <v>107</v>
      </c>
      <c r="L1827" s="7"/>
      <c r="M1827" s="10" t="b">
        <f aca="false">FALSE()</f>
        <v>0</v>
      </c>
      <c r="N1827" s="7" t="s">
        <v>374</v>
      </c>
      <c r="O1827" s="7" t="n">
        <v>-31.427516</v>
      </c>
      <c r="P1827" s="7" t="n">
        <v>152.910513</v>
      </c>
    </row>
    <row r="1828" customFormat="false" ht="15" hidden="false" customHeight="false" outlineLevel="0" collapsed="false">
      <c r="A1828" s="7" t="n">
        <v>1827</v>
      </c>
      <c r="B1828" s="7" t="s">
        <v>2498</v>
      </c>
      <c r="C1828" s="7" t="s">
        <v>2499</v>
      </c>
      <c r="D1828" s="7" t="n">
        <v>2448</v>
      </c>
      <c r="E1828" s="7" t="s">
        <v>50</v>
      </c>
      <c r="F1828" s="10" t="b">
        <f aca="false">FALSE()</f>
        <v>0</v>
      </c>
      <c r="G1828" s="7" t="s">
        <v>562</v>
      </c>
      <c r="H1828" s="7" t="s">
        <v>230</v>
      </c>
      <c r="I1828" s="7" t="n">
        <v>4</v>
      </c>
      <c r="J1828" s="7" t="s">
        <v>107</v>
      </c>
      <c r="K1828" s="7" t="s">
        <v>107</v>
      </c>
      <c r="L1828" s="7"/>
      <c r="M1828" s="10" t="b">
        <f aca="false">FALSE()</f>
        <v>0</v>
      </c>
      <c r="N1828" s="7" t="s">
        <v>399</v>
      </c>
      <c r="O1828" s="7" t="n">
        <v>-30.645444</v>
      </c>
      <c r="P1828" s="7" t="n">
        <v>153.003486</v>
      </c>
    </row>
    <row r="1829" customFormat="false" ht="15" hidden="false" customHeight="false" outlineLevel="0" collapsed="false">
      <c r="A1829" s="7" t="n">
        <v>1828</v>
      </c>
      <c r="B1829" s="7" t="s">
        <v>2500</v>
      </c>
      <c r="C1829" s="7" t="s">
        <v>2501</v>
      </c>
      <c r="D1829" s="7" t="n">
        <v>2627</v>
      </c>
      <c r="E1829" s="7" t="s">
        <v>50</v>
      </c>
      <c r="F1829" s="10" t="b">
        <f aca="false">FALSE()</f>
        <v>0</v>
      </c>
      <c r="G1829" s="7" t="s">
        <v>177</v>
      </c>
      <c r="H1829" s="7" t="s">
        <v>260</v>
      </c>
      <c r="I1829" s="7" t="n">
        <v>4</v>
      </c>
      <c r="J1829" s="7" t="s">
        <v>107</v>
      </c>
      <c r="K1829" s="7" t="s">
        <v>107</v>
      </c>
      <c r="L1829" s="7"/>
      <c r="M1829" s="10" t="b">
        <f aca="false">FALSE()</f>
        <v>0</v>
      </c>
      <c r="N1829" s="7" t="s">
        <v>399</v>
      </c>
      <c r="O1829" s="7" t="n">
        <v>-36.418007</v>
      </c>
      <c r="P1829" s="7" t="n">
        <v>148.609211</v>
      </c>
    </row>
    <row r="1830" customFormat="false" ht="15" hidden="false" customHeight="false" outlineLevel="0" collapsed="false">
      <c r="A1830" s="7" t="n">
        <v>1829</v>
      </c>
      <c r="B1830" s="7" t="s">
        <v>2502</v>
      </c>
      <c r="C1830" s="7" t="s">
        <v>2503</v>
      </c>
      <c r="D1830" s="7" t="n">
        <v>2539</v>
      </c>
      <c r="E1830" s="7" t="s">
        <v>50</v>
      </c>
      <c r="F1830" s="10" t="b">
        <f aca="false">FALSE()</f>
        <v>0</v>
      </c>
      <c r="G1830" s="7" t="s">
        <v>92</v>
      </c>
      <c r="H1830" s="7" t="s">
        <v>260</v>
      </c>
      <c r="I1830" s="7" t="n">
        <v>4</v>
      </c>
      <c r="J1830" s="7" t="s">
        <v>107</v>
      </c>
      <c r="K1830" s="7" t="s">
        <v>107</v>
      </c>
      <c r="L1830" s="7"/>
      <c r="M1830" s="10" t="b">
        <f aca="false">FALSE()</f>
        <v>0</v>
      </c>
      <c r="N1830" s="7" t="s">
        <v>399</v>
      </c>
      <c r="O1830" s="7" t="n">
        <v>-35.266684</v>
      </c>
      <c r="P1830" s="7" t="n">
        <v>150.476904</v>
      </c>
    </row>
    <row r="1831" customFormat="false" ht="15" hidden="false" customHeight="false" outlineLevel="0" collapsed="false">
      <c r="A1831" s="7" t="n">
        <v>1830</v>
      </c>
      <c r="B1831" s="7"/>
      <c r="C1831" s="7" t="s">
        <v>2504</v>
      </c>
      <c r="D1831" s="7" t="n">
        <v>2151</v>
      </c>
      <c r="E1831" s="7" t="s">
        <v>50</v>
      </c>
      <c r="F1831" s="10" t="b">
        <f aca="false">FALSE()</f>
        <v>0</v>
      </c>
      <c r="G1831" s="7" t="s">
        <v>202</v>
      </c>
      <c r="H1831" s="7" t="s">
        <v>237</v>
      </c>
      <c r="I1831" s="7" t="n">
        <v>4</v>
      </c>
      <c r="J1831" s="7" t="s">
        <v>107</v>
      </c>
      <c r="K1831" s="7" t="s">
        <v>277</v>
      </c>
      <c r="L1831" s="7" t="n">
        <v>6</v>
      </c>
      <c r="M1831" s="10" t="b">
        <f aca="false">FALSE()</f>
        <v>0</v>
      </c>
      <c r="N1831" s="7" t="s">
        <v>109</v>
      </c>
      <c r="O1831" s="7" t="n">
        <v>-33.792867</v>
      </c>
      <c r="P1831" s="7" t="n">
        <v>150.999556</v>
      </c>
    </row>
    <row r="1832" customFormat="false" ht="15" hidden="false" customHeight="false" outlineLevel="0" collapsed="false">
      <c r="A1832" s="7" t="n">
        <v>1831</v>
      </c>
      <c r="B1832" s="7"/>
      <c r="C1832" s="7" t="s">
        <v>2505</v>
      </c>
      <c r="D1832" s="7" t="n">
        <v>2627</v>
      </c>
      <c r="E1832" s="7" t="s">
        <v>50</v>
      </c>
      <c r="F1832" s="10" t="b">
        <f aca="false">FALSE()</f>
        <v>0</v>
      </c>
      <c r="G1832" s="7" t="s">
        <v>177</v>
      </c>
      <c r="H1832" s="7" t="s">
        <v>260</v>
      </c>
      <c r="I1832" s="7" t="n">
        <v>2</v>
      </c>
      <c r="J1832" s="7" t="s">
        <v>107</v>
      </c>
      <c r="K1832" s="7" t="s">
        <v>107</v>
      </c>
      <c r="L1832" s="7"/>
      <c r="M1832" s="10" t="b">
        <f aca="false">FALSE()</f>
        <v>0</v>
      </c>
      <c r="N1832" s="7" t="s">
        <v>374</v>
      </c>
      <c r="O1832" s="7" t="n">
        <v>-36.450988</v>
      </c>
      <c r="P1832" s="7" t="n">
        <v>148.494399</v>
      </c>
    </row>
    <row r="1833" customFormat="false" ht="15" hidden="false" customHeight="false" outlineLevel="0" collapsed="false">
      <c r="A1833" s="7" t="n">
        <v>1832</v>
      </c>
      <c r="B1833" s="7" t="s">
        <v>2506</v>
      </c>
      <c r="C1833" s="7" t="s">
        <v>2507</v>
      </c>
      <c r="D1833" s="7" t="n">
        <v>2539</v>
      </c>
      <c r="E1833" s="7" t="s">
        <v>50</v>
      </c>
      <c r="F1833" s="10" t="b">
        <f aca="false">FALSE()</f>
        <v>0</v>
      </c>
      <c r="G1833" s="7" t="s">
        <v>92</v>
      </c>
      <c r="H1833" s="7" t="s">
        <v>1786</v>
      </c>
      <c r="I1833" s="7" t="n">
        <v>2</v>
      </c>
      <c r="J1833" s="7" t="s">
        <v>107</v>
      </c>
      <c r="K1833" s="7" t="s">
        <v>107</v>
      </c>
      <c r="L1833" s="7"/>
      <c r="M1833" s="10" t="b">
        <f aca="false">FALSE()</f>
        <v>0</v>
      </c>
      <c r="N1833" s="7" t="s">
        <v>399</v>
      </c>
      <c r="O1833" s="7" t="n">
        <v>-35.386747</v>
      </c>
      <c r="P1833" s="7" t="n">
        <v>150.450108</v>
      </c>
    </row>
    <row r="1834" customFormat="false" ht="15" hidden="false" customHeight="false" outlineLevel="0" collapsed="false">
      <c r="A1834" s="7" t="n">
        <v>1833</v>
      </c>
      <c r="B1834" s="7"/>
      <c r="C1834" s="7" t="s">
        <v>2508</v>
      </c>
      <c r="D1834" s="7" t="n">
        <v>2204</v>
      </c>
      <c r="E1834" s="7" t="s">
        <v>50</v>
      </c>
      <c r="F1834" s="10" t="b">
        <f aca="false">FALSE()</f>
        <v>0</v>
      </c>
      <c r="G1834" s="7" t="s">
        <v>410</v>
      </c>
      <c r="H1834" s="7" t="s">
        <v>302</v>
      </c>
      <c r="I1834" s="7" t="n">
        <v>2</v>
      </c>
      <c r="J1834" s="7" t="s">
        <v>107</v>
      </c>
      <c r="K1834" s="7" t="s">
        <v>108</v>
      </c>
      <c r="L1834" s="7" t="n">
        <v>22</v>
      </c>
      <c r="M1834" s="10" t="b">
        <f aca="false">FALSE()</f>
        <v>0</v>
      </c>
      <c r="N1834" s="7" t="s">
        <v>557</v>
      </c>
      <c r="O1834" s="7" t="n">
        <v>-33.90589</v>
      </c>
      <c r="P1834" s="7" t="n">
        <v>151.165003</v>
      </c>
    </row>
    <row r="1835" customFormat="false" ht="15" hidden="false" customHeight="false" outlineLevel="0" collapsed="false">
      <c r="A1835" s="7" t="n">
        <v>1834</v>
      </c>
      <c r="B1835" s="7"/>
      <c r="C1835" s="7" t="s">
        <v>2509</v>
      </c>
      <c r="D1835" s="7" t="n">
        <v>2093</v>
      </c>
      <c r="E1835" s="7" t="s">
        <v>50</v>
      </c>
      <c r="F1835" s="10" t="b">
        <f aca="false">FALSE()</f>
        <v>0</v>
      </c>
      <c r="G1835" s="7" t="s">
        <v>286</v>
      </c>
      <c r="H1835" s="7" t="s">
        <v>302</v>
      </c>
      <c r="I1835" s="7" t="n">
        <v>2</v>
      </c>
      <c r="J1835" s="7" t="s">
        <v>107</v>
      </c>
      <c r="K1835" s="7" t="s">
        <v>108</v>
      </c>
      <c r="L1835" s="7" t="n">
        <v>22</v>
      </c>
      <c r="M1835" s="10" t="b">
        <f aca="false">FALSE()</f>
        <v>0</v>
      </c>
      <c r="N1835" s="7" t="s">
        <v>557</v>
      </c>
      <c r="O1835" s="7" t="n">
        <v>-33.80467</v>
      </c>
      <c r="P1835" s="7" t="n">
        <v>151.25284</v>
      </c>
    </row>
    <row r="1836" customFormat="false" ht="15" hidden="false" customHeight="false" outlineLevel="0" collapsed="false">
      <c r="A1836" s="7" t="n">
        <v>1835</v>
      </c>
      <c r="B1836" s="7" t="s">
        <v>2510</v>
      </c>
      <c r="C1836" s="7" t="s">
        <v>2511</v>
      </c>
      <c r="D1836" s="7" t="n">
        <v>2477</v>
      </c>
      <c r="E1836" s="7" t="s">
        <v>50</v>
      </c>
      <c r="F1836" s="10" t="b">
        <f aca="false">FALSE()</f>
        <v>0</v>
      </c>
      <c r="G1836" s="7" t="s">
        <v>495</v>
      </c>
      <c r="H1836" s="7" t="s">
        <v>1748</v>
      </c>
      <c r="I1836" s="7" t="n">
        <v>1</v>
      </c>
      <c r="J1836" s="7" t="s">
        <v>107</v>
      </c>
      <c r="K1836" s="7" t="s">
        <v>107</v>
      </c>
      <c r="L1836" s="7"/>
      <c r="M1836" s="10" t="b">
        <f aca="false">FALSE()</f>
        <v>0</v>
      </c>
      <c r="N1836" s="7" t="s">
        <v>399</v>
      </c>
      <c r="O1836" s="7" t="n">
        <v>-28.829257</v>
      </c>
      <c r="P1836" s="7" t="n">
        <v>153.421044</v>
      </c>
    </row>
    <row r="1837" customFormat="false" ht="15" hidden="false" customHeight="false" outlineLevel="0" collapsed="false">
      <c r="A1837" s="7" t="n">
        <v>1836</v>
      </c>
      <c r="B1837" s="7"/>
      <c r="C1837" s="7" t="s">
        <v>2512</v>
      </c>
      <c r="D1837" s="7" t="n">
        <v>2049</v>
      </c>
      <c r="E1837" s="7" t="s">
        <v>50</v>
      </c>
      <c r="F1837" s="10" t="b">
        <f aca="false">FALSE()</f>
        <v>0</v>
      </c>
      <c r="G1837" s="7" t="s">
        <v>410</v>
      </c>
      <c r="H1837" s="7" t="s">
        <v>556</v>
      </c>
      <c r="I1837" s="7" t="n">
        <v>2</v>
      </c>
      <c r="J1837" s="7" t="s">
        <v>107</v>
      </c>
      <c r="K1837" s="7" t="s">
        <v>108</v>
      </c>
      <c r="L1837" s="7" t="n">
        <v>22</v>
      </c>
      <c r="M1837" s="10" t="b">
        <f aca="false">FALSE()</f>
        <v>0</v>
      </c>
      <c r="N1837" s="7" t="s">
        <v>557</v>
      </c>
      <c r="O1837" s="7" t="n">
        <v>-33.892023</v>
      </c>
      <c r="P1837" s="7" t="n">
        <v>151.15179</v>
      </c>
    </row>
    <row r="1838" customFormat="false" ht="15" hidden="false" customHeight="false" outlineLevel="0" collapsed="false">
      <c r="A1838" s="7" t="n">
        <v>1837</v>
      </c>
      <c r="B1838" s="7" t="s">
        <v>2513</v>
      </c>
      <c r="C1838" s="7" t="s">
        <v>2514</v>
      </c>
      <c r="D1838" s="7" t="n">
        <v>2283</v>
      </c>
      <c r="E1838" s="7" t="s">
        <v>50</v>
      </c>
      <c r="F1838" s="10" t="b">
        <f aca="false">FALSE()</f>
        <v>0</v>
      </c>
      <c r="G1838" s="7" t="s">
        <v>377</v>
      </c>
      <c r="H1838" s="7" t="s">
        <v>1748</v>
      </c>
      <c r="I1838" s="7" t="n">
        <v>2</v>
      </c>
      <c r="J1838" s="7" t="s">
        <v>107</v>
      </c>
      <c r="K1838" s="7" t="s">
        <v>107</v>
      </c>
      <c r="L1838" s="7"/>
      <c r="M1838" s="10" t="b">
        <f aca="false">FALSE()</f>
        <v>0</v>
      </c>
      <c r="N1838" s="7" t="s">
        <v>399</v>
      </c>
      <c r="O1838" s="7" t="n">
        <v>-33.039877</v>
      </c>
      <c r="P1838" s="7" t="n">
        <v>151.597824</v>
      </c>
    </row>
    <row r="1839" customFormat="false" ht="15" hidden="false" customHeight="false" outlineLevel="0" collapsed="false">
      <c r="A1839" s="7" t="n">
        <v>1838</v>
      </c>
      <c r="B1839" s="7" t="s">
        <v>2515</v>
      </c>
      <c r="C1839" s="7" t="s">
        <v>2516</v>
      </c>
      <c r="D1839" s="7" t="n">
        <v>2850</v>
      </c>
      <c r="E1839" s="7" t="s">
        <v>50</v>
      </c>
      <c r="F1839" s="10" t="b">
        <f aca="false">FALSE()</f>
        <v>0</v>
      </c>
      <c r="G1839" s="7" t="s">
        <v>199</v>
      </c>
      <c r="H1839" s="7" t="s">
        <v>260</v>
      </c>
      <c r="I1839" s="7" t="n">
        <v>4</v>
      </c>
      <c r="J1839" s="7" t="s">
        <v>107</v>
      </c>
      <c r="K1839" s="7" t="s">
        <v>107</v>
      </c>
      <c r="L1839" s="7"/>
      <c r="M1839" s="10" t="b">
        <f aca="false">FALSE()</f>
        <v>0</v>
      </c>
      <c r="N1839" s="7" t="s">
        <v>399</v>
      </c>
      <c r="O1839" s="7" t="n">
        <v>-32.601387</v>
      </c>
      <c r="P1839" s="7" t="n">
        <v>149.597548</v>
      </c>
    </row>
    <row r="1840" customFormat="false" ht="15" hidden="false" customHeight="false" outlineLevel="0" collapsed="false">
      <c r="A1840" s="7" t="n">
        <v>1839</v>
      </c>
      <c r="B1840" s="7"/>
      <c r="C1840" s="7" t="s">
        <v>2517</v>
      </c>
      <c r="D1840" s="7" t="n">
        <v>2652</v>
      </c>
      <c r="E1840" s="7" t="s">
        <v>50</v>
      </c>
      <c r="F1840" s="10" t="b">
        <f aca="false">FALSE()</f>
        <v>0</v>
      </c>
      <c r="G1840" s="7" t="s">
        <v>147</v>
      </c>
      <c r="H1840" s="7" t="s">
        <v>233</v>
      </c>
      <c r="I1840" s="7" t="n">
        <v>6</v>
      </c>
      <c r="J1840" s="7" t="s">
        <v>71</v>
      </c>
      <c r="K1840" s="7" t="s">
        <v>117</v>
      </c>
      <c r="L1840" s="7" t="n">
        <v>175</v>
      </c>
      <c r="M1840" s="10" t="b">
        <f aca="false">FALSE()</f>
        <v>0</v>
      </c>
      <c r="N1840" s="7" t="s">
        <v>118</v>
      </c>
      <c r="O1840" s="7" t="n">
        <v>-35.126213</v>
      </c>
      <c r="P1840" s="7" t="n">
        <v>147.420924</v>
      </c>
    </row>
    <row r="1841" customFormat="false" ht="15" hidden="false" customHeight="false" outlineLevel="0" collapsed="false">
      <c r="A1841" s="7" t="n">
        <v>1840</v>
      </c>
      <c r="B1841" s="7" t="s">
        <v>2518</v>
      </c>
      <c r="C1841" s="7" t="s">
        <v>2519</v>
      </c>
      <c r="D1841" s="7" t="n">
        <v>2315</v>
      </c>
      <c r="E1841" s="7" t="s">
        <v>50</v>
      </c>
      <c r="F1841" s="10" t="b">
        <f aca="false">FALSE()</f>
        <v>0</v>
      </c>
      <c r="G1841" s="7" t="s">
        <v>309</v>
      </c>
      <c r="H1841" s="7" t="s">
        <v>1795</v>
      </c>
      <c r="I1841" s="7" t="n">
        <v>2</v>
      </c>
      <c r="J1841" s="7" t="s">
        <v>107</v>
      </c>
      <c r="K1841" s="7" t="s">
        <v>107</v>
      </c>
      <c r="L1841" s="7"/>
      <c r="M1841" s="10" t="b">
        <f aca="false">FALSE()</f>
        <v>0</v>
      </c>
      <c r="N1841" s="7" t="s">
        <v>399</v>
      </c>
      <c r="O1841" s="7" t="n">
        <v>-32.717082</v>
      </c>
      <c r="P1841" s="7" t="n">
        <v>152.152922</v>
      </c>
    </row>
    <row r="1842" customFormat="false" ht="15" hidden="false" customHeight="false" outlineLevel="0" collapsed="false">
      <c r="A1842" s="7" t="n">
        <v>1841</v>
      </c>
      <c r="B1842" s="7" t="s">
        <v>801</v>
      </c>
      <c r="C1842" s="7" t="s">
        <v>2520</v>
      </c>
      <c r="D1842" s="7" t="n">
        <v>2476</v>
      </c>
      <c r="E1842" s="7" t="s">
        <v>50</v>
      </c>
      <c r="F1842" s="10" t="b">
        <f aca="false">FALSE()</f>
        <v>0</v>
      </c>
      <c r="G1842" s="7" t="s">
        <v>801</v>
      </c>
      <c r="H1842" s="7" t="s">
        <v>260</v>
      </c>
      <c r="I1842" s="7" t="n">
        <v>2</v>
      </c>
      <c r="J1842" s="7" t="s">
        <v>107</v>
      </c>
      <c r="K1842" s="7" t="s">
        <v>107</v>
      </c>
      <c r="L1842" s="7"/>
      <c r="M1842" s="10" t="b">
        <f aca="false">FALSE()</f>
        <v>0</v>
      </c>
      <c r="N1842" s="7" t="s">
        <v>374</v>
      </c>
      <c r="O1842" s="7" t="n">
        <v>-28.388896</v>
      </c>
      <c r="P1842" s="7" t="n">
        <v>152.608732</v>
      </c>
    </row>
    <row r="1843" customFormat="false" ht="15" hidden="false" customHeight="false" outlineLevel="0" collapsed="false">
      <c r="A1843" s="7" t="n">
        <v>1842</v>
      </c>
      <c r="B1843" s="7"/>
      <c r="C1843" s="7" t="s">
        <v>2521</v>
      </c>
      <c r="D1843" s="7" t="n">
        <v>2022</v>
      </c>
      <c r="E1843" s="7" t="s">
        <v>50</v>
      </c>
      <c r="F1843" s="10" t="b">
        <f aca="false">FALSE()</f>
        <v>0</v>
      </c>
      <c r="G1843" s="7" t="s">
        <v>295</v>
      </c>
      <c r="H1843" s="7" t="s">
        <v>1371</v>
      </c>
      <c r="I1843" s="7" t="n">
        <v>1</v>
      </c>
      <c r="J1843" s="7" t="s">
        <v>107</v>
      </c>
      <c r="K1843" s="7" t="s">
        <v>108</v>
      </c>
      <c r="L1843" s="7" t="n">
        <v>22</v>
      </c>
      <c r="M1843" s="10" t="b">
        <f aca="false">FALSE()</f>
        <v>0</v>
      </c>
      <c r="N1843" s="7" t="s">
        <v>557</v>
      </c>
      <c r="O1843" s="7" t="n">
        <v>-33.893113</v>
      </c>
      <c r="P1843" s="7" t="n">
        <v>151.241552</v>
      </c>
    </row>
    <row r="1844" customFormat="false" ht="15" hidden="false" customHeight="false" outlineLevel="0" collapsed="false">
      <c r="A1844" s="7" t="n">
        <v>1843</v>
      </c>
      <c r="B1844" s="7"/>
      <c r="C1844" s="7" t="s">
        <v>2522</v>
      </c>
      <c r="D1844" s="7" t="n">
        <v>2015</v>
      </c>
      <c r="E1844" s="7" t="s">
        <v>50</v>
      </c>
      <c r="F1844" s="10" t="b">
        <f aca="false">FALSE()</f>
        <v>0</v>
      </c>
      <c r="G1844" s="7" t="s">
        <v>182</v>
      </c>
      <c r="H1844" s="7" t="s">
        <v>239</v>
      </c>
      <c r="I1844" s="7" t="n">
        <v>6</v>
      </c>
      <c r="J1844" s="7" t="s">
        <v>71</v>
      </c>
      <c r="K1844" s="7" t="s">
        <v>117</v>
      </c>
      <c r="L1844" s="7" t="n">
        <v>175</v>
      </c>
      <c r="M1844" s="10" t="b">
        <f aca="false">FALSE()</f>
        <v>0</v>
      </c>
      <c r="N1844" s="7" t="s">
        <v>118</v>
      </c>
      <c r="O1844" s="7" t="n">
        <v>-33.913247</v>
      </c>
      <c r="P1844" s="7" t="n">
        <v>151.193582</v>
      </c>
    </row>
    <row r="1845" customFormat="false" ht="15" hidden="false" customHeight="false" outlineLevel="0" collapsed="false">
      <c r="A1845" s="7" t="n">
        <v>1844</v>
      </c>
      <c r="B1845" s="7"/>
      <c r="C1845" s="7" t="s">
        <v>2523</v>
      </c>
      <c r="D1845" s="7" t="n">
        <v>2030</v>
      </c>
      <c r="E1845" s="7" t="s">
        <v>50</v>
      </c>
      <c r="F1845" s="10" t="b">
        <f aca="false">FALSE()</f>
        <v>0</v>
      </c>
      <c r="G1845" s="7" t="s">
        <v>295</v>
      </c>
      <c r="H1845" s="7" t="s">
        <v>1371</v>
      </c>
      <c r="I1845" s="7" t="n">
        <v>1</v>
      </c>
      <c r="J1845" s="7" t="s">
        <v>107</v>
      </c>
      <c r="K1845" s="7" t="s">
        <v>900</v>
      </c>
      <c r="L1845" s="7" t="n">
        <v>7</v>
      </c>
      <c r="M1845" s="10" t="b">
        <f aca="false">FALSE()</f>
        <v>0</v>
      </c>
      <c r="N1845" s="7" t="s">
        <v>557</v>
      </c>
      <c r="O1845" s="7" t="n">
        <v>-33.861973</v>
      </c>
      <c r="P1845" s="7" t="n">
        <v>151.280294</v>
      </c>
    </row>
    <row r="1846" customFormat="false" ht="15" hidden="false" customHeight="false" outlineLevel="0" collapsed="false">
      <c r="A1846" s="7" t="n">
        <v>1845</v>
      </c>
      <c r="B1846" s="7"/>
      <c r="C1846" s="7" t="s">
        <v>2524</v>
      </c>
      <c r="D1846" s="7" t="n">
        <v>2322</v>
      </c>
      <c r="E1846" s="7" t="s">
        <v>50</v>
      </c>
      <c r="F1846" s="10" t="b">
        <f aca="false">FALSE()</f>
        <v>0</v>
      </c>
      <c r="G1846" s="7" t="s">
        <v>141</v>
      </c>
      <c r="H1846" s="7" t="s">
        <v>237</v>
      </c>
      <c r="I1846" s="7" t="n">
        <v>4</v>
      </c>
      <c r="J1846" s="7" t="s">
        <v>107</v>
      </c>
      <c r="K1846" s="7" t="s">
        <v>108</v>
      </c>
      <c r="L1846" s="7" t="n">
        <v>22</v>
      </c>
      <c r="M1846" s="10" t="b">
        <f aca="false">FALSE()</f>
        <v>0</v>
      </c>
      <c r="N1846" s="7" t="s">
        <v>557</v>
      </c>
      <c r="O1846" s="7" t="n">
        <v>-32.80397</v>
      </c>
      <c r="P1846" s="7" t="n">
        <v>151.648716</v>
      </c>
    </row>
    <row r="1847" customFormat="false" ht="15" hidden="false" customHeight="false" outlineLevel="0" collapsed="false">
      <c r="A1847" s="7" t="n">
        <v>1846</v>
      </c>
      <c r="B1847" s="7" t="s">
        <v>147</v>
      </c>
      <c r="C1847" s="7" t="s">
        <v>2525</v>
      </c>
      <c r="D1847" s="7" t="n">
        <v>2650</v>
      </c>
      <c r="E1847" s="7" t="s">
        <v>50</v>
      </c>
      <c r="F1847" s="10" t="b">
        <f aca="false">FALSE()</f>
        <v>0</v>
      </c>
      <c r="G1847" s="7" t="s">
        <v>147</v>
      </c>
      <c r="H1847" s="7" t="s">
        <v>1748</v>
      </c>
      <c r="I1847" s="7" t="n">
        <v>2</v>
      </c>
      <c r="J1847" s="7" t="s">
        <v>107</v>
      </c>
      <c r="K1847" s="7" t="s">
        <v>107</v>
      </c>
      <c r="L1847" s="7"/>
      <c r="M1847" s="10" t="b">
        <f aca="false">FALSE()</f>
        <v>0</v>
      </c>
      <c r="N1847" s="7" t="s">
        <v>374</v>
      </c>
      <c r="O1847" s="7" t="n">
        <v>-35.110335</v>
      </c>
      <c r="P1847" s="7" t="n">
        <v>147.372084</v>
      </c>
    </row>
    <row r="1848" customFormat="false" ht="15" hidden="false" customHeight="false" outlineLevel="0" collapsed="false">
      <c r="A1848" s="7" t="n">
        <v>1847</v>
      </c>
      <c r="B1848" s="7" t="s">
        <v>2526</v>
      </c>
      <c r="C1848" s="7" t="s">
        <v>2527</v>
      </c>
      <c r="D1848" s="7" t="n">
        <v>2644</v>
      </c>
      <c r="E1848" s="7" t="s">
        <v>50</v>
      </c>
      <c r="F1848" s="10" t="b">
        <f aca="false">FALSE()</f>
        <v>0</v>
      </c>
      <c r="G1848" s="7" t="s">
        <v>173</v>
      </c>
      <c r="H1848" s="7" t="s">
        <v>230</v>
      </c>
      <c r="I1848" s="7" t="n">
        <v>4</v>
      </c>
      <c r="J1848" s="7" t="s">
        <v>107</v>
      </c>
      <c r="K1848" s="7" t="s">
        <v>107</v>
      </c>
      <c r="L1848" s="7"/>
      <c r="M1848" s="10" t="b">
        <f aca="false">FALSE()</f>
        <v>0</v>
      </c>
      <c r="N1848" s="7" t="s">
        <v>399</v>
      </c>
      <c r="O1848" s="7" t="n">
        <v>-35.712537</v>
      </c>
      <c r="P1848" s="7" t="n">
        <v>147.323893</v>
      </c>
    </row>
    <row r="1849" customFormat="false" ht="15" hidden="false" customHeight="false" outlineLevel="0" collapsed="false">
      <c r="A1849" s="7" t="n">
        <v>1848</v>
      </c>
      <c r="B1849" s="7"/>
      <c r="C1849" s="7" t="s">
        <v>2528</v>
      </c>
      <c r="D1849" s="7" t="n">
        <v>2203</v>
      </c>
      <c r="E1849" s="7" t="s">
        <v>50</v>
      </c>
      <c r="F1849" s="10" t="b">
        <f aca="false">FALSE()</f>
        <v>0</v>
      </c>
      <c r="G1849" s="7" t="s">
        <v>410</v>
      </c>
      <c r="H1849" s="7" t="s">
        <v>1371</v>
      </c>
      <c r="I1849" s="7" t="n">
        <v>1</v>
      </c>
      <c r="J1849" s="7" t="s">
        <v>107</v>
      </c>
      <c r="K1849" s="7" t="s">
        <v>900</v>
      </c>
      <c r="L1849" s="7" t="n">
        <v>7</v>
      </c>
      <c r="M1849" s="10" t="b">
        <f aca="false">FALSE()</f>
        <v>0</v>
      </c>
      <c r="N1849" s="7" t="s">
        <v>557</v>
      </c>
      <c r="O1849" s="7" t="n">
        <v>-33.902886</v>
      </c>
      <c r="P1849" s="7" t="n">
        <v>151.139961</v>
      </c>
    </row>
    <row r="1850" customFormat="false" ht="15" hidden="false" customHeight="false" outlineLevel="0" collapsed="false">
      <c r="A1850" s="7" t="n">
        <v>1849</v>
      </c>
      <c r="B1850" s="7" t="s">
        <v>2529</v>
      </c>
      <c r="C1850" s="7" t="s">
        <v>2530</v>
      </c>
      <c r="D1850" s="7" t="n">
        <v>2850</v>
      </c>
      <c r="E1850" s="7" t="s">
        <v>50</v>
      </c>
      <c r="F1850" s="10" t="b">
        <f aca="false">FALSE()</f>
        <v>0</v>
      </c>
      <c r="G1850" s="7" t="s">
        <v>199</v>
      </c>
      <c r="H1850" s="7" t="s">
        <v>398</v>
      </c>
      <c r="I1850" s="7" t="n">
        <v>1</v>
      </c>
      <c r="J1850" s="7" t="s">
        <v>107</v>
      </c>
      <c r="K1850" s="7" t="s">
        <v>107</v>
      </c>
      <c r="L1850" s="7"/>
      <c r="M1850" s="10" t="b">
        <f aca="false">FALSE()</f>
        <v>0</v>
      </c>
      <c r="N1850" s="7" t="s">
        <v>399</v>
      </c>
      <c r="O1850" s="7" t="n">
        <v>-32.59692</v>
      </c>
      <c r="P1850" s="7" t="n">
        <v>149.587789</v>
      </c>
    </row>
    <row r="1851" customFormat="false" ht="15" hidden="false" customHeight="false" outlineLevel="0" collapsed="false">
      <c r="A1851" s="7" t="n">
        <v>1850</v>
      </c>
      <c r="B1851" s="7" t="s">
        <v>1939</v>
      </c>
      <c r="C1851" s="7" t="s">
        <v>2531</v>
      </c>
      <c r="D1851" s="7" t="n">
        <v>2647</v>
      </c>
      <c r="E1851" s="7" t="s">
        <v>50</v>
      </c>
      <c r="F1851" s="10" t="b">
        <f aca="false">FALSE()</f>
        <v>0</v>
      </c>
      <c r="G1851" s="7" t="s">
        <v>477</v>
      </c>
      <c r="H1851" s="7" t="s">
        <v>237</v>
      </c>
      <c r="I1851" s="7" t="n">
        <v>8</v>
      </c>
      <c r="J1851" s="7" t="s">
        <v>107</v>
      </c>
      <c r="K1851" s="7" t="s">
        <v>107</v>
      </c>
      <c r="L1851" s="7"/>
      <c r="M1851" s="10" t="b">
        <f aca="false">FALSE()</f>
        <v>0</v>
      </c>
      <c r="N1851" s="7" t="s">
        <v>374</v>
      </c>
      <c r="O1851" s="7" t="n">
        <v>-35.975061</v>
      </c>
      <c r="P1851" s="7" t="n">
        <v>146.024193</v>
      </c>
    </row>
    <row r="1852" customFormat="false" ht="15" hidden="false" customHeight="false" outlineLevel="0" collapsed="false">
      <c r="A1852" s="7" t="n">
        <v>1851</v>
      </c>
      <c r="B1852" s="7"/>
      <c r="C1852" s="7" t="s">
        <v>2532</v>
      </c>
      <c r="D1852" s="7" t="n">
        <v>2039</v>
      </c>
      <c r="E1852" s="7" t="s">
        <v>50</v>
      </c>
      <c r="F1852" s="10" t="b">
        <f aca="false">FALSE()</f>
        <v>0</v>
      </c>
      <c r="G1852" s="7" t="s">
        <v>410</v>
      </c>
      <c r="H1852" s="7" t="s">
        <v>1371</v>
      </c>
      <c r="I1852" s="7" t="n">
        <v>1</v>
      </c>
      <c r="J1852" s="7" t="s">
        <v>107</v>
      </c>
      <c r="K1852" s="7" t="s">
        <v>900</v>
      </c>
      <c r="L1852" s="7" t="n">
        <v>7</v>
      </c>
      <c r="M1852" s="10" t="b">
        <f aca="false">FALSE()</f>
        <v>0</v>
      </c>
      <c r="N1852" s="7" t="s">
        <v>557</v>
      </c>
      <c r="O1852" s="7" t="n">
        <v>-33.869986</v>
      </c>
      <c r="P1852" s="7" t="n">
        <v>151.169758</v>
      </c>
    </row>
    <row r="1853" customFormat="false" ht="15" hidden="false" customHeight="false" outlineLevel="0" collapsed="false">
      <c r="A1853" s="7" t="n">
        <v>1852</v>
      </c>
      <c r="B1853" s="7"/>
      <c r="C1853" s="7" t="s">
        <v>2533</v>
      </c>
      <c r="D1853" s="7" t="n">
        <v>2022</v>
      </c>
      <c r="E1853" s="7" t="s">
        <v>50</v>
      </c>
      <c r="F1853" s="10" t="b">
        <f aca="false">FALSE()</f>
        <v>0</v>
      </c>
      <c r="G1853" s="7" t="s">
        <v>295</v>
      </c>
      <c r="H1853" s="7" t="s">
        <v>1371</v>
      </c>
      <c r="I1853" s="7" t="n">
        <v>1</v>
      </c>
      <c r="J1853" s="7" t="s">
        <v>107</v>
      </c>
      <c r="K1853" s="7" t="s">
        <v>900</v>
      </c>
      <c r="L1853" s="7" t="n">
        <v>7</v>
      </c>
      <c r="M1853" s="10" t="b">
        <f aca="false">FALSE()</f>
        <v>0</v>
      </c>
      <c r="N1853" s="7" t="s">
        <v>557</v>
      </c>
      <c r="O1853" s="7" t="n">
        <v>-33.894117</v>
      </c>
      <c r="P1853" s="7" t="n">
        <v>151.25091</v>
      </c>
    </row>
    <row r="1854" customFormat="false" ht="15" hidden="false" customHeight="false" outlineLevel="0" collapsed="false">
      <c r="A1854" s="7" t="n">
        <v>1853</v>
      </c>
      <c r="B1854" s="7" t="s">
        <v>2534</v>
      </c>
      <c r="C1854" s="7" t="s">
        <v>2535</v>
      </c>
      <c r="D1854" s="7" t="n">
        <v>2800</v>
      </c>
      <c r="E1854" s="7" t="s">
        <v>50</v>
      </c>
      <c r="F1854" s="10" t="b">
        <f aca="false">FALSE()</f>
        <v>0</v>
      </c>
      <c r="G1854" s="7" t="s">
        <v>185</v>
      </c>
      <c r="H1854" s="7" t="s">
        <v>2536</v>
      </c>
      <c r="I1854" s="7" t="n">
        <v>2</v>
      </c>
      <c r="J1854" s="7" t="s">
        <v>107</v>
      </c>
      <c r="K1854" s="7" t="s">
        <v>107</v>
      </c>
      <c r="L1854" s="7"/>
      <c r="M1854" s="10" t="b">
        <f aca="false">FALSE()</f>
        <v>0</v>
      </c>
      <c r="N1854" s="7" t="s">
        <v>399</v>
      </c>
      <c r="O1854" s="7" t="n">
        <v>-33.308413</v>
      </c>
      <c r="P1854" s="7" t="n">
        <v>148.989209</v>
      </c>
    </row>
    <row r="1855" customFormat="false" ht="15" hidden="false" customHeight="false" outlineLevel="0" collapsed="false">
      <c r="A1855" s="7" t="n">
        <v>1854</v>
      </c>
      <c r="B1855" s="7" t="s">
        <v>2537</v>
      </c>
      <c r="C1855" s="7" t="s">
        <v>2538</v>
      </c>
      <c r="D1855" s="7" t="n">
        <v>2340</v>
      </c>
      <c r="E1855" s="7" t="s">
        <v>50</v>
      </c>
      <c r="F1855" s="10" t="b">
        <f aca="false">FALSE()</f>
        <v>0</v>
      </c>
      <c r="G1855" s="7" t="s">
        <v>192</v>
      </c>
      <c r="H1855" s="7" t="s">
        <v>1889</v>
      </c>
      <c r="I1855" s="7" t="n">
        <v>2</v>
      </c>
      <c r="J1855" s="7" t="s">
        <v>107</v>
      </c>
      <c r="K1855" s="7" t="s">
        <v>107</v>
      </c>
      <c r="L1855" s="7"/>
      <c r="M1855" s="10" t="b">
        <f aca="false">FALSE()</f>
        <v>0</v>
      </c>
      <c r="N1855" s="7" t="s">
        <v>399</v>
      </c>
      <c r="O1855" s="7" t="n">
        <v>-31.096448</v>
      </c>
      <c r="P1855" s="7" t="n">
        <v>150.92419</v>
      </c>
    </row>
    <row r="1856" customFormat="false" ht="15" hidden="false" customHeight="false" outlineLevel="0" collapsed="false">
      <c r="A1856" s="7" t="n">
        <v>1855</v>
      </c>
      <c r="B1856" s="7"/>
      <c r="C1856" s="7" t="s">
        <v>2539</v>
      </c>
      <c r="D1856" s="7" t="n">
        <v>2033</v>
      </c>
      <c r="E1856" s="7" t="s">
        <v>50</v>
      </c>
      <c r="F1856" s="10" t="b">
        <f aca="false">FALSE()</f>
        <v>0</v>
      </c>
      <c r="G1856" s="7" t="s">
        <v>355</v>
      </c>
      <c r="H1856" s="7" t="s">
        <v>1371</v>
      </c>
      <c r="I1856" s="7" t="n">
        <v>1</v>
      </c>
      <c r="J1856" s="7" t="s">
        <v>107</v>
      </c>
      <c r="K1856" s="7" t="s">
        <v>108</v>
      </c>
      <c r="L1856" s="7" t="n">
        <v>22</v>
      </c>
      <c r="M1856" s="10" t="b">
        <f aca="false">FALSE()</f>
        <v>0</v>
      </c>
      <c r="N1856" s="7" t="s">
        <v>557</v>
      </c>
      <c r="O1856" s="7" t="n">
        <v>-33.905587</v>
      </c>
      <c r="P1856" s="7" t="n">
        <v>151.222369</v>
      </c>
    </row>
    <row r="1857" customFormat="false" ht="15" hidden="false" customHeight="false" outlineLevel="0" collapsed="false">
      <c r="A1857" s="7" t="n">
        <v>1856</v>
      </c>
      <c r="B1857" s="7"/>
      <c r="C1857" s="7" t="s">
        <v>2540</v>
      </c>
      <c r="D1857" s="7" t="n">
        <v>2032</v>
      </c>
      <c r="E1857" s="7" t="s">
        <v>50</v>
      </c>
      <c r="F1857" s="10" t="b">
        <f aca="false">FALSE()</f>
        <v>0</v>
      </c>
      <c r="G1857" s="7" t="s">
        <v>355</v>
      </c>
      <c r="H1857" s="7" t="s">
        <v>1371</v>
      </c>
      <c r="I1857" s="7" t="n">
        <v>1</v>
      </c>
      <c r="J1857" s="7" t="s">
        <v>107</v>
      </c>
      <c r="K1857" s="7" t="s">
        <v>108</v>
      </c>
      <c r="L1857" s="7" t="n">
        <v>22</v>
      </c>
      <c r="M1857" s="10" t="b">
        <f aca="false">FALSE()</f>
        <v>0</v>
      </c>
      <c r="N1857" s="7" t="s">
        <v>557</v>
      </c>
      <c r="O1857" s="7" t="n">
        <v>-33.923959</v>
      </c>
      <c r="P1857" s="7" t="n">
        <v>151.234347</v>
      </c>
    </row>
    <row r="1858" customFormat="false" ht="15" hidden="false" customHeight="false" outlineLevel="0" collapsed="false">
      <c r="A1858" s="7" t="n">
        <v>1857</v>
      </c>
      <c r="B1858" s="7"/>
      <c r="C1858" s="7" t="s">
        <v>2541</v>
      </c>
      <c r="D1858" s="7" t="n">
        <v>2022</v>
      </c>
      <c r="E1858" s="7" t="s">
        <v>50</v>
      </c>
      <c r="F1858" s="10" t="b">
        <f aca="false">FALSE()</f>
        <v>0</v>
      </c>
      <c r="G1858" s="7" t="s">
        <v>295</v>
      </c>
      <c r="H1858" s="7" t="s">
        <v>1371</v>
      </c>
      <c r="I1858" s="7" t="n">
        <v>1</v>
      </c>
      <c r="J1858" s="7" t="s">
        <v>107</v>
      </c>
      <c r="K1858" s="7" t="s">
        <v>108</v>
      </c>
      <c r="L1858" s="7" t="n">
        <v>22</v>
      </c>
      <c r="M1858" s="10" t="b">
        <f aca="false">FALSE()</f>
        <v>0</v>
      </c>
      <c r="N1858" s="7" t="s">
        <v>557</v>
      </c>
      <c r="O1858" s="7" t="n">
        <v>-33.893676</v>
      </c>
      <c r="P1858" s="7" t="n">
        <v>151.243886</v>
      </c>
    </row>
    <row r="1859" customFormat="false" ht="15" hidden="false" customHeight="false" outlineLevel="0" collapsed="false">
      <c r="A1859" s="7" t="n">
        <v>1858</v>
      </c>
      <c r="B1859" s="7"/>
      <c r="C1859" s="7" t="s">
        <v>2542</v>
      </c>
      <c r="D1859" s="7" t="n">
        <v>2131</v>
      </c>
      <c r="E1859" s="7" t="s">
        <v>50</v>
      </c>
      <c r="F1859" s="10" t="b">
        <f aca="false">FALSE()</f>
        <v>0</v>
      </c>
      <c r="G1859" s="7" t="s">
        <v>410</v>
      </c>
      <c r="H1859" s="7" t="s">
        <v>556</v>
      </c>
      <c r="I1859" s="7" t="n">
        <v>2</v>
      </c>
      <c r="J1859" s="7" t="s">
        <v>71</v>
      </c>
      <c r="K1859" s="7" t="s">
        <v>288</v>
      </c>
      <c r="L1859" s="7" t="n">
        <v>25</v>
      </c>
      <c r="M1859" s="10" t="b">
        <f aca="false">FALSE()</f>
        <v>0</v>
      </c>
      <c r="N1859" s="7" t="s">
        <v>557</v>
      </c>
      <c r="O1859" s="7" t="n">
        <v>-33.880316</v>
      </c>
      <c r="P1859" s="7" t="n">
        <v>151.12992</v>
      </c>
    </row>
    <row r="1860" customFormat="false" ht="15" hidden="false" customHeight="false" outlineLevel="0" collapsed="false">
      <c r="A1860" s="7" t="n">
        <v>1859</v>
      </c>
      <c r="B1860" s="7" t="s">
        <v>2543</v>
      </c>
      <c r="C1860" s="7" t="s">
        <v>2544</v>
      </c>
      <c r="D1860" s="7" t="n">
        <v>2627</v>
      </c>
      <c r="E1860" s="7" t="s">
        <v>50</v>
      </c>
      <c r="F1860" s="10" t="b">
        <f aca="false">FALSE()</f>
        <v>0</v>
      </c>
      <c r="G1860" s="7" t="s">
        <v>177</v>
      </c>
      <c r="H1860" s="7" t="s">
        <v>237</v>
      </c>
      <c r="I1860" s="7" t="n">
        <v>4</v>
      </c>
      <c r="J1860" s="7" t="s">
        <v>107</v>
      </c>
      <c r="K1860" s="7" t="s">
        <v>107</v>
      </c>
      <c r="L1860" s="7"/>
      <c r="M1860" s="10" t="b">
        <f aca="false">FALSE()</f>
        <v>0</v>
      </c>
      <c r="N1860" s="7" t="s">
        <v>399</v>
      </c>
      <c r="O1860" s="7" t="n">
        <v>-36.442568</v>
      </c>
      <c r="P1860" s="7" t="n">
        <v>148.498913</v>
      </c>
    </row>
    <row r="1861" customFormat="false" ht="15" hidden="false" customHeight="false" outlineLevel="0" collapsed="false">
      <c r="A1861" s="7" t="n">
        <v>1860</v>
      </c>
      <c r="B1861" s="7"/>
      <c r="C1861" s="7" t="s">
        <v>2545</v>
      </c>
      <c r="D1861" s="7" t="n">
        <v>2090</v>
      </c>
      <c r="E1861" s="7" t="s">
        <v>50</v>
      </c>
      <c r="F1861" s="10" t="b">
        <f aca="false">FALSE()</f>
        <v>0</v>
      </c>
      <c r="G1861" s="7" t="s">
        <v>332</v>
      </c>
      <c r="H1861" s="7" t="s">
        <v>1069</v>
      </c>
      <c r="I1861" s="7" t="n">
        <v>4</v>
      </c>
      <c r="J1861" s="7" t="s">
        <v>71</v>
      </c>
      <c r="K1861" s="7" t="s">
        <v>83</v>
      </c>
      <c r="L1861" s="7" t="n">
        <v>75</v>
      </c>
      <c r="M1861" s="10" t="b">
        <f aca="false">FALSE()</f>
        <v>0</v>
      </c>
      <c r="N1861" s="7" t="s">
        <v>557</v>
      </c>
      <c r="O1861" s="7" t="n">
        <v>-33.827279</v>
      </c>
      <c r="P1861" s="7" t="n">
        <v>151.230162</v>
      </c>
    </row>
    <row r="1862" customFormat="false" ht="15" hidden="false" customHeight="false" outlineLevel="0" collapsed="false">
      <c r="A1862" s="7" t="n">
        <v>1861</v>
      </c>
      <c r="B1862" s="7" t="s">
        <v>2546</v>
      </c>
      <c r="C1862" s="7" t="s">
        <v>2547</v>
      </c>
      <c r="D1862" s="7" t="n">
        <v>2800</v>
      </c>
      <c r="E1862" s="7" t="s">
        <v>50</v>
      </c>
      <c r="F1862" s="10" t="b">
        <f aca="false">FALSE()</f>
        <v>0</v>
      </c>
      <c r="G1862" s="7" t="s">
        <v>167</v>
      </c>
      <c r="H1862" s="7" t="s">
        <v>252</v>
      </c>
      <c r="I1862" s="7" t="n">
        <v>1</v>
      </c>
      <c r="J1862" s="7" t="s">
        <v>107</v>
      </c>
      <c r="K1862" s="7" t="s">
        <v>107</v>
      </c>
      <c r="L1862" s="7"/>
      <c r="M1862" s="10" t="b">
        <f aca="false">FALSE()</f>
        <v>0</v>
      </c>
      <c r="N1862" s="7" t="s">
        <v>399</v>
      </c>
      <c r="O1862" s="7" t="n">
        <v>-33.276671</v>
      </c>
      <c r="P1862" s="7" t="n">
        <v>149.090366</v>
      </c>
    </row>
    <row r="1863" customFormat="false" ht="15" hidden="false" customHeight="false" outlineLevel="0" collapsed="false">
      <c r="A1863" s="7" t="n">
        <v>1862</v>
      </c>
      <c r="B1863" s="7" t="s">
        <v>1360</v>
      </c>
      <c r="C1863" s="7" t="s">
        <v>2548</v>
      </c>
      <c r="D1863" s="7" t="n">
        <v>2800</v>
      </c>
      <c r="E1863" s="7" t="s">
        <v>50</v>
      </c>
      <c r="F1863" s="10" t="b">
        <f aca="false">FALSE()</f>
        <v>0</v>
      </c>
      <c r="G1863" s="7" t="s">
        <v>185</v>
      </c>
      <c r="H1863" s="7" t="s">
        <v>237</v>
      </c>
      <c r="I1863" s="7" t="n">
        <v>4</v>
      </c>
      <c r="J1863" s="7" t="s">
        <v>107</v>
      </c>
      <c r="K1863" s="7" t="s">
        <v>107</v>
      </c>
      <c r="L1863" s="7"/>
      <c r="M1863" s="10" t="b">
        <f aca="false">FALSE()</f>
        <v>0</v>
      </c>
      <c r="N1863" s="7" t="s">
        <v>399</v>
      </c>
      <c r="O1863" s="7" t="n">
        <v>-33.292488</v>
      </c>
      <c r="P1863" s="7" t="n">
        <v>148.974603</v>
      </c>
    </row>
    <row r="1864" customFormat="false" ht="15" hidden="false" customHeight="false" outlineLevel="0" collapsed="false">
      <c r="A1864" s="7" t="n">
        <v>1863</v>
      </c>
      <c r="B1864" s="7" t="s">
        <v>199</v>
      </c>
      <c r="C1864" s="7" t="s">
        <v>2549</v>
      </c>
      <c r="D1864" s="7" t="n">
        <v>2852</v>
      </c>
      <c r="E1864" s="7" t="s">
        <v>50</v>
      </c>
      <c r="F1864" s="10" t="b">
        <f aca="false">FALSE()</f>
        <v>0</v>
      </c>
      <c r="G1864" s="7" t="s">
        <v>199</v>
      </c>
      <c r="H1864" s="7" t="s">
        <v>1748</v>
      </c>
      <c r="I1864" s="7" t="n">
        <v>2</v>
      </c>
      <c r="J1864" s="7" t="s">
        <v>107</v>
      </c>
      <c r="K1864" s="7" t="s">
        <v>107</v>
      </c>
      <c r="L1864" s="7"/>
      <c r="M1864" s="10" t="b">
        <f aca="false">FALSE()</f>
        <v>0</v>
      </c>
      <c r="N1864" s="7" t="s">
        <v>374</v>
      </c>
      <c r="O1864" s="7" t="n">
        <v>-32.364256</v>
      </c>
      <c r="P1864" s="7" t="n">
        <v>149.532809</v>
      </c>
    </row>
    <row r="1865" customFormat="false" ht="15" hidden="false" customHeight="false" outlineLevel="0" collapsed="false">
      <c r="A1865" s="7" t="n">
        <v>1864</v>
      </c>
      <c r="B1865" s="7" t="s">
        <v>469</v>
      </c>
      <c r="C1865" s="7" t="s">
        <v>2550</v>
      </c>
      <c r="D1865" s="7" t="n">
        <v>2656</v>
      </c>
      <c r="E1865" s="7" t="s">
        <v>50</v>
      </c>
      <c r="F1865" s="10" t="b">
        <f aca="false">FALSE()</f>
        <v>0</v>
      </c>
      <c r="G1865" s="7" t="s">
        <v>469</v>
      </c>
      <c r="H1865" s="7" t="s">
        <v>260</v>
      </c>
      <c r="I1865" s="7" t="n">
        <v>2</v>
      </c>
      <c r="J1865" s="7" t="s">
        <v>107</v>
      </c>
      <c r="K1865" s="7" t="s">
        <v>107</v>
      </c>
      <c r="L1865" s="7"/>
      <c r="M1865" s="10" t="b">
        <f aca="false">FALSE()</f>
        <v>0</v>
      </c>
      <c r="N1865" s="7" t="s">
        <v>374</v>
      </c>
      <c r="O1865" s="7" t="n">
        <v>-35.220593</v>
      </c>
      <c r="P1865" s="7" t="n">
        <v>146.715379</v>
      </c>
    </row>
    <row r="1866" customFormat="false" ht="15" hidden="false" customHeight="false" outlineLevel="0" collapsed="false">
      <c r="A1866" s="7" t="n">
        <v>1865</v>
      </c>
      <c r="B1866" s="7" t="s">
        <v>2551</v>
      </c>
      <c r="C1866" s="7" t="s">
        <v>2552</v>
      </c>
      <c r="D1866" s="7" t="n">
        <v>2594</v>
      </c>
      <c r="E1866" s="7" t="s">
        <v>50</v>
      </c>
      <c r="F1866" s="10" t="b">
        <f aca="false">FALSE()</f>
        <v>0</v>
      </c>
      <c r="G1866" s="7" t="s">
        <v>206</v>
      </c>
      <c r="H1866" s="7" t="s">
        <v>237</v>
      </c>
      <c r="I1866" s="7" t="n">
        <v>4</v>
      </c>
      <c r="J1866" s="7" t="s">
        <v>107</v>
      </c>
      <c r="K1866" s="7" t="s">
        <v>107</v>
      </c>
      <c r="L1866" s="7"/>
      <c r="M1866" s="10" t="b">
        <f aca="false">FALSE()</f>
        <v>0</v>
      </c>
      <c r="N1866" s="7" t="s">
        <v>399</v>
      </c>
      <c r="O1866" s="7" t="n">
        <v>-34.315235</v>
      </c>
      <c r="P1866" s="7" t="n">
        <v>148.2955</v>
      </c>
    </row>
    <row r="1867" customFormat="false" ht="15" hidden="false" customHeight="false" outlineLevel="0" collapsed="false">
      <c r="A1867" s="7" t="n">
        <v>1866</v>
      </c>
      <c r="B1867" s="7"/>
      <c r="C1867" s="7" t="s">
        <v>2553</v>
      </c>
      <c r="D1867" s="7" t="n">
        <v>2035</v>
      </c>
      <c r="E1867" s="7" t="s">
        <v>50</v>
      </c>
      <c r="F1867" s="10" t="b">
        <f aca="false">FALSE()</f>
        <v>0</v>
      </c>
      <c r="G1867" s="7" t="s">
        <v>355</v>
      </c>
      <c r="H1867" s="7" t="s">
        <v>1371</v>
      </c>
      <c r="I1867" s="7" t="n">
        <v>1</v>
      </c>
      <c r="J1867" s="7" t="s">
        <v>107</v>
      </c>
      <c r="K1867" s="7" t="s">
        <v>108</v>
      </c>
      <c r="L1867" s="7" t="n">
        <v>22</v>
      </c>
      <c r="M1867" s="10" t="b">
        <f aca="false">FALSE()</f>
        <v>0</v>
      </c>
      <c r="N1867" s="7" t="s">
        <v>557</v>
      </c>
      <c r="O1867" s="7" t="n">
        <v>-33.944085</v>
      </c>
      <c r="P1867" s="7" t="n">
        <v>151.260408</v>
      </c>
    </row>
    <row r="1868" customFormat="false" ht="15" hidden="false" customHeight="false" outlineLevel="0" collapsed="false">
      <c r="A1868" s="7" t="n">
        <v>1867</v>
      </c>
      <c r="B1868" s="7"/>
      <c r="C1868" s="7" t="s">
        <v>2554</v>
      </c>
      <c r="D1868" s="7" t="n">
        <v>2021</v>
      </c>
      <c r="E1868" s="7" t="s">
        <v>50</v>
      </c>
      <c r="F1868" s="10" t="b">
        <f aca="false">FALSE()</f>
        <v>0</v>
      </c>
      <c r="G1868" s="7" t="s">
        <v>272</v>
      </c>
      <c r="H1868" s="7" t="s">
        <v>1371</v>
      </c>
      <c r="I1868" s="7" t="n">
        <v>1</v>
      </c>
      <c r="J1868" s="7" t="s">
        <v>107</v>
      </c>
      <c r="K1868" s="7" t="s">
        <v>108</v>
      </c>
      <c r="L1868" s="7" t="n">
        <v>22</v>
      </c>
      <c r="M1868" s="10" t="b">
        <f aca="false">FALSE()</f>
        <v>0</v>
      </c>
      <c r="N1868" s="7" t="s">
        <v>557</v>
      </c>
      <c r="O1868" s="7" t="n">
        <v>-33.882547</v>
      </c>
      <c r="P1868" s="7" t="n">
        <v>151.229697</v>
      </c>
    </row>
    <row r="1869" customFormat="false" ht="15" hidden="false" customHeight="false" outlineLevel="0" collapsed="false">
      <c r="A1869" s="7" t="n">
        <v>1868</v>
      </c>
      <c r="B1869" s="7"/>
      <c r="C1869" s="7" t="s">
        <v>2555</v>
      </c>
      <c r="D1869" s="7" t="n">
        <v>2050</v>
      </c>
      <c r="E1869" s="7" t="s">
        <v>50</v>
      </c>
      <c r="F1869" s="10" t="b">
        <f aca="false">FALSE()</f>
        <v>0</v>
      </c>
      <c r="G1869" s="7" t="s">
        <v>410</v>
      </c>
      <c r="H1869" s="7" t="s">
        <v>556</v>
      </c>
      <c r="I1869" s="7" t="n">
        <v>4</v>
      </c>
      <c r="J1869" s="7" t="s">
        <v>107</v>
      </c>
      <c r="K1869" s="7" t="s">
        <v>108</v>
      </c>
      <c r="L1869" s="7" t="n">
        <v>22</v>
      </c>
      <c r="M1869" s="10" t="b">
        <f aca="false">FALSE()</f>
        <v>0</v>
      </c>
      <c r="N1869" s="7" t="s">
        <v>557</v>
      </c>
      <c r="O1869" s="7" t="n">
        <v>-33.890532</v>
      </c>
      <c r="P1869" s="7" t="n">
        <v>151.176127</v>
      </c>
    </row>
    <row r="1870" customFormat="false" ht="15" hidden="false" customHeight="false" outlineLevel="0" collapsed="false">
      <c r="A1870" s="7" t="n">
        <v>1869</v>
      </c>
      <c r="B1870" s="7" t="s">
        <v>2556</v>
      </c>
      <c r="C1870" s="7" t="s">
        <v>2557</v>
      </c>
      <c r="D1870" s="7" t="n">
        <v>2539</v>
      </c>
      <c r="E1870" s="7" t="s">
        <v>50</v>
      </c>
      <c r="F1870" s="10" t="b">
        <f aca="false">FALSE()</f>
        <v>0</v>
      </c>
      <c r="G1870" s="7" t="s">
        <v>92</v>
      </c>
      <c r="H1870" s="7" t="s">
        <v>1795</v>
      </c>
      <c r="I1870" s="7" t="n">
        <v>2</v>
      </c>
      <c r="J1870" s="7" t="s">
        <v>107</v>
      </c>
      <c r="K1870" s="7" t="s">
        <v>107</v>
      </c>
      <c r="L1870" s="7"/>
      <c r="M1870" s="10" t="b">
        <f aca="false">FALSE()</f>
        <v>0</v>
      </c>
      <c r="N1870" s="7" t="s">
        <v>399</v>
      </c>
      <c r="O1870" s="7" t="n">
        <v>-35.340277</v>
      </c>
      <c r="P1870" s="7" t="n">
        <v>150.47355</v>
      </c>
    </row>
    <row r="1871" customFormat="false" ht="15" hidden="false" customHeight="false" outlineLevel="0" collapsed="false">
      <c r="A1871" s="7" t="n">
        <v>1870</v>
      </c>
      <c r="B1871" s="7" t="s">
        <v>2558</v>
      </c>
      <c r="C1871" s="7" t="s">
        <v>2559</v>
      </c>
      <c r="D1871" s="7" t="n">
        <v>2450</v>
      </c>
      <c r="E1871" s="7" t="s">
        <v>50</v>
      </c>
      <c r="F1871" s="10" t="b">
        <f aca="false">FALSE()</f>
        <v>0</v>
      </c>
      <c r="G1871" s="7" t="s">
        <v>360</v>
      </c>
      <c r="H1871" s="7" t="s">
        <v>237</v>
      </c>
      <c r="I1871" s="7" t="n">
        <v>2</v>
      </c>
      <c r="J1871" s="7" t="s">
        <v>107</v>
      </c>
      <c r="K1871" s="7" t="s">
        <v>107</v>
      </c>
      <c r="L1871" s="7"/>
      <c r="M1871" s="10" t="b">
        <f aca="false">FALSE()</f>
        <v>0</v>
      </c>
      <c r="N1871" s="7" t="s">
        <v>399</v>
      </c>
      <c r="O1871" s="7" t="n">
        <v>-30.301066</v>
      </c>
      <c r="P1871" s="7" t="n">
        <v>153.11108</v>
      </c>
    </row>
    <row r="1872" customFormat="false" ht="15" hidden="false" customHeight="false" outlineLevel="0" collapsed="false">
      <c r="A1872" s="7" t="n">
        <v>1871</v>
      </c>
      <c r="B1872" s="7" t="s">
        <v>2560</v>
      </c>
      <c r="C1872" s="7" t="s">
        <v>2561</v>
      </c>
      <c r="D1872" s="7" t="n">
        <v>2786</v>
      </c>
      <c r="E1872" s="7" t="s">
        <v>50</v>
      </c>
      <c r="F1872" s="10" t="b">
        <f aca="false">FALSE()</f>
        <v>0</v>
      </c>
      <c r="G1872" s="7" t="s">
        <v>306</v>
      </c>
      <c r="H1872" s="7" t="s">
        <v>1795</v>
      </c>
      <c r="I1872" s="7" t="n">
        <v>2</v>
      </c>
      <c r="J1872" s="7" t="s">
        <v>107</v>
      </c>
      <c r="K1872" s="7" t="s">
        <v>107</v>
      </c>
      <c r="L1872" s="7"/>
      <c r="M1872" s="10" t="b">
        <f aca="false">FALSE()</f>
        <v>0</v>
      </c>
      <c r="N1872" s="7" t="s">
        <v>399</v>
      </c>
      <c r="O1872" s="7" t="n">
        <v>-33.588553</v>
      </c>
      <c r="P1872" s="7" t="n">
        <v>150.254116</v>
      </c>
    </row>
    <row r="1873" customFormat="false" ht="15" hidden="false" customHeight="false" outlineLevel="0" collapsed="false">
      <c r="A1873" s="7" t="n">
        <v>1872</v>
      </c>
      <c r="B1873" s="7" t="s">
        <v>2562</v>
      </c>
      <c r="C1873" s="7" t="s">
        <v>2563</v>
      </c>
      <c r="D1873" s="7" t="n">
        <v>2339</v>
      </c>
      <c r="E1873" s="7" t="s">
        <v>50</v>
      </c>
      <c r="F1873" s="10" t="b">
        <f aca="false">FALSE()</f>
        <v>0</v>
      </c>
      <c r="G1873" s="7" t="s">
        <v>545</v>
      </c>
      <c r="H1873" s="7" t="s">
        <v>260</v>
      </c>
      <c r="I1873" s="7" t="n">
        <v>2</v>
      </c>
      <c r="J1873" s="7" t="s">
        <v>107</v>
      </c>
      <c r="K1873" s="7" t="s">
        <v>107</v>
      </c>
      <c r="L1873" s="7"/>
      <c r="M1873" s="10" t="b">
        <f aca="false">FALSE()</f>
        <v>0</v>
      </c>
      <c r="N1873" s="7" t="s">
        <v>399</v>
      </c>
      <c r="O1873" s="7" t="n">
        <v>-31.649439</v>
      </c>
      <c r="P1873" s="7" t="n">
        <v>150.726117</v>
      </c>
    </row>
    <row r="1874" customFormat="false" ht="15" hidden="false" customHeight="false" outlineLevel="0" collapsed="false">
      <c r="A1874" s="7" t="n">
        <v>1873</v>
      </c>
      <c r="B1874" s="7" t="s">
        <v>2564</v>
      </c>
      <c r="C1874" s="7" t="s">
        <v>2565</v>
      </c>
      <c r="D1874" s="7" t="n">
        <v>2540</v>
      </c>
      <c r="E1874" s="7" t="s">
        <v>50</v>
      </c>
      <c r="F1874" s="10" t="b">
        <f aca="false">FALSE()</f>
        <v>0</v>
      </c>
      <c r="G1874" s="7" t="s">
        <v>92</v>
      </c>
      <c r="H1874" s="7" t="s">
        <v>1889</v>
      </c>
      <c r="I1874" s="7" t="n">
        <v>2</v>
      </c>
      <c r="J1874" s="7" t="s">
        <v>107</v>
      </c>
      <c r="K1874" s="7" t="s">
        <v>107</v>
      </c>
      <c r="L1874" s="7"/>
      <c r="M1874" s="10" t="b">
        <f aca="false">FALSE()</f>
        <v>0</v>
      </c>
      <c r="N1874" s="7" t="s">
        <v>399</v>
      </c>
      <c r="O1874" s="7" t="n">
        <v>-35.10437</v>
      </c>
      <c r="P1874" s="7" t="n">
        <v>150.624673</v>
      </c>
    </row>
    <row r="1875" customFormat="false" ht="15" hidden="false" customHeight="false" outlineLevel="0" collapsed="false">
      <c r="A1875" s="7" t="n">
        <v>1874</v>
      </c>
      <c r="B1875" s="7"/>
      <c r="C1875" s="7" t="s">
        <v>2566</v>
      </c>
      <c r="D1875" s="7" t="n">
        <v>2034</v>
      </c>
      <c r="E1875" s="7" t="s">
        <v>50</v>
      </c>
      <c r="F1875" s="10" t="b">
        <f aca="false">FALSE()</f>
        <v>0</v>
      </c>
      <c r="G1875" s="7" t="s">
        <v>355</v>
      </c>
      <c r="H1875" s="7" t="s">
        <v>1371</v>
      </c>
      <c r="I1875" s="7" t="n">
        <v>1</v>
      </c>
      <c r="J1875" s="7" t="s">
        <v>107</v>
      </c>
      <c r="K1875" s="7" t="s">
        <v>108</v>
      </c>
      <c r="L1875" s="7" t="n">
        <v>22</v>
      </c>
      <c r="M1875" s="10" t="b">
        <f aca="false">FALSE()</f>
        <v>0</v>
      </c>
      <c r="N1875" s="7" t="s">
        <v>557</v>
      </c>
      <c r="O1875" s="7" t="n">
        <v>-33.917692</v>
      </c>
      <c r="P1875" s="7" t="n">
        <v>151.258472</v>
      </c>
    </row>
    <row r="1876" customFormat="false" ht="15" hidden="false" customHeight="false" outlineLevel="0" collapsed="false">
      <c r="A1876" s="7" t="n">
        <v>1875</v>
      </c>
      <c r="B1876" s="7"/>
      <c r="C1876" s="7" t="s">
        <v>2567</v>
      </c>
      <c r="D1876" s="7" t="n">
        <v>2064</v>
      </c>
      <c r="E1876" s="7" t="s">
        <v>50</v>
      </c>
      <c r="F1876" s="10" t="b">
        <f aca="false">FALSE()</f>
        <v>0</v>
      </c>
      <c r="G1876" s="7" t="s">
        <v>258</v>
      </c>
      <c r="H1876" s="7" t="s">
        <v>302</v>
      </c>
      <c r="I1876" s="7" t="n">
        <v>2</v>
      </c>
      <c r="J1876" s="7" t="s">
        <v>107</v>
      </c>
      <c r="K1876" s="7" t="s">
        <v>108</v>
      </c>
      <c r="L1876" s="7" t="n">
        <v>22</v>
      </c>
      <c r="M1876" s="10" t="b">
        <f aca="false">FALSE()</f>
        <v>0</v>
      </c>
      <c r="N1876" s="7" t="s">
        <v>557</v>
      </c>
      <c r="O1876" s="7" t="n">
        <v>-33.811954</v>
      </c>
      <c r="P1876" s="7" t="n">
        <v>151.183564</v>
      </c>
    </row>
    <row r="1877" customFormat="false" ht="15" hidden="false" customHeight="false" outlineLevel="0" collapsed="false">
      <c r="A1877" s="7" t="n">
        <v>1876</v>
      </c>
      <c r="B1877" s="7" t="s">
        <v>2568</v>
      </c>
      <c r="C1877" s="7" t="s">
        <v>2569</v>
      </c>
      <c r="D1877" s="7" t="n">
        <v>2330</v>
      </c>
      <c r="E1877" s="7" t="s">
        <v>50</v>
      </c>
      <c r="F1877" s="10" t="b">
        <f aca="false">FALSE()</f>
        <v>0</v>
      </c>
      <c r="G1877" s="7" t="s">
        <v>336</v>
      </c>
      <c r="H1877" s="7" t="s">
        <v>1786</v>
      </c>
      <c r="I1877" s="7" t="n">
        <v>4</v>
      </c>
      <c r="J1877" s="7" t="s">
        <v>107</v>
      </c>
      <c r="K1877" s="7" t="s">
        <v>107</v>
      </c>
      <c r="L1877" s="7"/>
      <c r="M1877" s="10" t="b">
        <f aca="false">FALSE()</f>
        <v>0</v>
      </c>
      <c r="N1877" s="7" t="s">
        <v>399</v>
      </c>
      <c r="O1877" s="7" t="n">
        <v>-32.750473</v>
      </c>
      <c r="P1877" s="7" t="n">
        <v>151.078251</v>
      </c>
    </row>
    <row r="1878" customFormat="false" ht="15" hidden="false" customHeight="false" outlineLevel="0" collapsed="false">
      <c r="A1878" s="7" t="n">
        <v>1877</v>
      </c>
      <c r="B1878" s="7" t="s">
        <v>2570</v>
      </c>
      <c r="C1878" s="7" t="s">
        <v>2571</v>
      </c>
      <c r="D1878" s="7" t="n">
        <v>2800</v>
      </c>
      <c r="E1878" s="7" t="s">
        <v>50</v>
      </c>
      <c r="F1878" s="10" t="b">
        <f aca="false">FALSE()</f>
        <v>0</v>
      </c>
      <c r="G1878" s="7" t="s">
        <v>167</v>
      </c>
      <c r="H1878" s="7" t="s">
        <v>1795</v>
      </c>
      <c r="I1878" s="7" t="n">
        <v>3</v>
      </c>
      <c r="J1878" s="7" t="s">
        <v>107</v>
      </c>
      <c r="K1878" s="7" t="s">
        <v>107</v>
      </c>
      <c r="L1878" s="7"/>
      <c r="M1878" s="10" t="b">
        <f aca="false">FALSE()</f>
        <v>0</v>
      </c>
      <c r="N1878" s="7" t="s">
        <v>399</v>
      </c>
      <c r="O1878" s="7" t="n">
        <v>-33.344473</v>
      </c>
      <c r="P1878" s="7" t="n">
        <v>149.038306</v>
      </c>
    </row>
    <row r="1879" customFormat="false" ht="15" hidden="false" customHeight="false" outlineLevel="0" collapsed="false">
      <c r="A1879" s="7" t="n">
        <v>1878</v>
      </c>
      <c r="B1879" s="7"/>
      <c r="C1879" s="7" t="s">
        <v>2572</v>
      </c>
      <c r="D1879" s="7" t="n">
        <v>2035</v>
      </c>
      <c r="E1879" s="7" t="s">
        <v>50</v>
      </c>
      <c r="F1879" s="10" t="b">
        <f aca="false">FALSE()</f>
        <v>0</v>
      </c>
      <c r="G1879" s="7" t="s">
        <v>355</v>
      </c>
      <c r="H1879" s="7" t="s">
        <v>1371</v>
      </c>
      <c r="I1879" s="7" t="n">
        <v>1</v>
      </c>
      <c r="J1879" s="7" t="s">
        <v>107</v>
      </c>
      <c r="K1879" s="7" t="s">
        <v>108</v>
      </c>
      <c r="L1879" s="7" t="n">
        <v>22</v>
      </c>
      <c r="M1879" s="10" t="b">
        <f aca="false">FALSE()</f>
        <v>0</v>
      </c>
      <c r="N1879" s="7" t="s">
        <v>557</v>
      </c>
      <c r="O1879" s="7" t="n">
        <v>-33.945282</v>
      </c>
      <c r="P1879" s="7" t="n">
        <v>151.254077</v>
      </c>
    </row>
    <row r="1880" customFormat="false" ht="15" hidden="false" customHeight="false" outlineLevel="0" collapsed="false">
      <c r="A1880" s="7" t="n">
        <v>1879</v>
      </c>
      <c r="B1880" s="7" t="s">
        <v>2573</v>
      </c>
      <c r="C1880" s="7" t="s">
        <v>2574</v>
      </c>
      <c r="D1880" s="7" t="n">
        <v>2525</v>
      </c>
      <c r="E1880" s="7" t="s">
        <v>50</v>
      </c>
      <c r="F1880" s="10" t="b">
        <f aca="false">FALSE()</f>
        <v>0</v>
      </c>
      <c r="G1880" s="7" t="s">
        <v>102</v>
      </c>
      <c r="H1880" s="7" t="s">
        <v>260</v>
      </c>
      <c r="I1880" s="7" t="n">
        <v>4</v>
      </c>
      <c r="J1880" s="7" t="s">
        <v>107</v>
      </c>
      <c r="K1880" s="7" t="s">
        <v>107</v>
      </c>
      <c r="L1880" s="7"/>
      <c r="M1880" s="10" t="b">
        <f aca="false">FALSE()</f>
        <v>0</v>
      </c>
      <c r="N1880" s="7" t="s">
        <v>399</v>
      </c>
      <c r="O1880" s="7" t="n">
        <v>-34.44058</v>
      </c>
      <c r="P1880" s="7" t="n">
        <v>150.856614</v>
      </c>
    </row>
    <row r="1881" customFormat="false" ht="15" hidden="false" customHeight="false" outlineLevel="0" collapsed="false">
      <c r="A1881" s="7" t="n">
        <v>1880</v>
      </c>
      <c r="B1881" s="7" t="s">
        <v>2575</v>
      </c>
      <c r="C1881" s="7" t="s">
        <v>2576</v>
      </c>
      <c r="D1881" s="7" t="n">
        <v>2787</v>
      </c>
      <c r="E1881" s="7" t="s">
        <v>50</v>
      </c>
      <c r="F1881" s="10" t="b">
        <f aca="false">FALSE()</f>
        <v>0</v>
      </c>
      <c r="G1881" s="7" t="s">
        <v>870</v>
      </c>
      <c r="H1881" s="7" t="s">
        <v>1956</v>
      </c>
      <c r="I1881" s="7" t="n">
        <v>4</v>
      </c>
      <c r="J1881" s="7" t="s">
        <v>107</v>
      </c>
      <c r="K1881" s="7" t="s">
        <v>107</v>
      </c>
      <c r="L1881" s="7"/>
      <c r="M1881" s="10" t="b">
        <f aca="false">FALSE()</f>
        <v>0</v>
      </c>
      <c r="N1881" s="7" t="s">
        <v>399</v>
      </c>
      <c r="O1881" s="7" t="n">
        <v>-33.701865</v>
      </c>
      <c r="P1881" s="7" t="n">
        <v>149.874042</v>
      </c>
    </row>
    <row r="1882" customFormat="false" ht="15" hidden="false" customHeight="false" outlineLevel="0" collapsed="false">
      <c r="A1882" s="7" t="n">
        <v>1881</v>
      </c>
      <c r="B1882" s="7" t="s">
        <v>2577</v>
      </c>
      <c r="C1882" s="7" t="s">
        <v>2578</v>
      </c>
      <c r="D1882" s="7" t="n">
        <v>2780</v>
      </c>
      <c r="E1882" s="7" t="s">
        <v>50</v>
      </c>
      <c r="F1882" s="10" t="b">
        <f aca="false">FALSE()</f>
        <v>0</v>
      </c>
      <c r="G1882" s="7" t="s">
        <v>306</v>
      </c>
      <c r="H1882" s="7" t="s">
        <v>252</v>
      </c>
      <c r="I1882" s="7" t="n">
        <v>2</v>
      </c>
      <c r="J1882" s="7" t="s">
        <v>107</v>
      </c>
      <c r="K1882" s="7" t="s">
        <v>107</v>
      </c>
      <c r="L1882" s="7"/>
      <c r="M1882" s="10" t="b">
        <f aca="false">FALSE()</f>
        <v>0</v>
      </c>
      <c r="N1882" s="7" t="s">
        <v>399</v>
      </c>
      <c r="O1882" s="7" t="n">
        <v>-33.712631</v>
      </c>
      <c r="P1882" s="7" t="n">
        <v>150.312557</v>
      </c>
    </row>
    <row r="1883" customFormat="false" ht="15" hidden="false" customHeight="false" outlineLevel="0" collapsed="false">
      <c r="A1883" s="7" t="n">
        <v>1882</v>
      </c>
      <c r="B1883" s="7" t="s">
        <v>2579</v>
      </c>
      <c r="C1883" s="7" t="s">
        <v>2580</v>
      </c>
      <c r="D1883" s="7" t="n">
        <v>2340</v>
      </c>
      <c r="E1883" s="7" t="s">
        <v>50</v>
      </c>
      <c r="F1883" s="10" t="b">
        <f aca="false">FALSE()</f>
        <v>0</v>
      </c>
      <c r="G1883" s="7" t="s">
        <v>192</v>
      </c>
      <c r="H1883" s="7" t="s">
        <v>260</v>
      </c>
      <c r="I1883" s="7" t="n">
        <v>2</v>
      </c>
      <c r="J1883" s="7" t="s">
        <v>107</v>
      </c>
      <c r="K1883" s="7" t="s">
        <v>107</v>
      </c>
      <c r="L1883" s="7"/>
      <c r="M1883" s="10" t="b">
        <f aca="false">FALSE()</f>
        <v>0</v>
      </c>
      <c r="N1883" s="7" t="s">
        <v>399</v>
      </c>
      <c r="O1883" s="7" t="n">
        <v>-31.108478</v>
      </c>
      <c r="P1883" s="7" t="n">
        <v>150.920827</v>
      </c>
    </row>
    <row r="1884" customFormat="false" ht="15" hidden="false" customHeight="false" outlineLevel="0" collapsed="false">
      <c r="A1884" s="7" t="n">
        <v>1883</v>
      </c>
      <c r="B1884" s="7"/>
      <c r="C1884" s="7" t="s">
        <v>2581</v>
      </c>
      <c r="D1884" s="7" t="n">
        <v>2010</v>
      </c>
      <c r="E1884" s="7" t="s">
        <v>50</v>
      </c>
      <c r="F1884" s="10" t="b">
        <f aca="false">FALSE()</f>
        <v>0</v>
      </c>
      <c r="G1884" s="7" t="s">
        <v>182</v>
      </c>
      <c r="H1884" s="7" t="s">
        <v>302</v>
      </c>
      <c r="I1884" s="7" t="n">
        <v>2</v>
      </c>
      <c r="J1884" s="7" t="s">
        <v>107</v>
      </c>
      <c r="K1884" s="7" t="s">
        <v>108</v>
      </c>
      <c r="L1884" s="7" t="n">
        <v>22</v>
      </c>
      <c r="M1884" s="10" t="b">
        <f aca="false">FALSE()</f>
        <v>0</v>
      </c>
      <c r="N1884" s="7" t="s">
        <v>557</v>
      </c>
      <c r="O1884" s="7" t="n">
        <v>-33.878902</v>
      </c>
      <c r="P1884" s="7" t="n">
        <v>151.219218</v>
      </c>
    </row>
    <row r="1885" customFormat="false" ht="15" hidden="false" customHeight="false" outlineLevel="0" collapsed="false">
      <c r="A1885" s="7" t="n">
        <v>1884</v>
      </c>
      <c r="B1885" s="7" t="s">
        <v>2582</v>
      </c>
      <c r="C1885" s="7" t="s">
        <v>2583</v>
      </c>
      <c r="D1885" s="7" t="n">
        <v>2550</v>
      </c>
      <c r="E1885" s="7" t="s">
        <v>50</v>
      </c>
      <c r="F1885" s="10" t="b">
        <f aca="false">FALSE()</f>
        <v>0</v>
      </c>
      <c r="G1885" s="7" t="s">
        <v>188</v>
      </c>
      <c r="H1885" s="7" t="s">
        <v>260</v>
      </c>
      <c r="I1885" s="7" t="n">
        <v>4</v>
      </c>
      <c r="J1885" s="7" t="s">
        <v>107</v>
      </c>
      <c r="K1885" s="7" t="s">
        <v>107</v>
      </c>
      <c r="L1885" s="7"/>
      <c r="M1885" s="10" t="b">
        <f aca="false">FALSE()</f>
        <v>0</v>
      </c>
      <c r="N1885" s="7" t="s">
        <v>399</v>
      </c>
      <c r="O1885" s="7" t="n">
        <v>-36.677509</v>
      </c>
      <c r="P1885" s="7" t="n">
        <v>149.848685</v>
      </c>
    </row>
    <row r="1886" customFormat="false" ht="15" hidden="false" customHeight="false" outlineLevel="0" collapsed="false">
      <c r="A1886" s="7" t="n">
        <v>1885</v>
      </c>
      <c r="B1886" s="7"/>
      <c r="C1886" s="7" t="s">
        <v>2584</v>
      </c>
      <c r="D1886" s="7" t="n">
        <v>2390</v>
      </c>
      <c r="E1886" s="7" t="s">
        <v>50</v>
      </c>
      <c r="F1886" s="10" t="b">
        <f aca="false">FALSE()</f>
        <v>0</v>
      </c>
      <c r="G1886" s="7" t="s">
        <v>158</v>
      </c>
      <c r="H1886" s="7" t="s">
        <v>239</v>
      </c>
      <c r="I1886" s="7" t="n">
        <v>4</v>
      </c>
      <c r="J1886" s="7" t="s">
        <v>71</v>
      </c>
      <c r="K1886" s="7" t="s">
        <v>117</v>
      </c>
      <c r="L1886" s="7" t="n">
        <v>175</v>
      </c>
      <c r="M1886" s="10" t="b">
        <f aca="false">FALSE()</f>
        <v>0</v>
      </c>
      <c r="N1886" s="7" t="s">
        <v>118</v>
      </c>
      <c r="O1886" s="7" t="n">
        <v>-30.322637</v>
      </c>
      <c r="P1886" s="7" t="n">
        <v>149.780189</v>
      </c>
    </row>
    <row r="1887" customFormat="false" ht="15" hidden="false" customHeight="false" outlineLevel="0" collapsed="false">
      <c r="A1887" s="7" t="n">
        <v>1886</v>
      </c>
      <c r="B1887" s="7"/>
      <c r="C1887" s="7" t="s">
        <v>2585</v>
      </c>
      <c r="D1887" s="7" t="n">
        <v>2038</v>
      </c>
      <c r="E1887" s="7" t="s">
        <v>50</v>
      </c>
      <c r="F1887" s="10" t="b">
        <f aca="false">FALSE()</f>
        <v>0</v>
      </c>
      <c r="G1887" s="7" t="s">
        <v>410</v>
      </c>
      <c r="H1887" s="7" t="s">
        <v>1371</v>
      </c>
      <c r="I1887" s="7" t="n">
        <v>1</v>
      </c>
      <c r="J1887" s="7" t="s">
        <v>107</v>
      </c>
      <c r="K1887" s="7" t="s">
        <v>108</v>
      </c>
      <c r="L1887" s="7" t="n">
        <v>22</v>
      </c>
      <c r="M1887" s="10" t="b">
        <f aca="false">FALSE()</f>
        <v>0</v>
      </c>
      <c r="N1887" s="7" t="s">
        <v>557</v>
      </c>
      <c r="O1887" s="7" t="n">
        <v>-33.88338</v>
      </c>
      <c r="P1887" s="7" t="n">
        <v>151.172846</v>
      </c>
    </row>
    <row r="1888" customFormat="false" ht="15" hidden="false" customHeight="false" outlineLevel="0" collapsed="false">
      <c r="A1888" s="7" t="n">
        <v>1887</v>
      </c>
      <c r="B1888" s="7"/>
      <c r="C1888" s="7" t="s">
        <v>2586</v>
      </c>
      <c r="D1888" s="7" t="n">
        <v>2304</v>
      </c>
      <c r="E1888" s="7" t="s">
        <v>50</v>
      </c>
      <c r="F1888" s="10" t="b">
        <f aca="false">FALSE()</f>
        <v>0</v>
      </c>
      <c r="G1888" s="7" t="s">
        <v>141</v>
      </c>
      <c r="H1888" s="7" t="s">
        <v>237</v>
      </c>
      <c r="I1888" s="7" t="n">
        <v>2</v>
      </c>
      <c r="J1888" s="7" t="s">
        <v>107</v>
      </c>
      <c r="K1888" s="7" t="s">
        <v>108</v>
      </c>
      <c r="L1888" s="7" t="n">
        <v>22</v>
      </c>
      <c r="M1888" s="10" t="b">
        <f aca="false">FALSE()</f>
        <v>0</v>
      </c>
      <c r="N1888" s="7" t="s">
        <v>557</v>
      </c>
      <c r="O1888" s="7" t="n">
        <v>-32.897209</v>
      </c>
      <c r="P1888" s="7" t="n">
        <v>151.737401</v>
      </c>
    </row>
    <row r="1889" customFormat="false" ht="15" hidden="false" customHeight="false" outlineLevel="0" collapsed="false">
      <c r="A1889" s="7" t="n">
        <v>1888</v>
      </c>
      <c r="B1889" s="7" t="s">
        <v>2587</v>
      </c>
      <c r="C1889" s="7" t="s">
        <v>2588</v>
      </c>
      <c r="D1889" s="7" t="n">
        <v>2285</v>
      </c>
      <c r="E1889" s="7" t="s">
        <v>50</v>
      </c>
      <c r="F1889" s="10" t="b">
        <f aca="false">FALSE()</f>
        <v>0</v>
      </c>
      <c r="G1889" s="7" t="s">
        <v>377</v>
      </c>
      <c r="H1889" s="7" t="s">
        <v>252</v>
      </c>
      <c r="I1889" s="7" t="n">
        <v>2</v>
      </c>
      <c r="J1889" s="7" t="s">
        <v>107</v>
      </c>
      <c r="K1889" s="7" t="s">
        <v>107</v>
      </c>
      <c r="L1889" s="7"/>
      <c r="M1889" s="10" t="b">
        <f aca="false">FALSE()</f>
        <v>0</v>
      </c>
      <c r="N1889" s="7" t="s">
        <v>399</v>
      </c>
      <c r="O1889" s="7" t="n">
        <v>-32.925804</v>
      </c>
      <c r="P1889" s="7" t="n">
        <v>151.621419</v>
      </c>
    </row>
    <row r="1890" customFormat="false" ht="15" hidden="false" customHeight="false" outlineLevel="0" collapsed="false">
      <c r="A1890" s="7" t="n">
        <v>1889</v>
      </c>
      <c r="B1890" s="7" t="s">
        <v>2589</v>
      </c>
      <c r="C1890" s="7" t="s">
        <v>2590</v>
      </c>
      <c r="D1890" s="7" t="n">
        <v>2800</v>
      </c>
      <c r="E1890" s="7" t="s">
        <v>50</v>
      </c>
      <c r="F1890" s="10" t="b">
        <f aca="false">FALSE()</f>
        <v>0</v>
      </c>
      <c r="G1890" s="7" t="s">
        <v>185</v>
      </c>
      <c r="H1890" s="7" t="s">
        <v>260</v>
      </c>
      <c r="I1890" s="7" t="n">
        <v>2</v>
      </c>
      <c r="J1890" s="7" t="s">
        <v>107</v>
      </c>
      <c r="K1890" s="7" t="s">
        <v>107</v>
      </c>
      <c r="L1890" s="7"/>
      <c r="M1890" s="10" t="b">
        <f aca="false">FALSE()</f>
        <v>0</v>
      </c>
      <c r="N1890" s="7" t="s">
        <v>399</v>
      </c>
      <c r="O1890" s="7" t="n">
        <v>-33.281818</v>
      </c>
      <c r="P1890" s="7" t="n">
        <v>148.990954</v>
      </c>
    </row>
    <row r="1891" customFormat="false" ht="15" hidden="false" customHeight="false" outlineLevel="0" collapsed="false">
      <c r="A1891" s="7" t="n">
        <v>1890</v>
      </c>
      <c r="B1891" s="7"/>
      <c r="C1891" s="7" t="s">
        <v>2591</v>
      </c>
      <c r="D1891" s="7" t="n">
        <v>2132</v>
      </c>
      <c r="E1891" s="7" t="s">
        <v>50</v>
      </c>
      <c r="F1891" s="10" t="b">
        <f aca="false">FALSE()</f>
        <v>0</v>
      </c>
      <c r="G1891" s="7" t="s">
        <v>421</v>
      </c>
      <c r="H1891" s="7" t="s">
        <v>302</v>
      </c>
      <c r="I1891" s="7" t="n">
        <v>2</v>
      </c>
      <c r="J1891" s="7" t="s">
        <v>107</v>
      </c>
      <c r="K1891" s="7" t="s">
        <v>108</v>
      </c>
      <c r="L1891" s="7" t="n">
        <v>22</v>
      </c>
      <c r="M1891" s="10" t="b">
        <f aca="false">FALSE()</f>
        <v>0</v>
      </c>
      <c r="N1891" s="7" t="s">
        <v>557</v>
      </c>
      <c r="O1891" s="7" t="n">
        <v>-33.880829</v>
      </c>
      <c r="P1891" s="7" t="n">
        <v>151.114005</v>
      </c>
    </row>
    <row r="1892" customFormat="false" ht="15" hidden="false" customHeight="false" outlineLevel="0" collapsed="false">
      <c r="A1892" s="7" t="n">
        <v>1891</v>
      </c>
      <c r="B1892" s="7"/>
      <c r="C1892" s="7" t="s">
        <v>2592</v>
      </c>
      <c r="D1892" s="7" t="n">
        <v>2024</v>
      </c>
      <c r="E1892" s="7" t="s">
        <v>50</v>
      </c>
      <c r="F1892" s="10" t="b">
        <f aca="false">FALSE()</f>
        <v>0</v>
      </c>
      <c r="G1892" s="7" t="s">
        <v>295</v>
      </c>
      <c r="H1892" s="7" t="s">
        <v>1371</v>
      </c>
      <c r="I1892" s="7" t="n">
        <v>1</v>
      </c>
      <c r="J1892" s="7" t="s">
        <v>107</v>
      </c>
      <c r="K1892" s="7" t="s">
        <v>900</v>
      </c>
      <c r="L1892" s="7" t="n">
        <v>7</v>
      </c>
      <c r="M1892" s="10" t="b">
        <f aca="false">FALSE()</f>
        <v>0</v>
      </c>
      <c r="N1892" s="7" t="s">
        <v>557</v>
      </c>
      <c r="O1892" s="7" t="n">
        <v>-33.902035</v>
      </c>
      <c r="P1892" s="7" t="n">
        <v>151.258103</v>
      </c>
    </row>
    <row r="1893" customFormat="false" ht="15" hidden="false" customHeight="false" outlineLevel="0" collapsed="false">
      <c r="A1893" s="7" t="n">
        <v>1892</v>
      </c>
      <c r="B1893" s="7"/>
      <c r="C1893" s="7" t="s">
        <v>2593</v>
      </c>
      <c r="D1893" s="7" t="n">
        <v>2065</v>
      </c>
      <c r="E1893" s="7" t="s">
        <v>50</v>
      </c>
      <c r="F1893" s="10" t="b">
        <f aca="false">FALSE()</f>
        <v>0</v>
      </c>
      <c r="G1893" s="7" t="s">
        <v>258</v>
      </c>
      <c r="H1893" s="7" t="s">
        <v>302</v>
      </c>
      <c r="I1893" s="7" t="n">
        <v>2</v>
      </c>
      <c r="J1893" s="7" t="s">
        <v>107</v>
      </c>
      <c r="K1893" s="7" t="s">
        <v>108</v>
      </c>
      <c r="L1893" s="7" t="n">
        <v>22</v>
      </c>
      <c r="M1893" s="10" t="b">
        <f aca="false">FALSE()</f>
        <v>0</v>
      </c>
      <c r="N1893" s="7" t="s">
        <v>557</v>
      </c>
      <c r="O1893" s="7" t="n">
        <v>-33.818008</v>
      </c>
      <c r="P1893" s="7" t="n">
        <v>151.189005</v>
      </c>
    </row>
    <row r="1894" customFormat="false" ht="15" hidden="false" customHeight="false" outlineLevel="0" collapsed="false">
      <c r="A1894" s="7" t="n">
        <v>1893</v>
      </c>
      <c r="B1894" s="7"/>
      <c r="C1894" s="7" t="s">
        <v>2594</v>
      </c>
      <c r="D1894" s="7" t="n">
        <v>2061</v>
      </c>
      <c r="E1894" s="7" t="s">
        <v>50</v>
      </c>
      <c r="F1894" s="10" t="b">
        <f aca="false">FALSE()</f>
        <v>0</v>
      </c>
      <c r="G1894" s="7" t="s">
        <v>332</v>
      </c>
      <c r="H1894" s="7" t="s">
        <v>1744</v>
      </c>
      <c r="I1894" s="7" t="n">
        <v>4</v>
      </c>
      <c r="J1894" s="7" t="s">
        <v>107</v>
      </c>
      <c r="K1894" s="7" t="s">
        <v>108</v>
      </c>
      <c r="L1894" s="7" t="n">
        <v>22</v>
      </c>
      <c r="M1894" s="10" t="b">
        <f aca="false">FALSE()</f>
        <v>0</v>
      </c>
      <c r="N1894" s="7" t="s">
        <v>557</v>
      </c>
      <c r="O1894" s="7" t="n">
        <v>-33.843546</v>
      </c>
      <c r="P1894" s="7" t="n">
        <v>151.21371</v>
      </c>
    </row>
    <row r="1895" customFormat="false" ht="15" hidden="false" customHeight="false" outlineLevel="0" collapsed="false">
      <c r="A1895" s="7" t="n">
        <v>1894</v>
      </c>
      <c r="B1895" s="7" t="s">
        <v>1926</v>
      </c>
      <c r="C1895" s="7" t="s">
        <v>2595</v>
      </c>
      <c r="D1895" s="7" t="n">
        <v>2261</v>
      </c>
      <c r="E1895" s="7" t="s">
        <v>50</v>
      </c>
      <c r="F1895" s="10" t="b">
        <f aca="false">FALSE()</f>
        <v>0</v>
      </c>
      <c r="G1895" s="7" t="s">
        <v>276</v>
      </c>
      <c r="H1895" s="7" t="s">
        <v>260</v>
      </c>
      <c r="I1895" s="7" t="n">
        <v>4</v>
      </c>
      <c r="J1895" s="7" t="s">
        <v>107</v>
      </c>
      <c r="K1895" s="7" t="s">
        <v>107</v>
      </c>
      <c r="L1895" s="7"/>
      <c r="M1895" s="10" t="b">
        <f aca="false">FALSE()</f>
        <v>0</v>
      </c>
      <c r="N1895" s="7" t="s">
        <v>374</v>
      </c>
      <c r="O1895" s="7" t="n">
        <v>-33.361969</v>
      </c>
      <c r="P1895" s="7" t="n">
        <v>151.440778</v>
      </c>
    </row>
    <row r="1896" customFormat="false" ht="15" hidden="false" customHeight="false" outlineLevel="0" collapsed="false">
      <c r="A1896" s="7" t="n">
        <v>1895</v>
      </c>
      <c r="B1896" s="7"/>
      <c r="C1896" s="7" t="s">
        <v>2596</v>
      </c>
      <c r="D1896" s="7" t="n">
        <v>2029</v>
      </c>
      <c r="E1896" s="7" t="s">
        <v>50</v>
      </c>
      <c r="F1896" s="10" t="b">
        <f aca="false">FALSE()</f>
        <v>0</v>
      </c>
      <c r="G1896" s="7" t="s">
        <v>272</v>
      </c>
      <c r="H1896" s="7" t="s">
        <v>237</v>
      </c>
      <c r="I1896" s="7" t="n">
        <v>2</v>
      </c>
      <c r="J1896" s="7" t="s">
        <v>107</v>
      </c>
      <c r="K1896" s="7" t="s">
        <v>900</v>
      </c>
      <c r="L1896" s="7" t="n">
        <v>7</v>
      </c>
      <c r="M1896" s="10" t="b">
        <f aca="false">FALSE()</f>
        <v>0</v>
      </c>
      <c r="N1896" s="7" t="s">
        <v>557</v>
      </c>
      <c r="O1896" s="7" t="n">
        <v>-33.871059</v>
      </c>
      <c r="P1896" s="7" t="n">
        <v>151.270164</v>
      </c>
    </row>
    <row r="1897" customFormat="false" ht="15" hidden="false" customHeight="false" outlineLevel="0" collapsed="false">
      <c r="A1897" s="7" t="n">
        <v>1896</v>
      </c>
      <c r="B1897" s="7"/>
      <c r="C1897" s="7" t="s">
        <v>2597</v>
      </c>
      <c r="D1897" s="7" t="n">
        <v>2035</v>
      </c>
      <c r="E1897" s="7" t="s">
        <v>50</v>
      </c>
      <c r="F1897" s="10" t="b">
        <f aca="false">FALSE()</f>
        <v>0</v>
      </c>
      <c r="G1897" s="7" t="s">
        <v>355</v>
      </c>
      <c r="H1897" s="7" t="s">
        <v>1371</v>
      </c>
      <c r="I1897" s="7" t="n">
        <v>1</v>
      </c>
      <c r="J1897" s="7" t="s">
        <v>107</v>
      </c>
      <c r="K1897" s="7" t="s">
        <v>108</v>
      </c>
      <c r="L1897" s="7" t="n">
        <v>22</v>
      </c>
      <c r="M1897" s="10" t="b">
        <f aca="false">FALSE()</f>
        <v>0</v>
      </c>
      <c r="N1897" s="7" t="s">
        <v>557</v>
      </c>
      <c r="O1897" s="7" t="n">
        <v>-33.944245</v>
      </c>
      <c r="P1897" s="7" t="n">
        <v>151.260852</v>
      </c>
    </row>
    <row r="1898" customFormat="false" ht="15" hidden="false" customHeight="false" outlineLevel="0" collapsed="false">
      <c r="A1898" s="7" t="n">
        <v>1897</v>
      </c>
      <c r="B1898" s="7"/>
      <c r="C1898" s="7" t="s">
        <v>2598</v>
      </c>
      <c r="D1898" s="7" t="n">
        <v>2033</v>
      </c>
      <c r="E1898" s="7" t="s">
        <v>50</v>
      </c>
      <c r="F1898" s="10" t="b">
        <f aca="false">FALSE()</f>
        <v>0</v>
      </c>
      <c r="G1898" s="7" t="s">
        <v>355</v>
      </c>
      <c r="H1898" s="7" t="s">
        <v>1371</v>
      </c>
      <c r="I1898" s="7" t="n">
        <v>1</v>
      </c>
      <c r="J1898" s="7" t="s">
        <v>107</v>
      </c>
      <c r="K1898" s="7" t="s">
        <v>108</v>
      </c>
      <c r="L1898" s="7" t="n">
        <v>22</v>
      </c>
      <c r="M1898" s="10" t="b">
        <f aca="false">FALSE()</f>
        <v>0</v>
      </c>
      <c r="N1898" s="7" t="s">
        <v>557</v>
      </c>
      <c r="O1898" s="7" t="n">
        <v>-33.910025</v>
      </c>
      <c r="P1898" s="7" t="n">
        <v>151.220773</v>
      </c>
    </row>
    <row r="1899" customFormat="false" ht="15" hidden="false" customHeight="false" outlineLevel="0" collapsed="false">
      <c r="A1899" s="7" t="n">
        <v>1898</v>
      </c>
      <c r="B1899" s="7"/>
      <c r="C1899" s="7" t="s">
        <v>2599</v>
      </c>
      <c r="D1899" s="7" t="n">
        <v>2204</v>
      </c>
      <c r="E1899" s="7" t="s">
        <v>50</v>
      </c>
      <c r="F1899" s="10" t="b">
        <f aca="false">FALSE()</f>
        <v>0</v>
      </c>
      <c r="G1899" s="7" t="s">
        <v>410</v>
      </c>
      <c r="H1899" s="7" t="s">
        <v>556</v>
      </c>
      <c r="I1899" s="7" t="n">
        <v>2</v>
      </c>
      <c r="J1899" s="7" t="s">
        <v>107</v>
      </c>
      <c r="K1899" s="7" t="s">
        <v>108</v>
      </c>
      <c r="L1899" s="7" t="n">
        <v>22</v>
      </c>
      <c r="M1899" s="10" t="b">
        <f aca="false">FALSE()</f>
        <v>0</v>
      </c>
      <c r="N1899" s="7" t="s">
        <v>557</v>
      </c>
      <c r="O1899" s="7" t="n">
        <v>-33.915966</v>
      </c>
      <c r="P1899" s="7" t="n">
        <v>151.145994</v>
      </c>
    </row>
    <row r="1900" customFormat="false" ht="15" hidden="false" customHeight="false" outlineLevel="0" collapsed="false">
      <c r="A1900" s="7" t="n">
        <v>1899</v>
      </c>
      <c r="B1900" s="7"/>
      <c r="C1900" s="7" t="s">
        <v>2600</v>
      </c>
      <c r="D1900" s="7" t="n">
        <v>2036</v>
      </c>
      <c r="E1900" s="7" t="s">
        <v>50</v>
      </c>
      <c r="F1900" s="10" t="b">
        <f aca="false">FALSE()</f>
        <v>0</v>
      </c>
      <c r="G1900" s="7" t="s">
        <v>355</v>
      </c>
      <c r="H1900" s="7" t="s">
        <v>1069</v>
      </c>
      <c r="I1900" s="7" t="n">
        <v>4</v>
      </c>
      <c r="J1900" s="7" t="s">
        <v>71</v>
      </c>
      <c r="K1900" s="7" t="s">
        <v>83</v>
      </c>
      <c r="L1900" s="7" t="n">
        <v>75</v>
      </c>
      <c r="M1900" s="10" t="b">
        <f aca="false">FALSE()</f>
        <v>0</v>
      </c>
      <c r="N1900" s="7" t="s">
        <v>557</v>
      </c>
      <c r="O1900" s="7" t="n">
        <v>-33.96264</v>
      </c>
      <c r="P1900" s="7" t="n">
        <v>151.245869</v>
      </c>
    </row>
    <row r="1901" customFormat="false" ht="15" hidden="false" customHeight="false" outlineLevel="0" collapsed="false">
      <c r="A1901" s="7" t="n">
        <v>1900</v>
      </c>
      <c r="B1901" s="7" t="s">
        <v>2601</v>
      </c>
      <c r="C1901" s="7" t="s">
        <v>2602</v>
      </c>
      <c r="D1901" s="7" t="n">
        <v>2795</v>
      </c>
      <c r="E1901" s="7" t="s">
        <v>50</v>
      </c>
      <c r="F1901" s="10" t="b">
        <f aca="false">FALSE()</f>
        <v>0</v>
      </c>
      <c r="G1901" s="7" t="s">
        <v>75</v>
      </c>
      <c r="H1901" s="7" t="s">
        <v>237</v>
      </c>
      <c r="I1901" s="7" t="n">
        <v>1</v>
      </c>
      <c r="J1901" s="7" t="s">
        <v>107</v>
      </c>
      <c r="K1901" s="7" t="s">
        <v>107</v>
      </c>
      <c r="L1901" s="7"/>
      <c r="M1901" s="10" t="b">
        <f aca="false">FALSE()</f>
        <v>0</v>
      </c>
      <c r="N1901" s="7" t="s">
        <v>399</v>
      </c>
      <c r="O1901" s="7" t="n">
        <v>-33.417466</v>
      </c>
      <c r="P1901" s="7" t="n">
        <v>149.576125</v>
      </c>
    </row>
    <row r="1902" customFormat="false" ht="15" hidden="false" customHeight="false" outlineLevel="0" collapsed="false">
      <c r="A1902" s="7" t="n">
        <v>1901</v>
      </c>
      <c r="B1902" s="7" t="s">
        <v>2603</v>
      </c>
      <c r="C1902" s="7" t="s">
        <v>2604</v>
      </c>
      <c r="D1902" s="7" t="n">
        <v>2317</v>
      </c>
      <c r="E1902" s="7" t="s">
        <v>50</v>
      </c>
      <c r="F1902" s="10" t="b">
        <f aca="false">FALSE()</f>
        <v>0</v>
      </c>
      <c r="G1902" s="7" t="s">
        <v>309</v>
      </c>
      <c r="H1902" s="7" t="s">
        <v>260</v>
      </c>
      <c r="I1902" s="7" t="n">
        <v>4</v>
      </c>
      <c r="J1902" s="7" t="s">
        <v>107</v>
      </c>
      <c r="K1902" s="7" t="s">
        <v>107</v>
      </c>
      <c r="L1902" s="7"/>
      <c r="M1902" s="10" t="b">
        <f aca="false">FALSE()</f>
        <v>0</v>
      </c>
      <c r="N1902" s="7" t="s">
        <v>399</v>
      </c>
      <c r="O1902" s="7" t="n">
        <v>-32.711975</v>
      </c>
      <c r="P1902" s="7" t="n">
        <v>152.070889</v>
      </c>
    </row>
    <row r="1903" customFormat="false" ht="15" hidden="false" customHeight="false" outlineLevel="0" collapsed="false">
      <c r="A1903" s="7" t="n">
        <v>1902</v>
      </c>
      <c r="B1903" s="7"/>
      <c r="C1903" s="7" t="s">
        <v>2605</v>
      </c>
      <c r="D1903" s="7" t="n">
        <v>2114</v>
      </c>
      <c r="E1903" s="7" t="s">
        <v>50</v>
      </c>
      <c r="F1903" s="10" t="b">
        <f aca="false">FALSE()</f>
        <v>0</v>
      </c>
      <c r="G1903" s="7" t="s">
        <v>364</v>
      </c>
      <c r="H1903" s="7" t="s">
        <v>233</v>
      </c>
      <c r="I1903" s="7" t="n">
        <v>4</v>
      </c>
      <c r="J1903" s="7" t="s">
        <v>71</v>
      </c>
      <c r="K1903" s="7" t="s">
        <v>117</v>
      </c>
      <c r="L1903" s="7" t="n">
        <v>175</v>
      </c>
      <c r="M1903" s="10" t="b">
        <f aca="false">FALSE()</f>
        <v>0</v>
      </c>
      <c r="N1903" s="7" t="s">
        <v>118</v>
      </c>
      <c r="O1903" s="7" t="n">
        <v>-33.806731</v>
      </c>
      <c r="P1903" s="7" t="n">
        <v>151.070881</v>
      </c>
    </row>
    <row r="1904" customFormat="false" ht="15" hidden="false" customHeight="false" outlineLevel="0" collapsed="false">
      <c r="A1904" s="7" t="n">
        <v>1903</v>
      </c>
      <c r="B1904" s="7"/>
      <c r="C1904" s="7" t="s">
        <v>2606</v>
      </c>
      <c r="D1904" s="7" t="n">
        <v>2233</v>
      </c>
      <c r="E1904" s="7" t="s">
        <v>50</v>
      </c>
      <c r="F1904" s="10" t="b">
        <f aca="false">FALSE()</f>
        <v>0</v>
      </c>
      <c r="G1904" s="7" t="s">
        <v>628</v>
      </c>
      <c r="H1904" s="7" t="s">
        <v>233</v>
      </c>
      <c r="I1904" s="7" t="n">
        <v>4</v>
      </c>
      <c r="J1904" s="7" t="s">
        <v>71</v>
      </c>
      <c r="K1904" s="7" t="s">
        <v>117</v>
      </c>
      <c r="L1904" s="7" t="n">
        <v>175</v>
      </c>
      <c r="M1904" s="10" t="b">
        <f aca="false">FALSE()</f>
        <v>0</v>
      </c>
      <c r="N1904" s="7" t="s">
        <v>118</v>
      </c>
      <c r="O1904" s="7" t="n">
        <v>-34.077403</v>
      </c>
      <c r="P1904" s="7" t="n">
        <v>151.011205</v>
      </c>
    </row>
    <row r="1905" customFormat="false" ht="15" hidden="false" customHeight="false" outlineLevel="0" collapsed="false">
      <c r="A1905" s="7" t="n">
        <v>1904</v>
      </c>
      <c r="B1905" s="7"/>
      <c r="C1905" s="7" t="s">
        <v>2607</v>
      </c>
      <c r="D1905" s="7" t="n">
        <v>2021</v>
      </c>
      <c r="E1905" s="7" t="s">
        <v>50</v>
      </c>
      <c r="F1905" s="10" t="b">
        <f aca="false">FALSE()</f>
        <v>0</v>
      </c>
      <c r="G1905" s="7" t="s">
        <v>272</v>
      </c>
      <c r="H1905" s="7" t="s">
        <v>302</v>
      </c>
      <c r="I1905" s="7" t="n">
        <v>2</v>
      </c>
      <c r="J1905" s="7" t="s">
        <v>107</v>
      </c>
      <c r="K1905" s="7" t="s">
        <v>108</v>
      </c>
      <c r="L1905" s="7" t="n">
        <v>22</v>
      </c>
      <c r="M1905" s="10" t="b">
        <f aca="false">FALSE()</f>
        <v>0</v>
      </c>
      <c r="N1905" s="7" t="s">
        <v>557</v>
      </c>
      <c r="O1905" s="7" t="n">
        <v>-33.887311</v>
      </c>
      <c r="P1905" s="7" t="n">
        <v>151.235506</v>
      </c>
    </row>
    <row r="1906" customFormat="false" ht="15" hidden="false" customHeight="false" outlineLevel="0" collapsed="false">
      <c r="A1906" s="7" t="n">
        <v>1905</v>
      </c>
      <c r="B1906" s="7" t="s">
        <v>2608</v>
      </c>
      <c r="C1906" s="7" t="s">
        <v>2609</v>
      </c>
      <c r="D1906" s="7" t="n">
        <v>2650</v>
      </c>
      <c r="E1906" s="7" t="s">
        <v>50</v>
      </c>
      <c r="F1906" s="10" t="b">
        <f aca="false">FALSE()</f>
        <v>0</v>
      </c>
      <c r="G1906" s="7" t="s">
        <v>147</v>
      </c>
      <c r="H1906" s="7" t="s">
        <v>1748</v>
      </c>
      <c r="I1906" s="7" t="n">
        <v>2</v>
      </c>
      <c r="J1906" s="7" t="s">
        <v>107</v>
      </c>
      <c r="K1906" s="7" t="s">
        <v>107</v>
      </c>
      <c r="L1906" s="7"/>
      <c r="M1906" s="10" t="b">
        <f aca="false">FALSE()</f>
        <v>0</v>
      </c>
      <c r="N1906" s="7" t="s">
        <v>399</v>
      </c>
      <c r="O1906" s="7" t="n">
        <v>-35.128142</v>
      </c>
      <c r="P1906" s="7" t="n">
        <v>147.368009</v>
      </c>
    </row>
    <row r="1907" customFormat="false" ht="15" hidden="false" customHeight="false" outlineLevel="0" collapsed="false">
      <c r="A1907" s="7" t="n">
        <v>1906</v>
      </c>
      <c r="B1907" s="7"/>
      <c r="C1907" s="7" t="s">
        <v>2610</v>
      </c>
      <c r="D1907" s="7" t="n">
        <v>2041</v>
      </c>
      <c r="E1907" s="7" t="s">
        <v>50</v>
      </c>
      <c r="F1907" s="10" t="b">
        <f aca="false">FALSE()</f>
        <v>0</v>
      </c>
      <c r="G1907" s="7" t="s">
        <v>410</v>
      </c>
      <c r="H1907" s="7" t="s">
        <v>1371</v>
      </c>
      <c r="I1907" s="7" t="n">
        <v>1</v>
      </c>
      <c r="J1907" s="7" t="s">
        <v>107</v>
      </c>
      <c r="K1907" s="7" t="s">
        <v>900</v>
      </c>
      <c r="L1907" s="7" t="n">
        <v>7</v>
      </c>
      <c r="M1907" s="10" t="b">
        <f aca="false">FALSE()</f>
        <v>0</v>
      </c>
      <c r="N1907" s="7" t="s">
        <v>557</v>
      </c>
      <c r="O1907" s="7" t="n">
        <v>-33.852418</v>
      </c>
      <c r="P1907" s="7" t="n">
        <v>151.181993</v>
      </c>
    </row>
    <row r="1908" customFormat="false" ht="15" hidden="false" customHeight="false" outlineLevel="0" collapsed="false">
      <c r="A1908" s="7" t="n">
        <v>1907</v>
      </c>
      <c r="B1908" s="7"/>
      <c r="C1908" s="7" t="s">
        <v>2611</v>
      </c>
      <c r="D1908" s="7" t="n">
        <v>2041</v>
      </c>
      <c r="E1908" s="7" t="s">
        <v>50</v>
      </c>
      <c r="F1908" s="10" t="b">
        <f aca="false">FALSE()</f>
        <v>0</v>
      </c>
      <c r="G1908" s="7" t="s">
        <v>410</v>
      </c>
      <c r="H1908" s="7" t="s">
        <v>302</v>
      </c>
      <c r="I1908" s="7" t="n">
        <v>2</v>
      </c>
      <c r="J1908" s="7" t="s">
        <v>107</v>
      </c>
      <c r="K1908" s="7" t="s">
        <v>108</v>
      </c>
      <c r="L1908" s="7" t="n">
        <v>22</v>
      </c>
      <c r="M1908" s="10" t="b">
        <f aca="false">FALSE()</f>
        <v>0</v>
      </c>
      <c r="N1908" s="7" t="s">
        <v>557</v>
      </c>
      <c r="O1908" s="7" t="n">
        <v>-33.857744</v>
      </c>
      <c r="P1908" s="7" t="n">
        <v>151.180071</v>
      </c>
    </row>
    <row r="1909" customFormat="false" ht="15" hidden="false" customHeight="false" outlineLevel="0" collapsed="false">
      <c r="A1909" s="7" t="n">
        <v>1908</v>
      </c>
      <c r="B1909" s="7"/>
      <c r="C1909" s="7" t="s">
        <v>2612</v>
      </c>
      <c r="D1909" s="7" t="n">
        <v>2022</v>
      </c>
      <c r="E1909" s="7" t="s">
        <v>50</v>
      </c>
      <c r="F1909" s="10" t="b">
        <f aca="false">FALSE()</f>
        <v>0</v>
      </c>
      <c r="G1909" s="7" t="s">
        <v>295</v>
      </c>
      <c r="H1909" s="7" t="s">
        <v>1371</v>
      </c>
      <c r="I1909" s="7" t="n">
        <v>1</v>
      </c>
      <c r="J1909" s="7" t="s">
        <v>107</v>
      </c>
      <c r="K1909" s="7" t="s">
        <v>108</v>
      </c>
      <c r="L1909" s="7" t="n">
        <v>22</v>
      </c>
      <c r="M1909" s="10" t="b">
        <f aca="false">FALSE()</f>
        <v>0</v>
      </c>
      <c r="N1909" s="7" t="s">
        <v>557</v>
      </c>
      <c r="O1909" s="7" t="n">
        <v>-33.893562</v>
      </c>
      <c r="P1909" s="7" t="n">
        <v>151.252073</v>
      </c>
    </row>
    <row r="1910" customFormat="false" ht="15" hidden="false" customHeight="false" outlineLevel="0" collapsed="false">
      <c r="A1910" s="7" t="n">
        <v>1909</v>
      </c>
      <c r="B1910" s="7"/>
      <c r="C1910" s="7" t="s">
        <v>2613</v>
      </c>
      <c r="D1910" s="7" t="n">
        <v>2034</v>
      </c>
      <c r="E1910" s="7" t="s">
        <v>50</v>
      </c>
      <c r="F1910" s="10" t="b">
        <f aca="false">FALSE()</f>
        <v>0</v>
      </c>
      <c r="G1910" s="7" t="s">
        <v>355</v>
      </c>
      <c r="H1910" s="7" t="s">
        <v>1371</v>
      </c>
      <c r="I1910" s="7" t="n">
        <v>1</v>
      </c>
      <c r="J1910" s="7" t="s">
        <v>107</v>
      </c>
      <c r="K1910" s="7" t="s">
        <v>108</v>
      </c>
      <c r="L1910" s="7" t="n">
        <v>22</v>
      </c>
      <c r="M1910" s="10" t="b">
        <f aca="false">FALSE()</f>
        <v>0</v>
      </c>
      <c r="N1910" s="7" t="s">
        <v>557</v>
      </c>
      <c r="O1910" s="7" t="n">
        <v>-33.926379</v>
      </c>
      <c r="P1910" s="7" t="n">
        <v>151.257804</v>
      </c>
    </row>
    <row r="1911" customFormat="false" ht="15" hidden="false" customHeight="false" outlineLevel="0" collapsed="false">
      <c r="A1911" s="7" t="n">
        <v>1910</v>
      </c>
      <c r="B1911" s="7"/>
      <c r="C1911" s="7" t="s">
        <v>2614</v>
      </c>
      <c r="D1911" s="7" t="n">
        <v>2716</v>
      </c>
      <c r="E1911" s="7" t="s">
        <v>50</v>
      </c>
      <c r="F1911" s="10" t="b">
        <f aca="false">FALSE()</f>
        <v>0</v>
      </c>
      <c r="G1911" s="7" t="s">
        <v>1622</v>
      </c>
      <c r="H1911" s="7" t="s">
        <v>233</v>
      </c>
      <c r="I1911" s="7" t="n">
        <v>6</v>
      </c>
      <c r="J1911" s="7" t="s">
        <v>71</v>
      </c>
      <c r="K1911" s="7" t="s">
        <v>117</v>
      </c>
      <c r="L1911" s="7" t="n">
        <v>175</v>
      </c>
      <c r="M1911" s="10" t="b">
        <f aca="false">FALSE()</f>
        <v>0</v>
      </c>
      <c r="N1911" s="7" t="s">
        <v>118</v>
      </c>
      <c r="O1911" s="7" t="n">
        <v>-35.360898</v>
      </c>
      <c r="P1911" s="7" t="n">
        <v>145.719467</v>
      </c>
    </row>
    <row r="1912" customFormat="false" ht="15" hidden="false" customHeight="false" outlineLevel="0" collapsed="false">
      <c r="A1912" s="7" t="n">
        <v>1911</v>
      </c>
      <c r="B1912" s="7"/>
      <c r="C1912" s="7" t="s">
        <v>2615</v>
      </c>
      <c r="D1912" s="7" t="n">
        <v>2038</v>
      </c>
      <c r="E1912" s="7" t="s">
        <v>50</v>
      </c>
      <c r="F1912" s="10" t="b">
        <f aca="false">FALSE()</f>
        <v>0</v>
      </c>
      <c r="G1912" s="7" t="s">
        <v>410</v>
      </c>
      <c r="H1912" s="7" t="s">
        <v>1371</v>
      </c>
      <c r="I1912" s="7" t="n">
        <v>1</v>
      </c>
      <c r="J1912" s="7" t="s">
        <v>107</v>
      </c>
      <c r="K1912" s="7" t="s">
        <v>108</v>
      </c>
      <c r="L1912" s="7" t="n">
        <v>22</v>
      </c>
      <c r="M1912" s="10" t="b">
        <f aca="false">FALSE()</f>
        <v>0</v>
      </c>
      <c r="N1912" s="7" t="s">
        <v>557</v>
      </c>
      <c r="O1912" s="7" t="n">
        <v>-33.881865</v>
      </c>
      <c r="P1912" s="7" t="n">
        <v>151.1693</v>
      </c>
    </row>
    <row r="1913" customFormat="false" ht="15" hidden="false" customHeight="false" outlineLevel="0" collapsed="false">
      <c r="A1913" s="7" t="n">
        <v>1912</v>
      </c>
      <c r="B1913" s="7" t="s">
        <v>2616</v>
      </c>
      <c r="C1913" s="7" t="s">
        <v>2617</v>
      </c>
      <c r="D1913" s="7" t="n">
        <v>2540</v>
      </c>
      <c r="E1913" s="7" t="s">
        <v>50</v>
      </c>
      <c r="F1913" s="10" t="b">
        <f aca="false">FALSE()</f>
        <v>0</v>
      </c>
      <c r="G1913" s="7" t="s">
        <v>92</v>
      </c>
      <c r="H1913" s="7" t="s">
        <v>260</v>
      </c>
      <c r="I1913" s="7" t="n">
        <v>4</v>
      </c>
      <c r="J1913" s="7" t="s">
        <v>107</v>
      </c>
      <c r="K1913" s="7" t="s">
        <v>107</v>
      </c>
      <c r="L1913" s="7"/>
      <c r="M1913" s="10" t="b">
        <f aca="false">FALSE()</f>
        <v>0</v>
      </c>
      <c r="N1913" s="7" t="s">
        <v>374</v>
      </c>
      <c r="O1913" s="7" t="n">
        <v>-34.889859</v>
      </c>
      <c r="P1913" s="7" t="n">
        <v>150.625969</v>
      </c>
    </row>
    <row r="1914" customFormat="false" ht="15" hidden="false" customHeight="false" outlineLevel="0" collapsed="false">
      <c r="A1914" s="7" t="n">
        <v>1913</v>
      </c>
      <c r="B1914" s="7"/>
      <c r="C1914" s="7" t="s">
        <v>2618</v>
      </c>
      <c r="D1914" s="7" t="n">
        <v>2026</v>
      </c>
      <c r="E1914" s="7" t="s">
        <v>50</v>
      </c>
      <c r="F1914" s="10" t="b">
        <f aca="false">FALSE()</f>
        <v>0</v>
      </c>
      <c r="G1914" s="7" t="s">
        <v>295</v>
      </c>
      <c r="H1914" s="7" t="s">
        <v>237</v>
      </c>
      <c r="I1914" s="7" t="n">
        <v>1</v>
      </c>
      <c r="J1914" s="7" t="s">
        <v>107</v>
      </c>
      <c r="K1914" s="7" t="s">
        <v>900</v>
      </c>
      <c r="L1914" s="7" t="n">
        <v>7</v>
      </c>
      <c r="M1914" s="10" t="b">
        <f aca="false">FALSE()</f>
        <v>0</v>
      </c>
      <c r="N1914" s="7" t="s">
        <v>557</v>
      </c>
      <c r="O1914" s="7" t="n">
        <v>-33.889034</v>
      </c>
      <c r="P1914" s="7" t="n">
        <v>151.273948</v>
      </c>
    </row>
    <row r="1915" customFormat="false" ht="15" hidden="false" customHeight="false" outlineLevel="0" collapsed="false">
      <c r="A1915" s="7" t="n">
        <v>1914</v>
      </c>
      <c r="B1915" s="7"/>
      <c r="C1915" s="7" t="s">
        <v>2619</v>
      </c>
      <c r="D1915" s="7" t="n">
        <v>2038</v>
      </c>
      <c r="E1915" s="7" t="s">
        <v>50</v>
      </c>
      <c r="F1915" s="10" t="b">
        <f aca="false">FALSE()</f>
        <v>0</v>
      </c>
      <c r="G1915" s="7" t="s">
        <v>410</v>
      </c>
      <c r="H1915" s="7" t="s">
        <v>1371</v>
      </c>
      <c r="I1915" s="7" t="n">
        <v>1</v>
      </c>
      <c r="J1915" s="7" t="s">
        <v>107</v>
      </c>
      <c r="K1915" s="7" t="s">
        <v>108</v>
      </c>
      <c r="L1915" s="7" t="n">
        <v>22</v>
      </c>
      <c r="M1915" s="10" t="b">
        <f aca="false">FALSE()</f>
        <v>0</v>
      </c>
      <c r="N1915" s="7" t="s">
        <v>557</v>
      </c>
      <c r="O1915" s="7" t="n">
        <v>-33.883867</v>
      </c>
      <c r="P1915" s="7" t="n">
        <v>151.166499</v>
      </c>
    </row>
    <row r="1916" customFormat="false" ht="15" hidden="false" customHeight="false" outlineLevel="0" collapsed="false">
      <c r="A1916" s="7" t="n">
        <v>1915</v>
      </c>
      <c r="B1916" s="7" t="s">
        <v>1943</v>
      </c>
      <c r="C1916" s="7" t="s">
        <v>2620</v>
      </c>
      <c r="D1916" s="7" t="n">
        <v>2320</v>
      </c>
      <c r="E1916" s="7" t="s">
        <v>50</v>
      </c>
      <c r="F1916" s="10" t="b">
        <f aca="false">FALSE()</f>
        <v>0</v>
      </c>
      <c r="G1916" s="7" t="s">
        <v>283</v>
      </c>
      <c r="H1916" s="7" t="s">
        <v>1795</v>
      </c>
      <c r="I1916" s="7" t="n">
        <v>2</v>
      </c>
      <c r="J1916" s="7" t="s">
        <v>107</v>
      </c>
      <c r="K1916" s="7" t="s">
        <v>107</v>
      </c>
      <c r="L1916" s="7"/>
      <c r="M1916" s="10" t="b">
        <f aca="false">FALSE()</f>
        <v>0</v>
      </c>
      <c r="N1916" s="7" t="s">
        <v>374</v>
      </c>
      <c r="O1916" s="7" t="n">
        <v>-32.71822</v>
      </c>
      <c r="P1916" s="7" t="n">
        <v>151.528476</v>
      </c>
    </row>
    <row r="1917" customFormat="false" ht="15" hidden="false" customHeight="false" outlineLevel="0" collapsed="false">
      <c r="A1917" s="7" t="n">
        <v>1916</v>
      </c>
      <c r="B1917" s="7"/>
      <c r="C1917" s="7" t="s">
        <v>2621</v>
      </c>
      <c r="D1917" s="7" t="n">
        <v>2795</v>
      </c>
      <c r="E1917" s="7" t="s">
        <v>50</v>
      </c>
      <c r="F1917" s="10" t="b">
        <f aca="false">FALSE()</f>
        <v>0</v>
      </c>
      <c r="G1917" s="7" t="s">
        <v>75</v>
      </c>
      <c r="H1917" s="7" t="s">
        <v>1862</v>
      </c>
      <c r="I1917" s="7" t="n">
        <v>1</v>
      </c>
      <c r="J1917" s="7" t="s">
        <v>107</v>
      </c>
      <c r="K1917" s="7" t="s">
        <v>107</v>
      </c>
      <c r="L1917" s="7"/>
      <c r="M1917" s="10" t="b">
        <f aca="false">FALSE()</f>
        <v>0</v>
      </c>
      <c r="N1917" s="7" t="s">
        <v>399</v>
      </c>
      <c r="O1917" s="7" t="n">
        <v>-33.417695</v>
      </c>
      <c r="P1917" s="7" t="n">
        <v>149.575089</v>
      </c>
    </row>
    <row r="1918" customFormat="false" ht="15" hidden="false" customHeight="false" outlineLevel="0" collapsed="false">
      <c r="A1918" s="7" t="n">
        <v>1917</v>
      </c>
      <c r="B1918" s="7" t="s">
        <v>2622</v>
      </c>
      <c r="C1918" s="7" t="s">
        <v>2623</v>
      </c>
      <c r="D1918" s="7" t="n">
        <v>2350</v>
      </c>
      <c r="E1918" s="7" t="s">
        <v>50</v>
      </c>
      <c r="F1918" s="10" t="b">
        <f aca="false">FALSE()</f>
        <v>0</v>
      </c>
      <c r="G1918" s="7" t="s">
        <v>155</v>
      </c>
      <c r="H1918" s="7" t="s">
        <v>398</v>
      </c>
      <c r="I1918" s="7" t="n">
        <v>1</v>
      </c>
      <c r="J1918" s="7" t="s">
        <v>107</v>
      </c>
      <c r="K1918" s="7" t="s">
        <v>107</v>
      </c>
      <c r="L1918" s="7"/>
      <c r="M1918" s="10" t="b">
        <f aca="false">FALSE()</f>
        <v>0</v>
      </c>
      <c r="N1918" s="7" t="s">
        <v>399</v>
      </c>
      <c r="O1918" s="7" t="n">
        <v>-30.516911</v>
      </c>
      <c r="P1918" s="7" t="n">
        <v>151.668335</v>
      </c>
    </row>
    <row r="1919" customFormat="false" ht="15" hidden="false" customHeight="false" outlineLevel="0" collapsed="false">
      <c r="A1919" s="7" t="n">
        <v>1918</v>
      </c>
      <c r="B1919" s="7" t="s">
        <v>2624</v>
      </c>
      <c r="C1919" s="7" t="s">
        <v>2625</v>
      </c>
      <c r="D1919" s="7" t="n">
        <v>2648</v>
      </c>
      <c r="E1919" s="7" t="s">
        <v>50</v>
      </c>
      <c r="F1919" s="10" t="b">
        <f aca="false">FALSE()</f>
        <v>0</v>
      </c>
      <c r="G1919" s="7" t="s">
        <v>280</v>
      </c>
      <c r="H1919" s="7" t="s">
        <v>237</v>
      </c>
      <c r="I1919" s="7" t="n">
        <v>2</v>
      </c>
      <c r="J1919" s="7" t="s">
        <v>107</v>
      </c>
      <c r="K1919" s="7" t="s">
        <v>107</v>
      </c>
      <c r="L1919" s="7"/>
      <c r="M1919" s="10" t="b">
        <f aca="false">FALSE()</f>
        <v>0</v>
      </c>
      <c r="N1919" s="7" t="s">
        <v>399</v>
      </c>
      <c r="O1919" s="7" t="n">
        <v>-34.109016</v>
      </c>
      <c r="P1919" s="7" t="n">
        <v>141.919391</v>
      </c>
    </row>
    <row r="1920" customFormat="false" ht="15" hidden="false" customHeight="false" outlineLevel="0" collapsed="false">
      <c r="A1920" s="7" t="n">
        <v>1919</v>
      </c>
      <c r="B1920" s="7"/>
      <c r="C1920" s="7" t="s">
        <v>2626</v>
      </c>
      <c r="D1920" s="7" t="n">
        <v>2481</v>
      </c>
      <c r="E1920" s="7" t="s">
        <v>50</v>
      </c>
      <c r="F1920" s="10" t="b">
        <f aca="false">FALSE()</f>
        <v>0</v>
      </c>
      <c r="G1920" s="7" t="s">
        <v>82</v>
      </c>
      <c r="H1920" s="7" t="s">
        <v>237</v>
      </c>
      <c r="I1920" s="7" t="n">
        <v>2</v>
      </c>
      <c r="J1920" s="7" t="s">
        <v>71</v>
      </c>
      <c r="K1920" s="7" t="s">
        <v>72</v>
      </c>
      <c r="L1920" s="7" t="n">
        <v>50</v>
      </c>
      <c r="M1920" s="10" t="b">
        <f aca="false">FALSE()</f>
        <v>0</v>
      </c>
      <c r="N1920" s="7" t="s">
        <v>76</v>
      </c>
      <c r="O1920" s="7" t="n">
        <v>-28.625908</v>
      </c>
      <c r="P1920" s="7" t="n">
        <v>153.586978</v>
      </c>
    </row>
    <row r="1921" customFormat="false" ht="15" hidden="false" customHeight="false" outlineLevel="0" collapsed="false">
      <c r="A1921" s="7" t="n">
        <v>1920</v>
      </c>
      <c r="B1921" s="7" t="s">
        <v>2627</v>
      </c>
      <c r="C1921" s="7" t="s">
        <v>2628</v>
      </c>
      <c r="D1921" s="7" t="n">
        <v>2800</v>
      </c>
      <c r="E1921" s="7" t="s">
        <v>50</v>
      </c>
      <c r="F1921" s="10" t="b">
        <f aca="false">FALSE()</f>
        <v>0</v>
      </c>
      <c r="G1921" s="7" t="s">
        <v>167</v>
      </c>
      <c r="H1921" s="7" t="s">
        <v>398</v>
      </c>
      <c r="I1921" s="7" t="n">
        <v>4</v>
      </c>
      <c r="J1921" s="7" t="s">
        <v>107</v>
      </c>
      <c r="K1921" s="7" t="s">
        <v>107</v>
      </c>
      <c r="L1921" s="7"/>
      <c r="M1921" s="10" t="b">
        <f aca="false">FALSE()</f>
        <v>0</v>
      </c>
      <c r="N1921" s="7" t="s">
        <v>399</v>
      </c>
      <c r="O1921" s="7" t="n">
        <v>-33.295494</v>
      </c>
      <c r="P1921" s="7" t="n">
        <v>149.115836</v>
      </c>
    </row>
    <row r="1922" customFormat="false" ht="15" hidden="false" customHeight="false" outlineLevel="0" collapsed="false">
      <c r="A1922" s="7" t="n">
        <v>1921</v>
      </c>
      <c r="B1922" s="7" t="s">
        <v>2629</v>
      </c>
      <c r="C1922" s="7" t="s">
        <v>2630</v>
      </c>
      <c r="D1922" s="7" t="n">
        <v>2350</v>
      </c>
      <c r="E1922" s="7" t="s">
        <v>50</v>
      </c>
      <c r="F1922" s="10" t="b">
        <f aca="false">FALSE()</f>
        <v>0</v>
      </c>
      <c r="G1922" s="7" t="s">
        <v>155</v>
      </c>
      <c r="H1922" s="7" t="s">
        <v>260</v>
      </c>
      <c r="I1922" s="7" t="n">
        <v>8</v>
      </c>
      <c r="J1922" s="7" t="s">
        <v>107</v>
      </c>
      <c r="K1922" s="7" t="s">
        <v>107</v>
      </c>
      <c r="L1922" s="7"/>
      <c r="M1922" s="10" t="b">
        <f aca="false">FALSE()</f>
        <v>0</v>
      </c>
      <c r="N1922" s="7" t="s">
        <v>374</v>
      </c>
      <c r="O1922" s="7" t="n">
        <v>-30.51676</v>
      </c>
      <c r="P1922" s="7" t="n">
        <v>151.663672</v>
      </c>
    </row>
    <row r="1923" customFormat="false" ht="15" hidden="false" customHeight="false" outlineLevel="0" collapsed="false">
      <c r="A1923" s="7" t="n">
        <v>1922</v>
      </c>
      <c r="B1923" s="7"/>
      <c r="C1923" s="7" t="s">
        <v>2631</v>
      </c>
      <c r="D1923" s="7" t="n">
        <v>2040</v>
      </c>
      <c r="E1923" s="7" t="s">
        <v>50</v>
      </c>
      <c r="F1923" s="10" t="b">
        <f aca="false">FALSE()</f>
        <v>0</v>
      </c>
      <c r="G1923" s="7" t="s">
        <v>410</v>
      </c>
      <c r="H1923" s="7" t="s">
        <v>302</v>
      </c>
      <c r="I1923" s="7" t="n">
        <v>2</v>
      </c>
      <c r="J1923" s="7" t="s">
        <v>107</v>
      </c>
      <c r="K1923" s="7" t="s">
        <v>108</v>
      </c>
      <c r="L1923" s="7" t="n">
        <v>22</v>
      </c>
      <c r="M1923" s="10" t="b">
        <f aca="false">FALSE()</f>
        <v>0</v>
      </c>
      <c r="N1923" s="7" t="s">
        <v>557</v>
      </c>
      <c r="O1923" s="7" t="n">
        <v>-33.883498</v>
      </c>
      <c r="P1923" s="7" t="n">
        <v>151.149764</v>
      </c>
    </row>
    <row r="1924" customFormat="false" ht="15" hidden="false" customHeight="false" outlineLevel="0" collapsed="false">
      <c r="A1924" s="7" t="n">
        <v>1923</v>
      </c>
      <c r="B1924" s="7"/>
      <c r="C1924" s="7" t="s">
        <v>2632</v>
      </c>
      <c r="D1924" s="7" t="n">
        <v>2021</v>
      </c>
      <c r="E1924" s="7" t="s">
        <v>50</v>
      </c>
      <c r="F1924" s="10" t="b">
        <f aca="false">FALSE()</f>
        <v>0</v>
      </c>
      <c r="G1924" s="7" t="s">
        <v>272</v>
      </c>
      <c r="H1924" s="7" t="s">
        <v>302</v>
      </c>
      <c r="I1924" s="7" t="n">
        <v>2</v>
      </c>
      <c r="J1924" s="7" t="s">
        <v>107</v>
      </c>
      <c r="K1924" s="7" t="s">
        <v>108</v>
      </c>
      <c r="L1924" s="7" t="n">
        <v>22</v>
      </c>
      <c r="M1924" s="10" t="b">
        <f aca="false">FALSE()</f>
        <v>0</v>
      </c>
      <c r="N1924" s="7" t="s">
        <v>557</v>
      </c>
      <c r="O1924" s="7" t="n">
        <v>-33.88205</v>
      </c>
      <c r="P1924" s="7" t="n">
        <v>151.225578</v>
      </c>
    </row>
    <row r="1925" customFormat="false" ht="15" hidden="false" customHeight="false" outlineLevel="0" collapsed="false">
      <c r="A1925" s="7" t="n">
        <v>1924</v>
      </c>
      <c r="B1925" s="7" t="s">
        <v>2633</v>
      </c>
      <c r="C1925" s="7" t="s">
        <v>2634</v>
      </c>
      <c r="D1925" s="7" t="n">
        <v>2620</v>
      </c>
      <c r="E1925" s="7" t="s">
        <v>50</v>
      </c>
      <c r="F1925" s="10" t="b">
        <f aca="false">FALSE()</f>
        <v>0</v>
      </c>
      <c r="G1925" s="7" t="s">
        <v>94</v>
      </c>
      <c r="H1925" s="7" t="s">
        <v>230</v>
      </c>
      <c r="I1925" s="7" t="n">
        <v>2</v>
      </c>
      <c r="J1925" s="7" t="s">
        <v>107</v>
      </c>
      <c r="K1925" s="7" t="s">
        <v>107</v>
      </c>
      <c r="L1925" s="7"/>
      <c r="M1925" s="10" t="b">
        <f aca="false">FALSE()</f>
        <v>0</v>
      </c>
      <c r="N1925" s="7" t="s">
        <v>399</v>
      </c>
      <c r="O1925" s="7" t="n">
        <v>-35.344225</v>
      </c>
      <c r="P1925" s="7" t="n">
        <v>149.215531</v>
      </c>
    </row>
    <row r="1926" customFormat="false" ht="15" hidden="false" customHeight="false" outlineLevel="0" collapsed="false">
      <c r="A1926" s="7" t="n">
        <v>1925</v>
      </c>
      <c r="B1926" s="7"/>
      <c r="C1926" s="7" t="s">
        <v>2635</v>
      </c>
      <c r="D1926" s="7" t="n">
        <v>2033</v>
      </c>
      <c r="E1926" s="7" t="s">
        <v>50</v>
      </c>
      <c r="F1926" s="10" t="b">
        <f aca="false">FALSE()</f>
        <v>0</v>
      </c>
      <c r="G1926" s="7" t="s">
        <v>355</v>
      </c>
      <c r="H1926" s="7" t="s">
        <v>302</v>
      </c>
      <c r="I1926" s="7" t="n">
        <v>2</v>
      </c>
      <c r="J1926" s="7" t="s">
        <v>107</v>
      </c>
      <c r="K1926" s="7" t="s">
        <v>108</v>
      </c>
      <c r="L1926" s="7" t="n">
        <v>22</v>
      </c>
      <c r="M1926" s="10" t="b">
        <f aca="false">FALSE()</f>
        <v>0</v>
      </c>
      <c r="N1926" s="7" t="s">
        <v>557</v>
      </c>
      <c r="O1926" s="7" t="n">
        <v>-33.91931</v>
      </c>
      <c r="P1926" s="7" t="n">
        <v>151.225843</v>
      </c>
    </row>
    <row r="1927" customFormat="false" ht="15" hidden="false" customHeight="false" outlineLevel="0" collapsed="false">
      <c r="A1927" s="7" t="n">
        <v>1926</v>
      </c>
      <c r="B1927" s="7"/>
      <c r="C1927" s="7" t="s">
        <v>2636</v>
      </c>
      <c r="D1927" s="7" t="n">
        <v>2010</v>
      </c>
      <c r="E1927" s="7" t="s">
        <v>50</v>
      </c>
      <c r="F1927" s="10" t="b">
        <f aca="false">FALSE()</f>
        <v>0</v>
      </c>
      <c r="G1927" s="7" t="s">
        <v>272</v>
      </c>
      <c r="H1927" s="7" t="s">
        <v>302</v>
      </c>
      <c r="I1927" s="7" t="n">
        <v>2</v>
      </c>
      <c r="J1927" s="7" t="s">
        <v>107</v>
      </c>
      <c r="K1927" s="7" t="s">
        <v>108</v>
      </c>
      <c r="L1927" s="7" t="n">
        <v>22</v>
      </c>
      <c r="M1927" s="10" t="b">
        <f aca="false">FALSE()</f>
        <v>0</v>
      </c>
      <c r="N1927" s="7" t="s">
        <v>557</v>
      </c>
      <c r="O1927" s="7" t="n">
        <v>-33.878856</v>
      </c>
      <c r="P1927" s="7" t="n">
        <v>151.225141</v>
      </c>
    </row>
    <row r="1928" customFormat="false" ht="15" hidden="false" customHeight="false" outlineLevel="0" collapsed="false">
      <c r="A1928" s="7" t="n">
        <v>1927</v>
      </c>
      <c r="B1928" s="7"/>
      <c r="C1928" s="7" t="s">
        <v>2637</v>
      </c>
      <c r="D1928" s="7" t="n">
        <v>2031</v>
      </c>
      <c r="E1928" s="7" t="s">
        <v>50</v>
      </c>
      <c r="F1928" s="10" t="b">
        <f aca="false">FALSE()</f>
        <v>0</v>
      </c>
      <c r="G1928" s="7" t="s">
        <v>355</v>
      </c>
      <c r="H1928" s="7" t="s">
        <v>1371</v>
      </c>
      <c r="I1928" s="7" t="n">
        <v>1</v>
      </c>
      <c r="J1928" s="7" t="s">
        <v>107</v>
      </c>
      <c r="K1928" s="7" t="s">
        <v>900</v>
      </c>
      <c r="L1928" s="7" t="n">
        <v>7</v>
      </c>
      <c r="M1928" s="10" t="b">
        <f aca="false">FALSE()</f>
        <v>0</v>
      </c>
      <c r="N1928" s="7" t="s">
        <v>557</v>
      </c>
      <c r="O1928" s="7" t="n">
        <v>-33.90812</v>
      </c>
      <c r="P1928" s="7" t="n">
        <v>151.234786</v>
      </c>
    </row>
    <row r="1929" customFormat="false" ht="15" hidden="false" customHeight="false" outlineLevel="0" collapsed="false">
      <c r="A1929" s="7" t="n">
        <v>1928</v>
      </c>
      <c r="B1929" s="7"/>
      <c r="C1929" s="7" t="s">
        <v>2638</v>
      </c>
      <c r="D1929" s="7" t="n">
        <v>2023</v>
      </c>
      <c r="E1929" s="7" t="s">
        <v>50</v>
      </c>
      <c r="F1929" s="10" t="b">
        <f aca="false">FALSE()</f>
        <v>0</v>
      </c>
      <c r="G1929" s="7" t="s">
        <v>272</v>
      </c>
      <c r="H1929" s="7" t="s">
        <v>1371</v>
      </c>
      <c r="I1929" s="7" t="n">
        <v>1</v>
      </c>
      <c r="J1929" s="7" t="s">
        <v>107</v>
      </c>
      <c r="K1929" s="7" t="s">
        <v>108</v>
      </c>
      <c r="L1929" s="7" t="n">
        <v>22</v>
      </c>
      <c r="M1929" s="10" t="b">
        <f aca="false">FALSE()</f>
        <v>0</v>
      </c>
      <c r="N1929" s="7" t="s">
        <v>557</v>
      </c>
      <c r="O1929" s="7" t="n">
        <v>-33.878636</v>
      </c>
      <c r="P1929" s="7" t="n">
        <v>151.24656</v>
      </c>
    </row>
    <row r="1930" customFormat="false" ht="15" hidden="false" customHeight="false" outlineLevel="0" collapsed="false">
      <c r="A1930" s="7" t="n">
        <v>1929</v>
      </c>
      <c r="B1930" s="7" t="s">
        <v>2639</v>
      </c>
      <c r="C1930" s="7" t="s">
        <v>2640</v>
      </c>
      <c r="D1930" s="7" t="n">
        <v>2800</v>
      </c>
      <c r="E1930" s="7" t="s">
        <v>50</v>
      </c>
      <c r="F1930" s="10" t="b">
        <f aca="false">FALSE()</f>
        <v>0</v>
      </c>
      <c r="G1930" s="7" t="s">
        <v>167</v>
      </c>
      <c r="H1930" s="7" t="s">
        <v>1889</v>
      </c>
      <c r="I1930" s="7" t="n">
        <v>4</v>
      </c>
      <c r="J1930" s="7" t="s">
        <v>107</v>
      </c>
      <c r="K1930" s="7" t="s">
        <v>107</v>
      </c>
      <c r="L1930" s="7"/>
      <c r="M1930" s="10" t="b">
        <f aca="false">FALSE()</f>
        <v>0</v>
      </c>
      <c r="N1930" s="7" t="s">
        <v>399</v>
      </c>
      <c r="O1930" s="7" t="n">
        <v>-33.281735</v>
      </c>
      <c r="P1930" s="7" t="n">
        <v>149.103413</v>
      </c>
    </row>
    <row r="1931" customFormat="false" ht="15" hidden="false" customHeight="false" outlineLevel="0" collapsed="false">
      <c r="A1931" s="7" t="n">
        <v>1930</v>
      </c>
      <c r="B1931" s="7"/>
      <c r="C1931" s="7" t="s">
        <v>2641</v>
      </c>
      <c r="D1931" s="7" t="n">
        <v>2021</v>
      </c>
      <c r="E1931" s="7" t="s">
        <v>50</v>
      </c>
      <c r="F1931" s="10" t="b">
        <f aca="false">FALSE()</f>
        <v>0</v>
      </c>
      <c r="G1931" s="7" t="s">
        <v>272</v>
      </c>
      <c r="H1931" s="7" t="s">
        <v>1371</v>
      </c>
      <c r="I1931" s="7" t="n">
        <v>1</v>
      </c>
      <c r="J1931" s="7" t="s">
        <v>107</v>
      </c>
      <c r="K1931" s="7" t="s">
        <v>900</v>
      </c>
      <c r="L1931" s="7" t="n">
        <v>7</v>
      </c>
      <c r="M1931" s="10" t="b">
        <f aca="false">FALSE()</f>
        <v>0</v>
      </c>
      <c r="N1931" s="7" t="s">
        <v>557</v>
      </c>
      <c r="O1931" s="7" t="n">
        <v>-33.886427</v>
      </c>
      <c r="P1931" s="7" t="n">
        <v>151.235113</v>
      </c>
    </row>
    <row r="1932" customFormat="false" ht="15" hidden="false" customHeight="false" outlineLevel="0" collapsed="false">
      <c r="A1932" s="7" t="n">
        <v>1931</v>
      </c>
      <c r="B1932" s="7"/>
      <c r="C1932" s="7" t="s">
        <v>2642</v>
      </c>
      <c r="D1932" s="7" t="n">
        <v>2536</v>
      </c>
      <c r="E1932" s="7" t="s">
        <v>50</v>
      </c>
      <c r="F1932" s="10" t="b">
        <f aca="false">FALSE()</f>
        <v>0</v>
      </c>
      <c r="G1932" s="7" t="s">
        <v>123</v>
      </c>
      <c r="H1932" s="7" t="s">
        <v>239</v>
      </c>
      <c r="I1932" s="7" t="n">
        <v>6</v>
      </c>
      <c r="J1932" s="7" t="s">
        <v>71</v>
      </c>
      <c r="K1932" s="7" t="s">
        <v>117</v>
      </c>
      <c r="L1932" s="7" t="n">
        <v>175</v>
      </c>
      <c r="M1932" s="10" t="b">
        <f aca="false">FALSE()</f>
        <v>0</v>
      </c>
      <c r="N1932" s="7" t="s">
        <v>118</v>
      </c>
      <c r="O1932" s="7" t="n">
        <v>-35.719693</v>
      </c>
      <c r="P1932" s="7" t="n">
        <v>150.189743</v>
      </c>
    </row>
    <row r="1933" customFormat="false" ht="15" hidden="false" customHeight="false" outlineLevel="0" collapsed="false">
      <c r="A1933" s="7" t="n">
        <v>1932</v>
      </c>
      <c r="B1933" s="7" t="s">
        <v>2643</v>
      </c>
      <c r="C1933" s="7" t="s">
        <v>2644</v>
      </c>
      <c r="D1933" s="7" t="n">
        <v>2647</v>
      </c>
      <c r="E1933" s="7" t="s">
        <v>50</v>
      </c>
      <c r="F1933" s="10" t="b">
        <f aca="false">FALSE()</f>
        <v>0</v>
      </c>
      <c r="G1933" s="7" t="s">
        <v>477</v>
      </c>
      <c r="H1933" s="7" t="s">
        <v>1748</v>
      </c>
      <c r="I1933" s="7" t="n">
        <v>2</v>
      </c>
      <c r="J1933" s="7" t="s">
        <v>107</v>
      </c>
      <c r="K1933" s="7" t="s">
        <v>107</v>
      </c>
      <c r="L1933" s="7"/>
      <c r="M1933" s="10" t="b">
        <f aca="false">FALSE()</f>
        <v>0</v>
      </c>
      <c r="N1933" s="7" t="s">
        <v>374</v>
      </c>
      <c r="O1933" s="7" t="n">
        <v>-35.995041</v>
      </c>
      <c r="P1933" s="7" t="n">
        <v>146.002096</v>
      </c>
    </row>
    <row r="1934" customFormat="false" ht="15" hidden="false" customHeight="false" outlineLevel="0" collapsed="false">
      <c r="A1934" s="7" t="n">
        <v>1933</v>
      </c>
      <c r="B1934" s="7"/>
      <c r="C1934" s="7" t="s">
        <v>2645</v>
      </c>
      <c r="D1934" s="7" t="n">
        <v>2026</v>
      </c>
      <c r="E1934" s="7" t="s">
        <v>50</v>
      </c>
      <c r="F1934" s="10" t="b">
        <f aca="false">FALSE()</f>
        <v>0</v>
      </c>
      <c r="G1934" s="7" t="s">
        <v>295</v>
      </c>
      <c r="H1934" s="7" t="s">
        <v>237</v>
      </c>
      <c r="I1934" s="7" t="n">
        <v>1</v>
      </c>
      <c r="J1934" s="7" t="s">
        <v>107</v>
      </c>
      <c r="K1934" s="7" t="s">
        <v>900</v>
      </c>
      <c r="L1934" s="7" t="n">
        <v>7</v>
      </c>
      <c r="M1934" s="10" t="b">
        <f aca="false">FALSE()</f>
        <v>0</v>
      </c>
      <c r="N1934" s="7" t="s">
        <v>557</v>
      </c>
      <c r="O1934" s="7" t="n">
        <v>-33.88954</v>
      </c>
      <c r="P1934" s="7" t="n">
        <v>151.274517</v>
      </c>
    </row>
    <row r="1935" customFormat="false" ht="15" hidden="false" customHeight="false" outlineLevel="0" collapsed="false">
      <c r="A1935" s="7" t="n">
        <v>1934</v>
      </c>
      <c r="B1935" s="7"/>
      <c r="C1935" s="7" t="s">
        <v>2646</v>
      </c>
      <c r="D1935" s="7" t="n">
        <v>2024</v>
      </c>
      <c r="E1935" s="7" t="s">
        <v>50</v>
      </c>
      <c r="F1935" s="10" t="b">
        <f aca="false">FALSE()</f>
        <v>0</v>
      </c>
      <c r="G1935" s="7" t="s">
        <v>295</v>
      </c>
      <c r="H1935" s="7" t="s">
        <v>237</v>
      </c>
      <c r="I1935" s="7" t="n">
        <v>2</v>
      </c>
      <c r="J1935" s="7" t="s">
        <v>107</v>
      </c>
      <c r="K1935" s="7" t="s">
        <v>900</v>
      </c>
      <c r="L1935" s="7" t="n">
        <v>7</v>
      </c>
      <c r="M1935" s="10" t="b">
        <f aca="false">FALSE()</f>
        <v>0</v>
      </c>
      <c r="N1935" s="7" t="s">
        <v>557</v>
      </c>
      <c r="O1935" s="7" t="n">
        <v>-33.897222</v>
      </c>
      <c r="P1935" s="7" t="n">
        <v>151.257219</v>
      </c>
    </row>
    <row r="1936" customFormat="false" ht="15" hidden="false" customHeight="false" outlineLevel="0" collapsed="false">
      <c r="A1936" s="7" t="n">
        <v>1935</v>
      </c>
      <c r="B1936" s="7"/>
      <c r="C1936" s="7" t="s">
        <v>2647</v>
      </c>
      <c r="D1936" s="7" t="n">
        <v>2131</v>
      </c>
      <c r="E1936" s="7" t="s">
        <v>50</v>
      </c>
      <c r="F1936" s="10" t="b">
        <f aca="false">FALSE()</f>
        <v>0</v>
      </c>
      <c r="G1936" s="7" t="s">
        <v>410</v>
      </c>
      <c r="H1936" s="7" t="s">
        <v>302</v>
      </c>
      <c r="I1936" s="7" t="n">
        <v>2</v>
      </c>
      <c r="J1936" s="7" t="s">
        <v>107</v>
      </c>
      <c r="K1936" s="7" t="s">
        <v>108</v>
      </c>
      <c r="L1936" s="7" t="n">
        <v>22</v>
      </c>
      <c r="M1936" s="10" t="b">
        <f aca="false">FALSE()</f>
        <v>0</v>
      </c>
      <c r="N1936" s="7" t="s">
        <v>557</v>
      </c>
      <c r="O1936" s="7" t="n">
        <v>-33.886887</v>
      </c>
      <c r="P1936" s="7" t="n">
        <v>151.125634</v>
      </c>
    </row>
    <row r="1937" customFormat="false" ht="15" hidden="false" customHeight="false" outlineLevel="0" collapsed="false">
      <c r="A1937" s="7" t="n">
        <v>1936</v>
      </c>
      <c r="B1937" s="7"/>
      <c r="C1937" s="7" t="s">
        <v>2648</v>
      </c>
      <c r="D1937" s="7" t="n">
        <v>2021</v>
      </c>
      <c r="E1937" s="7" t="s">
        <v>50</v>
      </c>
      <c r="F1937" s="10" t="b">
        <f aca="false">FALSE()</f>
        <v>0</v>
      </c>
      <c r="G1937" s="7" t="s">
        <v>272</v>
      </c>
      <c r="H1937" s="7" t="s">
        <v>1371</v>
      </c>
      <c r="I1937" s="7" t="n">
        <v>1</v>
      </c>
      <c r="J1937" s="7" t="s">
        <v>107</v>
      </c>
      <c r="K1937" s="7" t="s">
        <v>108</v>
      </c>
      <c r="L1937" s="7" t="n">
        <v>22</v>
      </c>
      <c r="M1937" s="10" t="b">
        <f aca="false">FALSE()</f>
        <v>0</v>
      </c>
      <c r="N1937" s="7" t="s">
        <v>557</v>
      </c>
      <c r="O1937" s="7" t="n">
        <v>-33.882559</v>
      </c>
      <c r="P1937" s="7" t="n">
        <v>151.229031</v>
      </c>
    </row>
    <row r="1938" customFormat="false" ht="15" hidden="false" customHeight="false" outlineLevel="0" collapsed="false">
      <c r="A1938" s="7" t="n">
        <v>1937</v>
      </c>
      <c r="B1938" s="7"/>
      <c r="C1938" s="7" t="s">
        <v>2649</v>
      </c>
      <c r="D1938" s="7" t="n">
        <v>2026</v>
      </c>
      <c r="E1938" s="7" t="s">
        <v>50</v>
      </c>
      <c r="F1938" s="10" t="b">
        <f aca="false">FALSE()</f>
        <v>0</v>
      </c>
      <c r="G1938" s="7" t="s">
        <v>295</v>
      </c>
      <c r="H1938" s="7" t="s">
        <v>1371</v>
      </c>
      <c r="I1938" s="7" t="n">
        <v>1</v>
      </c>
      <c r="J1938" s="7" t="s">
        <v>107</v>
      </c>
      <c r="K1938" s="7" t="s">
        <v>108</v>
      </c>
      <c r="L1938" s="7" t="n">
        <v>22</v>
      </c>
      <c r="M1938" s="10" t="b">
        <f aca="false">FALSE()</f>
        <v>0</v>
      </c>
      <c r="N1938" s="7" t="s">
        <v>557</v>
      </c>
      <c r="O1938" s="7" t="n">
        <v>-33.89672</v>
      </c>
      <c r="P1938" s="7" t="n">
        <v>151.269609</v>
      </c>
    </row>
    <row r="1939" customFormat="false" ht="15" hidden="false" customHeight="false" outlineLevel="0" collapsed="false">
      <c r="A1939" s="7" t="n">
        <v>1938</v>
      </c>
      <c r="B1939" s="7"/>
      <c r="C1939" s="7" t="s">
        <v>2650</v>
      </c>
      <c r="D1939" s="7" t="n">
        <v>2130</v>
      </c>
      <c r="E1939" s="7" t="s">
        <v>50</v>
      </c>
      <c r="F1939" s="10" t="b">
        <f aca="false">FALSE()</f>
        <v>0</v>
      </c>
      <c r="G1939" s="7" t="s">
        <v>410</v>
      </c>
      <c r="H1939" s="7" t="s">
        <v>1371</v>
      </c>
      <c r="I1939" s="7" t="n">
        <v>1</v>
      </c>
      <c r="J1939" s="7" t="s">
        <v>107</v>
      </c>
      <c r="K1939" s="7" t="s">
        <v>108</v>
      </c>
      <c r="L1939" s="7" t="n">
        <v>22</v>
      </c>
      <c r="M1939" s="10" t="b">
        <f aca="false">FALSE()</f>
        <v>0</v>
      </c>
      <c r="N1939" s="7" t="s">
        <v>557</v>
      </c>
      <c r="O1939" s="7" t="n">
        <v>-33.888803</v>
      </c>
      <c r="P1939" s="7" t="n">
        <v>151.137912</v>
      </c>
    </row>
    <row r="1940" customFormat="false" ht="15" hidden="false" customHeight="false" outlineLevel="0" collapsed="false">
      <c r="A1940" s="7" t="n">
        <v>1939</v>
      </c>
      <c r="B1940" s="7"/>
      <c r="C1940" s="7" t="s">
        <v>2651</v>
      </c>
      <c r="D1940" s="7" t="n">
        <v>2203</v>
      </c>
      <c r="E1940" s="7" t="s">
        <v>50</v>
      </c>
      <c r="F1940" s="10" t="b">
        <f aca="false">FALSE()</f>
        <v>0</v>
      </c>
      <c r="G1940" s="7" t="s">
        <v>410</v>
      </c>
      <c r="H1940" s="7" t="s">
        <v>556</v>
      </c>
      <c r="I1940" s="7" t="n">
        <v>2</v>
      </c>
      <c r="J1940" s="7" t="s">
        <v>107</v>
      </c>
      <c r="K1940" s="7" t="s">
        <v>108</v>
      </c>
      <c r="L1940" s="7" t="n">
        <v>22</v>
      </c>
      <c r="M1940" s="10" t="b">
        <f aca="false">FALSE()</f>
        <v>0</v>
      </c>
      <c r="N1940" s="7" t="s">
        <v>557</v>
      </c>
      <c r="O1940" s="7" t="n">
        <v>-33.907162</v>
      </c>
      <c r="P1940" s="7" t="n">
        <v>151.135791</v>
      </c>
    </row>
    <row r="1941" customFormat="false" ht="15" hidden="false" customHeight="false" outlineLevel="0" collapsed="false">
      <c r="A1941" s="7" t="n">
        <v>1940</v>
      </c>
      <c r="B1941" s="7"/>
      <c r="C1941" s="7" t="s">
        <v>2652</v>
      </c>
      <c r="D1941" s="7" t="n">
        <v>2042</v>
      </c>
      <c r="E1941" s="7" t="s">
        <v>50</v>
      </c>
      <c r="F1941" s="10" t="b">
        <f aca="false">FALSE()</f>
        <v>0</v>
      </c>
      <c r="G1941" s="7" t="s">
        <v>410</v>
      </c>
      <c r="H1941" s="7" t="s">
        <v>1371</v>
      </c>
      <c r="I1941" s="7" t="n">
        <v>1</v>
      </c>
      <c r="J1941" s="7" t="s">
        <v>107</v>
      </c>
      <c r="K1941" s="7" t="s">
        <v>900</v>
      </c>
      <c r="L1941" s="7" t="n">
        <v>7</v>
      </c>
      <c r="M1941" s="10" t="b">
        <f aca="false">FALSE()</f>
        <v>0</v>
      </c>
      <c r="N1941" s="7" t="s">
        <v>557</v>
      </c>
      <c r="O1941" s="7" t="n">
        <v>-33.894734</v>
      </c>
      <c r="P1941" s="7" t="n">
        <v>151.177793</v>
      </c>
    </row>
    <row r="1942" customFormat="false" ht="15" hidden="false" customHeight="false" outlineLevel="0" collapsed="false">
      <c r="A1942" s="7" t="n">
        <v>1941</v>
      </c>
      <c r="B1942" s="7" t="s">
        <v>2653</v>
      </c>
      <c r="C1942" s="7" t="s">
        <v>2654</v>
      </c>
      <c r="D1942" s="7" t="n">
        <v>2454</v>
      </c>
      <c r="E1942" s="7" t="s">
        <v>50</v>
      </c>
      <c r="F1942" s="10" t="b">
        <f aca="false">FALSE()</f>
        <v>0</v>
      </c>
      <c r="G1942" s="7" t="s">
        <v>151</v>
      </c>
      <c r="H1942" s="7" t="s">
        <v>260</v>
      </c>
      <c r="I1942" s="7" t="n">
        <v>1</v>
      </c>
      <c r="J1942" s="7" t="s">
        <v>107</v>
      </c>
      <c r="K1942" s="7" t="s">
        <v>107</v>
      </c>
      <c r="L1942" s="7"/>
      <c r="M1942" s="10" t="b">
        <f aca="false">FALSE()</f>
        <v>0</v>
      </c>
      <c r="N1942" s="7" t="s">
        <v>399</v>
      </c>
      <c r="O1942" s="7" t="n">
        <v>-30.530304</v>
      </c>
      <c r="P1942" s="7" t="n">
        <v>152.869309</v>
      </c>
    </row>
    <row r="1943" customFormat="false" ht="15" hidden="false" customHeight="false" outlineLevel="0" collapsed="false">
      <c r="A1943" s="7" t="n">
        <v>1942</v>
      </c>
      <c r="B1943" s="7" t="s">
        <v>2655</v>
      </c>
      <c r="C1943" s="7" t="s">
        <v>2656</v>
      </c>
      <c r="D1943" s="7" t="n">
        <v>2320</v>
      </c>
      <c r="E1943" s="7" t="s">
        <v>50</v>
      </c>
      <c r="F1943" s="10" t="b">
        <f aca="false">FALSE()</f>
        <v>0</v>
      </c>
      <c r="G1943" s="7" t="s">
        <v>111</v>
      </c>
      <c r="H1943" s="7" t="s">
        <v>398</v>
      </c>
      <c r="I1943" s="7" t="n">
        <v>2</v>
      </c>
      <c r="J1943" s="7" t="s">
        <v>107</v>
      </c>
      <c r="K1943" s="7" t="s">
        <v>107</v>
      </c>
      <c r="L1943" s="7"/>
      <c r="M1943" s="10" t="b">
        <f aca="false">FALSE()</f>
        <v>0</v>
      </c>
      <c r="N1943" s="7" t="s">
        <v>399</v>
      </c>
      <c r="O1943" s="7" t="n">
        <v>-32.760447</v>
      </c>
      <c r="P1943" s="7" t="n">
        <v>151.25287</v>
      </c>
    </row>
    <row r="1944" customFormat="false" ht="15" hidden="false" customHeight="false" outlineLevel="0" collapsed="false">
      <c r="A1944" s="7" t="n">
        <v>1943</v>
      </c>
      <c r="B1944" s="7"/>
      <c r="C1944" s="7" t="s">
        <v>2657</v>
      </c>
      <c r="D1944" s="7" t="n">
        <v>2470</v>
      </c>
      <c r="E1944" s="7" t="s">
        <v>50</v>
      </c>
      <c r="F1944" s="10" t="b">
        <f aca="false">FALSE()</f>
        <v>0</v>
      </c>
      <c r="G1944" s="7" t="s">
        <v>78</v>
      </c>
      <c r="H1944" s="7" t="s">
        <v>230</v>
      </c>
      <c r="I1944" s="7" t="n">
        <v>2</v>
      </c>
      <c r="J1944" s="7" t="s">
        <v>107</v>
      </c>
      <c r="K1944" s="7" t="s">
        <v>108</v>
      </c>
      <c r="L1944" s="7" t="n">
        <v>22</v>
      </c>
      <c r="M1944" s="10" t="b">
        <f aca="false">FALSE()</f>
        <v>0</v>
      </c>
      <c r="N1944" s="7" t="s">
        <v>109</v>
      </c>
      <c r="O1944" s="7" t="n">
        <v>-28.862848</v>
      </c>
      <c r="P1944" s="7" t="n">
        <v>153.049044</v>
      </c>
    </row>
    <row r="1945" customFormat="false" ht="15" hidden="false" customHeight="false" outlineLevel="0" collapsed="false">
      <c r="A1945" s="7" t="n">
        <v>1944</v>
      </c>
      <c r="B1945" s="7"/>
      <c r="C1945" s="7" t="s">
        <v>2658</v>
      </c>
      <c r="D1945" s="7" t="n">
        <v>2372</v>
      </c>
      <c r="E1945" s="7" t="s">
        <v>50</v>
      </c>
      <c r="F1945" s="10" t="b">
        <f aca="false">FALSE()</f>
        <v>0</v>
      </c>
      <c r="G1945" s="7" t="s">
        <v>96</v>
      </c>
      <c r="H1945" s="7" t="s">
        <v>239</v>
      </c>
      <c r="I1945" s="7" t="n">
        <v>4</v>
      </c>
      <c r="J1945" s="7" t="s">
        <v>71</v>
      </c>
      <c r="K1945" s="7" t="s">
        <v>117</v>
      </c>
      <c r="L1945" s="7" t="n">
        <v>175</v>
      </c>
      <c r="M1945" s="10" t="b">
        <f aca="false">FALSE()</f>
        <v>0</v>
      </c>
      <c r="N1945" s="7" t="s">
        <v>118</v>
      </c>
      <c r="O1945" s="7" t="n">
        <v>-29.056524</v>
      </c>
      <c r="P1945" s="7" t="n">
        <v>152.018188</v>
      </c>
    </row>
    <row r="1946" customFormat="false" ht="15" hidden="false" customHeight="false" outlineLevel="0" collapsed="false">
      <c r="A1946" s="7" t="n">
        <v>1945</v>
      </c>
      <c r="B1946" s="7"/>
      <c r="C1946" s="7" t="s">
        <v>2659</v>
      </c>
      <c r="D1946" s="7" t="n">
        <v>2021</v>
      </c>
      <c r="E1946" s="7" t="s">
        <v>50</v>
      </c>
      <c r="F1946" s="10" t="b">
        <f aca="false">FALSE()</f>
        <v>0</v>
      </c>
      <c r="G1946" s="7" t="s">
        <v>272</v>
      </c>
      <c r="H1946" s="7" t="s">
        <v>1371</v>
      </c>
      <c r="I1946" s="7" t="n">
        <v>1</v>
      </c>
      <c r="J1946" s="7" t="s">
        <v>107</v>
      </c>
      <c r="K1946" s="7" t="s">
        <v>900</v>
      </c>
      <c r="L1946" s="7" t="n">
        <v>7</v>
      </c>
      <c r="M1946" s="10" t="b">
        <f aca="false">FALSE()</f>
        <v>0</v>
      </c>
      <c r="N1946" s="7" t="s">
        <v>557</v>
      </c>
      <c r="O1946" s="7" t="n">
        <v>-33.886589</v>
      </c>
      <c r="P1946" s="7" t="n">
        <v>151.235361</v>
      </c>
    </row>
    <row r="1947" customFormat="false" ht="15" hidden="false" customHeight="false" outlineLevel="0" collapsed="false">
      <c r="A1947" s="7" t="n">
        <v>1946</v>
      </c>
      <c r="B1947" s="7"/>
      <c r="C1947" s="7" t="s">
        <v>2660</v>
      </c>
      <c r="D1947" s="7" t="n">
        <v>2041</v>
      </c>
      <c r="E1947" s="7" t="s">
        <v>50</v>
      </c>
      <c r="F1947" s="10" t="b">
        <f aca="false">FALSE()</f>
        <v>0</v>
      </c>
      <c r="G1947" s="7" t="s">
        <v>410</v>
      </c>
      <c r="H1947" s="7" t="s">
        <v>1371</v>
      </c>
      <c r="I1947" s="7" t="n">
        <v>1</v>
      </c>
      <c r="J1947" s="7" t="s">
        <v>107</v>
      </c>
      <c r="K1947" s="7" t="s">
        <v>900</v>
      </c>
      <c r="L1947" s="7" t="n">
        <v>7</v>
      </c>
      <c r="M1947" s="10" t="b">
        <f aca="false">FALSE()</f>
        <v>0</v>
      </c>
      <c r="N1947" s="7" t="s">
        <v>557</v>
      </c>
      <c r="O1947" s="7" t="n">
        <v>-33.858364</v>
      </c>
      <c r="P1947" s="7" t="n">
        <v>151.18752</v>
      </c>
    </row>
    <row r="1948" customFormat="false" ht="15" hidden="false" customHeight="false" outlineLevel="0" collapsed="false">
      <c r="A1948" s="7" t="n">
        <v>1947</v>
      </c>
      <c r="B1948" s="7" t="s">
        <v>2661</v>
      </c>
      <c r="C1948" s="7" t="s">
        <v>2662</v>
      </c>
      <c r="D1948" s="7" t="n">
        <v>2540</v>
      </c>
      <c r="E1948" s="7" t="s">
        <v>50</v>
      </c>
      <c r="F1948" s="10" t="b">
        <f aca="false">FALSE()</f>
        <v>0</v>
      </c>
      <c r="G1948" s="7" t="s">
        <v>92</v>
      </c>
      <c r="H1948" s="7" t="s">
        <v>260</v>
      </c>
      <c r="I1948" s="7" t="n">
        <v>4</v>
      </c>
      <c r="J1948" s="7" t="s">
        <v>107</v>
      </c>
      <c r="K1948" s="7" t="s">
        <v>107</v>
      </c>
      <c r="L1948" s="7"/>
      <c r="M1948" s="10" t="b">
        <f aca="false">FALSE()</f>
        <v>0</v>
      </c>
      <c r="N1948" s="7" t="s">
        <v>399</v>
      </c>
      <c r="O1948" s="7" t="n">
        <v>-35.153349</v>
      </c>
      <c r="P1948" s="7" t="n">
        <v>150.596487</v>
      </c>
    </row>
    <row r="1949" customFormat="false" ht="15" hidden="false" customHeight="false" outlineLevel="0" collapsed="false">
      <c r="A1949" s="7" t="n">
        <v>1948</v>
      </c>
      <c r="B1949" s="7" t="s">
        <v>1325</v>
      </c>
      <c r="C1949" s="7" t="s">
        <v>2663</v>
      </c>
      <c r="D1949" s="7" t="n">
        <v>2289</v>
      </c>
      <c r="E1949" s="7" t="s">
        <v>50</v>
      </c>
      <c r="F1949" s="10" t="b">
        <f aca="false">FALSE()</f>
        <v>0</v>
      </c>
      <c r="G1949" s="7" t="s">
        <v>141</v>
      </c>
      <c r="H1949" s="7" t="s">
        <v>1862</v>
      </c>
      <c r="I1949" s="7" t="n">
        <v>3</v>
      </c>
      <c r="J1949" s="7" t="s">
        <v>107</v>
      </c>
      <c r="K1949" s="7" t="s">
        <v>107</v>
      </c>
      <c r="L1949" s="7"/>
      <c r="M1949" s="10" t="b">
        <f aca="false">FALSE()</f>
        <v>0</v>
      </c>
      <c r="N1949" s="7" t="s">
        <v>399</v>
      </c>
      <c r="O1949" s="7" t="n">
        <v>-32.931578</v>
      </c>
      <c r="P1949" s="7" t="n">
        <v>151.727608</v>
      </c>
    </row>
    <row r="1950" customFormat="false" ht="15" hidden="false" customHeight="false" outlineLevel="0" collapsed="false">
      <c r="A1950" s="7" t="n">
        <v>1949</v>
      </c>
      <c r="B1950" s="7"/>
      <c r="C1950" s="7" t="s">
        <v>2664</v>
      </c>
      <c r="D1950" s="7" t="n">
        <v>2023</v>
      </c>
      <c r="E1950" s="7" t="s">
        <v>50</v>
      </c>
      <c r="F1950" s="10" t="b">
        <f aca="false">FALSE()</f>
        <v>0</v>
      </c>
      <c r="G1950" s="7" t="s">
        <v>272</v>
      </c>
      <c r="H1950" s="7" t="s">
        <v>1371</v>
      </c>
      <c r="I1950" s="7" t="n">
        <v>1</v>
      </c>
      <c r="J1950" s="7" t="s">
        <v>107</v>
      </c>
      <c r="K1950" s="7" t="s">
        <v>900</v>
      </c>
      <c r="L1950" s="7" t="n">
        <v>7</v>
      </c>
      <c r="M1950" s="10" t="b">
        <f aca="false">FALSE()</f>
        <v>0</v>
      </c>
      <c r="N1950" s="7" t="s">
        <v>557</v>
      </c>
      <c r="O1950" s="7" t="n">
        <v>-33.888282</v>
      </c>
      <c r="P1950" s="7" t="n">
        <v>151.258716</v>
      </c>
    </row>
    <row r="1951" customFormat="false" ht="15" hidden="false" customHeight="false" outlineLevel="0" collapsed="false">
      <c r="A1951" s="7" t="n">
        <v>1950</v>
      </c>
      <c r="B1951" s="7" t="s">
        <v>2665</v>
      </c>
      <c r="C1951" s="7" t="s">
        <v>2666</v>
      </c>
      <c r="D1951" s="7" t="n">
        <v>2464</v>
      </c>
      <c r="E1951" s="7" t="s">
        <v>50</v>
      </c>
      <c r="F1951" s="10" t="b">
        <f aca="false">FALSE()</f>
        <v>0</v>
      </c>
      <c r="G1951" s="7" t="s">
        <v>87</v>
      </c>
      <c r="H1951" s="7" t="s">
        <v>260</v>
      </c>
      <c r="I1951" s="7" t="n">
        <v>4</v>
      </c>
      <c r="J1951" s="7" t="s">
        <v>107</v>
      </c>
      <c r="K1951" s="7" t="s">
        <v>107</v>
      </c>
      <c r="L1951" s="7"/>
      <c r="M1951" s="10" t="b">
        <f aca="false">FALSE()</f>
        <v>0</v>
      </c>
      <c r="N1951" s="7" t="s">
        <v>399</v>
      </c>
      <c r="O1951" s="7" t="n">
        <v>-29.450278</v>
      </c>
      <c r="P1951" s="7" t="n">
        <v>153.352423</v>
      </c>
    </row>
    <row r="1952" customFormat="false" ht="15" hidden="false" customHeight="false" outlineLevel="0" collapsed="false">
      <c r="A1952" s="7" t="n">
        <v>1951</v>
      </c>
      <c r="B1952" s="7"/>
      <c r="C1952" s="7" t="s">
        <v>2667</v>
      </c>
      <c r="D1952" s="7" t="n">
        <v>2015</v>
      </c>
      <c r="E1952" s="7" t="s">
        <v>50</v>
      </c>
      <c r="F1952" s="10" t="b">
        <f aca="false">FALSE()</f>
        <v>0</v>
      </c>
      <c r="G1952" s="7" t="s">
        <v>182</v>
      </c>
      <c r="H1952" s="7" t="s">
        <v>302</v>
      </c>
      <c r="I1952" s="7" t="n">
        <v>2</v>
      </c>
      <c r="J1952" s="7" t="s">
        <v>107</v>
      </c>
      <c r="K1952" s="7" t="s">
        <v>108</v>
      </c>
      <c r="L1952" s="7" t="n">
        <v>22</v>
      </c>
      <c r="M1952" s="10" t="b">
        <f aca="false">FALSE()</f>
        <v>0</v>
      </c>
      <c r="N1952" s="7" t="s">
        <v>557</v>
      </c>
      <c r="O1952" s="7" t="n">
        <v>-33.900053</v>
      </c>
      <c r="P1952" s="7" t="n">
        <v>151.199688</v>
      </c>
    </row>
    <row r="1953" customFormat="false" ht="15" hidden="false" customHeight="false" outlineLevel="0" collapsed="false">
      <c r="A1953" s="7" t="n">
        <v>1952</v>
      </c>
      <c r="B1953" s="7"/>
      <c r="C1953" s="7" t="s">
        <v>2668</v>
      </c>
      <c r="D1953" s="7" t="n">
        <v>2031</v>
      </c>
      <c r="E1953" s="7" t="s">
        <v>50</v>
      </c>
      <c r="F1953" s="10" t="b">
        <f aca="false">FALSE()</f>
        <v>0</v>
      </c>
      <c r="G1953" s="7" t="s">
        <v>355</v>
      </c>
      <c r="H1953" s="7" t="s">
        <v>1371</v>
      </c>
      <c r="I1953" s="7" t="n">
        <v>1</v>
      </c>
      <c r="J1953" s="7" t="s">
        <v>107</v>
      </c>
      <c r="K1953" s="7" t="s">
        <v>108</v>
      </c>
      <c r="L1953" s="7" t="n">
        <v>22</v>
      </c>
      <c r="M1953" s="10" t="b">
        <f aca="false">FALSE()</f>
        <v>0</v>
      </c>
      <c r="N1953" s="7" t="s">
        <v>557</v>
      </c>
      <c r="O1953" s="7" t="n">
        <v>-33.903155</v>
      </c>
      <c r="P1953" s="7" t="n">
        <v>151.245679</v>
      </c>
    </row>
    <row r="1954" customFormat="false" ht="15" hidden="false" customHeight="false" outlineLevel="0" collapsed="false">
      <c r="A1954" s="7" t="n">
        <v>1953</v>
      </c>
      <c r="B1954" s="7"/>
      <c r="C1954" s="7" t="s">
        <v>2669</v>
      </c>
      <c r="D1954" s="7" t="n">
        <v>2034</v>
      </c>
      <c r="E1954" s="7" t="s">
        <v>50</v>
      </c>
      <c r="F1954" s="10" t="b">
        <f aca="false">FALSE()</f>
        <v>0</v>
      </c>
      <c r="G1954" s="7" t="s">
        <v>355</v>
      </c>
      <c r="H1954" s="7" t="s">
        <v>1371</v>
      </c>
      <c r="I1954" s="7" t="n">
        <v>1</v>
      </c>
      <c r="J1954" s="7" t="s">
        <v>107</v>
      </c>
      <c r="K1954" s="7" t="s">
        <v>108</v>
      </c>
      <c r="L1954" s="7" t="n">
        <v>22</v>
      </c>
      <c r="M1954" s="10" t="b">
        <f aca="false">FALSE()</f>
        <v>0</v>
      </c>
      <c r="N1954" s="7" t="s">
        <v>557</v>
      </c>
      <c r="O1954" s="7" t="n">
        <v>-33.92449</v>
      </c>
      <c r="P1954" s="7" t="n">
        <v>151.256964</v>
      </c>
    </row>
    <row r="1955" customFormat="false" ht="15" hidden="false" customHeight="false" outlineLevel="0" collapsed="false">
      <c r="A1955" s="7" t="n">
        <v>1954</v>
      </c>
      <c r="B1955" s="7"/>
      <c r="C1955" s="7" t="s">
        <v>2670</v>
      </c>
      <c r="D1955" s="7" t="n">
        <v>2203</v>
      </c>
      <c r="E1955" s="7" t="s">
        <v>50</v>
      </c>
      <c r="F1955" s="10" t="b">
        <f aca="false">FALSE()</f>
        <v>0</v>
      </c>
      <c r="G1955" s="7" t="s">
        <v>410</v>
      </c>
      <c r="H1955" s="7" t="s">
        <v>1371</v>
      </c>
      <c r="I1955" s="7" t="n">
        <v>1</v>
      </c>
      <c r="J1955" s="7" t="s">
        <v>107</v>
      </c>
      <c r="K1955" s="7" t="s">
        <v>900</v>
      </c>
      <c r="L1955" s="7" t="n">
        <v>7</v>
      </c>
      <c r="M1955" s="10" t="b">
        <f aca="false">FALSE()</f>
        <v>0</v>
      </c>
      <c r="N1955" s="7" t="s">
        <v>557</v>
      </c>
      <c r="O1955" s="7" t="n">
        <v>-33.902552</v>
      </c>
      <c r="P1955" s="7" t="n">
        <v>151.140843</v>
      </c>
    </row>
    <row r="1956" customFormat="false" ht="15" hidden="false" customHeight="false" outlineLevel="0" collapsed="false">
      <c r="A1956" s="7" t="n">
        <v>1955</v>
      </c>
      <c r="B1956" s="7"/>
      <c r="C1956" s="7" t="s">
        <v>2671</v>
      </c>
      <c r="D1956" s="7" t="n">
        <v>2026</v>
      </c>
      <c r="E1956" s="7" t="s">
        <v>50</v>
      </c>
      <c r="F1956" s="10" t="b">
        <f aca="false">FALSE()</f>
        <v>0</v>
      </c>
      <c r="G1956" s="7" t="s">
        <v>295</v>
      </c>
      <c r="H1956" s="7" t="s">
        <v>302</v>
      </c>
      <c r="I1956" s="7" t="n">
        <v>2</v>
      </c>
      <c r="J1956" s="7" t="s">
        <v>107</v>
      </c>
      <c r="K1956" s="7" t="s">
        <v>108</v>
      </c>
      <c r="L1956" s="7" t="n">
        <v>22</v>
      </c>
      <c r="M1956" s="10" t="b">
        <f aca="false">FALSE()</f>
        <v>0</v>
      </c>
      <c r="N1956" s="7" t="s">
        <v>557</v>
      </c>
      <c r="O1956" s="7" t="n">
        <v>-33.891058</v>
      </c>
      <c r="P1956" s="7" t="n">
        <v>151.258787</v>
      </c>
    </row>
    <row r="1957" customFormat="false" ht="15" hidden="false" customHeight="false" outlineLevel="0" collapsed="false">
      <c r="A1957" s="7" t="n">
        <v>1956</v>
      </c>
      <c r="B1957" s="7"/>
      <c r="C1957" s="7" t="s">
        <v>2672</v>
      </c>
      <c r="D1957" s="7" t="n">
        <v>2203</v>
      </c>
      <c r="E1957" s="7" t="s">
        <v>50</v>
      </c>
      <c r="F1957" s="10" t="b">
        <f aca="false">FALSE()</f>
        <v>0</v>
      </c>
      <c r="G1957" s="7" t="s">
        <v>410</v>
      </c>
      <c r="H1957" s="7" t="s">
        <v>1371</v>
      </c>
      <c r="I1957" s="7" t="n">
        <v>1</v>
      </c>
      <c r="J1957" s="7" t="s">
        <v>107</v>
      </c>
      <c r="K1957" s="7" t="s">
        <v>900</v>
      </c>
      <c r="L1957" s="7" t="n">
        <v>7</v>
      </c>
      <c r="M1957" s="10" t="b">
        <f aca="false">FALSE()</f>
        <v>0</v>
      </c>
      <c r="N1957" s="7" t="s">
        <v>557</v>
      </c>
      <c r="O1957" s="7" t="n">
        <v>-33.901739</v>
      </c>
      <c r="P1957" s="7" t="n">
        <v>151.139465</v>
      </c>
    </row>
    <row r="1958" customFormat="false" ht="15" hidden="false" customHeight="false" outlineLevel="0" collapsed="false">
      <c r="A1958" s="7" t="n">
        <v>1957</v>
      </c>
      <c r="B1958" s="7"/>
      <c r="C1958" s="7" t="s">
        <v>2673</v>
      </c>
      <c r="D1958" s="7" t="n">
        <v>2035</v>
      </c>
      <c r="E1958" s="7" t="s">
        <v>50</v>
      </c>
      <c r="F1958" s="10" t="b">
        <f aca="false">FALSE()</f>
        <v>0</v>
      </c>
      <c r="G1958" s="7" t="s">
        <v>355</v>
      </c>
      <c r="H1958" s="7" t="s">
        <v>1371</v>
      </c>
      <c r="I1958" s="7" t="n">
        <v>1</v>
      </c>
      <c r="J1958" s="7" t="s">
        <v>107</v>
      </c>
      <c r="K1958" s="7" t="s">
        <v>108</v>
      </c>
      <c r="L1958" s="7" t="n">
        <v>22</v>
      </c>
      <c r="M1958" s="10" t="b">
        <f aca="false">FALSE()</f>
        <v>0</v>
      </c>
      <c r="N1958" s="7" t="s">
        <v>557</v>
      </c>
      <c r="O1958" s="7" t="n">
        <v>-33.945104</v>
      </c>
      <c r="P1958" s="7" t="n">
        <v>151.256166</v>
      </c>
    </row>
    <row r="1959" customFormat="false" ht="15" hidden="false" customHeight="false" outlineLevel="0" collapsed="false">
      <c r="A1959" s="7" t="n">
        <v>1958</v>
      </c>
      <c r="B1959" s="7" t="s">
        <v>2674</v>
      </c>
      <c r="C1959" s="7" t="s">
        <v>2675</v>
      </c>
      <c r="D1959" s="7" t="n">
        <v>2478</v>
      </c>
      <c r="E1959" s="7" t="s">
        <v>50</v>
      </c>
      <c r="F1959" s="10" t="b">
        <f aca="false">FALSE()</f>
        <v>0</v>
      </c>
      <c r="G1959" s="7" t="s">
        <v>495</v>
      </c>
      <c r="H1959" s="7" t="s">
        <v>237</v>
      </c>
      <c r="I1959" s="7" t="n">
        <v>4</v>
      </c>
      <c r="J1959" s="7" t="s">
        <v>107</v>
      </c>
      <c r="K1959" s="7" t="s">
        <v>107</v>
      </c>
      <c r="L1959" s="7"/>
      <c r="M1959" s="10" t="b">
        <f aca="false">FALSE()</f>
        <v>0</v>
      </c>
      <c r="N1959" s="7" t="s">
        <v>374</v>
      </c>
      <c r="O1959" s="7" t="n">
        <v>-28.862874</v>
      </c>
      <c r="P1959" s="7" t="n">
        <v>153.566216</v>
      </c>
    </row>
  </sheetData>
  <autoFilter ref="A1:P19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9" min="8" style="0" width="45"/>
    <col collapsed="false" customWidth="true" hidden="false" outlineLevel="0" max="11" min="10" style="0" width="14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23.85" hidden="false" customHeight="false" outlineLevel="0" collapsed="false">
      <c r="A1" s="9" t="s">
        <v>2676</v>
      </c>
      <c r="B1" s="9" t="s">
        <v>2677</v>
      </c>
      <c r="C1" s="9" t="s">
        <v>2678</v>
      </c>
      <c r="D1" s="9" t="s">
        <v>2679</v>
      </c>
      <c r="E1" s="9" t="s">
        <v>25</v>
      </c>
      <c r="F1" s="9" t="s">
        <v>37</v>
      </c>
      <c r="G1" s="9" t="s">
        <v>2680</v>
      </c>
      <c r="H1" s="9" t="s">
        <v>2681</v>
      </c>
      <c r="I1" s="9" t="s">
        <v>2682</v>
      </c>
      <c r="J1" s="9" t="s">
        <v>2683</v>
      </c>
      <c r="K1" s="9" t="s">
        <v>2684</v>
      </c>
      <c r="L1" s="9" t="s">
        <v>2685</v>
      </c>
      <c r="M1" s="9" t="s">
        <v>2686</v>
      </c>
      <c r="N1" s="9" t="s">
        <v>2687</v>
      </c>
      <c r="O1" s="9" t="s">
        <v>2688</v>
      </c>
    </row>
    <row r="2" customFormat="false" ht="15" hidden="false" customHeight="false" outlineLevel="0" collapsed="false">
      <c r="A2" s="7" t="s">
        <v>2689</v>
      </c>
      <c r="B2" s="7" t="s">
        <v>2690</v>
      </c>
      <c r="C2" s="7" t="s">
        <v>2691</v>
      </c>
      <c r="D2" s="7" t="s">
        <v>2692</v>
      </c>
      <c r="E2" s="7" t="n">
        <v>2046</v>
      </c>
      <c r="F2" s="7" t="s">
        <v>50</v>
      </c>
      <c r="G2" s="7" t="s">
        <v>2693</v>
      </c>
      <c r="H2" s="7" t="s">
        <v>2694</v>
      </c>
      <c r="I2" s="7" t="s">
        <v>2695</v>
      </c>
      <c r="J2" s="7"/>
      <c r="K2" s="7"/>
      <c r="L2" s="7"/>
      <c r="M2" s="10" t="b">
        <f aca="false">FALSE()</f>
        <v>0</v>
      </c>
      <c r="N2" s="7" t="n">
        <v>-33.84367442</v>
      </c>
      <c r="O2" s="7" t="n">
        <v>151.1281726</v>
      </c>
    </row>
    <row r="3" customFormat="false" ht="15" hidden="false" customHeight="false" outlineLevel="0" collapsed="false">
      <c r="A3" s="7" t="s">
        <v>2696</v>
      </c>
      <c r="B3" s="7" t="s">
        <v>2697</v>
      </c>
      <c r="C3" s="7" t="s">
        <v>2698</v>
      </c>
      <c r="D3" s="7" t="s">
        <v>2699</v>
      </c>
      <c r="E3" s="7" t="n">
        <v>2336</v>
      </c>
      <c r="F3" s="7" t="s">
        <v>50</v>
      </c>
      <c r="G3" s="7" t="s">
        <v>2700</v>
      </c>
      <c r="H3" s="7" t="s">
        <v>2701</v>
      </c>
      <c r="I3" s="7" t="s">
        <v>2702</v>
      </c>
      <c r="J3" s="7" t="s">
        <v>2703</v>
      </c>
      <c r="K3" s="7" t="s">
        <v>2704</v>
      </c>
      <c r="L3" s="7" t="s">
        <v>2705</v>
      </c>
      <c r="M3" s="10" t="b">
        <f aca="false">TRUE()</f>
        <v>1</v>
      </c>
      <c r="N3" s="7" t="n">
        <v>-32.16710358</v>
      </c>
      <c r="O3" s="7" t="n">
        <v>150.8920522</v>
      </c>
    </row>
    <row r="4" customFormat="false" ht="15" hidden="false" customHeight="false" outlineLevel="0" collapsed="false">
      <c r="A4" s="7" t="s">
        <v>2706</v>
      </c>
      <c r="B4" s="7" t="s">
        <v>2707</v>
      </c>
      <c r="C4" s="7" t="s">
        <v>2708</v>
      </c>
      <c r="D4" s="7" t="s">
        <v>2709</v>
      </c>
      <c r="E4" s="7" t="n">
        <v>2289</v>
      </c>
      <c r="F4" s="7" t="s">
        <v>50</v>
      </c>
      <c r="G4" s="7" t="s">
        <v>2710</v>
      </c>
      <c r="H4" s="7" t="s">
        <v>2711</v>
      </c>
      <c r="I4" s="7" t="s">
        <v>2712</v>
      </c>
      <c r="J4" s="7" t="s">
        <v>2713</v>
      </c>
      <c r="K4" s="7" t="s">
        <v>2704</v>
      </c>
      <c r="L4" s="7" t="s">
        <v>2705</v>
      </c>
      <c r="M4" s="10" t="b">
        <f aca="false">TRUE()</f>
        <v>1</v>
      </c>
      <c r="N4" s="7" t="n">
        <v>-32.93372988</v>
      </c>
      <c r="O4" s="7" t="n">
        <v>151.7200807</v>
      </c>
    </row>
    <row r="5" customFormat="false" ht="15" hidden="false" customHeight="false" outlineLevel="0" collapsed="false">
      <c r="A5" s="7" t="s">
        <v>2714</v>
      </c>
      <c r="B5" s="7" t="s">
        <v>2715</v>
      </c>
      <c r="C5" s="7" t="s">
        <v>2716</v>
      </c>
      <c r="D5" s="7" t="s">
        <v>2717</v>
      </c>
      <c r="E5" s="7" t="n">
        <v>5000</v>
      </c>
      <c r="F5" s="7" t="s">
        <v>50</v>
      </c>
      <c r="G5" s="7" t="s">
        <v>2718</v>
      </c>
      <c r="H5" s="7"/>
      <c r="I5" s="7" t="s">
        <v>2719</v>
      </c>
      <c r="J5" s="7"/>
      <c r="K5" s="7"/>
      <c r="L5" s="7"/>
      <c r="M5" s="10" t="b">
        <f aca="false">FALSE()</f>
        <v>0</v>
      </c>
      <c r="N5" s="7" t="n">
        <v>-34.92748</v>
      </c>
      <c r="O5" s="7" t="n">
        <v>138.595501</v>
      </c>
    </row>
    <row r="6" customFormat="false" ht="15" hidden="false" customHeight="false" outlineLevel="0" collapsed="false">
      <c r="A6" s="7" t="s">
        <v>2720</v>
      </c>
      <c r="B6" s="7" t="s">
        <v>2721</v>
      </c>
      <c r="C6" s="7" t="s">
        <v>2722</v>
      </c>
      <c r="D6" s="7" t="s">
        <v>2723</v>
      </c>
      <c r="E6" s="7" t="n">
        <v>2729</v>
      </c>
      <c r="F6" s="7" t="s">
        <v>50</v>
      </c>
      <c r="G6" s="7" t="s">
        <v>2718</v>
      </c>
      <c r="H6" s="7"/>
      <c r="I6" s="7" t="s">
        <v>2719</v>
      </c>
      <c r="J6" s="7"/>
      <c r="K6" s="7"/>
      <c r="L6" s="7"/>
      <c r="M6" s="10" t="b">
        <f aca="false">FALSE()</f>
        <v>0</v>
      </c>
      <c r="N6" s="7" t="n">
        <v>-35.308251</v>
      </c>
      <c r="O6" s="7" t="n">
        <v>148.063498</v>
      </c>
    </row>
    <row r="7" customFormat="false" ht="15" hidden="false" customHeight="false" outlineLevel="0" collapsed="false">
      <c r="A7" s="7" t="s">
        <v>2724</v>
      </c>
      <c r="B7" s="7" t="s">
        <v>2725</v>
      </c>
      <c r="C7" s="7" t="s">
        <v>2726</v>
      </c>
      <c r="D7" s="7" t="s">
        <v>2727</v>
      </c>
      <c r="E7" s="7" t="n">
        <v>2527</v>
      </c>
      <c r="F7" s="7" t="s">
        <v>50</v>
      </c>
      <c r="G7" s="7" t="s">
        <v>2710</v>
      </c>
      <c r="H7" s="7" t="s">
        <v>2728</v>
      </c>
      <c r="I7" s="7" t="s">
        <v>2729</v>
      </c>
      <c r="J7" s="7" t="s">
        <v>2730</v>
      </c>
      <c r="K7" s="7" t="s">
        <v>2704</v>
      </c>
      <c r="L7" s="7" t="s">
        <v>2705</v>
      </c>
      <c r="M7" s="10" t="b">
        <f aca="false">TRUE()</f>
        <v>1</v>
      </c>
      <c r="N7" s="7" t="n">
        <v>-34.56264671</v>
      </c>
      <c r="O7" s="7" t="n">
        <v>150.7984997</v>
      </c>
    </row>
    <row r="8" customFormat="false" ht="15" hidden="false" customHeight="false" outlineLevel="0" collapsed="false">
      <c r="A8" s="7" t="s">
        <v>2731</v>
      </c>
      <c r="B8" s="7" t="s">
        <v>2732</v>
      </c>
      <c r="C8" s="7" t="s">
        <v>2733</v>
      </c>
      <c r="D8" s="7" t="s">
        <v>2734</v>
      </c>
      <c r="E8" s="7" t="n">
        <v>2640</v>
      </c>
      <c r="F8" s="7" t="s">
        <v>50</v>
      </c>
      <c r="G8" s="7" t="s">
        <v>2735</v>
      </c>
      <c r="H8" s="7" t="s">
        <v>2736</v>
      </c>
      <c r="I8" s="7" t="s">
        <v>2737</v>
      </c>
      <c r="J8" s="7"/>
      <c r="K8" s="7"/>
      <c r="L8" s="7"/>
      <c r="M8" s="10" t="b">
        <f aca="false">FALSE()</f>
        <v>0</v>
      </c>
      <c r="N8" s="7" t="n">
        <v>-36.084068</v>
      </c>
      <c r="O8" s="7" t="n">
        <v>146.924691</v>
      </c>
    </row>
    <row r="9" customFormat="false" ht="15" hidden="false" customHeight="false" outlineLevel="0" collapsed="false">
      <c r="A9" s="7" t="s">
        <v>2738</v>
      </c>
      <c r="B9" s="7" t="s">
        <v>2739</v>
      </c>
      <c r="C9" s="7" t="s">
        <v>2740</v>
      </c>
      <c r="D9" s="7" t="s">
        <v>2741</v>
      </c>
      <c r="E9" s="7" t="n">
        <v>2870</v>
      </c>
      <c r="F9" s="7" t="s">
        <v>50</v>
      </c>
      <c r="G9" s="7" t="s">
        <v>2718</v>
      </c>
      <c r="H9" s="7"/>
      <c r="I9" s="7" t="s">
        <v>2719</v>
      </c>
      <c r="J9" s="7"/>
      <c r="K9" s="7"/>
      <c r="L9" s="7"/>
      <c r="M9" s="10" t="b">
        <f aca="false">FALSE()</f>
        <v>0</v>
      </c>
      <c r="N9" s="7" t="n">
        <v>-32.933121</v>
      </c>
      <c r="O9" s="7" t="n">
        <v>148.240234</v>
      </c>
    </row>
    <row r="10" customFormat="false" ht="15" hidden="false" customHeight="false" outlineLevel="0" collapsed="false">
      <c r="A10" s="7" t="s">
        <v>2742</v>
      </c>
      <c r="B10" s="7" t="s">
        <v>2743</v>
      </c>
      <c r="C10" s="7" t="s">
        <v>2744</v>
      </c>
      <c r="D10" s="7" t="s">
        <v>2745</v>
      </c>
      <c r="E10" s="7" t="n">
        <v>2218</v>
      </c>
      <c r="F10" s="7" t="s">
        <v>50</v>
      </c>
      <c r="G10" s="7" t="s">
        <v>2710</v>
      </c>
      <c r="H10" s="7" t="s">
        <v>2746</v>
      </c>
      <c r="I10" s="7" t="s">
        <v>2747</v>
      </c>
      <c r="J10" s="7" t="s">
        <v>2748</v>
      </c>
      <c r="K10" s="7" t="s">
        <v>2704</v>
      </c>
      <c r="L10" s="7" t="s">
        <v>2705</v>
      </c>
      <c r="M10" s="10" t="b">
        <f aca="false">FALSE()</f>
        <v>0</v>
      </c>
      <c r="N10" s="7" t="n">
        <v>-33.96958391</v>
      </c>
      <c r="O10" s="7" t="n">
        <v>151.11433</v>
      </c>
    </row>
    <row r="11" customFormat="false" ht="15" hidden="false" customHeight="false" outlineLevel="0" collapsed="false">
      <c r="A11" s="7" t="s">
        <v>2749</v>
      </c>
      <c r="B11" s="7" t="s">
        <v>2750</v>
      </c>
      <c r="C11" s="7" t="s">
        <v>2751</v>
      </c>
      <c r="D11" s="7" t="s">
        <v>2752</v>
      </c>
      <c r="E11" s="7" t="n">
        <v>2425</v>
      </c>
      <c r="F11" s="7" t="s">
        <v>50</v>
      </c>
      <c r="G11" s="7" t="s">
        <v>2718</v>
      </c>
      <c r="H11" s="7"/>
      <c r="I11" s="7" t="s">
        <v>2719</v>
      </c>
      <c r="J11" s="7"/>
      <c r="K11" s="7"/>
      <c r="L11" s="7"/>
      <c r="M11" s="10" t="b">
        <f aca="false">FALSE()</f>
        <v>0</v>
      </c>
      <c r="N11" s="7" t="n">
        <v>-32.531345</v>
      </c>
      <c r="O11" s="7" t="n">
        <v>151.944198</v>
      </c>
    </row>
    <row r="12" customFormat="false" ht="15" hidden="false" customHeight="false" outlineLevel="0" collapsed="false">
      <c r="A12" s="7" t="s">
        <v>2753</v>
      </c>
      <c r="B12" s="7" t="s">
        <v>2754</v>
      </c>
      <c r="C12" s="7" t="s">
        <v>2755</v>
      </c>
      <c r="D12" s="7" t="s">
        <v>2756</v>
      </c>
      <c r="E12" s="7" t="n">
        <v>2477</v>
      </c>
      <c r="F12" s="7" t="s">
        <v>50</v>
      </c>
      <c r="G12" s="7" t="s">
        <v>2718</v>
      </c>
      <c r="H12" s="7"/>
      <c r="I12" s="7" t="s">
        <v>2719</v>
      </c>
      <c r="J12" s="7"/>
      <c r="K12" s="7"/>
      <c r="L12" s="7"/>
      <c r="M12" s="10" t="b">
        <f aca="false">FALSE()</f>
        <v>0</v>
      </c>
      <c r="N12" s="7" t="n">
        <v>-28.8418</v>
      </c>
      <c r="O12" s="7" t="n">
        <v>153.44001</v>
      </c>
    </row>
    <row r="13" customFormat="false" ht="15" hidden="false" customHeight="false" outlineLevel="0" collapsed="false">
      <c r="A13" s="7" t="s">
        <v>2757</v>
      </c>
      <c r="B13" s="7" t="s">
        <v>2758</v>
      </c>
      <c r="C13" s="7" t="s">
        <v>2759</v>
      </c>
      <c r="D13" s="7" t="s">
        <v>2760</v>
      </c>
      <c r="E13" s="7" t="n">
        <v>2665</v>
      </c>
      <c r="F13" s="7" t="s">
        <v>50</v>
      </c>
      <c r="G13" s="7" t="s">
        <v>2718</v>
      </c>
      <c r="H13" s="7"/>
      <c r="I13" s="7" t="s">
        <v>2719</v>
      </c>
      <c r="J13" s="7"/>
      <c r="K13" s="7"/>
      <c r="L13" s="7"/>
      <c r="M13" s="10" t="b">
        <f aca="false">FALSE()</f>
        <v>0</v>
      </c>
      <c r="N13" s="7" t="n">
        <v>-34.357807</v>
      </c>
      <c r="O13" s="7" t="n">
        <v>146.902563</v>
      </c>
    </row>
    <row r="14" customFormat="false" ht="15" hidden="false" customHeight="false" outlineLevel="0" collapsed="false">
      <c r="A14" s="7" t="s">
        <v>2761</v>
      </c>
      <c r="B14" s="7" t="s">
        <v>2762</v>
      </c>
      <c r="C14" s="7" t="s">
        <v>2763</v>
      </c>
      <c r="D14" s="7" t="s">
        <v>2764</v>
      </c>
      <c r="E14" s="7" t="n">
        <v>2665</v>
      </c>
      <c r="F14" s="7" t="s">
        <v>50</v>
      </c>
      <c r="G14" s="7" t="s">
        <v>2718</v>
      </c>
      <c r="H14" s="7"/>
      <c r="I14" s="7" t="s">
        <v>2719</v>
      </c>
      <c r="J14" s="7"/>
      <c r="K14" s="7"/>
      <c r="L14" s="7"/>
      <c r="M14" s="10" t="b">
        <f aca="false">FALSE()</f>
        <v>0</v>
      </c>
      <c r="N14" s="7" t="n">
        <v>-34.347706</v>
      </c>
      <c r="O14" s="7" t="n">
        <v>147.221084</v>
      </c>
    </row>
    <row r="15" customFormat="false" ht="15" hidden="false" customHeight="false" outlineLevel="0" collapsed="false">
      <c r="A15" s="7" t="s">
        <v>2765</v>
      </c>
      <c r="B15" s="7" t="s">
        <v>2766</v>
      </c>
      <c r="C15" s="7" t="s">
        <v>2767</v>
      </c>
      <c r="D15" s="7" t="s">
        <v>2768</v>
      </c>
      <c r="E15" s="7" t="n">
        <v>2203</v>
      </c>
      <c r="F15" s="7" t="s">
        <v>50</v>
      </c>
      <c r="G15" s="7" t="s">
        <v>2769</v>
      </c>
      <c r="H15" s="7" t="s">
        <v>2770</v>
      </c>
      <c r="I15" s="7" t="s">
        <v>2771</v>
      </c>
      <c r="J15" s="7"/>
      <c r="K15" s="7" t="s">
        <v>2772</v>
      </c>
      <c r="L15" s="7" t="s">
        <v>2705</v>
      </c>
      <c r="M15" s="10" t="b">
        <f aca="false">FALSE()</f>
        <v>0</v>
      </c>
      <c r="N15" s="7" t="n">
        <v>-33.90184127</v>
      </c>
      <c r="O15" s="7" t="n">
        <v>151.1380613</v>
      </c>
    </row>
    <row r="16" customFormat="false" ht="15" hidden="false" customHeight="false" outlineLevel="0" collapsed="false">
      <c r="A16" s="7" t="s">
        <v>2773</v>
      </c>
      <c r="B16" s="7" t="s">
        <v>2774</v>
      </c>
      <c r="C16" s="7" t="s">
        <v>2775</v>
      </c>
      <c r="D16" s="7" t="s">
        <v>2776</v>
      </c>
      <c r="E16" s="7" t="n">
        <v>2350</v>
      </c>
      <c r="F16" s="7" t="s">
        <v>50</v>
      </c>
      <c r="G16" s="7" t="s">
        <v>2735</v>
      </c>
      <c r="H16" s="7" t="s">
        <v>2777</v>
      </c>
      <c r="I16" s="7" t="s">
        <v>2702</v>
      </c>
      <c r="J16" s="7"/>
      <c r="K16" s="7"/>
      <c r="L16" s="7"/>
      <c r="M16" s="10" t="b">
        <f aca="false">FALSE()</f>
        <v>0</v>
      </c>
      <c r="N16" s="7" t="n">
        <v>-30.515373</v>
      </c>
      <c r="O16" s="7" t="n">
        <v>151.651753</v>
      </c>
    </row>
    <row r="17" customFormat="false" ht="15" hidden="false" customHeight="false" outlineLevel="0" collapsed="false">
      <c r="A17" s="7" t="s">
        <v>2778</v>
      </c>
      <c r="B17" s="7" t="s">
        <v>2779</v>
      </c>
      <c r="C17" s="7" t="s">
        <v>2780</v>
      </c>
      <c r="D17" s="7" t="s">
        <v>2781</v>
      </c>
      <c r="E17" s="7" t="n">
        <v>2350</v>
      </c>
      <c r="F17" s="7" t="s">
        <v>50</v>
      </c>
      <c r="G17" s="7" t="s">
        <v>2718</v>
      </c>
      <c r="H17" s="7"/>
      <c r="I17" s="7" t="s">
        <v>2719</v>
      </c>
      <c r="J17" s="7"/>
      <c r="K17" s="7"/>
      <c r="L17" s="7"/>
      <c r="M17" s="10" t="b">
        <f aca="false">FALSE()</f>
        <v>0</v>
      </c>
      <c r="N17" s="7" t="n">
        <v>-30.513408</v>
      </c>
      <c r="O17" s="7" t="n">
        <v>151.667149</v>
      </c>
    </row>
    <row r="18" customFormat="false" ht="15" hidden="false" customHeight="false" outlineLevel="0" collapsed="false">
      <c r="A18" s="7" t="s">
        <v>2782</v>
      </c>
      <c r="B18" s="7" t="s">
        <v>2783</v>
      </c>
      <c r="C18" s="7" t="s">
        <v>2784</v>
      </c>
      <c r="D18" s="7" t="s">
        <v>2785</v>
      </c>
      <c r="E18" s="7" t="n">
        <v>2205</v>
      </c>
      <c r="F18" s="7" t="s">
        <v>50</v>
      </c>
      <c r="G18" s="7" t="s">
        <v>2786</v>
      </c>
      <c r="H18" s="7" t="s">
        <v>2787</v>
      </c>
      <c r="I18" s="7" t="s">
        <v>2747</v>
      </c>
      <c r="J18" s="7" t="s">
        <v>2788</v>
      </c>
      <c r="K18" s="7" t="s">
        <v>2772</v>
      </c>
      <c r="L18" s="7" t="s">
        <v>2705</v>
      </c>
      <c r="M18" s="10" t="b">
        <f aca="false">FALSE()</f>
        <v>0</v>
      </c>
      <c r="N18" s="7" t="n">
        <v>-33.93645619</v>
      </c>
      <c r="O18" s="7" t="n">
        <v>151.1472995</v>
      </c>
    </row>
    <row r="19" customFormat="false" ht="15" hidden="false" customHeight="false" outlineLevel="0" collapsed="false">
      <c r="A19" s="7" t="s">
        <v>2789</v>
      </c>
      <c r="B19" s="7" t="s">
        <v>2790</v>
      </c>
      <c r="C19" s="7" t="s">
        <v>2791</v>
      </c>
      <c r="D19" s="7" t="s">
        <v>2792</v>
      </c>
      <c r="E19" s="7" t="n">
        <v>2064</v>
      </c>
      <c r="F19" s="7" t="s">
        <v>50</v>
      </c>
      <c r="G19" s="7" t="s">
        <v>2793</v>
      </c>
      <c r="H19" s="7" t="s">
        <v>2794</v>
      </c>
      <c r="I19" s="7" t="s">
        <v>2747</v>
      </c>
      <c r="J19" s="7" t="s">
        <v>2795</v>
      </c>
      <c r="K19" s="7" t="s">
        <v>2772</v>
      </c>
      <c r="L19" s="7" t="s">
        <v>2705</v>
      </c>
      <c r="M19" s="10" t="b">
        <f aca="false">TRUE()</f>
        <v>1</v>
      </c>
      <c r="N19" s="7" t="n">
        <v>-33.80890264</v>
      </c>
      <c r="O19" s="7" t="n">
        <v>151.1852939</v>
      </c>
    </row>
    <row r="20" customFormat="false" ht="15" hidden="false" customHeight="false" outlineLevel="0" collapsed="false">
      <c r="A20" s="7" t="s">
        <v>2796</v>
      </c>
      <c r="B20" s="7" t="s">
        <v>2797</v>
      </c>
      <c r="C20" s="7" t="s">
        <v>2798</v>
      </c>
      <c r="D20" s="7" t="s">
        <v>2799</v>
      </c>
      <c r="E20" s="7" t="n">
        <v>2131</v>
      </c>
      <c r="F20" s="7" t="s">
        <v>50</v>
      </c>
      <c r="G20" s="7" t="s">
        <v>2786</v>
      </c>
      <c r="H20" s="7" t="s">
        <v>2800</v>
      </c>
      <c r="I20" s="7" t="s">
        <v>2747</v>
      </c>
      <c r="J20" s="7" t="s">
        <v>2801</v>
      </c>
      <c r="K20" s="7" t="s">
        <v>2772</v>
      </c>
      <c r="L20" s="7" t="s">
        <v>2705</v>
      </c>
      <c r="M20" s="10" t="b">
        <f aca="false">FALSE()</f>
        <v>0</v>
      </c>
      <c r="N20" s="7" t="n">
        <v>-33.88755061</v>
      </c>
      <c r="O20" s="7" t="n">
        <v>151.1255042</v>
      </c>
    </row>
    <row r="21" customFormat="false" ht="15" hidden="false" customHeight="false" outlineLevel="0" collapsed="false">
      <c r="A21" s="7" t="s">
        <v>2802</v>
      </c>
      <c r="B21" s="7" t="s">
        <v>2803</v>
      </c>
      <c r="C21" s="7" t="s">
        <v>2804</v>
      </c>
      <c r="D21" s="7" t="s">
        <v>2805</v>
      </c>
      <c r="E21" s="7" t="n">
        <v>2077</v>
      </c>
      <c r="F21" s="7" t="s">
        <v>50</v>
      </c>
      <c r="G21" s="7" t="s">
        <v>2806</v>
      </c>
      <c r="H21" s="7" t="s">
        <v>2807</v>
      </c>
      <c r="I21" s="7" t="s">
        <v>2808</v>
      </c>
      <c r="J21" s="7" t="s">
        <v>2809</v>
      </c>
      <c r="K21" s="7" t="s">
        <v>2772</v>
      </c>
      <c r="L21" s="7" t="s">
        <v>2705</v>
      </c>
      <c r="M21" s="10" t="b">
        <f aca="false">TRUE()</f>
        <v>1</v>
      </c>
      <c r="N21" s="7" t="n">
        <v>-33.68876996</v>
      </c>
      <c r="O21" s="7" t="n">
        <v>151.1080252</v>
      </c>
    </row>
    <row r="22" customFormat="false" ht="15" hidden="false" customHeight="false" outlineLevel="0" collapsed="false">
      <c r="A22" s="7" t="s">
        <v>2810</v>
      </c>
      <c r="B22" s="7" t="s">
        <v>2811</v>
      </c>
      <c r="C22" s="7" t="s">
        <v>2812</v>
      </c>
      <c r="D22" s="7" t="s">
        <v>2813</v>
      </c>
      <c r="E22" s="7" t="n">
        <v>2345</v>
      </c>
      <c r="F22" s="7" t="s">
        <v>50</v>
      </c>
      <c r="G22" s="7" t="s">
        <v>2718</v>
      </c>
      <c r="H22" s="7"/>
      <c r="I22" s="7" t="s">
        <v>2719</v>
      </c>
      <c r="J22" s="7"/>
      <c r="K22" s="7"/>
      <c r="L22" s="7"/>
      <c r="M22" s="10" t="b">
        <f aca="false">FALSE()</f>
        <v>0</v>
      </c>
      <c r="N22" s="7" t="n">
        <v>-30.92869</v>
      </c>
      <c r="O22" s="7" t="n">
        <v>150.845836</v>
      </c>
    </row>
    <row r="23" customFormat="false" ht="15" hidden="false" customHeight="false" outlineLevel="0" collapsed="false">
      <c r="A23" s="7" t="s">
        <v>2814</v>
      </c>
      <c r="B23" s="7" t="s">
        <v>2815</v>
      </c>
      <c r="C23" s="7" t="s">
        <v>2816</v>
      </c>
      <c r="D23" s="7" t="s">
        <v>2817</v>
      </c>
      <c r="E23" s="7" t="n">
        <v>2144</v>
      </c>
      <c r="F23" s="7" t="s">
        <v>50</v>
      </c>
      <c r="G23" s="7" t="s">
        <v>2786</v>
      </c>
      <c r="H23" s="7" t="s">
        <v>2818</v>
      </c>
      <c r="I23" s="7" t="s">
        <v>2747</v>
      </c>
      <c r="J23" s="7" t="s">
        <v>2819</v>
      </c>
      <c r="K23" s="7" t="s">
        <v>2772</v>
      </c>
      <c r="L23" s="7" t="s">
        <v>2705</v>
      </c>
      <c r="M23" s="10" t="b">
        <f aca="false">FALSE()</f>
        <v>0</v>
      </c>
      <c r="N23" s="7" t="n">
        <v>-33.8492696</v>
      </c>
      <c r="O23" s="7" t="n">
        <v>151.032867</v>
      </c>
    </row>
    <row r="24" customFormat="false" ht="15" hidden="false" customHeight="false" outlineLevel="0" collapsed="false">
      <c r="A24" s="7" t="s">
        <v>2820</v>
      </c>
      <c r="B24" s="7" t="s">
        <v>2821</v>
      </c>
      <c r="C24" s="7" t="s">
        <v>2822</v>
      </c>
      <c r="D24" s="7" t="s">
        <v>2823</v>
      </c>
      <c r="E24" s="7" t="n">
        <v>2515</v>
      </c>
      <c r="F24" s="7" t="s">
        <v>50</v>
      </c>
      <c r="G24" s="7" t="s">
        <v>2710</v>
      </c>
      <c r="H24" s="7" t="s">
        <v>2824</v>
      </c>
      <c r="I24" s="7" t="s">
        <v>2808</v>
      </c>
      <c r="J24" s="7" t="s">
        <v>2825</v>
      </c>
      <c r="K24" s="7" t="s">
        <v>2772</v>
      </c>
      <c r="L24" s="7" t="s">
        <v>2705</v>
      </c>
      <c r="M24" s="10" t="b">
        <f aca="false">TRUE()</f>
        <v>1</v>
      </c>
      <c r="N24" s="7" t="n">
        <v>-34.30641046</v>
      </c>
      <c r="O24" s="7" t="n">
        <v>150.9293128</v>
      </c>
    </row>
    <row r="25" customFormat="false" ht="15" hidden="false" customHeight="false" outlineLevel="0" collapsed="false">
      <c r="A25" s="7" t="s">
        <v>2826</v>
      </c>
      <c r="B25" s="7" t="s">
        <v>2827</v>
      </c>
      <c r="C25" s="7" t="s">
        <v>2828</v>
      </c>
      <c r="D25" s="7" t="s">
        <v>2829</v>
      </c>
      <c r="E25" s="7" t="n">
        <v>2283</v>
      </c>
      <c r="F25" s="7" t="s">
        <v>50</v>
      </c>
      <c r="G25" s="7" t="s">
        <v>2710</v>
      </c>
      <c r="H25" s="7" t="s">
        <v>2830</v>
      </c>
      <c r="I25" s="7" t="s">
        <v>2831</v>
      </c>
      <c r="J25" s="7" t="s">
        <v>2832</v>
      </c>
      <c r="K25" s="7" t="s">
        <v>2772</v>
      </c>
      <c r="L25" s="7" t="s">
        <v>2705</v>
      </c>
      <c r="M25" s="10" t="b">
        <f aca="false">TRUE()</f>
        <v>1</v>
      </c>
      <c r="N25" s="7" t="n">
        <v>-33.0129204</v>
      </c>
      <c r="O25" s="7" t="n">
        <v>151.5416347</v>
      </c>
    </row>
    <row r="26" customFormat="false" ht="15" hidden="false" customHeight="false" outlineLevel="0" collapsed="false">
      <c r="A26" s="7" t="s">
        <v>2833</v>
      </c>
      <c r="B26" s="7" t="s">
        <v>2834</v>
      </c>
      <c r="C26" s="7" t="s">
        <v>2835</v>
      </c>
      <c r="D26" s="7" t="s">
        <v>2836</v>
      </c>
      <c r="E26" s="7" t="n">
        <v>2478</v>
      </c>
      <c r="F26" s="7" t="s">
        <v>50</v>
      </c>
      <c r="G26" s="7" t="s">
        <v>2837</v>
      </c>
      <c r="H26" s="7"/>
      <c r="I26" s="7" t="s">
        <v>2719</v>
      </c>
      <c r="J26" s="7"/>
      <c r="K26" s="7"/>
      <c r="L26" s="7"/>
      <c r="M26" s="10" t="b">
        <f aca="false">FALSE()</f>
        <v>0</v>
      </c>
      <c r="N26" s="7" t="n">
        <v>-28.86933</v>
      </c>
      <c r="O26" s="7" t="n">
        <v>153.560592</v>
      </c>
    </row>
    <row r="27" customFormat="false" ht="15" hidden="false" customHeight="false" outlineLevel="0" collapsed="false">
      <c r="A27" s="7" t="s">
        <v>2838</v>
      </c>
      <c r="B27" s="7" t="s">
        <v>2839</v>
      </c>
      <c r="C27" s="7" t="s">
        <v>2840</v>
      </c>
      <c r="D27" s="7" t="s">
        <v>2841</v>
      </c>
      <c r="E27" s="7" t="n">
        <v>2478</v>
      </c>
      <c r="F27" s="7" t="s">
        <v>50</v>
      </c>
      <c r="G27" s="7" t="s">
        <v>2837</v>
      </c>
      <c r="H27" s="7"/>
      <c r="I27" s="7" t="s">
        <v>2719</v>
      </c>
      <c r="J27" s="7"/>
      <c r="K27" s="7"/>
      <c r="L27" s="7"/>
      <c r="M27" s="10" t="b">
        <f aca="false">FALSE()</f>
        <v>0</v>
      </c>
      <c r="N27" s="7" t="n">
        <v>-28.864101</v>
      </c>
      <c r="O27" s="7" t="n">
        <v>153.533926</v>
      </c>
    </row>
    <row r="28" customFormat="false" ht="15" hidden="false" customHeight="false" outlineLevel="0" collapsed="false">
      <c r="A28" s="7" t="s">
        <v>2842</v>
      </c>
      <c r="B28" s="7" t="s">
        <v>2843</v>
      </c>
      <c r="C28" s="7" t="s">
        <v>2844</v>
      </c>
      <c r="D28" s="7" t="s">
        <v>2845</v>
      </c>
      <c r="E28" s="7" t="n">
        <v>2041</v>
      </c>
      <c r="F28" s="7" t="s">
        <v>50</v>
      </c>
      <c r="G28" s="7" t="s">
        <v>2693</v>
      </c>
      <c r="H28" s="7" t="s">
        <v>2846</v>
      </c>
      <c r="I28" s="7" t="s">
        <v>2847</v>
      </c>
      <c r="J28" s="7"/>
      <c r="K28" s="7"/>
      <c r="L28" s="7"/>
      <c r="M28" s="10" t="b">
        <f aca="false">FALSE()</f>
        <v>0</v>
      </c>
      <c r="N28" s="7" t="n">
        <v>-33.85696725</v>
      </c>
      <c r="O28" s="7" t="n">
        <v>151.1959756</v>
      </c>
    </row>
    <row r="29" customFormat="false" ht="15" hidden="false" customHeight="false" outlineLevel="0" collapsed="false">
      <c r="A29" s="7" t="s">
        <v>2848</v>
      </c>
      <c r="B29" s="7" t="s">
        <v>2849</v>
      </c>
      <c r="C29" s="7" t="s">
        <v>2850</v>
      </c>
      <c r="D29" s="7" t="s">
        <v>2851</v>
      </c>
      <c r="E29" s="7" t="n">
        <v>2041</v>
      </c>
      <c r="F29" s="7" t="s">
        <v>50</v>
      </c>
      <c r="G29" s="7" t="s">
        <v>2852</v>
      </c>
      <c r="H29" s="7" t="s">
        <v>2853</v>
      </c>
      <c r="I29" s="7" t="s">
        <v>2854</v>
      </c>
      <c r="J29" s="7"/>
      <c r="K29" s="7"/>
      <c r="L29" s="7"/>
      <c r="M29" s="10" t="b">
        <f aca="false">FALSE()</f>
        <v>0</v>
      </c>
      <c r="N29" s="7" t="n">
        <v>-33.855082</v>
      </c>
      <c r="O29" s="7" t="n">
        <v>151.168749</v>
      </c>
    </row>
    <row r="30" customFormat="false" ht="15" hidden="false" customHeight="false" outlineLevel="0" collapsed="false">
      <c r="A30" s="7" t="s">
        <v>2855</v>
      </c>
      <c r="B30" s="7" t="s">
        <v>2856</v>
      </c>
      <c r="C30" s="7" t="s">
        <v>2857</v>
      </c>
      <c r="D30" s="7" t="s">
        <v>2858</v>
      </c>
      <c r="E30" s="7" t="n">
        <v>2041</v>
      </c>
      <c r="F30" s="7" t="s">
        <v>50</v>
      </c>
      <c r="G30" s="7" t="s">
        <v>2852</v>
      </c>
      <c r="H30" s="7" t="s">
        <v>2859</v>
      </c>
      <c r="I30" s="7" t="s">
        <v>2695</v>
      </c>
      <c r="J30" s="7"/>
      <c r="K30" s="7"/>
      <c r="L30" s="7"/>
      <c r="M30" s="10" t="b">
        <f aca="false">FALSE()</f>
        <v>0</v>
      </c>
      <c r="N30" s="7" t="n">
        <v>-33.85471605</v>
      </c>
      <c r="O30" s="7" t="n">
        <v>151.1863604</v>
      </c>
    </row>
    <row r="31" customFormat="false" ht="15" hidden="false" customHeight="false" outlineLevel="0" collapsed="false">
      <c r="A31" s="7" t="s">
        <v>2860</v>
      </c>
      <c r="B31" s="7" t="s">
        <v>2861</v>
      </c>
      <c r="C31" s="7" t="s">
        <v>2862</v>
      </c>
      <c r="D31" s="7" t="s">
        <v>2863</v>
      </c>
      <c r="E31" s="7" t="n">
        <v>2715</v>
      </c>
      <c r="F31" s="7" t="s">
        <v>50</v>
      </c>
      <c r="G31" s="7" t="s">
        <v>2718</v>
      </c>
      <c r="H31" s="7"/>
      <c r="I31" s="7" t="s">
        <v>2719</v>
      </c>
      <c r="J31" s="7"/>
      <c r="K31" s="7"/>
      <c r="L31" s="7"/>
      <c r="M31" s="10" t="b">
        <f aca="false">FALSE()</f>
        <v>0</v>
      </c>
      <c r="N31" s="7" t="n">
        <v>-34.640572</v>
      </c>
      <c r="O31" s="7" t="n">
        <v>143.564637</v>
      </c>
    </row>
    <row r="32" customFormat="false" ht="15" hidden="false" customHeight="false" outlineLevel="0" collapsed="false">
      <c r="A32" s="7" t="s">
        <v>2864</v>
      </c>
      <c r="B32" s="7" t="s">
        <v>2865</v>
      </c>
      <c r="C32" s="7" t="s">
        <v>2866</v>
      </c>
      <c r="D32" s="7" t="s">
        <v>2867</v>
      </c>
      <c r="E32" s="7" t="n">
        <v>2479</v>
      </c>
      <c r="F32" s="7" t="s">
        <v>50</v>
      </c>
      <c r="G32" s="7" t="s">
        <v>2718</v>
      </c>
      <c r="H32" s="7"/>
      <c r="I32" s="7" t="s">
        <v>2719</v>
      </c>
      <c r="J32" s="7"/>
      <c r="K32" s="7"/>
      <c r="L32" s="7"/>
      <c r="M32" s="10" t="b">
        <f aca="false">FALSE()</f>
        <v>0</v>
      </c>
      <c r="N32" s="7" t="n">
        <v>-28.686545</v>
      </c>
      <c r="O32" s="7" t="n">
        <v>153.5248</v>
      </c>
    </row>
    <row r="33" customFormat="false" ht="15" hidden="false" customHeight="false" outlineLevel="0" collapsed="false">
      <c r="A33" s="7" t="s">
        <v>2868</v>
      </c>
      <c r="B33" s="7" t="s">
        <v>2869</v>
      </c>
      <c r="C33" s="7" t="s">
        <v>2870</v>
      </c>
      <c r="D33" s="7" t="s">
        <v>2871</v>
      </c>
      <c r="E33" s="7" t="n">
        <v>2009</v>
      </c>
      <c r="F33" s="7" t="s">
        <v>50</v>
      </c>
      <c r="G33" s="7" t="s">
        <v>2769</v>
      </c>
      <c r="H33" s="7" t="s">
        <v>2872</v>
      </c>
      <c r="I33" s="7" t="s">
        <v>2873</v>
      </c>
      <c r="J33" s="7"/>
      <c r="K33" s="7" t="s">
        <v>2772</v>
      </c>
      <c r="L33" s="7" t="s">
        <v>2705</v>
      </c>
      <c r="M33" s="10" t="b">
        <f aca="false">FALSE()</f>
        <v>0</v>
      </c>
      <c r="N33" s="7" t="n">
        <v>-33.87091734</v>
      </c>
      <c r="O33" s="7" t="n">
        <v>151.192293</v>
      </c>
    </row>
    <row r="34" customFormat="false" ht="15" hidden="false" customHeight="false" outlineLevel="0" collapsed="false">
      <c r="A34" s="7" t="s">
        <v>2874</v>
      </c>
      <c r="B34" s="7" t="s">
        <v>2875</v>
      </c>
      <c r="C34" s="7" t="s">
        <v>2876</v>
      </c>
      <c r="D34" s="7" t="s">
        <v>2877</v>
      </c>
      <c r="E34" s="7" t="n">
        <v>2216</v>
      </c>
      <c r="F34" s="7" t="s">
        <v>50</v>
      </c>
      <c r="G34" s="7" t="s">
        <v>2786</v>
      </c>
      <c r="H34" s="7" t="s">
        <v>2878</v>
      </c>
      <c r="I34" s="7" t="s">
        <v>2747</v>
      </c>
      <c r="J34" s="7" t="s">
        <v>2879</v>
      </c>
      <c r="K34" s="7" t="s">
        <v>2772</v>
      </c>
      <c r="L34" s="7" t="s">
        <v>2705</v>
      </c>
      <c r="M34" s="10" t="b">
        <f aca="false">FALSE()</f>
        <v>0</v>
      </c>
      <c r="N34" s="7" t="n">
        <v>-33.94528645</v>
      </c>
      <c r="O34" s="7" t="n">
        <v>151.1404316</v>
      </c>
    </row>
    <row r="35" customFormat="false" ht="15" hidden="false" customHeight="false" outlineLevel="0" collapsed="false">
      <c r="A35" s="7" t="s">
        <v>2880</v>
      </c>
      <c r="B35" s="7" t="s">
        <v>2881</v>
      </c>
      <c r="C35" s="7" t="s">
        <v>2882</v>
      </c>
      <c r="D35" s="7" t="s">
        <v>2883</v>
      </c>
      <c r="E35" s="7" t="n">
        <v>2200</v>
      </c>
      <c r="F35" s="7" t="s">
        <v>50</v>
      </c>
      <c r="G35" s="7" t="s">
        <v>2786</v>
      </c>
      <c r="H35" s="7" t="s">
        <v>2884</v>
      </c>
      <c r="I35" s="7" t="s">
        <v>2885</v>
      </c>
      <c r="J35" s="7" t="s">
        <v>2886</v>
      </c>
      <c r="K35" s="7" t="s">
        <v>2772</v>
      </c>
      <c r="L35" s="7" t="s">
        <v>2705</v>
      </c>
      <c r="M35" s="10" t="b">
        <f aca="false">FALSE()</f>
        <v>0</v>
      </c>
      <c r="N35" s="7" t="n">
        <v>-33.91786454</v>
      </c>
      <c r="O35" s="7" t="n">
        <v>151.0346869</v>
      </c>
    </row>
    <row r="36" customFormat="false" ht="15" hidden="false" customHeight="false" outlineLevel="0" collapsed="false">
      <c r="A36" s="7" t="s">
        <v>2887</v>
      </c>
      <c r="B36" s="7" t="s">
        <v>2888</v>
      </c>
      <c r="C36" s="7" t="s">
        <v>2889</v>
      </c>
      <c r="D36" s="7" t="s">
        <v>2890</v>
      </c>
      <c r="E36" s="7" t="n">
        <v>2396</v>
      </c>
      <c r="F36" s="7" t="s">
        <v>50</v>
      </c>
      <c r="G36" s="7" t="s">
        <v>2718</v>
      </c>
      <c r="H36" s="7"/>
      <c r="I36" s="7" t="s">
        <v>2719</v>
      </c>
      <c r="J36" s="7"/>
      <c r="K36" s="7"/>
      <c r="L36" s="7"/>
      <c r="M36" s="10" t="b">
        <f aca="false">FALSE()</f>
        <v>0</v>
      </c>
      <c r="N36" s="7" t="n">
        <v>-30.949333</v>
      </c>
      <c r="O36" s="7" t="n">
        <v>149.066505</v>
      </c>
    </row>
    <row r="37" customFormat="false" ht="15" hidden="false" customHeight="false" outlineLevel="0" collapsed="false">
      <c r="A37" s="7" t="s">
        <v>2891</v>
      </c>
      <c r="B37" s="7" t="s">
        <v>2892</v>
      </c>
      <c r="C37" s="7" t="s">
        <v>2893</v>
      </c>
      <c r="D37" s="7" t="s">
        <v>2894</v>
      </c>
      <c r="E37" s="7" t="n">
        <v>2000</v>
      </c>
      <c r="F37" s="7" t="s">
        <v>50</v>
      </c>
      <c r="G37" s="7" t="s">
        <v>2895</v>
      </c>
      <c r="H37" s="7" t="s">
        <v>2896</v>
      </c>
      <c r="I37" s="7" t="s">
        <v>2897</v>
      </c>
      <c r="J37" s="7"/>
      <c r="K37" s="7" t="s">
        <v>2772</v>
      </c>
      <c r="L37" s="7" t="s">
        <v>2898</v>
      </c>
      <c r="M37" s="10" t="b">
        <f aca="false">FALSE()</f>
        <v>0</v>
      </c>
      <c r="N37" s="7" t="n">
        <v>-33.859163</v>
      </c>
      <c r="O37" s="7" t="n">
        <v>151.202555</v>
      </c>
    </row>
    <row r="38" customFormat="false" ht="15" hidden="false" customHeight="false" outlineLevel="0" collapsed="false">
      <c r="A38" s="7" t="s">
        <v>2899</v>
      </c>
      <c r="B38" s="7" t="s">
        <v>2900</v>
      </c>
      <c r="C38" s="7" t="s">
        <v>2901</v>
      </c>
      <c r="D38" s="7" t="s">
        <v>2902</v>
      </c>
      <c r="E38" s="7" t="n">
        <v>2000</v>
      </c>
      <c r="F38" s="7" t="s">
        <v>50</v>
      </c>
      <c r="G38" s="7" t="s">
        <v>2852</v>
      </c>
      <c r="H38" s="7" t="s">
        <v>2903</v>
      </c>
      <c r="I38" s="7" t="s">
        <v>2695</v>
      </c>
      <c r="J38" s="7"/>
      <c r="K38" s="7"/>
      <c r="L38" s="7"/>
      <c r="M38" s="10" t="b">
        <f aca="false">FALSE()</f>
        <v>0</v>
      </c>
      <c r="N38" s="7" t="n">
        <v>-33.864377</v>
      </c>
      <c r="O38" s="7" t="n">
        <v>151.200591</v>
      </c>
    </row>
    <row r="39" customFormat="false" ht="15" hidden="false" customHeight="false" outlineLevel="0" collapsed="false">
      <c r="A39" s="7" t="s">
        <v>2904</v>
      </c>
      <c r="B39" s="7" t="s">
        <v>2905</v>
      </c>
      <c r="C39" s="7" t="s">
        <v>2906</v>
      </c>
      <c r="D39" s="7" t="s">
        <v>2907</v>
      </c>
      <c r="E39" s="7" t="n">
        <v>2207</v>
      </c>
      <c r="F39" s="7" t="s">
        <v>50</v>
      </c>
      <c r="G39" s="7" t="s">
        <v>2710</v>
      </c>
      <c r="H39" s="7" t="s">
        <v>2908</v>
      </c>
      <c r="I39" s="7" t="s">
        <v>2747</v>
      </c>
      <c r="J39" s="7" t="s">
        <v>2909</v>
      </c>
      <c r="K39" s="7" t="s">
        <v>2772</v>
      </c>
      <c r="L39" s="7" t="s">
        <v>2705</v>
      </c>
      <c r="M39" s="10" t="b">
        <f aca="false">FALSE()</f>
        <v>0</v>
      </c>
      <c r="N39" s="7" t="n">
        <v>-33.93161666</v>
      </c>
      <c r="O39" s="7" t="n">
        <v>151.1248574</v>
      </c>
    </row>
    <row r="40" customFormat="false" ht="15" hidden="false" customHeight="false" outlineLevel="0" collapsed="false">
      <c r="A40" s="7" t="s">
        <v>2910</v>
      </c>
      <c r="B40" s="7" t="s">
        <v>2911</v>
      </c>
      <c r="C40" s="7" t="s">
        <v>2912</v>
      </c>
      <c r="D40" s="7" t="s">
        <v>2913</v>
      </c>
      <c r="E40" s="7" t="n">
        <v>2665</v>
      </c>
      <c r="F40" s="7" t="s">
        <v>50</v>
      </c>
      <c r="G40" s="7" t="s">
        <v>2718</v>
      </c>
      <c r="H40" s="7"/>
      <c r="I40" s="7" t="s">
        <v>2719</v>
      </c>
      <c r="J40" s="7"/>
      <c r="K40" s="7"/>
      <c r="L40" s="7"/>
      <c r="M40" s="10" t="b">
        <f aca="false">FALSE()</f>
        <v>0</v>
      </c>
      <c r="N40" s="7" t="n">
        <v>-34.284782</v>
      </c>
      <c r="O40" s="7" t="n">
        <v>146.572035</v>
      </c>
    </row>
    <row r="41" customFormat="false" ht="15" hidden="false" customHeight="false" outlineLevel="0" collapsed="false">
      <c r="A41" s="7" t="s">
        <v>2914</v>
      </c>
      <c r="B41" s="7" t="s">
        <v>2915</v>
      </c>
      <c r="C41" s="7" t="s">
        <v>2916</v>
      </c>
      <c r="D41" s="7" t="s">
        <v>2917</v>
      </c>
      <c r="E41" s="7" t="n">
        <v>2574</v>
      </c>
      <c r="F41" s="7" t="s">
        <v>50</v>
      </c>
      <c r="G41" s="7" t="s">
        <v>2710</v>
      </c>
      <c r="H41" s="7" t="s">
        <v>2918</v>
      </c>
      <c r="I41" s="7" t="s">
        <v>2919</v>
      </c>
      <c r="J41" s="7" t="s">
        <v>2920</v>
      </c>
      <c r="K41" s="7" t="s">
        <v>2704</v>
      </c>
      <c r="L41" s="7" t="s">
        <v>2705</v>
      </c>
      <c r="M41" s="10" t="b">
        <f aca="false">TRUE()</f>
        <v>1</v>
      </c>
      <c r="N41" s="7" t="n">
        <v>-34.29136493</v>
      </c>
      <c r="O41" s="7" t="n">
        <v>150.5802091</v>
      </c>
    </row>
    <row r="42" customFormat="false" ht="15" hidden="false" customHeight="false" outlineLevel="0" collapsed="false">
      <c r="A42" s="7" t="s">
        <v>2921</v>
      </c>
      <c r="B42" s="7" t="s">
        <v>2922</v>
      </c>
      <c r="C42" s="7" t="s">
        <v>2923</v>
      </c>
      <c r="D42" s="7" t="s">
        <v>2924</v>
      </c>
      <c r="E42" s="7" t="n">
        <v>2668</v>
      </c>
      <c r="F42" s="7" t="s">
        <v>50</v>
      </c>
      <c r="G42" s="7" t="s">
        <v>2718</v>
      </c>
      <c r="H42" s="7"/>
      <c r="I42" s="7" t="s">
        <v>2719</v>
      </c>
      <c r="J42" s="7"/>
      <c r="K42" s="7"/>
      <c r="L42" s="7"/>
      <c r="M42" s="10" t="b">
        <f aca="false">FALSE()</f>
        <v>0</v>
      </c>
      <c r="N42" s="7" t="n">
        <v>-34.143373</v>
      </c>
      <c r="O42" s="7" t="n">
        <v>147.386609</v>
      </c>
    </row>
    <row r="43" customFormat="false" ht="15" hidden="false" customHeight="false" outlineLevel="0" collapsed="false">
      <c r="A43" s="7" t="s">
        <v>2925</v>
      </c>
      <c r="B43" s="7" t="s">
        <v>2926</v>
      </c>
      <c r="C43" s="7" t="s">
        <v>2927</v>
      </c>
      <c r="D43" s="7" t="s">
        <v>2928</v>
      </c>
      <c r="E43" s="7" t="n">
        <v>3644</v>
      </c>
      <c r="F43" s="7" t="s">
        <v>50</v>
      </c>
      <c r="G43" s="7" t="s">
        <v>2718</v>
      </c>
      <c r="H43" s="7"/>
      <c r="I43" s="7" t="s">
        <v>2719</v>
      </c>
      <c r="J43" s="7"/>
      <c r="K43" s="7"/>
      <c r="L43" s="7"/>
      <c r="M43" s="10" t="b">
        <f aca="false">FALSE()</f>
        <v>0</v>
      </c>
      <c r="N43" s="7" t="n">
        <v>-35.91225</v>
      </c>
      <c r="O43" s="7" t="n">
        <v>145.69018</v>
      </c>
    </row>
    <row r="44" customFormat="false" ht="15" hidden="false" customHeight="false" outlineLevel="0" collapsed="false">
      <c r="A44" s="7" t="s">
        <v>2929</v>
      </c>
      <c r="B44" s="7" t="s">
        <v>2930</v>
      </c>
      <c r="C44" s="7" t="s">
        <v>2931</v>
      </c>
      <c r="D44" s="7" t="s">
        <v>2932</v>
      </c>
      <c r="E44" s="7" t="n">
        <v>2347</v>
      </c>
      <c r="F44" s="7" t="s">
        <v>50</v>
      </c>
      <c r="G44" s="7" t="s">
        <v>2718</v>
      </c>
      <c r="H44" s="7"/>
      <c r="I44" s="7" t="s">
        <v>2719</v>
      </c>
      <c r="J44" s="7"/>
      <c r="K44" s="7"/>
      <c r="L44" s="7"/>
      <c r="M44" s="10" t="b">
        <f aca="false">FALSE()</f>
        <v>0</v>
      </c>
      <c r="N44" s="7" t="n">
        <v>-30.380272</v>
      </c>
      <c r="O44" s="7" t="n">
        <v>150.609609</v>
      </c>
    </row>
    <row r="45" customFormat="false" ht="15" hidden="false" customHeight="false" outlineLevel="0" collapsed="false">
      <c r="A45" s="7" t="s">
        <v>2933</v>
      </c>
      <c r="B45" s="7" t="s">
        <v>2934</v>
      </c>
      <c r="C45" s="7" t="s">
        <v>2935</v>
      </c>
      <c r="D45" s="7" t="s">
        <v>2936</v>
      </c>
      <c r="E45" s="7" t="n">
        <v>2795</v>
      </c>
      <c r="F45" s="7" t="s">
        <v>50</v>
      </c>
      <c r="G45" s="7" t="s">
        <v>2937</v>
      </c>
      <c r="H45" s="7" t="s">
        <v>2938</v>
      </c>
      <c r="I45" s="7" t="s">
        <v>2939</v>
      </c>
      <c r="J45" s="7" t="s">
        <v>2940</v>
      </c>
      <c r="K45" s="7" t="s">
        <v>2704</v>
      </c>
      <c r="L45" s="7" t="s">
        <v>2705</v>
      </c>
      <c r="M45" s="10" t="b">
        <f aca="false">TRUE()</f>
        <v>1</v>
      </c>
      <c r="N45" s="7" t="n">
        <v>-33.42562703</v>
      </c>
      <c r="O45" s="7" t="n">
        <v>149.5832161</v>
      </c>
    </row>
    <row r="46" customFormat="false" ht="15" hidden="false" customHeight="false" outlineLevel="0" collapsed="false">
      <c r="A46" s="7" t="s">
        <v>2941</v>
      </c>
      <c r="B46" s="7" t="s">
        <v>2942</v>
      </c>
      <c r="C46" s="7" t="s">
        <v>2943</v>
      </c>
      <c r="D46" s="7" t="s">
        <v>2944</v>
      </c>
      <c r="E46" s="7" t="n">
        <v>2730</v>
      </c>
      <c r="F46" s="7" t="s">
        <v>50</v>
      </c>
      <c r="G46" s="7" t="s">
        <v>2718</v>
      </c>
      <c r="H46" s="7"/>
      <c r="I46" s="7" t="s">
        <v>2719</v>
      </c>
      <c r="J46" s="7"/>
      <c r="K46" s="7"/>
      <c r="L46" s="7"/>
      <c r="M46" s="10" t="b">
        <f aca="false">FALSE()</f>
        <v>0</v>
      </c>
      <c r="N46" s="7" t="n">
        <v>-35.520277</v>
      </c>
      <c r="O46" s="7" t="n">
        <v>148.14722</v>
      </c>
    </row>
    <row r="47" customFormat="false" ht="15" hidden="false" customHeight="false" outlineLevel="0" collapsed="false">
      <c r="A47" s="7" t="s">
        <v>2945</v>
      </c>
      <c r="B47" s="7" t="s">
        <v>2946</v>
      </c>
      <c r="C47" s="7" t="s">
        <v>2947</v>
      </c>
      <c r="D47" s="7" t="s">
        <v>2948</v>
      </c>
      <c r="E47" s="7" t="n">
        <v>2665</v>
      </c>
      <c r="F47" s="7" t="s">
        <v>50</v>
      </c>
      <c r="G47" s="7" t="s">
        <v>2718</v>
      </c>
      <c r="H47" s="7"/>
      <c r="I47" s="7" t="s">
        <v>2719</v>
      </c>
      <c r="J47" s="7"/>
      <c r="K47" s="7"/>
      <c r="L47" s="7"/>
      <c r="M47" s="10" t="b">
        <f aca="false">FALSE()</f>
        <v>0</v>
      </c>
      <c r="N47" s="7" t="n">
        <v>-34.331341</v>
      </c>
      <c r="O47" s="7" t="n">
        <v>146.958477</v>
      </c>
    </row>
    <row r="48" customFormat="false" ht="15" hidden="false" customHeight="false" outlineLevel="0" collapsed="false">
      <c r="A48" s="7" t="s">
        <v>2949</v>
      </c>
      <c r="B48" s="7" t="s">
        <v>2950</v>
      </c>
      <c r="C48" s="7" t="s">
        <v>2951</v>
      </c>
      <c r="D48" s="7" t="s">
        <v>2952</v>
      </c>
      <c r="E48" s="7" t="n">
        <v>2119</v>
      </c>
      <c r="F48" s="7" t="s">
        <v>50</v>
      </c>
      <c r="G48" s="7" t="s">
        <v>2786</v>
      </c>
      <c r="H48" s="7" t="s">
        <v>2953</v>
      </c>
      <c r="I48" s="7" t="s">
        <v>2747</v>
      </c>
      <c r="J48" s="7" t="s">
        <v>2954</v>
      </c>
      <c r="K48" s="7" t="s">
        <v>2772</v>
      </c>
      <c r="L48" s="7" t="s">
        <v>2705</v>
      </c>
      <c r="M48" s="10" t="b">
        <f aca="false">FALSE()</f>
        <v>0</v>
      </c>
      <c r="N48" s="7" t="n">
        <v>-33.74995417</v>
      </c>
      <c r="O48" s="7" t="n">
        <v>151.0662982</v>
      </c>
    </row>
    <row r="49" customFormat="false" ht="15" hidden="false" customHeight="false" outlineLevel="0" collapsed="false">
      <c r="A49" s="7" t="s">
        <v>2955</v>
      </c>
      <c r="B49" s="7" t="s">
        <v>2956</v>
      </c>
      <c r="C49" s="7" t="s">
        <v>2957</v>
      </c>
      <c r="D49" s="7" t="s">
        <v>2958</v>
      </c>
      <c r="E49" s="7" t="n">
        <v>4207</v>
      </c>
      <c r="F49" s="7" t="s">
        <v>50</v>
      </c>
      <c r="G49" s="7" t="s">
        <v>2718</v>
      </c>
      <c r="H49" s="7"/>
      <c r="I49" s="7" t="s">
        <v>2719</v>
      </c>
      <c r="J49" s="7"/>
      <c r="K49" s="7"/>
      <c r="L49" s="7"/>
      <c r="M49" s="10" t="b">
        <f aca="false">FALSE()</f>
        <v>0</v>
      </c>
      <c r="N49" s="7" t="n">
        <v>-27.717673</v>
      </c>
      <c r="O49" s="7" t="n">
        <v>153.204518</v>
      </c>
    </row>
    <row r="50" customFormat="false" ht="15" hidden="false" customHeight="false" outlineLevel="0" collapsed="false">
      <c r="A50" s="7" t="s">
        <v>2959</v>
      </c>
      <c r="B50" s="7" t="s">
        <v>2960</v>
      </c>
      <c r="C50" s="7" t="s">
        <v>2961</v>
      </c>
      <c r="D50" s="7" t="s">
        <v>2962</v>
      </c>
      <c r="E50" s="7" t="n">
        <v>2550</v>
      </c>
      <c r="F50" s="7" t="s">
        <v>50</v>
      </c>
      <c r="G50" s="7" t="s">
        <v>2837</v>
      </c>
      <c r="H50" s="7"/>
      <c r="I50" s="7" t="s">
        <v>2719</v>
      </c>
      <c r="J50" s="7"/>
      <c r="K50" s="7"/>
      <c r="L50" s="7"/>
      <c r="M50" s="10" t="b">
        <f aca="false">FALSE()</f>
        <v>0</v>
      </c>
      <c r="N50" s="7" t="n">
        <v>-36.673857</v>
      </c>
      <c r="O50" s="7" t="n">
        <v>149.842188</v>
      </c>
    </row>
    <row r="51" customFormat="false" ht="15" hidden="false" customHeight="false" outlineLevel="0" collapsed="false">
      <c r="A51" s="7" t="s">
        <v>2963</v>
      </c>
      <c r="B51" s="7" t="s">
        <v>2964</v>
      </c>
      <c r="C51" s="7" t="s">
        <v>2965</v>
      </c>
      <c r="D51" s="7" t="s">
        <v>2966</v>
      </c>
      <c r="E51" s="7" t="n">
        <v>2422</v>
      </c>
      <c r="F51" s="7" t="s">
        <v>50</v>
      </c>
      <c r="G51" s="7" t="s">
        <v>2718</v>
      </c>
      <c r="H51" s="7"/>
      <c r="I51" s="7" t="s">
        <v>2719</v>
      </c>
      <c r="J51" s="7"/>
      <c r="K51" s="7"/>
      <c r="L51" s="7"/>
      <c r="M51" s="10" t="b">
        <f aca="false">FALSE()</f>
        <v>0</v>
      </c>
      <c r="N51" s="7" t="n">
        <v>-32.012693</v>
      </c>
      <c r="O51" s="7" t="n">
        <v>152.178504</v>
      </c>
    </row>
    <row r="52" customFormat="false" ht="15" hidden="false" customHeight="false" outlineLevel="0" collapsed="false">
      <c r="A52" s="7" t="s">
        <v>2967</v>
      </c>
      <c r="B52" s="7" t="s">
        <v>2968</v>
      </c>
      <c r="C52" s="7" t="s">
        <v>2969</v>
      </c>
      <c r="D52" s="7" t="s">
        <v>2970</v>
      </c>
      <c r="E52" s="7" t="n">
        <v>2617</v>
      </c>
      <c r="F52" s="7" t="s">
        <v>50</v>
      </c>
      <c r="G52" s="7" t="s">
        <v>2837</v>
      </c>
      <c r="H52" s="7"/>
      <c r="I52" s="7" t="s">
        <v>2719</v>
      </c>
      <c r="J52" s="7"/>
      <c r="K52" s="7"/>
      <c r="L52" s="7"/>
      <c r="M52" s="10" t="b">
        <f aca="false">FALSE()</f>
        <v>0</v>
      </c>
      <c r="N52" s="7" t="n">
        <v>-35.23976</v>
      </c>
      <c r="O52" s="7" t="n">
        <v>149.06966</v>
      </c>
    </row>
    <row r="53" customFormat="false" ht="15" hidden="false" customHeight="false" outlineLevel="0" collapsed="false">
      <c r="A53" s="7" t="s">
        <v>2971</v>
      </c>
      <c r="B53" s="7" t="s">
        <v>2972</v>
      </c>
      <c r="C53" s="7" t="s">
        <v>2973</v>
      </c>
      <c r="D53" s="7" t="s">
        <v>2974</v>
      </c>
      <c r="E53" s="7" t="n">
        <v>2786</v>
      </c>
      <c r="F53" s="7" t="s">
        <v>50</v>
      </c>
      <c r="G53" s="7" t="s">
        <v>2806</v>
      </c>
      <c r="H53" s="7" t="s">
        <v>2975</v>
      </c>
      <c r="I53" s="7" t="s">
        <v>2976</v>
      </c>
      <c r="J53" s="7" t="s">
        <v>2977</v>
      </c>
      <c r="K53" s="7" t="s">
        <v>2704</v>
      </c>
      <c r="L53" s="7" t="s">
        <v>2705</v>
      </c>
      <c r="M53" s="10" t="b">
        <f aca="false">TRUE()</f>
        <v>1</v>
      </c>
      <c r="N53" s="7" t="n">
        <v>-33.50568554</v>
      </c>
      <c r="O53" s="7" t="n">
        <v>150.2788861</v>
      </c>
    </row>
    <row r="54" customFormat="false" ht="15" hidden="false" customHeight="false" outlineLevel="0" collapsed="false">
      <c r="A54" s="7" t="s">
        <v>2978</v>
      </c>
      <c r="B54" s="7" t="s">
        <v>2979</v>
      </c>
      <c r="C54" s="7" t="s">
        <v>2980</v>
      </c>
      <c r="D54" s="7" t="s">
        <v>2981</v>
      </c>
      <c r="E54" s="7" t="n">
        <v>2153</v>
      </c>
      <c r="F54" s="7" t="s">
        <v>50</v>
      </c>
      <c r="G54" s="7" t="s">
        <v>2982</v>
      </c>
      <c r="H54" s="7" t="s">
        <v>2983</v>
      </c>
      <c r="I54" s="7" t="s">
        <v>2897</v>
      </c>
      <c r="J54" s="7"/>
      <c r="K54" s="7" t="s">
        <v>2772</v>
      </c>
      <c r="L54" s="7" t="s">
        <v>2705</v>
      </c>
      <c r="M54" s="10" t="b">
        <f aca="false">FALSE()</f>
        <v>0</v>
      </c>
      <c r="N54" s="7" t="n">
        <v>-33.730592</v>
      </c>
      <c r="O54" s="7" t="n">
        <v>150.944024</v>
      </c>
    </row>
    <row r="55" customFormat="false" ht="15" hidden="false" customHeight="false" outlineLevel="0" collapsed="false">
      <c r="A55" s="7" t="s">
        <v>2984</v>
      </c>
      <c r="B55" s="7" t="s">
        <v>2985</v>
      </c>
      <c r="C55" s="7" t="s">
        <v>2986</v>
      </c>
      <c r="D55" s="7" t="s">
        <v>2987</v>
      </c>
      <c r="E55" s="7" t="n">
        <v>2518</v>
      </c>
      <c r="F55" s="7" t="s">
        <v>50</v>
      </c>
      <c r="G55" s="7" t="s">
        <v>2786</v>
      </c>
      <c r="H55" s="7" t="s">
        <v>2988</v>
      </c>
      <c r="I55" s="7" t="s">
        <v>2989</v>
      </c>
      <c r="J55" s="7" t="s">
        <v>2990</v>
      </c>
      <c r="K55" s="7" t="s">
        <v>2704</v>
      </c>
      <c r="L55" s="7" t="s">
        <v>2705</v>
      </c>
      <c r="M55" s="10" t="b">
        <f aca="false">TRUE()</f>
        <v>1</v>
      </c>
      <c r="N55" s="7" t="n">
        <v>-34.36331842</v>
      </c>
      <c r="O55" s="7" t="n">
        <v>150.9099025</v>
      </c>
    </row>
    <row r="56" customFormat="false" ht="15" hidden="false" customHeight="false" outlineLevel="0" collapsed="false">
      <c r="A56" s="7" t="s">
        <v>2991</v>
      </c>
      <c r="B56" s="7" t="s">
        <v>2992</v>
      </c>
      <c r="C56" s="7" t="s">
        <v>2993</v>
      </c>
      <c r="D56" s="7" t="s">
        <v>2994</v>
      </c>
      <c r="E56" s="7" t="n">
        <v>2397</v>
      </c>
      <c r="F56" s="7" t="s">
        <v>50</v>
      </c>
      <c r="G56" s="7" t="s">
        <v>2718</v>
      </c>
      <c r="H56" s="7"/>
      <c r="I56" s="7" t="s">
        <v>2719</v>
      </c>
      <c r="J56" s="7"/>
      <c r="K56" s="7"/>
      <c r="L56" s="7"/>
      <c r="M56" s="10" t="b">
        <f aca="false">FALSE()</f>
        <v>0</v>
      </c>
      <c r="N56" s="7" t="n">
        <v>-29.917328</v>
      </c>
      <c r="O56" s="7" t="n">
        <v>149.791068</v>
      </c>
    </row>
    <row r="57" customFormat="false" ht="15" hidden="false" customHeight="false" outlineLevel="0" collapsed="false">
      <c r="A57" s="7" t="s">
        <v>2995</v>
      </c>
      <c r="B57" s="7" t="s">
        <v>2996</v>
      </c>
      <c r="C57" s="7" t="s">
        <v>2997</v>
      </c>
      <c r="D57" s="7" t="s">
        <v>2998</v>
      </c>
      <c r="E57" s="7" t="n">
        <v>2397</v>
      </c>
      <c r="F57" s="7" t="s">
        <v>50</v>
      </c>
      <c r="G57" s="7" t="s">
        <v>2806</v>
      </c>
      <c r="H57" s="7"/>
      <c r="I57" s="7" t="s">
        <v>2939</v>
      </c>
      <c r="J57" s="7"/>
      <c r="K57" s="7"/>
      <c r="L57" s="7"/>
      <c r="M57" s="10" t="b">
        <f aca="false">FALSE()</f>
        <v>0</v>
      </c>
      <c r="N57" s="7" t="n">
        <v>-29.9183</v>
      </c>
      <c r="O57" s="7" t="n">
        <v>149.7905</v>
      </c>
    </row>
    <row r="58" customFormat="false" ht="15" hidden="false" customHeight="false" outlineLevel="0" collapsed="false">
      <c r="A58" s="7" t="s">
        <v>2999</v>
      </c>
      <c r="B58" s="7" t="s">
        <v>3000</v>
      </c>
      <c r="C58" s="7" t="s">
        <v>3001</v>
      </c>
      <c r="D58" s="7" t="s">
        <v>3002</v>
      </c>
      <c r="E58" s="7" t="n">
        <v>2192</v>
      </c>
      <c r="F58" s="7" t="s">
        <v>50</v>
      </c>
      <c r="G58" s="7" t="s">
        <v>3003</v>
      </c>
      <c r="H58" s="7" t="s">
        <v>3004</v>
      </c>
      <c r="I58" s="7" t="s">
        <v>2885</v>
      </c>
      <c r="J58" s="7" t="s">
        <v>3005</v>
      </c>
      <c r="K58" s="7" t="s">
        <v>2772</v>
      </c>
      <c r="L58" s="7" t="s">
        <v>2705</v>
      </c>
      <c r="M58" s="10" t="b">
        <f aca="false">FALSE()</f>
        <v>0</v>
      </c>
      <c r="N58" s="7" t="n">
        <v>-33.91721798</v>
      </c>
      <c r="O58" s="7" t="n">
        <v>151.0887332</v>
      </c>
    </row>
    <row r="59" customFormat="false" ht="15" hidden="false" customHeight="false" outlineLevel="0" collapsed="false">
      <c r="A59" s="7" t="s">
        <v>3006</v>
      </c>
      <c r="B59" s="7" t="s">
        <v>3007</v>
      </c>
      <c r="C59" s="7" t="s">
        <v>3008</v>
      </c>
      <c r="D59" s="7" t="s">
        <v>3009</v>
      </c>
      <c r="E59" s="7" t="n">
        <v>2550</v>
      </c>
      <c r="F59" s="7" t="s">
        <v>50</v>
      </c>
      <c r="G59" s="7" t="s">
        <v>2718</v>
      </c>
      <c r="H59" s="7"/>
      <c r="I59" s="7" t="s">
        <v>2719</v>
      </c>
      <c r="J59" s="7"/>
      <c r="K59" s="7"/>
      <c r="L59" s="7"/>
      <c r="M59" s="10" t="b">
        <f aca="false">FALSE()</f>
        <v>0</v>
      </c>
      <c r="N59" s="7" t="n">
        <v>-36.627333</v>
      </c>
      <c r="O59" s="7" t="n">
        <v>149.568778</v>
      </c>
    </row>
    <row r="60" customFormat="false" ht="15" hidden="false" customHeight="false" outlineLevel="0" collapsed="false">
      <c r="A60" s="7" t="s">
        <v>3010</v>
      </c>
      <c r="B60" s="7" t="s">
        <v>3011</v>
      </c>
      <c r="C60" s="7" t="s">
        <v>3012</v>
      </c>
      <c r="D60" s="7" t="s">
        <v>3013</v>
      </c>
      <c r="E60" s="7" t="n">
        <v>2790</v>
      </c>
      <c r="F60" s="7" t="s">
        <v>50</v>
      </c>
      <c r="G60" s="7" t="s">
        <v>2718</v>
      </c>
      <c r="H60" s="7"/>
      <c r="I60" s="7" t="s">
        <v>2719</v>
      </c>
      <c r="J60" s="7"/>
      <c r="K60" s="7"/>
      <c r="L60" s="7"/>
      <c r="M60" s="10" t="b">
        <f aca="false">FALSE()</f>
        <v>0</v>
      </c>
      <c r="N60" s="7" t="n">
        <v>-33.218809</v>
      </c>
      <c r="O60" s="7" t="n">
        <v>150.021411</v>
      </c>
    </row>
    <row r="61" customFormat="false" ht="15" hidden="false" customHeight="false" outlineLevel="0" collapsed="false">
      <c r="A61" s="7" t="s">
        <v>3014</v>
      </c>
      <c r="B61" s="7" t="s">
        <v>3015</v>
      </c>
      <c r="C61" s="7" t="s">
        <v>3016</v>
      </c>
      <c r="D61" s="7" t="s">
        <v>3017</v>
      </c>
      <c r="E61" s="7" t="n">
        <v>2151</v>
      </c>
      <c r="F61" s="7" t="s">
        <v>50</v>
      </c>
      <c r="G61" s="7" t="s">
        <v>2769</v>
      </c>
      <c r="H61" s="7" t="s">
        <v>3018</v>
      </c>
      <c r="I61" s="7" t="s">
        <v>3019</v>
      </c>
      <c r="J61" s="7"/>
      <c r="K61" s="7" t="s">
        <v>2772</v>
      </c>
      <c r="L61" s="7" t="s">
        <v>2705</v>
      </c>
      <c r="M61" s="10" t="b">
        <f aca="false">FALSE()</f>
        <v>0</v>
      </c>
      <c r="N61" s="7" t="n">
        <v>-33.800814</v>
      </c>
      <c r="O61" s="7" t="n">
        <v>151.004558</v>
      </c>
    </row>
    <row r="62" customFormat="false" ht="15" hidden="false" customHeight="false" outlineLevel="0" collapsed="false">
      <c r="A62" s="7" t="s">
        <v>3020</v>
      </c>
      <c r="B62" s="7" t="s">
        <v>3021</v>
      </c>
      <c r="C62" s="7" t="s">
        <v>3022</v>
      </c>
      <c r="D62" s="7" t="s">
        <v>3023</v>
      </c>
      <c r="E62" s="7" t="n">
        <v>2355</v>
      </c>
      <c r="F62" s="7" t="s">
        <v>50</v>
      </c>
      <c r="G62" s="7" t="s">
        <v>2837</v>
      </c>
      <c r="H62" s="7"/>
      <c r="I62" s="7" t="s">
        <v>2719</v>
      </c>
      <c r="J62" s="7"/>
      <c r="K62" s="7"/>
      <c r="L62" s="7"/>
      <c r="M62" s="10" t="b">
        <f aca="false">FALSE()</f>
        <v>0</v>
      </c>
      <c r="N62" s="7" t="n">
        <v>-30.883473</v>
      </c>
      <c r="O62" s="7" t="n">
        <v>151.1548</v>
      </c>
    </row>
    <row r="63" customFormat="false" ht="15" hidden="false" customHeight="false" outlineLevel="0" collapsed="false">
      <c r="A63" s="7" t="s">
        <v>3024</v>
      </c>
      <c r="B63" s="7" t="s">
        <v>3025</v>
      </c>
      <c r="C63" s="7" t="s">
        <v>3026</v>
      </c>
      <c r="D63" s="7" t="s">
        <v>3027</v>
      </c>
      <c r="E63" s="7" t="n">
        <v>2803</v>
      </c>
      <c r="F63" s="7" t="s">
        <v>50</v>
      </c>
      <c r="G63" s="7" t="s">
        <v>2718</v>
      </c>
      <c r="H63" s="7"/>
      <c r="I63" s="7" t="s">
        <v>2719</v>
      </c>
      <c r="J63" s="7"/>
      <c r="K63" s="7"/>
      <c r="L63" s="7"/>
      <c r="M63" s="10" t="b">
        <f aca="false">FALSE()</f>
        <v>0</v>
      </c>
      <c r="N63" s="7" t="n">
        <v>-34.159821</v>
      </c>
      <c r="O63" s="7" t="n">
        <v>148.445796</v>
      </c>
    </row>
    <row r="64" customFormat="false" ht="15" hidden="false" customHeight="false" outlineLevel="0" collapsed="false">
      <c r="A64" s="7" t="s">
        <v>3028</v>
      </c>
      <c r="B64" s="7" t="s">
        <v>3029</v>
      </c>
      <c r="C64" s="7" t="s">
        <v>3030</v>
      </c>
      <c r="D64" s="7" t="s">
        <v>3031</v>
      </c>
      <c r="E64" s="7" t="n">
        <v>2141</v>
      </c>
      <c r="F64" s="7" t="s">
        <v>50</v>
      </c>
      <c r="G64" s="7" t="s">
        <v>2786</v>
      </c>
      <c r="H64" s="7" t="s">
        <v>3032</v>
      </c>
      <c r="I64" s="7" t="s">
        <v>2747</v>
      </c>
      <c r="J64" s="7" t="s">
        <v>3033</v>
      </c>
      <c r="K64" s="7" t="s">
        <v>2772</v>
      </c>
      <c r="L64" s="7" t="s">
        <v>2705</v>
      </c>
      <c r="M64" s="10" t="b">
        <f aca="false">FALSE()</f>
        <v>0</v>
      </c>
      <c r="N64" s="7" t="n">
        <v>-33.87183567</v>
      </c>
      <c r="O64" s="7" t="n">
        <v>151.0324418</v>
      </c>
    </row>
    <row r="65" customFormat="false" ht="15" hidden="false" customHeight="false" outlineLevel="0" collapsed="false">
      <c r="A65" s="7" t="s">
        <v>3034</v>
      </c>
      <c r="B65" s="7" t="s">
        <v>3035</v>
      </c>
      <c r="C65" s="7" t="s">
        <v>3036</v>
      </c>
      <c r="D65" s="7" t="s">
        <v>3037</v>
      </c>
      <c r="E65" s="7" t="n">
        <v>2322</v>
      </c>
      <c r="F65" s="7" t="s">
        <v>50</v>
      </c>
      <c r="G65" s="7" t="s">
        <v>2786</v>
      </c>
      <c r="H65" s="7" t="s">
        <v>3038</v>
      </c>
      <c r="I65" s="7" t="s">
        <v>2747</v>
      </c>
      <c r="J65" s="7" t="s">
        <v>3039</v>
      </c>
      <c r="K65" s="7" t="s">
        <v>2704</v>
      </c>
      <c r="L65" s="7" t="s">
        <v>2705</v>
      </c>
      <c r="M65" s="10" t="b">
        <f aca="false">TRUE()</f>
        <v>1</v>
      </c>
      <c r="N65" s="7" t="n">
        <v>-32.79894599</v>
      </c>
      <c r="O65" s="7" t="n">
        <v>151.6578627</v>
      </c>
    </row>
    <row r="66" customFormat="false" ht="15" hidden="false" customHeight="false" outlineLevel="0" collapsed="false">
      <c r="A66" s="7" t="s">
        <v>3040</v>
      </c>
      <c r="B66" s="7" t="s">
        <v>3041</v>
      </c>
      <c r="C66" s="7" t="s">
        <v>3042</v>
      </c>
      <c r="D66" s="7" t="s">
        <v>3043</v>
      </c>
      <c r="E66" s="7" t="n">
        <v>2081</v>
      </c>
      <c r="F66" s="7" t="s">
        <v>50</v>
      </c>
      <c r="G66" s="7" t="s">
        <v>2710</v>
      </c>
      <c r="H66" s="7" t="s">
        <v>3044</v>
      </c>
      <c r="I66" s="7" t="s">
        <v>2747</v>
      </c>
      <c r="J66" s="7" t="s">
        <v>3045</v>
      </c>
      <c r="K66" s="7" t="s">
        <v>2772</v>
      </c>
      <c r="L66" s="7" t="s">
        <v>2705</v>
      </c>
      <c r="M66" s="10" t="b">
        <f aca="false">TRUE()</f>
        <v>1</v>
      </c>
      <c r="N66" s="7" t="n">
        <v>-33.6236572</v>
      </c>
      <c r="O66" s="7" t="n">
        <v>151.1529711</v>
      </c>
    </row>
    <row r="67" customFormat="false" ht="15" hidden="false" customHeight="false" outlineLevel="0" collapsed="false">
      <c r="A67" s="7" t="s">
        <v>3046</v>
      </c>
      <c r="B67" s="7" t="s">
        <v>3047</v>
      </c>
      <c r="C67" s="7" t="s">
        <v>3048</v>
      </c>
      <c r="D67" s="7" t="s">
        <v>3049</v>
      </c>
      <c r="E67" s="7" t="n">
        <v>2628</v>
      </c>
      <c r="F67" s="7" t="s">
        <v>50</v>
      </c>
      <c r="G67" s="7" t="s">
        <v>2718</v>
      </c>
      <c r="H67" s="7"/>
      <c r="I67" s="7" t="s">
        <v>2719</v>
      </c>
      <c r="J67" s="7"/>
      <c r="K67" s="7"/>
      <c r="L67" s="7"/>
      <c r="M67" s="10" t="b">
        <f aca="false">FALSE()</f>
        <v>0</v>
      </c>
      <c r="N67" s="7" t="n">
        <v>-36.365118</v>
      </c>
      <c r="O67" s="7" t="n">
        <v>148.82788</v>
      </c>
    </row>
    <row r="68" customFormat="false" ht="15" hidden="false" customHeight="false" outlineLevel="0" collapsed="false">
      <c r="A68" s="7" t="s">
        <v>3050</v>
      </c>
      <c r="B68" s="7" t="s">
        <v>3051</v>
      </c>
      <c r="C68" s="7" t="s">
        <v>3052</v>
      </c>
      <c r="D68" s="7" t="s">
        <v>3053</v>
      </c>
      <c r="E68" s="7" t="n">
        <v>2712</v>
      </c>
      <c r="F68" s="7" t="s">
        <v>50</v>
      </c>
      <c r="G68" s="7" t="s">
        <v>2718</v>
      </c>
      <c r="H68" s="7"/>
      <c r="I68" s="7" t="s">
        <v>2719</v>
      </c>
      <c r="J68" s="7"/>
      <c r="K68" s="7"/>
      <c r="L68" s="7"/>
      <c r="M68" s="10" t="b">
        <f aca="false">FALSE()</f>
        <v>0</v>
      </c>
      <c r="N68" s="7" t="n">
        <v>-35.658002</v>
      </c>
      <c r="O68" s="7" t="n">
        <v>145.812199</v>
      </c>
    </row>
    <row r="69" customFormat="false" ht="15" hidden="false" customHeight="false" outlineLevel="0" collapsed="false">
      <c r="A69" s="7" t="s">
        <v>3054</v>
      </c>
      <c r="B69" s="7" t="s">
        <v>3055</v>
      </c>
      <c r="C69" s="7" t="s">
        <v>3056</v>
      </c>
      <c r="D69" s="7" t="s">
        <v>3057</v>
      </c>
      <c r="E69" s="7" t="n">
        <v>2535</v>
      </c>
      <c r="F69" s="7" t="s">
        <v>50</v>
      </c>
      <c r="G69" s="7" t="s">
        <v>2786</v>
      </c>
      <c r="H69" s="7" t="s">
        <v>3058</v>
      </c>
      <c r="I69" s="7" t="s">
        <v>3059</v>
      </c>
      <c r="J69" s="7" t="s">
        <v>3060</v>
      </c>
      <c r="K69" s="7" t="s">
        <v>2704</v>
      </c>
      <c r="L69" s="7" t="s">
        <v>2705</v>
      </c>
      <c r="M69" s="10" t="b">
        <f aca="false">TRUE()</f>
        <v>1</v>
      </c>
      <c r="N69" s="7" t="n">
        <v>-34.78033267</v>
      </c>
      <c r="O69" s="7" t="n">
        <v>150.6969659</v>
      </c>
    </row>
    <row r="70" customFormat="false" ht="15" hidden="false" customHeight="false" outlineLevel="0" collapsed="false">
      <c r="A70" s="7" t="s">
        <v>3061</v>
      </c>
      <c r="B70" s="7" t="s">
        <v>3062</v>
      </c>
      <c r="C70" s="7" t="s">
        <v>3063</v>
      </c>
      <c r="D70" s="7" t="s">
        <v>3064</v>
      </c>
      <c r="E70" s="7" t="n">
        <v>2209</v>
      </c>
      <c r="F70" s="7" t="s">
        <v>50</v>
      </c>
      <c r="G70" s="7" t="s">
        <v>2786</v>
      </c>
      <c r="H70" s="7" t="s">
        <v>3065</v>
      </c>
      <c r="I70" s="7" t="s">
        <v>2747</v>
      </c>
      <c r="J70" s="7" t="s">
        <v>3066</v>
      </c>
      <c r="K70" s="7" t="s">
        <v>2772</v>
      </c>
      <c r="L70" s="7" t="s">
        <v>2705</v>
      </c>
      <c r="M70" s="10" t="b">
        <f aca="false">FALSE()</f>
        <v>0</v>
      </c>
      <c r="N70" s="7" t="n">
        <v>-33.94884857</v>
      </c>
      <c r="O70" s="7" t="n">
        <v>151.0816922</v>
      </c>
    </row>
    <row r="71" customFormat="false" ht="15" hidden="false" customHeight="false" outlineLevel="0" collapsed="false">
      <c r="A71" s="7" t="s">
        <v>3067</v>
      </c>
      <c r="B71" s="7" t="s">
        <v>3068</v>
      </c>
      <c r="C71" s="7" t="s">
        <v>3069</v>
      </c>
      <c r="D71" s="7" t="s">
        <v>3070</v>
      </c>
      <c r="E71" s="7" t="n">
        <v>2480</v>
      </c>
      <c r="F71" s="7" t="s">
        <v>50</v>
      </c>
      <c r="G71" s="7" t="s">
        <v>2718</v>
      </c>
      <c r="H71" s="7"/>
      <c r="I71" s="7" t="s">
        <v>2719</v>
      </c>
      <c r="J71" s="7"/>
      <c r="K71" s="7"/>
      <c r="L71" s="7"/>
      <c r="M71" s="10" t="b">
        <f aca="false">FALSE()</f>
        <v>0</v>
      </c>
      <c r="N71" s="7" t="n">
        <v>-28.76554</v>
      </c>
      <c r="O71" s="7" t="n">
        <v>153.34515</v>
      </c>
    </row>
    <row r="72" customFormat="false" ht="15" hidden="false" customHeight="false" outlineLevel="0" collapsed="false">
      <c r="A72" s="7" t="s">
        <v>3071</v>
      </c>
      <c r="B72" s="7" t="s">
        <v>3072</v>
      </c>
      <c r="C72" s="7" t="s">
        <v>3073</v>
      </c>
      <c r="D72" s="7" t="s">
        <v>3074</v>
      </c>
      <c r="E72" s="7" t="n">
        <v>2207</v>
      </c>
      <c r="F72" s="7" t="s">
        <v>50</v>
      </c>
      <c r="G72" s="7" t="s">
        <v>2710</v>
      </c>
      <c r="H72" s="7" t="s">
        <v>3075</v>
      </c>
      <c r="I72" s="7" t="s">
        <v>2747</v>
      </c>
      <c r="J72" s="7" t="s">
        <v>3076</v>
      </c>
      <c r="K72" s="7" t="s">
        <v>2772</v>
      </c>
      <c r="L72" s="7" t="s">
        <v>2705</v>
      </c>
      <c r="M72" s="10" t="b">
        <f aca="false">FALSE()</f>
        <v>0</v>
      </c>
      <c r="N72" s="7" t="n">
        <v>-33.93756601</v>
      </c>
      <c r="O72" s="7" t="n">
        <v>151.1133973</v>
      </c>
    </row>
    <row r="73" customFormat="false" ht="15" hidden="false" customHeight="false" outlineLevel="0" collapsed="false">
      <c r="A73" s="7" t="s">
        <v>3077</v>
      </c>
      <c r="B73" s="7" t="s">
        <v>3078</v>
      </c>
      <c r="C73" s="7" t="s">
        <v>3079</v>
      </c>
      <c r="D73" s="7" t="s">
        <v>3080</v>
      </c>
      <c r="E73" s="7" t="n">
        <v>2632</v>
      </c>
      <c r="F73" s="7" t="s">
        <v>50</v>
      </c>
      <c r="G73" s="7" t="s">
        <v>2718</v>
      </c>
      <c r="H73" s="7"/>
      <c r="I73" s="7" t="s">
        <v>2719</v>
      </c>
      <c r="J73" s="7"/>
      <c r="K73" s="7"/>
      <c r="L73" s="7"/>
      <c r="M73" s="10" t="b">
        <f aca="false">FALSE()</f>
        <v>0</v>
      </c>
      <c r="N73" s="7" t="n">
        <v>-36.811109</v>
      </c>
      <c r="O73" s="7" t="n">
        <v>149.280902</v>
      </c>
    </row>
    <row r="74" customFormat="false" ht="15" hidden="false" customHeight="false" outlineLevel="0" collapsed="false">
      <c r="A74" s="7" t="s">
        <v>3081</v>
      </c>
      <c r="B74" s="7" t="s">
        <v>3082</v>
      </c>
      <c r="C74" s="7" t="s">
        <v>3083</v>
      </c>
      <c r="D74" s="7" t="s">
        <v>3084</v>
      </c>
      <c r="E74" s="7" t="n">
        <v>2483</v>
      </c>
      <c r="F74" s="7" t="s">
        <v>50</v>
      </c>
      <c r="G74" s="7" t="s">
        <v>2718</v>
      </c>
      <c r="H74" s="7"/>
      <c r="I74" s="7" t="s">
        <v>2719</v>
      </c>
      <c r="J74" s="7"/>
      <c r="K74" s="7"/>
      <c r="L74" s="7"/>
      <c r="M74" s="10" t="b">
        <f aca="false">FALSE()</f>
        <v>0</v>
      </c>
      <c r="N74" s="7" t="n">
        <v>-28.505065</v>
      </c>
      <c r="O74" s="7" t="n">
        <v>153.528385</v>
      </c>
    </row>
    <row r="75" customFormat="false" ht="15" hidden="false" customHeight="false" outlineLevel="0" collapsed="false">
      <c r="A75" s="7" t="s">
        <v>3085</v>
      </c>
      <c r="B75" s="7" t="s">
        <v>3086</v>
      </c>
      <c r="C75" s="7" t="s">
        <v>3087</v>
      </c>
      <c r="D75" s="7" t="s">
        <v>3088</v>
      </c>
      <c r="E75" s="7" t="n">
        <v>2584</v>
      </c>
      <c r="F75" s="7" t="s">
        <v>50</v>
      </c>
      <c r="G75" s="7" t="s">
        <v>2718</v>
      </c>
      <c r="H75" s="7"/>
      <c r="I75" s="7" t="s">
        <v>2719</v>
      </c>
      <c r="J75" s="7"/>
      <c r="K75" s="7"/>
      <c r="L75" s="7"/>
      <c r="M75" s="10" t="b">
        <f aca="false">FALSE()</f>
        <v>0</v>
      </c>
      <c r="N75" s="7" t="n">
        <v>-34.672661</v>
      </c>
      <c r="O75" s="7" t="n">
        <v>148.629146</v>
      </c>
    </row>
    <row r="76" customFormat="false" ht="15" hidden="false" customHeight="false" outlineLevel="0" collapsed="false">
      <c r="A76" s="7" t="s">
        <v>3089</v>
      </c>
      <c r="B76" s="7" t="s">
        <v>3090</v>
      </c>
      <c r="C76" s="7" t="s">
        <v>3091</v>
      </c>
      <c r="D76" s="7" t="s">
        <v>3092</v>
      </c>
      <c r="E76" s="7" t="n">
        <v>2404</v>
      </c>
      <c r="F76" s="7" t="s">
        <v>50</v>
      </c>
      <c r="G76" s="7" t="s">
        <v>2718</v>
      </c>
      <c r="H76" s="7"/>
      <c r="I76" s="7" t="s">
        <v>2719</v>
      </c>
      <c r="J76" s="7"/>
      <c r="K76" s="7"/>
      <c r="L76" s="7"/>
      <c r="M76" s="10" t="b">
        <f aca="false">FALSE()</f>
        <v>0</v>
      </c>
      <c r="N76" s="7" t="n">
        <v>-29.868516</v>
      </c>
      <c r="O76" s="7" t="n">
        <v>150.572172</v>
      </c>
    </row>
    <row r="77" customFormat="false" ht="15" hidden="false" customHeight="false" outlineLevel="0" collapsed="false">
      <c r="A77" s="7" t="s">
        <v>3093</v>
      </c>
      <c r="B77" s="7" t="s">
        <v>3094</v>
      </c>
      <c r="C77" s="7" t="s">
        <v>3095</v>
      </c>
      <c r="D77" s="7" t="s">
        <v>3096</v>
      </c>
      <c r="E77" s="7" t="n">
        <v>2399</v>
      </c>
      <c r="F77" s="7" t="s">
        <v>50</v>
      </c>
      <c r="G77" s="7" t="s">
        <v>2718</v>
      </c>
      <c r="H77" s="7"/>
      <c r="I77" s="7" t="s">
        <v>2719</v>
      </c>
      <c r="J77" s="7"/>
      <c r="K77" s="7"/>
      <c r="L77" s="7"/>
      <c r="M77" s="10" t="b">
        <f aca="false">FALSE()</f>
        <v>0</v>
      </c>
      <c r="N77" s="7" t="n">
        <v>-29.536002</v>
      </c>
      <c r="O77" s="7" t="n">
        <v>150.20611</v>
      </c>
    </row>
    <row r="78" customFormat="false" ht="15" hidden="false" customHeight="false" outlineLevel="0" collapsed="false">
      <c r="A78" s="7" t="s">
        <v>3097</v>
      </c>
      <c r="B78" s="7" t="s">
        <v>3098</v>
      </c>
      <c r="C78" s="7" t="s">
        <v>3099</v>
      </c>
      <c r="D78" s="7" t="s">
        <v>3100</v>
      </c>
      <c r="E78" s="7" t="n">
        <v>2479</v>
      </c>
      <c r="F78" s="7" t="s">
        <v>50</v>
      </c>
      <c r="G78" s="7" t="s">
        <v>2837</v>
      </c>
      <c r="H78" s="7"/>
      <c r="I78" s="7" t="s">
        <v>2719</v>
      </c>
      <c r="J78" s="7"/>
      <c r="K78" s="7"/>
      <c r="L78" s="7"/>
      <c r="M78" s="10" t="b">
        <f aca="false">FALSE()</f>
        <v>0</v>
      </c>
      <c r="N78" s="7" t="n">
        <v>-28.706562</v>
      </c>
      <c r="O78" s="7" t="n">
        <v>153.497345</v>
      </c>
    </row>
    <row r="79" customFormat="false" ht="15" hidden="false" customHeight="false" outlineLevel="0" collapsed="false">
      <c r="A79" s="7" t="s">
        <v>3101</v>
      </c>
      <c r="B79" s="7" t="s">
        <v>3102</v>
      </c>
      <c r="C79" s="7" t="s">
        <v>3103</v>
      </c>
      <c r="D79" s="7" t="s">
        <v>3104</v>
      </c>
      <c r="E79" s="7" t="n">
        <v>2395</v>
      </c>
      <c r="F79" s="7" t="s">
        <v>50</v>
      </c>
      <c r="G79" s="7" t="s">
        <v>2718</v>
      </c>
      <c r="H79" s="7"/>
      <c r="I79" s="7" t="s">
        <v>2719</v>
      </c>
      <c r="J79" s="7"/>
      <c r="K79" s="7"/>
      <c r="L79" s="7"/>
      <c r="M79" s="10" t="b">
        <f aca="false">FALSE()</f>
        <v>0</v>
      </c>
      <c r="N79" s="7" t="n">
        <v>-31.55185</v>
      </c>
      <c r="O79" s="7" t="n">
        <v>149.378649</v>
      </c>
    </row>
    <row r="80" customFormat="false" ht="15" hidden="false" customHeight="false" outlineLevel="0" collapsed="false">
      <c r="A80" s="7" t="s">
        <v>3105</v>
      </c>
      <c r="B80" s="7" t="s">
        <v>3106</v>
      </c>
      <c r="C80" s="7" t="s">
        <v>3107</v>
      </c>
      <c r="D80" s="7" t="s">
        <v>3108</v>
      </c>
      <c r="E80" s="7" t="n">
        <v>2665</v>
      </c>
      <c r="F80" s="7" t="s">
        <v>50</v>
      </c>
      <c r="G80" s="7" t="s">
        <v>2718</v>
      </c>
      <c r="H80" s="7"/>
      <c r="I80" s="7" t="s">
        <v>2719</v>
      </c>
      <c r="J80" s="7"/>
      <c r="K80" s="7"/>
      <c r="L80" s="7"/>
      <c r="M80" s="10" t="b">
        <f aca="false">FALSE()</f>
        <v>0</v>
      </c>
      <c r="N80" s="7" t="n">
        <v>-34.229159</v>
      </c>
      <c r="O80" s="7" t="n">
        <v>146.344388</v>
      </c>
    </row>
    <row r="81" customFormat="false" ht="15" hidden="false" customHeight="false" outlineLevel="0" collapsed="false">
      <c r="A81" s="7" t="s">
        <v>3109</v>
      </c>
      <c r="B81" s="7" t="s">
        <v>3110</v>
      </c>
      <c r="C81" s="7" t="s">
        <v>3111</v>
      </c>
      <c r="D81" s="7" t="s">
        <v>3112</v>
      </c>
      <c r="E81" s="7" t="n">
        <v>2041</v>
      </c>
      <c r="F81" s="7" t="s">
        <v>50</v>
      </c>
      <c r="G81" s="7" t="s">
        <v>2852</v>
      </c>
      <c r="H81" s="7" t="s">
        <v>3113</v>
      </c>
      <c r="I81" s="7" t="s">
        <v>3114</v>
      </c>
      <c r="J81" s="7"/>
      <c r="K81" s="7"/>
      <c r="L81" s="7"/>
      <c r="M81" s="10" t="b">
        <f aca="false">FALSE()</f>
        <v>0</v>
      </c>
      <c r="N81" s="7" t="n">
        <v>-33.84645581</v>
      </c>
      <c r="O81" s="7" t="n">
        <v>151.1863405</v>
      </c>
    </row>
    <row r="82" customFormat="false" ht="15" hidden="false" customHeight="false" outlineLevel="0" collapsed="false">
      <c r="A82" s="7" t="s">
        <v>3115</v>
      </c>
      <c r="B82" s="7" t="s">
        <v>3116</v>
      </c>
      <c r="C82" s="7" t="s">
        <v>3117</v>
      </c>
      <c r="D82" s="7" t="s">
        <v>3118</v>
      </c>
      <c r="E82" s="7" t="n">
        <v>2143</v>
      </c>
      <c r="F82" s="7" t="s">
        <v>50</v>
      </c>
      <c r="G82" s="7" t="s">
        <v>2806</v>
      </c>
      <c r="H82" s="7" t="s">
        <v>3119</v>
      </c>
      <c r="I82" s="7" t="s">
        <v>3120</v>
      </c>
      <c r="J82" s="7" t="s">
        <v>3121</v>
      </c>
      <c r="K82" s="7" t="s">
        <v>2772</v>
      </c>
      <c r="L82" s="7" t="s">
        <v>2705</v>
      </c>
      <c r="M82" s="10" t="b">
        <f aca="false">FALSE()</f>
        <v>0</v>
      </c>
      <c r="N82" s="7" t="n">
        <v>-33.8932786</v>
      </c>
      <c r="O82" s="7" t="n">
        <v>151.0240413</v>
      </c>
    </row>
    <row r="83" customFormat="false" ht="15" hidden="false" customHeight="false" outlineLevel="0" collapsed="false">
      <c r="A83" s="7" t="s">
        <v>3122</v>
      </c>
      <c r="B83" s="7" t="s">
        <v>3123</v>
      </c>
      <c r="C83" s="7" t="s">
        <v>3124</v>
      </c>
      <c r="D83" s="7" t="s">
        <v>3125</v>
      </c>
      <c r="E83" s="7" t="n">
        <v>2785</v>
      </c>
      <c r="F83" s="7" t="s">
        <v>50</v>
      </c>
      <c r="G83" s="7" t="s">
        <v>2786</v>
      </c>
      <c r="H83" s="7" t="s">
        <v>3126</v>
      </c>
      <c r="I83" s="7" t="s">
        <v>2747</v>
      </c>
      <c r="J83" s="7" t="s">
        <v>3127</v>
      </c>
      <c r="K83" s="7" t="s">
        <v>2704</v>
      </c>
      <c r="L83" s="7" t="s">
        <v>2705</v>
      </c>
      <c r="M83" s="10" t="b">
        <f aca="false">TRUE()</f>
        <v>1</v>
      </c>
      <c r="N83" s="7" t="n">
        <v>-33.63288104</v>
      </c>
      <c r="O83" s="7" t="n">
        <v>150.284345</v>
      </c>
    </row>
    <row r="84" customFormat="false" ht="15" hidden="false" customHeight="false" outlineLevel="0" collapsed="false">
      <c r="A84" s="7" t="s">
        <v>3128</v>
      </c>
      <c r="B84" s="7" t="s">
        <v>3129</v>
      </c>
      <c r="C84" s="7" t="s">
        <v>3130</v>
      </c>
      <c r="D84" s="7" t="s">
        <v>3131</v>
      </c>
      <c r="E84" s="7" t="n">
        <v>2148</v>
      </c>
      <c r="F84" s="7" t="s">
        <v>50</v>
      </c>
      <c r="G84" s="7" t="s">
        <v>2786</v>
      </c>
      <c r="H84" s="7" t="s">
        <v>3132</v>
      </c>
      <c r="I84" s="7" t="s">
        <v>3133</v>
      </c>
      <c r="J84" s="7" t="s">
        <v>3134</v>
      </c>
      <c r="K84" s="7" t="s">
        <v>2772</v>
      </c>
      <c r="L84" s="7" t="s">
        <v>2705</v>
      </c>
      <c r="M84" s="10" t="b">
        <f aca="false">TRUE()</f>
        <v>1</v>
      </c>
      <c r="N84" s="7" t="n">
        <v>-33.76822903</v>
      </c>
      <c r="O84" s="7" t="n">
        <v>150.9075105</v>
      </c>
    </row>
    <row r="85" customFormat="false" ht="15" hidden="false" customHeight="false" outlineLevel="0" collapsed="false">
      <c r="A85" s="7" t="s">
        <v>3135</v>
      </c>
      <c r="B85" s="7" t="s">
        <v>3136</v>
      </c>
      <c r="C85" s="7" t="s">
        <v>3137</v>
      </c>
      <c r="D85" s="7" t="s">
        <v>3138</v>
      </c>
      <c r="E85" s="7" t="n">
        <v>2037</v>
      </c>
      <c r="F85" s="7" t="s">
        <v>50</v>
      </c>
      <c r="G85" s="7" t="s">
        <v>2852</v>
      </c>
      <c r="H85" s="7" t="s">
        <v>3139</v>
      </c>
      <c r="I85" s="7" t="s">
        <v>3140</v>
      </c>
      <c r="J85" s="7"/>
      <c r="K85" s="7"/>
      <c r="L85" s="7"/>
      <c r="M85" s="10" t="b">
        <f aca="false">FALSE()</f>
        <v>0</v>
      </c>
      <c r="N85" s="7" t="n">
        <v>-33.871362</v>
      </c>
      <c r="O85" s="7" t="n">
        <v>151.185199</v>
      </c>
    </row>
    <row r="86" customFormat="false" ht="15" hidden="false" customHeight="false" outlineLevel="0" collapsed="false">
      <c r="A86" s="7" t="s">
        <v>3141</v>
      </c>
      <c r="B86" s="7" t="s">
        <v>3142</v>
      </c>
      <c r="C86" s="7" t="s">
        <v>3143</v>
      </c>
      <c r="D86" s="7" t="s">
        <v>3144</v>
      </c>
      <c r="E86" s="7" t="n">
        <v>2774</v>
      </c>
      <c r="F86" s="7" t="s">
        <v>50</v>
      </c>
      <c r="G86" s="7" t="s">
        <v>2786</v>
      </c>
      <c r="H86" s="7" t="s">
        <v>3145</v>
      </c>
      <c r="I86" s="7" t="s">
        <v>3146</v>
      </c>
      <c r="J86" s="7" t="s">
        <v>3147</v>
      </c>
      <c r="K86" s="7" t="s">
        <v>2704</v>
      </c>
      <c r="L86" s="7" t="s">
        <v>2705</v>
      </c>
      <c r="M86" s="10" t="b">
        <f aca="false">TRUE()</f>
        <v>1</v>
      </c>
      <c r="N86" s="7" t="n">
        <v>-33.74357659</v>
      </c>
      <c r="O86" s="7" t="n">
        <v>150.6095957</v>
      </c>
    </row>
    <row r="87" customFormat="false" ht="15" hidden="false" customHeight="false" outlineLevel="0" collapsed="false">
      <c r="A87" s="7" t="s">
        <v>3148</v>
      </c>
      <c r="B87" s="7" t="s">
        <v>3149</v>
      </c>
      <c r="C87" s="7" t="s">
        <v>3150</v>
      </c>
      <c r="D87" s="7" t="s">
        <v>3151</v>
      </c>
      <c r="E87" s="7" t="n">
        <v>2799</v>
      </c>
      <c r="F87" s="7" t="s">
        <v>50</v>
      </c>
      <c r="G87" s="7" t="s">
        <v>2806</v>
      </c>
      <c r="H87" s="7" t="s">
        <v>3152</v>
      </c>
      <c r="I87" s="7" t="s">
        <v>2737</v>
      </c>
      <c r="J87" s="7"/>
      <c r="K87" s="7"/>
      <c r="L87" s="7"/>
      <c r="M87" s="10" t="b">
        <f aca="false">FALSE()</f>
        <v>0</v>
      </c>
      <c r="N87" s="7" t="n">
        <v>-33.52704</v>
      </c>
      <c r="O87" s="7" t="n">
        <v>149.254516</v>
      </c>
    </row>
    <row r="88" customFormat="false" ht="15" hidden="false" customHeight="false" outlineLevel="0" collapsed="false">
      <c r="A88" s="7" t="s">
        <v>3153</v>
      </c>
      <c r="B88" s="7" t="s">
        <v>3154</v>
      </c>
      <c r="C88" s="7" t="s">
        <v>3155</v>
      </c>
      <c r="D88" s="7" t="s">
        <v>3156</v>
      </c>
      <c r="E88" s="7" t="n">
        <v>2713</v>
      </c>
      <c r="F88" s="7" t="s">
        <v>50</v>
      </c>
      <c r="G88" s="7" t="s">
        <v>2718</v>
      </c>
      <c r="H88" s="7"/>
      <c r="I88" s="7" t="s">
        <v>2719</v>
      </c>
      <c r="J88" s="7"/>
      <c r="K88" s="7"/>
      <c r="L88" s="7"/>
      <c r="M88" s="10" t="b">
        <f aca="false">FALSE()</f>
        <v>0</v>
      </c>
      <c r="N88" s="7" t="n">
        <v>-35.591983</v>
      </c>
      <c r="O88" s="7" t="n">
        <v>145.287219</v>
      </c>
    </row>
    <row r="89" customFormat="false" ht="15" hidden="false" customHeight="false" outlineLevel="0" collapsed="false">
      <c r="A89" s="7" t="s">
        <v>3157</v>
      </c>
      <c r="B89" s="7" t="s">
        <v>3158</v>
      </c>
      <c r="C89" s="7" t="s">
        <v>3159</v>
      </c>
      <c r="D89" s="7" t="s">
        <v>3160</v>
      </c>
      <c r="E89" s="7" t="n">
        <v>2876</v>
      </c>
      <c r="F89" s="7" t="s">
        <v>50</v>
      </c>
      <c r="G89" s="7" t="s">
        <v>2718</v>
      </c>
      <c r="H89" s="7"/>
      <c r="I89" s="7" t="s">
        <v>2719</v>
      </c>
      <c r="J89" s="7"/>
      <c r="K89" s="7"/>
      <c r="L89" s="7"/>
      <c r="M89" s="10" t="b">
        <f aca="false">FALSE()</f>
        <v>0</v>
      </c>
      <c r="N89" s="7" t="n">
        <v>-33.107693</v>
      </c>
      <c r="O89" s="7" t="n">
        <v>147.803932</v>
      </c>
    </row>
    <row r="90" customFormat="false" ht="15" hidden="false" customHeight="false" outlineLevel="0" collapsed="false">
      <c r="A90" s="7" t="s">
        <v>3161</v>
      </c>
      <c r="B90" s="7" t="s">
        <v>3162</v>
      </c>
      <c r="C90" s="7" t="s">
        <v>3163</v>
      </c>
      <c r="D90" s="7" t="s">
        <v>3164</v>
      </c>
      <c r="E90" s="7" t="n">
        <v>2488</v>
      </c>
      <c r="F90" s="7" t="s">
        <v>50</v>
      </c>
      <c r="G90" s="7" t="s">
        <v>2718</v>
      </c>
      <c r="H90" s="7"/>
      <c r="I90" s="7" t="s">
        <v>2719</v>
      </c>
      <c r="J90" s="7"/>
      <c r="K90" s="7"/>
      <c r="L90" s="7"/>
      <c r="M90" s="10" t="b">
        <f aca="false">FALSE()</f>
        <v>0</v>
      </c>
      <c r="N90" s="7" t="n">
        <v>-28.332352</v>
      </c>
      <c r="O90" s="7" t="n">
        <v>153.5697</v>
      </c>
    </row>
    <row r="91" customFormat="false" ht="15" hidden="false" customHeight="false" outlineLevel="0" collapsed="false">
      <c r="A91" s="7" t="s">
        <v>3165</v>
      </c>
      <c r="B91" s="7" t="s">
        <v>3166</v>
      </c>
      <c r="C91" s="7" t="s">
        <v>3167</v>
      </c>
      <c r="D91" s="7" t="s">
        <v>3168</v>
      </c>
      <c r="E91" s="7" t="n">
        <v>2382</v>
      </c>
      <c r="F91" s="7" t="s">
        <v>50</v>
      </c>
      <c r="G91" s="7" t="s">
        <v>2806</v>
      </c>
      <c r="H91" s="7" t="s">
        <v>3169</v>
      </c>
      <c r="I91" s="7" t="s">
        <v>3170</v>
      </c>
      <c r="J91" s="7"/>
      <c r="K91" s="7"/>
      <c r="L91" s="7"/>
      <c r="M91" s="10" t="b">
        <f aca="false">FALSE()</f>
        <v>0</v>
      </c>
      <c r="N91" s="7" t="n">
        <v>-30.703834</v>
      </c>
      <c r="O91" s="7" t="n">
        <v>150.039827</v>
      </c>
    </row>
    <row r="92" customFormat="false" ht="15" hidden="false" customHeight="false" outlineLevel="0" collapsed="false">
      <c r="A92" s="7" t="s">
        <v>3171</v>
      </c>
      <c r="B92" s="7" t="s">
        <v>3172</v>
      </c>
      <c r="C92" s="7" t="s">
        <v>3173</v>
      </c>
      <c r="D92" s="7" t="s">
        <v>3174</v>
      </c>
      <c r="E92" s="7" t="n">
        <v>2372</v>
      </c>
      <c r="F92" s="7" t="s">
        <v>50</v>
      </c>
      <c r="G92" s="7" t="s">
        <v>2718</v>
      </c>
      <c r="H92" s="7"/>
      <c r="I92" s="7" t="s">
        <v>2719</v>
      </c>
      <c r="J92" s="7"/>
      <c r="K92" s="7"/>
      <c r="L92" s="7"/>
      <c r="M92" s="10" t="b">
        <f aca="false">FALSE()</f>
        <v>0</v>
      </c>
      <c r="N92" s="7" t="n">
        <v>-29.289661</v>
      </c>
      <c r="O92" s="7" t="n">
        <v>151.960969</v>
      </c>
    </row>
    <row r="93" customFormat="false" ht="15" hidden="false" customHeight="false" outlineLevel="0" collapsed="false">
      <c r="A93" s="7" t="s">
        <v>3175</v>
      </c>
      <c r="B93" s="7" t="s">
        <v>3176</v>
      </c>
      <c r="C93" s="7" t="s">
        <v>3177</v>
      </c>
      <c r="D93" s="7" t="s">
        <v>3178</v>
      </c>
      <c r="E93" s="7" t="n">
        <v>2541</v>
      </c>
      <c r="F93" s="7" t="s">
        <v>50</v>
      </c>
      <c r="G93" s="7" t="s">
        <v>2786</v>
      </c>
      <c r="H93" s="7" t="s">
        <v>3179</v>
      </c>
      <c r="I93" s="7" t="s">
        <v>3059</v>
      </c>
      <c r="J93" s="7" t="s">
        <v>3180</v>
      </c>
      <c r="K93" s="7" t="s">
        <v>2704</v>
      </c>
      <c r="L93" s="7" t="s">
        <v>2705</v>
      </c>
      <c r="M93" s="10" t="b">
        <f aca="false">TRUE()</f>
        <v>1</v>
      </c>
      <c r="N93" s="7" t="n">
        <v>-34.85377666</v>
      </c>
      <c r="O93" s="7" t="n">
        <v>150.6098088</v>
      </c>
    </row>
    <row r="94" customFormat="false" ht="15" hidden="false" customHeight="false" outlineLevel="0" collapsed="false">
      <c r="A94" s="7" t="s">
        <v>3181</v>
      </c>
      <c r="B94" s="7" t="s">
        <v>3182</v>
      </c>
      <c r="C94" s="7" t="s">
        <v>3183</v>
      </c>
      <c r="D94" s="7" t="s">
        <v>3184</v>
      </c>
      <c r="E94" s="7" t="n">
        <v>2632</v>
      </c>
      <c r="F94" s="7" t="s">
        <v>50</v>
      </c>
      <c r="G94" s="7" t="s">
        <v>2718</v>
      </c>
      <c r="H94" s="7"/>
      <c r="I94" s="7" t="s">
        <v>2719</v>
      </c>
      <c r="J94" s="7"/>
      <c r="K94" s="7"/>
      <c r="L94" s="7"/>
      <c r="M94" s="10" t="b">
        <f aca="false">FALSE()</f>
        <v>0</v>
      </c>
      <c r="N94" s="7" t="n">
        <v>-36.911161</v>
      </c>
      <c r="O94" s="7" t="n">
        <v>149.240322</v>
      </c>
    </row>
    <row r="95" customFormat="false" ht="15" hidden="false" customHeight="false" outlineLevel="0" collapsed="false">
      <c r="A95" s="7" t="s">
        <v>3185</v>
      </c>
      <c r="B95" s="7" t="s">
        <v>3186</v>
      </c>
      <c r="C95" s="7" t="s">
        <v>3187</v>
      </c>
      <c r="D95" s="7" t="s">
        <v>3188</v>
      </c>
      <c r="E95" s="7" t="n">
        <v>2533</v>
      </c>
      <c r="F95" s="7" t="s">
        <v>50</v>
      </c>
      <c r="G95" s="7" t="s">
        <v>2793</v>
      </c>
      <c r="H95" s="7" t="s">
        <v>3189</v>
      </c>
      <c r="I95" s="7" t="s">
        <v>3190</v>
      </c>
      <c r="J95" s="7" t="s">
        <v>3191</v>
      </c>
      <c r="K95" s="7" t="s">
        <v>2704</v>
      </c>
      <c r="L95" s="7" t="s">
        <v>2705</v>
      </c>
      <c r="M95" s="10" t="b">
        <f aca="false">TRUE()</f>
        <v>1</v>
      </c>
      <c r="N95" s="7" t="n">
        <v>-34.6580285</v>
      </c>
      <c r="O95" s="7" t="n">
        <v>150.8539755</v>
      </c>
    </row>
    <row r="96" customFormat="false" ht="15" hidden="false" customHeight="false" outlineLevel="0" collapsed="false">
      <c r="A96" s="7" t="s">
        <v>3192</v>
      </c>
      <c r="B96" s="7" t="s">
        <v>3193</v>
      </c>
      <c r="C96" s="7" t="s">
        <v>3194</v>
      </c>
      <c r="D96" s="7" t="s">
        <v>3195</v>
      </c>
      <c r="E96" s="7" t="n">
        <v>2022</v>
      </c>
      <c r="F96" s="7" t="s">
        <v>50</v>
      </c>
      <c r="G96" s="7" t="s">
        <v>2786</v>
      </c>
      <c r="H96" s="7" t="s">
        <v>3196</v>
      </c>
      <c r="I96" s="7" t="s">
        <v>3133</v>
      </c>
      <c r="J96" s="7" t="s">
        <v>3197</v>
      </c>
      <c r="K96" s="7" t="s">
        <v>2772</v>
      </c>
      <c r="L96" s="7" t="s">
        <v>2705</v>
      </c>
      <c r="M96" s="10" t="b">
        <f aca="false">TRUE()</f>
        <v>1</v>
      </c>
      <c r="N96" s="7" t="n">
        <v>-33.89120228</v>
      </c>
      <c r="O96" s="7" t="n">
        <v>151.2483843</v>
      </c>
    </row>
    <row r="97" customFormat="false" ht="15" hidden="false" customHeight="false" outlineLevel="0" collapsed="false">
      <c r="A97" s="7" t="s">
        <v>3198</v>
      </c>
      <c r="B97" s="7" t="s">
        <v>3199</v>
      </c>
      <c r="C97" s="7" t="s">
        <v>3200</v>
      </c>
      <c r="D97" s="7" t="s">
        <v>3201</v>
      </c>
      <c r="E97" s="7" t="n">
        <v>2284</v>
      </c>
      <c r="F97" s="7" t="s">
        <v>50</v>
      </c>
      <c r="G97" s="7" t="s">
        <v>2806</v>
      </c>
      <c r="H97" s="7" t="s">
        <v>2975</v>
      </c>
      <c r="I97" s="7" t="s">
        <v>3202</v>
      </c>
      <c r="J97" s="7" t="s">
        <v>3203</v>
      </c>
      <c r="K97" s="7" t="s">
        <v>2704</v>
      </c>
      <c r="L97" s="7" t="s">
        <v>2705</v>
      </c>
      <c r="M97" s="10" t="b">
        <f aca="false">TRUE()</f>
        <v>1</v>
      </c>
      <c r="N97" s="7" t="n">
        <v>-32.97142254</v>
      </c>
      <c r="O97" s="7" t="n">
        <v>151.6046902</v>
      </c>
    </row>
    <row r="98" customFormat="false" ht="15" hidden="false" customHeight="false" outlineLevel="0" collapsed="false">
      <c r="A98" s="7" t="s">
        <v>3204</v>
      </c>
      <c r="B98" s="7" t="s">
        <v>3205</v>
      </c>
      <c r="C98" s="7" t="s">
        <v>3206</v>
      </c>
      <c r="D98" s="7" t="s">
        <v>3207</v>
      </c>
      <c r="E98" s="7" t="n">
        <v>2425</v>
      </c>
      <c r="F98" s="7" t="s">
        <v>50</v>
      </c>
      <c r="G98" s="7" t="s">
        <v>2718</v>
      </c>
      <c r="H98" s="7"/>
      <c r="I98" s="7" t="s">
        <v>2719</v>
      </c>
      <c r="J98" s="7"/>
      <c r="K98" s="7"/>
      <c r="L98" s="7"/>
      <c r="M98" s="10" t="b">
        <f aca="false">FALSE()</f>
        <v>0</v>
      </c>
      <c r="N98" s="7" t="n">
        <v>-32.466585</v>
      </c>
      <c r="O98" s="7" t="n">
        <v>151.95947</v>
      </c>
    </row>
    <row r="99" customFormat="false" ht="15" hidden="false" customHeight="false" outlineLevel="0" collapsed="false">
      <c r="A99" s="7" t="s">
        <v>3208</v>
      </c>
      <c r="B99" s="7" t="s">
        <v>3209</v>
      </c>
      <c r="C99" s="7" t="s">
        <v>3210</v>
      </c>
      <c r="D99" s="7" t="s">
        <v>3211</v>
      </c>
      <c r="E99" s="7" t="n">
        <v>2586</v>
      </c>
      <c r="F99" s="7" t="s">
        <v>50</v>
      </c>
      <c r="G99" s="7" t="s">
        <v>2718</v>
      </c>
      <c r="H99" s="7"/>
      <c r="I99" s="7" t="s">
        <v>2719</v>
      </c>
      <c r="J99" s="7"/>
      <c r="K99" s="7"/>
      <c r="L99" s="7"/>
      <c r="M99" s="10" t="b">
        <f aca="false">FALSE()</f>
        <v>0</v>
      </c>
      <c r="N99" s="7" t="n">
        <v>-34.439297</v>
      </c>
      <c r="O99" s="7" t="n">
        <v>148.716209</v>
      </c>
    </row>
    <row r="100" customFormat="false" ht="15" hidden="false" customHeight="false" outlineLevel="0" collapsed="false">
      <c r="A100" s="7" t="s">
        <v>3212</v>
      </c>
      <c r="B100" s="7" t="s">
        <v>3213</v>
      </c>
      <c r="C100" s="7" t="s">
        <v>3214</v>
      </c>
      <c r="D100" s="7" t="s">
        <v>3215</v>
      </c>
      <c r="E100" s="7" t="n">
        <v>2835</v>
      </c>
      <c r="F100" s="7" t="s">
        <v>50</v>
      </c>
      <c r="G100" s="7" t="s">
        <v>2718</v>
      </c>
      <c r="H100" s="7"/>
      <c r="I100" s="7" t="s">
        <v>2719</v>
      </c>
      <c r="J100" s="7"/>
      <c r="K100" s="7"/>
      <c r="L100" s="7"/>
      <c r="M100" s="10" t="b">
        <f aca="false">FALSE()</f>
        <v>0</v>
      </c>
      <c r="N100" s="7" t="n">
        <v>-31.531</v>
      </c>
      <c r="O100" s="7" t="n">
        <v>146.2831</v>
      </c>
    </row>
    <row r="101" customFormat="false" ht="15" hidden="false" customHeight="false" outlineLevel="0" collapsed="false">
      <c r="A101" s="7" t="s">
        <v>3216</v>
      </c>
      <c r="B101" s="7" t="s">
        <v>3217</v>
      </c>
      <c r="C101" s="7" t="s">
        <v>3218</v>
      </c>
      <c r="D101" s="7" t="s">
        <v>3219</v>
      </c>
      <c r="E101" s="7" t="n">
        <v>2840</v>
      </c>
      <c r="F101" s="7" t="s">
        <v>50</v>
      </c>
      <c r="G101" s="7" t="s">
        <v>2718</v>
      </c>
      <c r="H101" s="7"/>
      <c r="I101" s="7" t="s">
        <v>2719</v>
      </c>
      <c r="J101" s="7"/>
      <c r="K101" s="7"/>
      <c r="L101" s="7"/>
      <c r="M101" s="10" t="b">
        <f aca="false">FALSE()</f>
        <v>0</v>
      </c>
      <c r="N101" s="7" t="n">
        <v>-30.094494</v>
      </c>
      <c r="O101" s="7" t="n">
        <v>145.935178</v>
      </c>
    </row>
    <row r="102" customFormat="false" ht="15" hidden="false" customHeight="false" outlineLevel="0" collapsed="false">
      <c r="A102" s="7" t="s">
        <v>3220</v>
      </c>
      <c r="B102" s="7" t="s">
        <v>3221</v>
      </c>
      <c r="C102" s="7" t="s">
        <v>3222</v>
      </c>
      <c r="D102" s="7" t="s">
        <v>3223</v>
      </c>
      <c r="E102" s="7" t="n">
        <v>2582</v>
      </c>
      <c r="F102" s="7" t="s">
        <v>50</v>
      </c>
      <c r="G102" s="7" t="s">
        <v>2718</v>
      </c>
      <c r="H102" s="7"/>
      <c r="I102" s="7" t="s">
        <v>2719</v>
      </c>
      <c r="J102" s="7"/>
      <c r="K102" s="7"/>
      <c r="L102" s="7"/>
      <c r="M102" s="10" t="b">
        <f aca="false">FALSE()</f>
        <v>0</v>
      </c>
      <c r="N102" s="7" t="n">
        <v>-34.767715</v>
      </c>
      <c r="O102" s="7" t="n">
        <v>148.814797</v>
      </c>
    </row>
    <row r="103" customFormat="false" ht="15" hidden="false" customHeight="false" outlineLevel="0" collapsed="false">
      <c r="A103" s="7" t="s">
        <v>3224</v>
      </c>
      <c r="B103" s="7" t="s">
        <v>3225</v>
      </c>
      <c r="C103" s="7" t="s">
        <v>3226</v>
      </c>
      <c r="D103" s="7" t="s">
        <v>3227</v>
      </c>
      <c r="E103" s="7" t="n">
        <v>2576</v>
      </c>
      <c r="F103" s="7" t="s">
        <v>50</v>
      </c>
      <c r="G103" s="7" t="s">
        <v>2937</v>
      </c>
      <c r="H103" s="7" t="s">
        <v>3228</v>
      </c>
      <c r="I103" s="7" t="s">
        <v>2747</v>
      </c>
      <c r="J103" s="7" t="s">
        <v>3229</v>
      </c>
      <c r="K103" s="7" t="s">
        <v>2704</v>
      </c>
      <c r="L103" s="7" t="s">
        <v>2705</v>
      </c>
      <c r="M103" s="10" t="b">
        <f aca="false">TRUE()</f>
        <v>1</v>
      </c>
      <c r="N103" s="7" t="n">
        <v>-34.47812317</v>
      </c>
      <c r="O103" s="7" t="n">
        <v>150.4166585</v>
      </c>
    </row>
    <row r="104" customFormat="false" ht="15" hidden="false" customHeight="false" outlineLevel="0" collapsed="false">
      <c r="A104" s="7" t="s">
        <v>3230</v>
      </c>
      <c r="B104" s="7" t="s">
        <v>3231</v>
      </c>
      <c r="C104" s="7" t="s">
        <v>3232</v>
      </c>
      <c r="D104" s="7" t="s">
        <v>3233</v>
      </c>
      <c r="E104" s="7" t="n">
        <v>2335</v>
      </c>
      <c r="F104" s="7" t="s">
        <v>50</v>
      </c>
      <c r="G104" s="7" t="s">
        <v>2806</v>
      </c>
      <c r="H104" s="7" t="s">
        <v>2701</v>
      </c>
      <c r="I104" s="7" t="s">
        <v>2831</v>
      </c>
      <c r="J104" s="7" t="s">
        <v>2703</v>
      </c>
      <c r="K104" s="7" t="s">
        <v>2704</v>
      </c>
      <c r="L104" s="7" t="s">
        <v>2705</v>
      </c>
      <c r="M104" s="10" t="b">
        <f aca="false">TRUE()</f>
        <v>1</v>
      </c>
      <c r="N104" s="7" t="n">
        <v>-32.66225215</v>
      </c>
      <c r="O104" s="7" t="n">
        <v>151.3456449</v>
      </c>
    </row>
    <row r="105" customFormat="false" ht="15" hidden="false" customHeight="false" outlineLevel="0" collapsed="false">
      <c r="A105" s="7" t="s">
        <v>3234</v>
      </c>
      <c r="B105" s="7" t="s">
        <v>3235</v>
      </c>
      <c r="C105" s="7" t="s">
        <v>3236</v>
      </c>
      <c r="D105" s="7" t="s">
        <v>3237</v>
      </c>
      <c r="E105" s="7" t="n">
        <v>2626</v>
      </c>
      <c r="F105" s="7" t="s">
        <v>50</v>
      </c>
      <c r="G105" s="7" t="s">
        <v>2718</v>
      </c>
      <c r="H105" s="7"/>
      <c r="I105" s="7" t="s">
        <v>2719</v>
      </c>
      <c r="J105" s="7"/>
      <c r="K105" s="7"/>
      <c r="L105" s="7"/>
      <c r="M105" s="10" t="b">
        <f aca="false">FALSE()</f>
        <v>0</v>
      </c>
      <c r="N105" s="7" t="n">
        <v>-35.955665</v>
      </c>
      <c r="O105" s="7" t="n">
        <v>149.14802</v>
      </c>
    </row>
    <row r="106" customFormat="false" ht="15" hidden="false" customHeight="false" outlineLevel="0" collapsed="false">
      <c r="A106" s="7" t="s">
        <v>3238</v>
      </c>
      <c r="B106" s="7" t="s">
        <v>3239</v>
      </c>
      <c r="C106" s="7" t="s">
        <v>3240</v>
      </c>
      <c r="D106" s="7" t="s">
        <v>3241</v>
      </c>
      <c r="E106" s="7" t="n">
        <v>2839</v>
      </c>
      <c r="F106" s="7" t="s">
        <v>50</v>
      </c>
      <c r="G106" s="7" t="s">
        <v>2718</v>
      </c>
      <c r="H106" s="7"/>
      <c r="I106" s="7" t="s">
        <v>2719</v>
      </c>
      <c r="J106" s="7"/>
      <c r="K106" s="7"/>
      <c r="L106" s="7"/>
      <c r="M106" s="10" t="b">
        <f aca="false">FALSE()</f>
        <v>0</v>
      </c>
      <c r="N106" s="7" t="n">
        <v>-29.944252</v>
      </c>
      <c r="O106" s="7" t="n">
        <v>146.86057</v>
      </c>
    </row>
    <row r="107" customFormat="false" ht="15" hidden="false" customHeight="false" outlineLevel="0" collapsed="false">
      <c r="A107" s="7" t="s">
        <v>3242</v>
      </c>
      <c r="B107" s="7" t="s">
        <v>3243</v>
      </c>
      <c r="C107" s="7" t="s">
        <v>3244</v>
      </c>
      <c r="D107" s="7" t="s">
        <v>3245</v>
      </c>
      <c r="E107" s="7" t="n">
        <v>2839</v>
      </c>
      <c r="F107" s="7" t="s">
        <v>50</v>
      </c>
      <c r="G107" s="7" t="s">
        <v>2718</v>
      </c>
      <c r="H107" s="7"/>
      <c r="I107" s="7" t="s">
        <v>2719</v>
      </c>
      <c r="J107" s="7"/>
      <c r="K107" s="7"/>
      <c r="L107" s="7"/>
      <c r="M107" s="10" t="b">
        <f aca="false">FALSE()</f>
        <v>0</v>
      </c>
      <c r="N107" s="7" t="n">
        <v>-29.954624</v>
      </c>
      <c r="O107" s="7" t="n">
        <v>146.86336</v>
      </c>
    </row>
    <row r="108" customFormat="false" ht="15" hidden="false" customHeight="false" outlineLevel="0" collapsed="false">
      <c r="A108" s="7" t="s">
        <v>3246</v>
      </c>
      <c r="B108" s="7" t="s">
        <v>3247</v>
      </c>
      <c r="C108" s="7" t="s">
        <v>3248</v>
      </c>
      <c r="D108" s="7" t="s">
        <v>3249</v>
      </c>
      <c r="E108" s="7" t="n">
        <v>2839</v>
      </c>
      <c r="F108" s="7" t="s">
        <v>50</v>
      </c>
      <c r="G108" s="7" t="s">
        <v>2718</v>
      </c>
      <c r="H108" s="7"/>
      <c r="I108" s="7" t="s">
        <v>2719</v>
      </c>
      <c r="J108" s="7"/>
      <c r="K108" s="7"/>
      <c r="L108" s="7"/>
      <c r="M108" s="10" t="b">
        <f aca="false">FALSE()</f>
        <v>0</v>
      </c>
      <c r="N108" s="7" t="n">
        <v>-29.958895</v>
      </c>
      <c r="O108" s="7" t="n">
        <v>146.84598</v>
      </c>
    </row>
    <row r="109" customFormat="false" ht="15" hidden="false" customHeight="false" outlineLevel="0" collapsed="false">
      <c r="A109" s="7" t="s">
        <v>3250</v>
      </c>
      <c r="B109" s="7" t="s">
        <v>3251</v>
      </c>
      <c r="C109" s="7" t="s">
        <v>3252</v>
      </c>
      <c r="D109" s="7" t="s">
        <v>3253</v>
      </c>
      <c r="E109" s="7" t="n">
        <v>2839</v>
      </c>
      <c r="F109" s="7" t="s">
        <v>50</v>
      </c>
      <c r="G109" s="7" t="s">
        <v>2718</v>
      </c>
      <c r="H109" s="7"/>
      <c r="I109" s="7" t="s">
        <v>2719</v>
      </c>
      <c r="J109" s="7"/>
      <c r="K109" s="7"/>
      <c r="L109" s="7"/>
      <c r="M109" s="10" t="b">
        <f aca="false">FALSE()</f>
        <v>0</v>
      </c>
      <c r="N109" s="7" t="n">
        <v>-29.96192</v>
      </c>
      <c r="O109" s="7" t="n">
        <v>146.861301</v>
      </c>
    </row>
    <row r="110" customFormat="false" ht="15" hidden="false" customHeight="false" outlineLevel="0" collapsed="false">
      <c r="A110" s="7" t="s">
        <v>3254</v>
      </c>
      <c r="B110" s="7" t="s">
        <v>3255</v>
      </c>
      <c r="C110" s="7" t="s">
        <v>3256</v>
      </c>
      <c r="D110" s="7" t="s">
        <v>3257</v>
      </c>
      <c r="E110" s="7" t="n">
        <v>2839</v>
      </c>
      <c r="F110" s="7" t="s">
        <v>50</v>
      </c>
      <c r="G110" s="7" t="s">
        <v>2718</v>
      </c>
      <c r="H110" s="7"/>
      <c r="I110" s="7" t="s">
        <v>2719</v>
      </c>
      <c r="J110" s="7"/>
      <c r="K110" s="7"/>
      <c r="L110" s="7"/>
      <c r="M110" s="10" t="b">
        <f aca="false">FALSE()</f>
        <v>0</v>
      </c>
      <c r="N110" s="7" t="n">
        <v>-29.972094</v>
      </c>
      <c r="O110" s="7" t="n">
        <v>146.866691</v>
      </c>
    </row>
    <row r="111" customFormat="false" ht="15" hidden="false" customHeight="false" outlineLevel="0" collapsed="false">
      <c r="A111" s="7" t="s">
        <v>3258</v>
      </c>
      <c r="B111" s="7" t="s">
        <v>3259</v>
      </c>
      <c r="C111" s="7" t="s">
        <v>3260</v>
      </c>
      <c r="D111" s="7" t="s">
        <v>3261</v>
      </c>
      <c r="E111" s="7" t="n">
        <v>2000</v>
      </c>
      <c r="F111" s="7" t="s">
        <v>50</v>
      </c>
      <c r="G111" s="7" t="s">
        <v>3262</v>
      </c>
      <c r="H111" s="7" t="s">
        <v>3263</v>
      </c>
      <c r="I111" s="7" t="s">
        <v>3264</v>
      </c>
      <c r="J111" s="7"/>
      <c r="K111" s="7" t="s">
        <v>2772</v>
      </c>
      <c r="L111" s="7" t="s">
        <v>2705</v>
      </c>
      <c r="M111" s="10" t="b">
        <f aca="false">FALSE()</f>
        <v>0</v>
      </c>
      <c r="N111" s="7" t="n">
        <v>-33.864128</v>
      </c>
      <c r="O111" s="7" t="n">
        <v>151.207465</v>
      </c>
    </row>
    <row r="112" customFormat="false" ht="15" hidden="false" customHeight="false" outlineLevel="0" collapsed="false">
      <c r="A112" s="7" t="s">
        <v>3265</v>
      </c>
      <c r="B112" s="7" t="s">
        <v>3266</v>
      </c>
      <c r="C112" s="7" t="s">
        <v>3267</v>
      </c>
      <c r="D112" s="7" t="s">
        <v>3268</v>
      </c>
      <c r="E112" s="7" t="n">
        <v>4000</v>
      </c>
      <c r="F112" s="7" t="s">
        <v>50</v>
      </c>
      <c r="G112" s="7" t="s">
        <v>3269</v>
      </c>
      <c r="H112" s="7"/>
      <c r="I112" s="7" t="s">
        <v>2719</v>
      </c>
      <c r="J112" s="7"/>
      <c r="K112" s="7"/>
      <c r="L112" s="7"/>
      <c r="M112" s="10" t="b">
        <f aca="false">FALSE()</f>
        <v>0</v>
      </c>
      <c r="N112" s="7" t="n">
        <v>-27.46577</v>
      </c>
      <c r="O112" s="7" t="n">
        <v>153.018781</v>
      </c>
    </row>
    <row r="113" customFormat="false" ht="15" hidden="false" customHeight="false" outlineLevel="0" collapsed="false">
      <c r="A113" s="7" t="s">
        <v>3270</v>
      </c>
      <c r="B113" s="7" t="s">
        <v>3271</v>
      </c>
      <c r="C113" s="7" t="s">
        <v>3272</v>
      </c>
      <c r="D113" s="7" t="s">
        <v>3273</v>
      </c>
      <c r="E113" s="7" t="n">
        <v>2292</v>
      </c>
      <c r="F113" s="7" t="s">
        <v>50</v>
      </c>
      <c r="G113" s="7" t="s">
        <v>2937</v>
      </c>
      <c r="H113" s="7" t="s">
        <v>3274</v>
      </c>
      <c r="I113" s="7" t="s">
        <v>2747</v>
      </c>
      <c r="J113" s="7" t="s">
        <v>3275</v>
      </c>
      <c r="K113" s="7" t="s">
        <v>2704</v>
      </c>
      <c r="L113" s="7" t="s">
        <v>2705</v>
      </c>
      <c r="M113" s="10" t="b">
        <f aca="false">TRUE()</f>
        <v>1</v>
      </c>
      <c r="N113" s="7" t="n">
        <v>-32.92301689</v>
      </c>
      <c r="O113" s="7" t="n">
        <v>151.734686</v>
      </c>
    </row>
    <row r="114" customFormat="false" ht="15" hidden="false" customHeight="false" outlineLevel="0" collapsed="false">
      <c r="A114" s="7" t="s">
        <v>3276</v>
      </c>
      <c r="B114" s="7" t="s">
        <v>3277</v>
      </c>
      <c r="C114" s="7" t="s">
        <v>3278</v>
      </c>
      <c r="D114" s="7" t="s">
        <v>3279</v>
      </c>
      <c r="E114" s="7" t="n">
        <v>2472</v>
      </c>
      <c r="F114" s="7" t="s">
        <v>50</v>
      </c>
      <c r="G114" s="7" t="s">
        <v>2718</v>
      </c>
      <c r="H114" s="7"/>
      <c r="I114" s="7" t="s">
        <v>2719</v>
      </c>
      <c r="J114" s="7"/>
      <c r="K114" s="7"/>
      <c r="L114" s="7"/>
      <c r="M114" s="10" t="b">
        <f aca="false">FALSE()</f>
        <v>0</v>
      </c>
      <c r="N114" s="7" t="n">
        <v>-29.010026</v>
      </c>
      <c r="O114" s="7" t="n">
        <v>153.435869</v>
      </c>
    </row>
    <row r="115" customFormat="false" ht="15" hidden="false" customHeight="false" outlineLevel="0" collapsed="false">
      <c r="A115" s="7" t="s">
        <v>3280</v>
      </c>
      <c r="B115" s="7" t="s">
        <v>3281</v>
      </c>
      <c r="C115" s="7" t="s">
        <v>3282</v>
      </c>
      <c r="D115" s="7" t="s">
        <v>3283</v>
      </c>
      <c r="E115" s="7" t="n">
        <v>2880</v>
      </c>
      <c r="F115" s="7" t="s">
        <v>50</v>
      </c>
      <c r="G115" s="7" t="s">
        <v>2793</v>
      </c>
      <c r="H115" s="7" t="s">
        <v>3284</v>
      </c>
      <c r="I115" s="7" t="s">
        <v>3285</v>
      </c>
      <c r="J115" s="7"/>
      <c r="K115" s="7"/>
      <c r="L115" s="7"/>
      <c r="M115" s="10" t="b">
        <f aca="false">FALSE()</f>
        <v>0</v>
      </c>
      <c r="N115" s="7" t="n">
        <v>-31.959275</v>
      </c>
      <c r="O115" s="7" t="n">
        <v>141.466665</v>
      </c>
    </row>
    <row r="116" customFormat="false" ht="15" hidden="false" customHeight="false" outlineLevel="0" collapsed="false">
      <c r="A116" s="7" t="s">
        <v>3286</v>
      </c>
      <c r="B116" s="7" t="s">
        <v>3287</v>
      </c>
      <c r="C116" s="7" t="s">
        <v>3288</v>
      </c>
      <c r="D116" s="7" t="s">
        <v>3289</v>
      </c>
      <c r="E116" s="7" t="n">
        <v>2880</v>
      </c>
      <c r="F116" s="7" t="s">
        <v>50</v>
      </c>
      <c r="G116" s="7" t="s">
        <v>2718</v>
      </c>
      <c r="H116" s="7"/>
      <c r="I116" s="7" t="s">
        <v>2719</v>
      </c>
      <c r="J116" s="7"/>
      <c r="K116" s="7"/>
      <c r="L116" s="7"/>
      <c r="M116" s="10" t="b">
        <f aca="false">FALSE()</f>
        <v>0</v>
      </c>
      <c r="N116" s="7" t="n">
        <v>-31.960181</v>
      </c>
      <c r="O116" s="7" t="n">
        <v>141.460489</v>
      </c>
    </row>
    <row r="117" customFormat="false" ht="15" hidden="false" customHeight="false" outlineLevel="0" collapsed="false">
      <c r="A117" s="7" t="s">
        <v>3290</v>
      </c>
      <c r="B117" s="7" t="s">
        <v>3291</v>
      </c>
      <c r="C117" s="7" t="s">
        <v>3292</v>
      </c>
      <c r="D117" s="7" t="s">
        <v>3293</v>
      </c>
      <c r="E117" s="7" t="n">
        <v>2483</v>
      </c>
      <c r="F117" s="7" t="s">
        <v>50</v>
      </c>
      <c r="G117" s="7" t="s">
        <v>2837</v>
      </c>
      <c r="H117" s="7"/>
      <c r="I117" s="7" t="s">
        <v>2719</v>
      </c>
      <c r="J117" s="7"/>
      <c r="K117" s="7"/>
      <c r="L117" s="7"/>
      <c r="M117" s="10" t="b">
        <f aca="false">FALSE()</f>
        <v>0</v>
      </c>
      <c r="N117" s="7" t="n">
        <v>-28.54016</v>
      </c>
      <c r="O117" s="7" t="n">
        <v>153.550552</v>
      </c>
    </row>
    <row r="118" customFormat="false" ht="15" hidden="false" customHeight="false" outlineLevel="0" collapsed="false">
      <c r="A118" s="7" t="s">
        <v>3294</v>
      </c>
      <c r="B118" s="7" t="s">
        <v>3295</v>
      </c>
      <c r="C118" s="7" t="s">
        <v>3296</v>
      </c>
      <c r="D118" s="7" t="s">
        <v>3297</v>
      </c>
      <c r="E118" s="7" t="n">
        <v>2784</v>
      </c>
      <c r="F118" s="7" t="s">
        <v>50</v>
      </c>
      <c r="G118" s="7" t="s">
        <v>2710</v>
      </c>
      <c r="H118" s="7" t="s">
        <v>3298</v>
      </c>
      <c r="I118" s="7" t="s">
        <v>3202</v>
      </c>
      <c r="J118" s="7" t="s">
        <v>3299</v>
      </c>
      <c r="K118" s="7" t="s">
        <v>2704</v>
      </c>
      <c r="L118" s="7" t="s">
        <v>2705</v>
      </c>
      <c r="M118" s="10" t="b">
        <f aca="false">TRUE()</f>
        <v>1</v>
      </c>
      <c r="N118" s="7" t="n">
        <v>-33.72360616</v>
      </c>
      <c r="O118" s="7" t="n">
        <v>150.4146074</v>
      </c>
    </row>
    <row r="119" customFormat="false" ht="15" hidden="false" customHeight="false" outlineLevel="0" collapsed="false">
      <c r="A119" s="7" t="s">
        <v>3300</v>
      </c>
      <c r="B119" s="7" t="s">
        <v>3301</v>
      </c>
      <c r="C119" s="7" t="s">
        <v>3302</v>
      </c>
      <c r="D119" s="7" t="s">
        <v>3303</v>
      </c>
      <c r="E119" s="7" t="n">
        <v>2516</v>
      </c>
      <c r="F119" s="7" t="s">
        <v>50</v>
      </c>
      <c r="G119" s="7" t="s">
        <v>2786</v>
      </c>
      <c r="H119" s="7" t="s">
        <v>3304</v>
      </c>
      <c r="I119" s="7" t="s">
        <v>3305</v>
      </c>
      <c r="J119" s="7" t="s">
        <v>3306</v>
      </c>
      <c r="K119" s="7" t="s">
        <v>2704</v>
      </c>
      <c r="L119" s="7" t="s">
        <v>2705</v>
      </c>
      <c r="M119" s="10" t="b">
        <f aca="false">TRUE()</f>
        <v>1</v>
      </c>
      <c r="N119" s="7" t="n">
        <v>-34.33448098</v>
      </c>
      <c r="O119" s="7" t="n">
        <v>150.9147439</v>
      </c>
    </row>
    <row r="120" customFormat="false" ht="15" hidden="false" customHeight="false" outlineLevel="0" collapsed="false">
      <c r="A120" s="7" t="s">
        <v>3307</v>
      </c>
      <c r="B120" s="7" t="s">
        <v>3308</v>
      </c>
      <c r="C120" s="7" t="s">
        <v>3309</v>
      </c>
      <c r="D120" s="7" t="s">
        <v>3310</v>
      </c>
      <c r="E120" s="7" t="n">
        <v>2794</v>
      </c>
      <c r="F120" s="7" t="s">
        <v>50</v>
      </c>
      <c r="G120" s="7" t="s">
        <v>2718</v>
      </c>
      <c r="H120" s="7"/>
      <c r="I120" s="7" t="s">
        <v>2719</v>
      </c>
      <c r="J120" s="7"/>
      <c r="K120" s="7"/>
      <c r="L120" s="7"/>
      <c r="M120" s="10" t="b">
        <f aca="false">FALSE()</f>
        <v>0</v>
      </c>
      <c r="N120" s="7" t="n">
        <v>-33.901793</v>
      </c>
      <c r="O120" s="7" t="n">
        <v>148.466454</v>
      </c>
    </row>
    <row r="121" customFormat="false" ht="15" hidden="false" customHeight="false" outlineLevel="0" collapsed="false">
      <c r="A121" s="7" t="s">
        <v>3311</v>
      </c>
      <c r="B121" s="7" t="s">
        <v>3312</v>
      </c>
      <c r="C121" s="7" t="s">
        <v>3313</v>
      </c>
      <c r="D121" s="7" t="s">
        <v>3314</v>
      </c>
      <c r="E121" s="7" t="n">
        <v>2578</v>
      </c>
      <c r="F121" s="7" t="s">
        <v>50</v>
      </c>
      <c r="G121" s="7" t="s">
        <v>2700</v>
      </c>
      <c r="H121" s="7" t="s">
        <v>3315</v>
      </c>
      <c r="I121" s="7" t="s">
        <v>3316</v>
      </c>
      <c r="J121" s="7" t="s">
        <v>3317</v>
      </c>
      <c r="K121" s="7" t="s">
        <v>2704</v>
      </c>
      <c r="L121" s="7" t="s">
        <v>2705</v>
      </c>
      <c r="M121" s="10" t="b">
        <f aca="false">TRUE()</f>
        <v>1</v>
      </c>
      <c r="N121" s="7" t="n">
        <v>-34.65613474</v>
      </c>
      <c r="O121" s="7" t="n">
        <v>150.2987371</v>
      </c>
    </row>
    <row r="122" customFormat="false" ht="15" hidden="false" customHeight="false" outlineLevel="0" collapsed="false">
      <c r="A122" s="7" t="s">
        <v>3318</v>
      </c>
      <c r="B122" s="7" t="s">
        <v>3319</v>
      </c>
      <c r="C122" s="7" t="s">
        <v>3320</v>
      </c>
      <c r="D122" s="7" t="s">
        <v>3321</v>
      </c>
      <c r="E122" s="7" t="n">
        <v>2359</v>
      </c>
      <c r="F122" s="7" t="s">
        <v>50</v>
      </c>
      <c r="G122" s="7" t="s">
        <v>2718</v>
      </c>
      <c r="H122" s="7"/>
      <c r="I122" s="7" t="s">
        <v>2719</v>
      </c>
      <c r="J122" s="7"/>
      <c r="K122" s="7"/>
      <c r="L122" s="7"/>
      <c r="M122" s="10" t="b">
        <f aca="false">FALSE()</f>
        <v>0</v>
      </c>
      <c r="N122" s="7" t="n">
        <v>-30.171575</v>
      </c>
      <c r="O122" s="7" t="n">
        <v>151.075729</v>
      </c>
    </row>
    <row r="123" customFormat="false" ht="15" hidden="false" customHeight="false" outlineLevel="0" collapsed="false">
      <c r="A123" s="7" t="s">
        <v>3322</v>
      </c>
      <c r="B123" s="7" t="s">
        <v>3323</v>
      </c>
      <c r="C123" s="7" t="s">
        <v>3324</v>
      </c>
      <c r="D123" s="7" t="s">
        <v>3325</v>
      </c>
      <c r="E123" s="7" t="n">
        <v>2621</v>
      </c>
      <c r="F123" s="7" t="s">
        <v>50</v>
      </c>
      <c r="G123" s="7" t="s">
        <v>2806</v>
      </c>
      <c r="H123" s="7" t="s">
        <v>3326</v>
      </c>
      <c r="I123" s="7" t="s">
        <v>3170</v>
      </c>
      <c r="J123" s="7"/>
      <c r="K123" s="7"/>
      <c r="L123" s="7"/>
      <c r="M123" s="10" t="b">
        <f aca="false">FALSE()</f>
        <v>0</v>
      </c>
      <c r="N123" s="7" t="n">
        <v>-35.255778</v>
      </c>
      <c r="O123" s="7" t="n">
        <v>149.446409</v>
      </c>
    </row>
    <row r="124" customFormat="false" ht="15" hidden="false" customHeight="false" outlineLevel="0" collapsed="false">
      <c r="A124" s="7" t="s">
        <v>3327</v>
      </c>
      <c r="B124" s="7" t="s">
        <v>3328</v>
      </c>
      <c r="C124" s="7" t="s">
        <v>3329</v>
      </c>
      <c r="D124" s="7" t="s">
        <v>3330</v>
      </c>
      <c r="E124" s="7" t="n">
        <v>4220</v>
      </c>
      <c r="F124" s="7" t="s">
        <v>50</v>
      </c>
      <c r="G124" s="7" t="s">
        <v>2718</v>
      </c>
      <c r="H124" s="7"/>
      <c r="I124" s="7" t="s">
        <v>2719</v>
      </c>
      <c r="J124" s="7"/>
      <c r="K124" s="7"/>
      <c r="L124" s="7"/>
      <c r="M124" s="10" t="b">
        <f aca="false">FALSE()</f>
        <v>0</v>
      </c>
      <c r="N124" s="7" t="n">
        <v>-28.089973</v>
      </c>
      <c r="O124" s="7" t="n">
        <v>153.452729</v>
      </c>
    </row>
    <row r="125" customFormat="false" ht="15" hidden="false" customHeight="false" outlineLevel="0" collapsed="false">
      <c r="A125" s="7" t="s">
        <v>3331</v>
      </c>
      <c r="B125" s="7" t="s">
        <v>3332</v>
      </c>
      <c r="C125" s="7" t="s">
        <v>3333</v>
      </c>
      <c r="D125" s="7" t="s">
        <v>3334</v>
      </c>
      <c r="E125" s="7" t="n">
        <v>2739</v>
      </c>
      <c r="F125" s="7" t="s">
        <v>50</v>
      </c>
      <c r="G125" s="7" t="s">
        <v>2718</v>
      </c>
      <c r="H125" s="7"/>
      <c r="I125" s="7" t="s">
        <v>2719</v>
      </c>
      <c r="J125" s="7"/>
      <c r="K125" s="7"/>
      <c r="L125" s="7"/>
      <c r="M125" s="10" t="b">
        <f aca="false">FALSE()</f>
        <v>0</v>
      </c>
      <c r="N125" s="7" t="n">
        <v>-34.171219</v>
      </c>
      <c r="O125" s="7" t="n">
        <v>142.185386</v>
      </c>
    </row>
    <row r="126" customFormat="false" ht="15" hidden="false" customHeight="false" outlineLevel="0" collapsed="false">
      <c r="A126" s="7" t="s">
        <v>3335</v>
      </c>
      <c r="B126" s="7" t="s">
        <v>3336</v>
      </c>
      <c r="C126" s="7" t="s">
        <v>3337</v>
      </c>
      <c r="D126" s="7" t="s">
        <v>3338</v>
      </c>
      <c r="E126" s="7" t="n">
        <v>2576</v>
      </c>
      <c r="F126" s="7" t="s">
        <v>50</v>
      </c>
      <c r="G126" s="7" t="s">
        <v>2806</v>
      </c>
      <c r="H126" s="7" t="s">
        <v>3339</v>
      </c>
      <c r="I126" s="7" t="s">
        <v>3316</v>
      </c>
      <c r="J126" s="7" t="s">
        <v>3229</v>
      </c>
      <c r="K126" s="7" t="s">
        <v>2704</v>
      </c>
      <c r="L126" s="7" t="s">
        <v>2705</v>
      </c>
      <c r="M126" s="10" t="b">
        <f aca="false">TRUE()</f>
        <v>1</v>
      </c>
      <c r="N126" s="7" t="n">
        <v>-34.49401919</v>
      </c>
      <c r="O126" s="7" t="n">
        <v>150.3983388</v>
      </c>
    </row>
    <row r="127" customFormat="false" ht="15" hidden="false" customHeight="false" outlineLevel="0" collapsed="false">
      <c r="A127" s="7" t="s">
        <v>3340</v>
      </c>
      <c r="B127" s="7" t="s">
        <v>3341</v>
      </c>
      <c r="C127" s="7" t="s">
        <v>3342</v>
      </c>
      <c r="D127" s="7" t="s">
        <v>3343</v>
      </c>
      <c r="E127" s="7" t="n">
        <v>2577</v>
      </c>
      <c r="F127" s="7" t="s">
        <v>50</v>
      </c>
      <c r="G127" s="7" t="s">
        <v>2718</v>
      </c>
      <c r="H127" s="7"/>
      <c r="I127" s="7" t="s">
        <v>2719</v>
      </c>
      <c r="J127" s="7"/>
      <c r="K127" s="7"/>
      <c r="L127" s="7"/>
      <c r="M127" s="10" t="b">
        <f aca="false">FALSE()</f>
        <v>0</v>
      </c>
      <c r="N127" s="7" t="n">
        <v>-34.593273</v>
      </c>
      <c r="O127" s="7" t="n">
        <v>150.516609</v>
      </c>
    </row>
    <row r="128" customFormat="false" ht="15" hidden="false" customHeight="false" outlineLevel="0" collapsed="false">
      <c r="A128" s="7" t="s">
        <v>3344</v>
      </c>
      <c r="B128" s="7" t="s">
        <v>3345</v>
      </c>
      <c r="C128" s="7" t="s">
        <v>3346</v>
      </c>
      <c r="D128" s="7" t="s">
        <v>3347</v>
      </c>
      <c r="E128" s="7" t="n">
        <v>2429</v>
      </c>
      <c r="F128" s="7" t="s">
        <v>50</v>
      </c>
      <c r="G128" s="7" t="s">
        <v>2718</v>
      </c>
      <c r="H128" s="7"/>
      <c r="I128" s="7" t="s">
        <v>2719</v>
      </c>
      <c r="J128" s="7"/>
      <c r="K128" s="7"/>
      <c r="L128" s="7"/>
      <c r="M128" s="10" t="b">
        <f aca="false">FALSE()</f>
        <v>0</v>
      </c>
      <c r="N128" s="7" t="n">
        <v>-31.9522</v>
      </c>
      <c r="O128" s="7" t="n">
        <v>152.2957</v>
      </c>
    </row>
    <row r="129" customFormat="false" ht="15" hidden="false" customHeight="false" outlineLevel="0" collapsed="false">
      <c r="A129" s="7" t="s">
        <v>3348</v>
      </c>
      <c r="B129" s="7" t="s">
        <v>3349</v>
      </c>
      <c r="C129" s="7" t="s">
        <v>3350</v>
      </c>
      <c r="D129" s="7" t="s">
        <v>3351</v>
      </c>
      <c r="E129" s="7" t="n">
        <v>2386</v>
      </c>
      <c r="F129" s="7" t="s">
        <v>50</v>
      </c>
      <c r="G129" s="7" t="s">
        <v>2718</v>
      </c>
      <c r="H129" s="7"/>
      <c r="I129" s="7" t="s">
        <v>2719</v>
      </c>
      <c r="J129" s="7"/>
      <c r="K129" s="7"/>
      <c r="L129" s="7"/>
      <c r="M129" s="10" t="b">
        <f aca="false">FALSE()</f>
        <v>0</v>
      </c>
      <c r="N129" s="7" t="n">
        <v>-30.1036</v>
      </c>
      <c r="O129" s="7" t="n">
        <v>148.966504</v>
      </c>
    </row>
    <row r="130" customFormat="false" ht="15" hidden="false" customHeight="false" outlineLevel="0" collapsed="false">
      <c r="A130" s="7" t="s">
        <v>3352</v>
      </c>
      <c r="B130" s="7" t="s">
        <v>3353</v>
      </c>
      <c r="C130" s="7" t="s">
        <v>3354</v>
      </c>
      <c r="D130" s="7" t="s">
        <v>3355</v>
      </c>
      <c r="E130" s="7" t="n">
        <v>2483</v>
      </c>
      <c r="F130" s="7" t="s">
        <v>50</v>
      </c>
      <c r="G130" s="7" t="s">
        <v>2718</v>
      </c>
      <c r="H130" s="7"/>
      <c r="I130" s="7" t="s">
        <v>2719</v>
      </c>
      <c r="J130" s="7"/>
      <c r="K130" s="7"/>
      <c r="L130" s="7"/>
      <c r="M130" s="10" t="b">
        <f aca="false">FALSE()</f>
        <v>0</v>
      </c>
      <c r="N130" s="7" t="n">
        <v>-28.430064</v>
      </c>
      <c r="O130" s="7" t="n">
        <v>153.470608</v>
      </c>
    </row>
    <row r="131" customFormat="false" ht="15" hidden="false" customHeight="false" outlineLevel="0" collapsed="false">
      <c r="A131" s="7" t="s">
        <v>3356</v>
      </c>
      <c r="B131" s="7" t="s">
        <v>3357</v>
      </c>
      <c r="C131" s="7" t="s">
        <v>3358</v>
      </c>
      <c r="D131" s="7" t="s">
        <v>3359</v>
      </c>
      <c r="E131" s="7" t="n">
        <v>2134</v>
      </c>
      <c r="F131" s="7" t="s">
        <v>50</v>
      </c>
      <c r="G131" s="7" t="s">
        <v>2786</v>
      </c>
      <c r="H131" s="7" t="s">
        <v>3360</v>
      </c>
      <c r="I131" s="7" t="s">
        <v>2747</v>
      </c>
      <c r="J131" s="7" t="s">
        <v>3361</v>
      </c>
      <c r="K131" s="7" t="s">
        <v>2772</v>
      </c>
      <c r="L131" s="7" t="s">
        <v>2705</v>
      </c>
      <c r="M131" s="10" t="b">
        <f aca="false">FALSE()</f>
        <v>0</v>
      </c>
      <c r="N131" s="7" t="n">
        <v>-33.87731465</v>
      </c>
      <c r="O131" s="7" t="n">
        <v>151.1047622</v>
      </c>
    </row>
    <row r="132" customFormat="false" ht="15" hidden="false" customHeight="false" outlineLevel="0" collapsed="false">
      <c r="A132" s="7" t="s">
        <v>3362</v>
      </c>
      <c r="B132" s="7" t="s">
        <v>3363</v>
      </c>
      <c r="C132" s="7" t="s">
        <v>3364</v>
      </c>
      <c r="D132" s="7" t="s">
        <v>3365</v>
      </c>
      <c r="E132" s="7" t="n">
        <v>2831</v>
      </c>
      <c r="F132" s="7" t="s">
        <v>50</v>
      </c>
      <c r="G132" s="7" t="s">
        <v>2718</v>
      </c>
      <c r="H132" s="7"/>
      <c r="I132" s="7" t="s">
        <v>2719</v>
      </c>
      <c r="J132" s="7"/>
      <c r="K132" s="7"/>
      <c r="L132" s="7"/>
      <c r="M132" s="10" t="b">
        <f aca="false">FALSE()</f>
        <v>0</v>
      </c>
      <c r="N132" s="7" t="n">
        <v>-30.6632</v>
      </c>
      <c r="O132" s="7" t="n">
        <v>146.4037</v>
      </c>
    </row>
    <row r="133" customFormat="false" ht="15" hidden="false" customHeight="false" outlineLevel="0" collapsed="false">
      <c r="A133" s="7" t="s">
        <v>3366</v>
      </c>
      <c r="B133" s="7" t="s">
        <v>3367</v>
      </c>
      <c r="C133" s="7" t="s">
        <v>3368</v>
      </c>
      <c r="D133" s="7" t="s">
        <v>3369</v>
      </c>
      <c r="E133" s="7" t="n">
        <v>2481</v>
      </c>
      <c r="F133" s="7" t="s">
        <v>50</v>
      </c>
      <c r="G133" s="7" t="s">
        <v>3370</v>
      </c>
      <c r="H133" s="7" t="s">
        <v>3371</v>
      </c>
      <c r="I133" s="7" t="s">
        <v>3372</v>
      </c>
      <c r="J133" s="7"/>
      <c r="K133" s="7"/>
      <c r="L133" s="7"/>
      <c r="M133" s="10" t="b">
        <f aca="false">FALSE()</f>
        <v>0</v>
      </c>
      <c r="N133" s="7" t="n">
        <v>-28.644828</v>
      </c>
      <c r="O133" s="7" t="n">
        <v>153.612473</v>
      </c>
    </row>
    <row r="134" customFormat="false" ht="15" hidden="false" customHeight="false" outlineLevel="0" collapsed="false">
      <c r="A134" s="7" t="s">
        <v>3373</v>
      </c>
      <c r="B134" s="7" t="s">
        <v>3374</v>
      </c>
      <c r="C134" s="7" t="s">
        <v>3375</v>
      </c>
      <c r="D134" s="7" t="s">
        <v>3376</v>
      </c>
      <c r="E134" s="7" t="n">
        <v>2137</v>
      </c>
      <c r="F134" s="7" t="s">
        <v>50</v>
      </c>
      <c r="G134" s="7" t="s">
        <v>2693</v>
      </c>
      <c r="H134" s="7" t="s">
        <v>3377</v>
      </c>
      <c r="I134" s="7" t="s">
        <v>2695</v>
      </c>
      <c r="J134" s="7"/>
      <c r="K134" s="7"/>
      <c r="L134" s="7"/>
      <c r="M134" s="10" t="b">
        <f aca="false">FALSE()</f>
        <v>0</v>
      </c>
      <c r="N134" s="7" t="n">
        <v>-33.84096251</v>
      </c>
      <c r="O134" s="7" t="n">
        <v>151.1164853</v>
      </c>
    </row>
    <row r="135" customFormat="false" ht="15" hidden="false" customHeight="false" outlineLevel="0" collapsed="false">
      <c r="A135" s="7" t="s">
        <v>3378</v>
      </c>
      <c r="B135" s="7" t="s">
        <v>3379</v>
      </c>
      <c r="C135" s="7" t="s">
        <v>3380</v>
      </c>
      <c r="D135" s="7" t="s">
        <v>3381</v>
      </c>
      <c r="E135" s="7" t="n">
        <v>2166</v>
      </c>
      <c r="F135" s="7" t="s">
        <v>50</v>
      </c>
      <c r="G135" s="7" t="s">
        <v>2786</v>
      </c>
      <c r="H135" s="7" t="s">
        <v>3382</v>
      </c>
      <c r="I135" s="7" t="s">
        <v>2747</v>
      </c>
      <c r="J135" s="7" t="s">
        <v>3383</v>
      </c>
      <c r="K135" s="7" t="s">
        <v>2772</v>
      </c>
      <c r="L135" s="7" t="s">
        <v>2705</v>
      </c>
      <c r="M135" s="10" t="b">
        <f aca="false">FALSE()</f>
        <v>0</v>
      </c>
      <c r="N135" s="7" t="n">
        <v>-33.89486655</v>
      </c>
      <c r="O135" s="7" t="n">
        <v>150.9388206</v>
      </c>
    </row>
    <row r="136" customFormat="false" ht="15" hidden="false" customHeight="false" outlineLevel="0" collapsed="false">
      <c r="A136" s="7" t="s">
        <v>3384</v>
      </c>
      <c r="B136" s="7" t="s">
        <v>3385</v>
      </c>
      <c r="C136" s="7" t="s">
        <v>3386</v>
      </c>
      <c r="D136" s="7" t="s">
        <v>3387</v>
      </c>
      <c r="E136" s="7" t="n">
        <v>2560</v>
      </c>
      <c r="F136" s="7" t="s">
        <v>50</v>
      </c>
      <c r="G136" s="7" t="s">
        <v>2786</v>
      </c>
      <c r="H136" s="7" t="s">
        <v>3388</v>
      </c>
      <c r="I136" s="7" t="s">
        <v>2747</v>
      </c>
      <c r="J136" s="7" t="s">
        <v>3389</v>
      </c>
      <c r="K136" s="7" t="s">
        <v>2772</v>
      </c>
      <c r="L136" s="7" t="s">
        <v>2705</v>
      </c>
      <c r="M136" s="10" t="b">
        <f aca="false">TRUE()</f>
        <v>1</v>
      </c>
      <c r="N136" s="7" t="n">
        <v>-34.06383549</v>
      </c>
      <c r="O136" s="7" t="n">
        <v>150.813929</v>
      </c>
    </row>
    <row r="137" customFormat="false" ht="15" hidden="false" customHeight="false" outlineLevel="0" collapsed="false">
      <c r="A137" s="7" t="s">
        <v>3390</v>
      </c>
      <c r="B137" s="7" t="s">
        <v>3391</v>
      </c>
      <c r="C137" s="7" t="s">
        <v>3392</v>
      </c>
      <c r="D137" s="7" t="s">
        <v>3393</v>
      </c>
      <c r="E137" s="7" t="n">
        <v>2194</v>
      </c>
      <c r="F137" s="7" t="s">
        <v>50</v>
      </c>
      <c r="G137" s="7" t="s">
        <v>3003</v>
      </c>
      <c r="H137" s="7" t="s">
        <v>3394</v>
      </c>
      <c r="I137" s="7" t="s">
        <v>2885</v>
      </c>
      <c r="J137" s="7" t="s">
        <v>3395</v>
      </c>
      <c r="K137" s="7" t="s">
        <v>2772</v>
      </c>
      <c r="L137" s="7" t="s">
        <v>2705</v>
      </c>
      <c r="M137" s="10" t="b">
        <f aca="false">FALSE()</f>
        <v>0</v>
      </c>
      <c r="N137" s="7" t="n">
        <v>-33.91048116</v>
      </c>
      <c r="O137" s="7" t="n">
        <v>151.1026308</v>
      </c>
    </row>
    <row r="138" customFormat="false" ht="15" hidden="false" customHeight="false" outlineLevel="0" collapsed="false">
      <c r="A138" s="7" t="s">
        <v>3396</v>
      </c>
      <c r="B138" s="7" t="s">
        <v>3397</v>
      </c>
      <c r="C138" s="7" t="s">
        <v>3398</v>
      </c>
      <c r="D138" s="7" t="s">
        <v>3399</v>
      </c>
      <c r="E138" s="7" t="n">
        <v>2609</v>
      </c>
      <c r="F138" s="7" t="s">
        <v>50</v>
      </c>
      <c r="G138" s="7" t="s">
        <v>2718</v>
      </c>
      <c r="H138" s="7"/>
      <c r="I138" s="7" t="s">
        <v>3400</v>
      </c>
      <c r="J138" s="7"/>
      <c r="K138" s="7"/>
      <c r="L138" s="7"/>
      <c r="M138" s="10" t="b">
        <f aca="false">FALSE()</f>
        <v>0</v>
      </c>
      <c r="N138" s="7" t="n">
        <v>-35.307605</v>
      </c>
      <c r="O138" s="7" t="n">
        <v>149.189465</v>
      </c>
    </row>
    <row r="139" customFormat="false" ht="15" hidden="false" customHeight="false" outlineLevel="0" collapsed="false">
      <c r="A139" s="7" t="s">
        <v>3401</v>
      </c>
      <c r="B139" s="7" t="s">
        <v>3402</v>
      </c>
      <c r="C139" s="7" t="s">
        <v>3403</v>
      </c>
      <c r="D139" s="7" t="s">
        <v>3404</v>
      </c>
      <c r="E139" s="7" t="n">
        <v>2617</v>
      </c>
      <c r="F139" s="7" t="s">
        <v>50</v>
      </c>
      <c r="G139" s="7" t="s">
        <v>2718</v>
      </c>
      <c r="H139" s="7"/>
      <c r="I139" s="7" t="s">
        <v>2719</v>
      </c>
      <c r="J139" s="7"/>
      <c r="K139" s="7"/>
      <c r="L139" s="7"/>
      <c r="M139" s="10" t="b">
        <f aca="false">FALSE()</f>
        <v>0</v>
      </c>
      <c r="N139" s="7" t="n">
        <v>-35.252561</v>
      </c>
      <c r="O139" s="7" t="n">
        <v>149.086931</v>
      </c>
    </row>
    <row r="140" customFormat="false" ht="15" hidden="false" customHeight="false" outlineLevel="0" collapsed="false">
      <c r="A140" s="7" t="s">
        <v>3405</v>
      </c>
      <c r="B140" s="7" t="s">
        <v>3406</v>
      </c>
      <c r="C140" s="7" t="s">
        <v>3407</v>
      </c>
      <c r="D140" s="7" t="s">
        <v>3408</v>
      </c>
      <c r="E140" s="7" t="n">
        <v>2601</v>
      </c>
      <c r="F140" s="7" t="s">
        <v>50</v>
      </c>
      <c r="G140" s="7" t="s">
        <v>2837</v>
      </c>
      <c r="H140" s="7"/>
      <c r="I140" s="7" t="s">
        <v>2719</v>
      </c>
      <c r="J140" s="7"/>
      <c r="K140" s="7"/>
      <c r="L140" s="7"/>
      <c r="M140" s="10" t="b">
        <f aca="false">FALSE()</f>
        <v>0</v>
      </c>
      <c r="N140" s="7" t="n">
        <v>-35.278997</v>
      </c>
      <c r="O140" s="7" t="n">
        <v>149.127618</v>
      </c>
    </row>
    <row r="141" customFormat="false" ht="15" hidden="false" customHeight="false" outlineLevel="0" collapsed="false">
      <c r="A141" s="7" t="s">
        <v>3409</v>
      </c>
      <c r="B141" s="7" t="s">
        <v>3410</v>
      </c>
      <c r="C141" s="7" t="s">
        <v>3411</v>
      </c>
      <c r="D141" s="7" t="s">
        <v>3412</v>
      </c>
      <c r="E141" s="7" t="n">
        <v>2605</v>
      </c>
      <c r="F141" s="7" t="s">
        <v>50</v>
      </c>
      <c r="G141" s="7" t="s">
        <v>2837</v>
      </c>
      <c r="H141" s="7"/>
      <c r="I141" s="7" t="s">
        <v>2719</v>
      </c>
      <c r="J141" s="7"/>
      <c r="K141" s="7"/>
      <c r="L141" s="7"/>
      <c r="M141" s="10" t="b">
        <f aca="false">FALSE()</f>
        <v>0</v>
      </c>
      <c r="N141" s="7" t="n">
        <v>-35.343983</v>
      </c>
      <c r="O141" s="7" t="n">
        <v>149.101423</v>
      </c>
    </row>
    <row r="142" customFormat="false" ht="15" hidden="false" customHeight="false" outlineLevel="0" collapsed="false">
      <c r="A142" s="7" t="s">
        <v>3413</v>
      </c>
      <c r="B142" s="7" t="s">
        <v>3414</v>
      </c>
      <c r="C142" s="7" t="s">
        <v>3415</v>
      </c>
      <c r="D142" s="7" t="s">
        <v>3416</v>
      </c>
      <c r="E142" s="7" t="n">
        <v>2600</v>
      </c>
      <c r="F142" s="7" t="s">
        <v>50</v>
      </c>
      <c r="G142" s="7" t="s">
        <v>2837</v>
      </c>
      <c r="H142" s="7"/>
      <c r="I142" s="7" t="s">
        <v>2719</v>
      </c>
      <c r="J142" s="7"/>
      <c r="K142" s="7"/>
      <c r="L142" s="7"/>
      <c r="M142" s="10" t="b">
        <f aca="false">FALSE()</f>
        <v>0</v>
      </c>
      <c r="N142" s="7" t="n">
        <v>-35.318475</v>
      </c>
      <c r="O142" s="7" t="n">
        <v>149.095764</v>
      </c>
    </row>
    <row r="143" customFormat="false" ht="15" hidden="false" customHeight="false" outlineLevel="0" collapsed="false">
      <c r="A143" s="7" t="s">
        <v>3417</v>
      </c>
      <c r="B143" s="7" t="s">
        <v>3418</v>
      </c>
      <c r="C143" s="7" t="s">
        <v>3419</v>
      </c>
      <c r="D143" s="7" t="s">
        <v>3420</v>
      </c>
      <c r="E143" s="7" t="n">
        <v>2604</v>
      </c>
      <c r="F143" s="7" t="s">
        <v>50</v>
      </c>
      <c r="G143" s="7" t="s">
        <v>2735</v>
      </c>
      <c r="H143" s="7" t="s">
        <v>2736</v>
      </c>
      <c r="I143" s="7" t="s">
        <v>3059</v>
      </c>
      <c r="J143" s="7"/>
      <c r="K143" s="7"/>
      <c r="L143" s="7"/>
      <c r="M143" s="10" t="b">
        <f aca="false">FALSE()</f>
        <v>0</v>
      </c>
      <c r="N143" s="7" t="n">
        <v>-35.319272</v>
      </c>
      <c r="O143" s="7" t="n">
        <v>149.149396</v>
      </c>
    </row>
    <row r="144" customFormat="false" ht="15" hidden="false" customHeight="false" outlineLevel="0" collapsed="false">
      <c r="A144" s="7" t="s">
        <v>3421</v>
      </c>
      <c r="B144" s="7" t="s">
        <v>3422</v>
      </c>
      <c r="C144" s="7" t="s">
        <v>3423</v>
      </c>
      <c r="D144" s="7" t="s">
        <v>3424</v>
      </c>
      <c r="E144" s="7" t="n">
        <v>2617</v>
      </c>
      <c r="F144" s="7" t="s">
        <v>50</v>
      </c>
      <c r="G144" s="7" t="s">
        <v>2718</v>
      </c>
      <c r="H144" s="7"/>
      <c r="I144" s="7" t="s">
        <v>2719</v>
      </c>
      <c r="J144" s="7"/>
      <c r="K144" s="7"/>
      <c r="L144" s="7"/>
      <c r="M144" s="10" t="b">
        <f aca="false">FALSE()</f>
        <v>0</v>
      </c>
      <c r="N144" s="7" t="n">
        <v>-35.24116474</v>
      </c>
      <c r="O144" s="7" t="n">
        <v>149.081254</v>
      </c>
    </row>
    <row r="145" customFormat="false" ht="15" hidden="false" customHeight="false" outlineLevel="0" collapsed="false">
      <c r="A145" s="7" t="s">
        <v>3425</v>
      </c>
      <c r="B145" s="7" t="s">
        <v>3426</v>
      </c>
      <c r="C145" s="7" t="s">
        <v>3427</v>
      </c>
      <c r="D145" s="7" t="s">
        <v>3428</v>
      </c>
      <c r="E145" s="7" t="n">
        <v>2166</v>
      </c>
      <c r="F145" s="7" t="s">
        <v>50</v>
      </c>
      <c r="G145" s="7" t="s">
        <v>2710</v>
      </c>
      <c r="H145" s="7" t="s">
        <v>3429</v>
      </c>
      <c r="I145" s="7" t="s">
        <v>2747</v>
      </c>
      <c r="J145" s="7" t="s">
        <v>3430</v>
      </c>
      <c r="K145" s="7" t="s">
        <v>2772</v>
      </c>
      <c r="L145" s="7" t="s">
        <v>2705</v>
      </c>
      <c r="M145" s="10" t="b">
        <f aca="false">FALSE()</f>
        <v>0</v>
      </c>
      <c r="N145" s="7" t="n">
        <v>-33.88679793</v>
      </c>
      <c r="O145" s="7" t="n">
        <v>150.943987</v>
      </c>
    </row>
    <row r="146" customFormat="false" ht="15" hidden="false" customHeight="false" outlineLevel="0" collapsed="false">
      <c r="A146" s="7" t="s">
        <v>3431</v>
      </c>
      <c r="B146" s="7" t="s">
        <v>3432</v>
      </c>
      <c r="C146" s="7" t="s">
        <v>3433</v>
      </c>
      <c r="D146" s="7" t="s">
        <v>3434</v>
      </c>
      <c r="E146" s="7" t="n">
        <v>2804</v>
      </c>
      <c r="F146" s="7" t="s">
        <v>50</v>
      </c>
      <c r="G146" s="7" t="s">
        <v>2718</v>
      </c>
      <c r="H146" s="7"/>
      <c r="I146" s="7" t="s">
        <v>2719</v>
      </c>
      <c r="J146" s="7"/>
      <c r="K146" s="7"/>
      <c r="L146" s="7"/>
      <c r="M146" s="10" t="b">
        <f aca="false">FALSE()</f>
        <v>0</v>
      </c>
      <c r="N146" s="7" t="n">
        <v>-33.56361</v>
      </c>
      <c r="O146" s="7" t="n">
        <v>148.65979</v>
      </c>
    </row>
    <row r="147" customFormat="false" ht="15" hidden="false" customHeight="false" outlineLevel="0" collapsed="false">
      <c r="A147" s="7" t="s">
        <v>3435</v>
      </c>
      <c r="B147" s="7" t="s">
        <v>3436</v>
      </c>
      <c r="C147" s="7" t="s">
        <v>3437</v>
      </c>
      <c r="D147" s="7" t="s">
        <v>3438</v>
      </c>
      <c r="E147" s="7" t="n">
        <v>2193</v>
      </c>
      <c r="F147" s="7" t="s">
        <v>50</v>
      </c>
      <c r="G147" s="7" t="s">
        <v>3439</v>
      </c>
      <c r="H147" s="7" t="s">
        <v>3440</v>
      </c>
      <c r="I147" s="7" t="s">
        <v>2885</v>
      </c>
      <c r="J147" s="7" t="s">
        <v>3441</v>
      </c>
      <c r="K147" s="7" t="s">
        <v>2772</v>
      </c>
      <c r="L147" s="7" t="s">
        <v>2705</v>
      </c>
      <c r="M147" s="10" t="b">
        <f aca="false">FALSE()</f>
        <v>0</v>
      </c>
      <c r="N147" s="7" t="n">
        <v>-33.91167214</v>
      </c>
      <c r="O147" s="7" t="n">
        <v>151.1182133</v>
      </c>
    </row>
    <row r="148" customFormat="false" ht="15" hidden="false" customHeight="false" outlineLevel="0" collapsed="false">
      <c r="A148" s="7" t="s">
        <v>3442</v>
      </c>
      <c r="B148" s="7" t="s">
        <v>3443</v>
      </c>
      <c r="C148" s="7" t="s">
        <v>3444</v>
      </c>
      <c r="D148" s="7" t="s">
        <v>3445</v>
      </c>
      <c r="E148" s="7" t="n">
        <v>2846</v>
      </c>
      <c r="F148" s="7" t="s">
        <v>50</v>
      </c>
      <c r="G148" s="7" t="s">
        <v>2718</v>
      </c>
      <c r="H148" s="7"/>
      <c r="I148" s="7" t="s">
        <v>2719</v>
      </c>
      <c r="J148" s="7"/>
      <c r="K148" s="7"/>
      <c r="L148" s="7"/>
      <c r="M148" s="10" t="b">
        <f aca="false">FALSE()</f>
        <v>0</v>
      </c>
      <c r="N148" s="7" t="n">
        <v>-33.146391</v>
      </c>
      <c r="O148" s="7" t="n">
        <v>149.984257</v>
      </c>
    </row>
    <row r="149" customFormat="false" ht="15" hidden="false" customHeight="false" outlineLevel="0" collapsed="false">
      <c r="A149" s="7" t="s">
        <v>3446</v>
      </c>
      <c r="B149" s="7" t="s">
        <v>3447</v>
      </c>
      <c r="C149" s="7" t="s">
        <v>3448</v>
      </c>
      <c r="D149" s="7" t="s">
        <v>3449</v>
      </c>
      <c r="E149" s="7" t="n">
        <v>2000</v>
      </c>
      <c r="F149" s="7" t="s">
        <v>50</v>
      </c>
      <c r="G149" s="7" t="s">
        <v>2769</v>
      </c>
      <c r="H149" s="7" t="s">
        <v>2872</v>
      </c>
      <c r="I149" s="7" t="s">
        <v>3450</v>
      </c>
      <c r="J149" s="7"/>
      <c r="K149" s="7" t="s">
        <v>2772</v>
      </c>
      <c r="L149" s="7" t="s">
        <v>2705</v>
      </c>
      <c r="M149" s="10" t="b">
        <f aca="false">FALSE()</f>
        <v>0</v>
      </c>
      <c r="N149" s="7" t="n">
        <v>-33.87975438</v>
      </c>
      <c r="O149" s="7" t="n">
        <v>151.2056556</v>
      </c>
    </row>
    <row r="150" customFormat="false" ht="15" hidden="false" customHeight="false" outlineLevel="0" collapsed="false">
      <c r="A150" s="7" t="s">
        <v>3451</v>
      </c>
      <c r="B150" s="7" t="s">
        <v>3452</v>
      </c>
      <c r="C150" s="7" t="s">
        <v>3453</v>
      </c>
      <c r="D150" s="7" t="s">
        <v>3454</v>
      </c>
      <c r="E150" s="7" t="n">
        <v>2791</v>
      </c>
      <c r="F150" s="7" t="s">
        <v>50</v>
      </c>
      <c r="G150" s="7" t="s">
        <v>2718</v>
      </c>
      <c r="H150" s="7"/>
      <c r="I150" s="7" t="s">
        <v>2719</v>
      </c>
      <c r="J150" s="7"/>
      <c r="K150" s="7"/>
      <c r="L150" s="7"/>
      <c r="M150" s="10" t="b">
        <f aca="false">FALSE()</f>
        <v>0</v>
      </c>
      <c r="N150" s="7" t="n">
        <v>-33.611524</v>
      </c>
      <c r="O150" s="7" t="n">
        <v>149.140096</v>
      </c>
    </row>
    <row r="151" customFormat="false" ht="15" hidden="false" customHeight="false" outlineLevel="0" collapsed="false">
      <c r="A151" s="7" t="s">
        <v>3455</v>
      </c>
      <c r="B151" s="7" t="s">
        <v>3456</v>
      </c>
      <c r="C151" s="7" t="s">
        <v>3457</v>
      </c>
      <c r="D151" s="7" t="s">
        <v>3458</v>
      </c>
      <c r="E151" s="7" t="n">
        <v>2285</v>
      </c>
      <c r="F151" s="7" t="s">
        <v>50</v>
      </c>
      <c r="G151" s="7" t="s">
        <v>2786</v>
      </c>
      <c r="H151" s="7" t="s">
        <v>3459</v>
      </c>
      <c r="I151" s="7" t="s">
        <v>2747</v>
      </c>
      <c r="J151" s="7" t="s">
        <v>3203</v>
      </c>
      <c r="K151" s="7" t="s">
        <v>2704</v>
      </c>
      <c r="L151" s="7" t="s">
        <v>2705</v>
      </c>
      <c r="M151" s="10" t="b">
        <f aca="false">TRUE()</f>
        <v>1</v>
      </c>
      <c r="N151" s="7" t="n">
        <v>-32.94182388</v>
      </c>
      <c r="O151" s="7" t="n">
        <v>151.6629801</v>
      </c>
    </row>
    <row r="152" customFormat="false" ht="15" hidden="false" customHeight="false" outlineLevel="0" collapsed="false">
      <c r="A152" s="7" t="s">
        <v>3460</v>
      </c>
      <c r="B152" s="7" t="s">
        <v>3461</v>
      </c>
      <c r="C152" s="7" t="s">
        <v>3462</v>
      </c>
      <c r="D152" s="7" t="s">
        <v>3463</v>
      </c>
      <c r="E152" s="7" t="n">
        <v>2229</v>
      </c>
      <c r="F152" s="7" t="s">
        <v>50</v>
      </c>
      <c r="G152" s="7" t="s">
        <v>2786</v>
      </c>
      <c r="H152" s="7" t="s">
        <v>3464</v>
      </c>
      <c r="I152" s="7" t="s">
        <v>2747</v>
      </c>
      <c r="J152" s="7" t="s">
        <v>3465</v>
      </c>
      <c r="K152" s="7" t="s">
        <v>2772</v>
      </c>
      <c r="L152" s="7" t="s">
        <v>2705</v>
      </c>
      <c r="M152" s="10" t="b">
        <f aca="false">FALSE()</f>
        <v>0</v>
      </c>
      <c r="N152" s="7" t="n">
        <v>-34.04161039</v>
      </c>
      <c r="O152" s="7" t="n">
        <v>151.1227476</v>
      </c>
    </row>
    <row r="153" customFormat="false" ht="15" hidden="false" customHeight="false" outlineLevel="0" collapsed="false">
      <c r="A153" s="7" t="s">
        <v>3466</v>
      </c>
      <c r="B153" s="7" t="s">
        <v>3467</v>
      </c>
      <c r="C153" s="7" t="s">
        <v>3468</v>
      </c>
      <c r="D153" s="7" t="s">
        <v>3469</v>
      </c>
      <c r="E153" s="7" t="n">
        <v>2118</v>
      </c>
      <c r="F153" s="7" t="s">
        <v>50</v>
      </c>
      <c r="G153" s="7" t="s">
        <v>3262</v>
      </c>
      <c r="H153" s="7" t="s">
        <v>3470</v>
      </c>
      <c r="I153" s="7" t="s">
        <v>3471</v>
      </c>
      <c r="J153" s="7"/>
      <c r="K153" s="7" t="s">
        <v>2772</v>
      </c>
      <c r="L153" s="7" t="s">
        <v>2705</v>
      </c>
      <c r="M153" s="10" t="b">
        <f aca="false">FALSE()</f>
        <v>0</v>
      </c>
      <c r="N153" s="7" t="n">
        <v>-33.781969</v>
      </c>
      <c r="O153" s="7" t="n">
        <v>151.047184</v>
      </c>
    </row>
    <row r="154" customFormat="false" ht="15" hidden="false" customHeight="false" outlineLevel="0" collapsed="false">
      <c r="A154" s="7" t="s">
        <v>3472</v>
      </c>
      <c r="B154" s="7" t="s">
        <v>3473</v>
      </c>
      <c r="C154" s="7" t="s">
        <v>3474</v>
      </c>
      <c r="D154" s="7" t="s">
        <v>3475</v>
      </c>
      <c r="E154" s="7" t="n">
        <v>2218</v>
      </c>
      <c r="F154" s="7" t="s">
        <v>50</v>
      </c>
      <c r="G154" s="7" t="s">
        <v>2786</v>
      </c>
      <c r="H154" s="7" t="s">
        <v>3476</v>
      </c>
      <c r="I154" s="7" t="s">
        <v>2747</v>
      </c>
      <c r="J154" s="7" t="s">
        <v>3477</v>
      </c>
      <c r="K154" s="7" t="s">
        <v>2772</v>
      </c>
      <c r="L154" s="7" t="s">
        <v>2705</v>
      </c>
      <c r="M154" s="10" t="b">
        <f aca="false">FALSE()</f>
        <v>0</v>
      </c>
      <c r="N154" s="7" t="n">
        <v>-33.96826632</v>
      </c>
      <c r="O154" s="7" t="n">
        <v>151.1243369</v>
      </c>
    </row>
    <row r="155" customFormat="false" ht="15" hidden="false" customHeight="false" outlineLevel="0" collapsed="false">
      <c r="A155" s="7" t="s">
        <v>3478</v>
      </c>
      <c r="B155" s="7" t="s">
        <v>3479</v>
      </c>
      <c r="C155" s="7" t="s">
        <v>3480</v>
      </c>
      <c r="D155" s="7" t="s">
        <v>3481</v>
      </c>
      <c r="E155" s="7" t="n">
        <v>2163</v>
      </c>
      <c r="F155" s="7" t="s">
        <v>50</v>
      </c>
      <c r="G155" s="7" t="s">
        <v>2806</v>
      </c>
      <c r="H155" s="7" t="s">
        <v>3482</v>
      </c>
      <c r="I155" s="7" t="s">
        <v>3202</v>
      </c>
      <c r="J155" s="7" t="s">
        <v>3483</v>
      </c>
      <c r="K155" s="7" t="s">
        <v>2772</v>
      </c>
      <c r="L155" s="7" t="s">
        <v>2705</v>
      </c>
      <c r="M155" s="10" t="b">
        <f aca="false">FALSE()</f>
        <v>0</v>
      </c>
      <c r="N155" s="7" t="n">
        <v>-33.88431779</v>
      </c>
      <c r="O155" s="7" t="n">
        <v>150.9615486</v>
      </c>
    </row>
    <row r="156" customFormat="false" ht="15" hidden="false" customHeight="false" outlineLevel="0" collapsed="false">
      <c r="A156" s="7" t="s">
        <v>3484</v>
      </c>
      <c r="B156" s="7" t="s">
        <v>3485</v>
      </c>
      <c r="C156" s="7" t="s">
        <v>3486</v>
      </c>
      <c r="D156" s="7" t="s">
        <v>3487</v>
      </c>
      <c r="E156" s="7" t="n">
        <v>2711</v>
      </c>
      <c r="F156" s="7" t="s">
        <v>50</v>
      </c>
      <c r="G156" s="7" t="s">
        <v>2718</v>
      </c>
      <c r="H156" s="7"/>
      <c r="I156" s="7" t="s">
        <v>2719</v>
      </c>
      <c r="J156" s="7"/>
      <c r="K156" s="7"/>
      <c r="L156" s="7"/>
      <c r="M156" s="10" t="b">
        <f aca="false">FALSE()</f>
        <v>0</v>
      </c>
      <c r="N156" s="7" t="n">
        <v>-34.466659</v>
      </c>
      <c r="O156" s="7" t="n">
        <v>145.416181</v>
      </c>
    </row>
    <row r="157" customFormat="false" ht="15" hidden="false" customHeight="false" outlineLevel="0" collapsed="false">
      <c r="A157" s="7" t="s">
        <v>3488</v>
      </c>
      <c r="B157" s="7" t="s">
        <v>3489</v>
      </c>
      <c r="C157" s="7" t="s">
        <v>3490</v>
      </c>
      <c r="D157" s="7" t="s">
        <v>3491</v>
      </c>
      <c r="E157" s="7" t="n">
        <v>2340</v>
      </c>
      <c r="F157" s="7" t="s">
        <v>50</v>
      </c>
      <c r="G157" s="7" t="s">
        <v>2718</v>
      </c>
      <c r="H157" s="7"/>
      <c r="I157" s="7" t="s">
        <v>2719</v>
      </c>
      <c r="J157" s="7"/>
      <c r="K157" s="7"/>
      <c r="L157" s="7"/>
      <c r="M157" s="10" t="b">
        <f aca="false">FALSE()</f>
        <v>0</v>
      </c>
      <c r="N157" s="7" t="n">
        <v>-30.985528</v>
      </c>
      <c r="O157" s="7" t="n">
        <v>150.445932</v>
      </c>
    </row>
    <row r="158" customFormat="false" ht="15" hidden="false" customHeight="false" outlineLevel="0" collapsed="false">
      <c r="A158" s="7" t="s">
        <v>3492</v>
      </c>
      <c r="B158" s="7" t="s">
        <v>3493</v>
      </c>
      <c r="C158" s="7" t="s">
        <v>3494</v>
      </c>
      <c r="D158" s="7" t="s">
        <v>3495</v>
      </c>
      <c r="E158" s="7" t="n">
        <v>2470</v>
      </c>
      <c r="F158" s="7" t="s">
        <v>50</v>
      </c>
      <c r="G158" s="7" t="s">
        <v>2735</v>
      </c>
      <c r="H158" s="7" t="s">
        <v>3496</v>
      </c>
      <c r="I158" s="7" t="s">
        <v>3059</v>
      </c>
      <c r="J158" s="7"/>
      <c r="K158" s="7"/>
      <c r="L158" s="7"/>
      <c r="M158" s="10" t="b">
        <f aca="false">FALSE()</f>
        <v>0</v>
      </c>
      <c r="N158" s="7" t="n">
        <v>-28.860663</v>
      </c>
      <c r="O158" s="7" t="n">
        <v>153.038275</v>
      </c>
    </row>
    <row r="159" customFormat="false" ht="15" hidden="false" customHeight="false" outlineLevel="0" collapsed="false">
      <c r="A159" s="7" t="s">
        <v>3497</v>
      </c>
      <c r="B159" s="7" t="s">
        <v>3498</v>
      </c>
      <c r="C159" s="7" t="s">
        <v>3499</v>
      </c>
      <c r="D159" s="7" t="s">
        <v>3500</v>
      </c>
      <c r="E159" s="7" t="n">
        <v>2154</v>
      </c>
      <c r="F159" s="7" t="s">
        <v>50</v>
      </c>
      <c r="G159" s="7" t="s">
        <v>2982</v>
      </c>
      <c r="H159" s="7" t="s">
        <v>3501</v>
      </c>
      <c r="I159" s="7" t="s">
        <v>2897</v>
      </c>
      <c r="J159" s="7"/>
      <c r="K159" s="7" t="s">
        <v>2772</v>
      </c>
      <c r="L159" s="7" t="s">
        <v>2705</v>
      </c>
      <c r="M159" s="10" t="b">
        <f aca="false">FALSE()</f>
        <v>0</v>
      </c>
      <c r="N159" s="7" t="n">
        <v>-33.731485</v>
      </c>
      <c r="O159" s="7" t="n">
        <v>151.007809</v>
      </c>
    </row>
    <row r="160" customFormat="false" ht="15" hidden="false" customHeight="false" outlineLevel="0" collapsed="false">
      <c r="A160" s="7" t="s">
        <v>3502</v>
      </c>
      <c r="B160" s="7" t="s">
        <v>3503</v>
      </c>
      <c r="C160" s="7" t="s">
        <v>3504</v>
      </c>
      <c r="D160" s="7" t="s">
        <v>3505</v>
      </c>
      <c r="E160" s="7" t="n">
        <v>2170</v>
      </c>
      <c r="F160" s="7" t="s">
        <v>50</v>
      </c>
      <c r="G160" s="7" t="s">
        <v>2806</v>
      </c>
      <c r="H160" s="7" t="s">
        <v>3506</v>
      </c>
      <c r="I160" s="7" t="s">
        <v>2747</v>
      </c>
      <c r="J160" s="7" t="s">
        <v>3507</v>
      </c>
      <c r="K160" s="7" t="s">
        <v>2772</v>
      </c>
      <c r="L160" s="7" t="s">
        <v>2705</v>
      </c>
      <c r="M160" s="10" t="b">
        <f aca="false">FALSE()</f>
        <v>0</v>
      </c>
      <c r="N160" s="7" t="n">
        <v>-33.94981838</v>
      </c>
      <c r="O160" s="7" t="n">
        <v>150.911946</v>
      </c>
    </row>
    <row r="161" customFormat="false" ht="15" hidden="false" customHeight="false" outlineLevel="0" collapsed="false">
      <c r="A161" s="7" t="s">
        <v>3508</v>
      </c>
      <c r="B161" s="7" t="s">
        <v>3509</v>
      </c>
      <c r="C161" s="7" t="s">
        <v>3510</v>
      </c>
      <c r="D161" s="7" t="s">
        <v>3511</v>
      </c>
      <c r="E161" s="7" t="n">
        <v>2000</v>
      </c>
      <c r="F161" s="7" t="s">
        <v>50</v>
      </c>
      <c r="G161" s="7" t="s">
        <v>3512</v>
      </c>
      <c r="H161" s="7" t="s">
        <v>3513</v>
      </c>
      <c r="I161" s="7" t="s">
        <v>3514</v>
      </c>
      <c r="J161" s="7" t="s">
        <v>3515</v>
      </c>
      <c r="K161" s="7" t="s">
        <v>2772</v>
      </c>
      <c r="L161" s="7" t="s">
        <v>2705</v>
      </c>
      <c r="M161" s="10" t="b">
        <f aca="false">TRUE()</f>
        <v>1</v>
      </c>
      <c r="N161" s="7" t="n">
        <v>-33.88388163</v>
      </c>
      <c r="O161" s="7" t="n">
        <v>151.2058293</v>
      </c>
    </row>
    <row r="162" customFormat="false" ht="15" hidden="false" customHeight="false" outlineLevel="0" collapsed="false">
      <c r="A162" s="7" t="s">
        <v>3516</v>
      </c>
      <c r="B162" s="7" t="s">
        <v>3517</v>
      </c>
      <c r="C162" s="7" t="s">
        <v>3518</v>
      </c>
      <c r="D162" s="7" t="s">
        <v>3519</v>
      </c>
      <c r="E162" s="7" t="n">
        <v>2848</v>
      </c>
      <c r="F162" s="7" t="s">
        <v>50</v>
      </c>
      <c r="G162" s="7" t="s">
        <v>2718</v>
      </c>
      <c r="H162" s="7"/>
      <c r="I162" s="7" t="s">
        <v>2719</v>
      </c>
      <c r="J162" s="7"/>
      <c r="K162" s="7"/>
      <c r="L162" s="7"/>
      <c r="M162" s="10" t="b">
        <f aca="false">FALSE()</f>
        <v>0</v>
      </c>
      <c r="N162" s="7" t="n">
        <v>-32.880988</v>
      </c>
      <c r="O162" s="7" t="n">
        <v>149.965112</v>
      </c>
    </row>
    <row r="163" customFormat="false" ht="15" hidden="false" customHeight="false" outlineLevel="0" collapsed="false">
      <c r="A163" s="7" t="s">
        <v>3520</v>
      </c>
      <c r="B163" s="7" t="s">
        <v>3521</v>
      </c>
      <c r="C163" s="7" t="s">
        <v>3522</v>
      </c>
      <c r="D163" s="7" t="s">
        <v>3523</v>
      </c>
      <c r="E163" s="7" t="n">
        <v>2067</v>
      </c>
      <c r="F163" s="7" t="s">
        <v>50</v>
      </c>
      <c r="G163" s="7" t="s">
        <v>3524</v>
      </c>
      <c r="H163" s="7" t="s">
        <v>3525</v>
      </c>
      <c r="I163" s="7" t="s">
        <v>3526</v>
      </c>
      <c r="J163" s="7" t="s">
        <v>3527</v>
      </c>
      <c r="K163" s="7" t="s">
        <v>2772</v>
      </c>
      <c r="L163" s="7" t="s">
        <v>2705</v>
      </c>
      <c r="M163" s="10" t="b">
        <f aca="false">TRUE()</f>
        <v>1</v>
      </c>
      <c r="N163" s="7" t="n">
        <v>-33.79713406</v>
      </c>
      <c r="O163" s="7" t="n">
        <v>151.1808207</v>
      </c>
    </row>
    <row r="164" customFormat="false" ht="15" hidden="false" customHeight="false" outlineLevel="0" collapsed="false">
      <c r="A164" s="7" t="s">
        <v>3528</v>
      </c>
      <c r="B164" s="7" t="s">
        <v>3529</v>
      </c>
      <c r="C164" s="7" t="s">
        <v>3530</v>
      </c>
      <c r="D164" s="7" t="s">
        <v>3531</v>
      </c>
      <c r="E164" s="7" t="n">
        <v>2469</v>
      </c>
      <c r="F164" s="7" t="s">
        <v>50</v>
      </c>
      <c r="G164" s="7" t="s">
        <v>2718</v>
      </c>
      <c r="H164" s="7"/>
      <c r="I164" s="7" t="s">
        <v>2719</v>
      </c>
      <c r="J164" s="7"/>
      <c r="K164" s="7"/>
      <c r="L164" s="7"/>
      <c r="M164" s="10" t="b">
        <f aca="false">FALSE()</f>
        <v>0</v>
      </c>
      <c r="N164" s="7" t="n">
        <v>-29.381595</v>
      </c>
      <c r="O164" s="7" t="n">
        <v>153.233697</v>
      </c>
    </row>
    <row r="165" customFormat="false" ht="15" hidden="false" customHeight="false" outlineLevel="0" collapsed="false">
      <c r="A165" s="7" t="s">
        <v>3532</v>
      </c>
      <c r="B165" s="7" t="s">
        <v>3533</v>
      </c>
      <c r="C165" s="7" t="s">
        <v>3534</v>
      </c>
      <c r="D165" s="7" t="s">
        <v>3535</v>
      </c>
      <c r="E165" s="7" t="n">
        <v>2119</v>
      </c>
      <c r="F165" s="7" t="s">
        <v>50</v>
      </c>
      <c r="G165" s="7" t="s">
        <v>2806</v>
      </c>
      <c r="H165" s="7" t="s">
        <v>3065</v>
      </c>
      <c r="I165" s="7" t="s">
        <v>2747</v>
      </c>
      <c r="J165" s="7" t="s">
        <v>3536</v>
      </c>
      <c r="K165" s="7" t="s">
        <v>2772</v>
      </c>
      <c r="L165" s="7" t="s">
        <v>2705</v>
      </c>
      <c r="M165" s="10" t="b">
        <f aca="false">FALSE()</f>
        <v>0</v>
      </c>
      <c r="N165" s="7" t="n">
        <v>-33.75586837</v>
      </c>
      <c r="O165" s="7" t="n">
        <v>151.0788513</v>
      </c>
    </row>
    <row r="166" customFormat="false" ht="15" hidden="false" customHeight="false" outlineLevel="0" collapsed="false">
      <c r="A166" s="7" t="s">
        <v>3537</v>
      </c>
      <c r="B166" s="7" t="s">
        <v>3538</v>
      </c>
      <c r="C166" s="7" t="s">
        <v>3539</v>
      </c>
      <c r="D166" s="7" t="s">
        <v>3540</v>
      </c>
      <c r="E166" s="7" t="n">
        <v>2126</v>
      </c>
      <c r="F166" s="7" t="s">
        <v>50</v>
      </c>
      <c r="G166" s="7" t="s">
        <v>2982</v>
      </c>
      <c r="H166" s="7" t="s">
        <v>2983</v>
      </c>
      <c r="I166" s="7" t="s">
        <v>3541</v>
      </c>
      <c r="J166" s="7"/>
      <c r="K166" s="7" t="s">
        <v>2772</v>
      </c>
      <c r="L166" s="7" t="s">
        <v>2705</v>
      </c>
      <c r="M166" s="10" t="b">
        <f aca="false">FALSE()</f>
        <v>0</v>
      </c>
      <c r="N166" s="7" t="n">
        <v>-33.736703</v>
      </c>
      <c r="O166" s="7" t="n">
        <v>151.031977</v>
      </c>
    </row>
    <row r="167" customFormat="false" ht="15" hidden="false" customHeight="false" outlineLevel="0" collapsed="false">
      <c r="A167" s="7" t="s">
        <v>3542</v>
      </c>
      <c r="B167" s="7" t="s">
        <v>3543</v>
      </c>
      <c r="C167" s="7" t="s">
        <v>3544</v>
      </c>
      <c r="D167" s="7" t="s">
        <v>3545</v>
      </c>
      <c r="E167" s="7" t="n">
        <v>2162</v>
      </c>
      <c r="F167" s="7" t="s">
        <v>50</v>
      </c>
      <c r="G167" s="7" t="s">
        <v>2786</v>
      </c>
      <c r="H167" s="7" t="s">
        <v>3546</v>
      </c>
      <c r="I167" s="7" t="s">
        <v>2747</v>
      </c>
      <c r="J167" s="7" t="s">
        <v>3547</v>
      </c>
      <c r="K167" s="7" t="s">
        <v>2772</v>
      </c>
      <c r="L167" s="7" t="s">
        <v>2705</v>
      </c>
      <c r="M167" s="10" t="b">
        <f aca="false">FALSE()</f>
        <v>0</v>
      </c>
      <c r="N167" s="7" t="n">
        <v>-33.8835435</v>
      </c>
      <c r="O167" s="7" t="n">
        <v>150.9994456</v>
      </c>
    </row>
    <row r="168" customFormat="false" ht="15" hidden="false" customHeight="false" outlineLevel="0" collapsed="false">
      <c r="A168" s="7" t="s">
        <v>3548</v>
      </c>
      <c r="B168" s="7" t="s">
        <v>3549</v>
      </c>
      <c r="C168" s="7" t="s">
        <v>3550</v>
      </c>
      <c r="D168" s="7" t="s">
        <v>3551</v>
      </c>
      <c r="E168" s="7" t="n">
        <v>2145</v>
      </c>
      <c r="F168" s="7" t="s">
        <v>50</v>
      </c>
      <c r="G168" s="7" t="s">
        <v>2769</v>
      </c>
      <c r="H168" s="7" t="s">
        <v>3552</v>
      </c>
      <c r="I168" s="7" t="s">
        <v>3019</v>
      </c>
      <c r="J168" s="7"/>
      <c r="K168" s="7" t="s">
        <v>2772</v>
      </c>
      <c r="L168" s="7" t="s">
        <v>2705</v>
      </c>
      <c r="M168" s="10" t="b">
        <f aca="false">FALSE()</f>
        <v>0</v>
      </c>
      <c r="N168" s="7" t="n">
        <v>-33.802589</v>
      </c>
      <c r="O168" s="7" t="n">
        <v>150.993036</v>
      </c>
    </row>
    <row r="169" customFormat="false" ht="15" hidden="false" customHeight="false" outlineLevel="0" collapsed="false">
      <c r="A169" s="7" t="s">
        <v>3553</v>
      </c>
      <c r="B169" s="7" t="s">
        <v>3554</v>
      </c>
      <c r="C169" s="7" t="s">
        <v>3555</v>
      </c>
      <c r="D169" s="7" t="s">
        <v>3556</v>
      </c>
      <c r="E169" s="7" t="n">
        <v>2000</v>
      </c>
      <c r="F169" s="7" t="s">
        <v>50</v>
      </c>
      <c r="G169" s="7" t="s">
        <v>3262</v>
      </c>
      <c r="H169" s="7" t="s">
        <v>3263</v>
      </c>
      <c r="I169" s="7" t="s">
        <v>3264</v>
      </c>
      <c r="J169" s="7"/>
      <c r="K169" s="7" t="s">
        <v>2772</v>
      </c>
      <c r="L169" s="7" t="s">
        <v>2705</v>
      </c>
      <c r="M169" s="10" t="b">
        <f aca="false">FALSE()</f>
        <v>0</v>
      </c>
      <c r="N169" s="7" t="n">
        <v>-33.878579</v>
      </c>
      <c r="O169" s="7" t="n">
        <v>151.205567</v>
      </c>
    </row>
    <row r="170" customFormat="false" ht="15" hidden="false" customHeight="false" outlineLevel="0" collapsed="false">
      <c r="A170" s="7" t="s">
        <v>3557</v>
      </c>
      <c r="B170" s="7" t="s">
        <v>3558</v>
      </c>
      <c r="C170" s="7" t="s">
        <v>3559</v>
      </c>
      <c r="D170" s="7" t="s">
        <v>3560</v>
      </c>
      <c r="E170" s="7" t="n">
        <v>2487</v>
      </c>
      <c r="F170" s="7" t="s">
        <v>50</v>
      </c>
      <c r="G170" s="7" t="s">
        <v>2718</v>
      </c>
      <c r="H170" s="7"/>
      <c r="I170" s="7" t="s">
        <v>2719</v>
      </c>
      <c r="J170" s="7"/>
      <c r="K170" s="7"/>
      <c r="L170" s="7"/>
      <c r="M170" s="10" t="b">
        <f aca="false">FALSE()</f>
        <v>0</v>
      </c>
      <c r="N170" s="7" t="n">
        <v>-28.233483</v>
      </c>
      <c r="O170" s="7" t="n">
        <v>153.555962</v>
      </c>
    </row>
    <row r="171" customFormat="false" ht="15" hidden="false" customHeight="false" outlineLevel="0" collapsed="false">
      <c r="A171" s="7" t="s">
        <v>3561</v>
      </c>
      <c r="B171" s="7" t="s">
        <v>3562</v>
      </c>
      <c r="C171" s="7" t="s">
        <v>3563</v>
      </c>
      <c r="D171" s="7" t="s">
        <v>3564</v>
      </c>
      <c r="E171" s="7" t="n">
        <v>2046</v>
      </c>
      <c r="F171" s="7" t="s">
        <v>50</v>
      </c>
      <c r="G171" s="7" t="s">
        <v>2693</v>
      </c>
      <c r="H171" s="7" t="s">
        <v>3565</v>
      </c>
      <c r="I171" s="7" t="s">
        <v>2847</v>
      </c>
      <c r="J171" s="7"/>
      <c r="K171" s="7"/>
      <c r="L171" s="7"/>
      <c r="M171" s="10" t="b">
        <f aca="false">FALSE()</f>
        <v>0</v>
      </c>
      <c r="N171" s="7" t="n">
        <v>-33.84554855</v>
      </c>
      <c r="O171" s="7" t="n">
        <v>151.1417808</v>
      </c>
    </row>
    <row r="172" customFormat="false" ht="15" hidden="false" customHeight="false" outlineLevel="0" collapsed="false">
      <c r="A172" s="7" t="s">
        <v>3566</v>
      </c>
      <c r="B172" s="7" t="s">
        <v>3567</v>
      </c>
      <c r="C172" s="7" t="s">
        <v>3568</v>
      </c>
      <c r="D172" s="7" t="s">
        <v>3569</v>
      </c>
      <c r="E172" s="7" t="n">
        <v>2150</v>
      </c>
      <c r="F172" s="7" t="s">
        <v>50</v>
      </c>
      <c r="G172" s="7" t="s">
        <v>2769</v>
      </c>
      <c r="H172" s="7" t="s">
        <v>3570</v>
      </c>
      <c r="I172" s="7" t="s">
        <v>3019</v>
      </c>
      <c r="J172" s="7"/>
      <c r="K172" s="7" t="s">
        <v>2772</v>
      </c>
      <c r="L172" s="7" t="s">
        <v>2705</v>
      </c>
      <c r="M172" s="10" t="b">
        <f aca="false">FALSE()</f>
        <v>0</v>
      </c>
      <c r="N172" s="7" t="n">
        <v>-33.812947</v>
      </c>
      <c r="O172" s="7" t="n">
        <v>151.003617</v>
      </c>
    </row>
    <row r="173" customFormat="false" ht="15" hidden="false" customHeight="false" outlineLevel="0" collapsed="false">
      <c r="A173" s="7" t="s">
        <v>3571</v>
      </c>
      <c r="B173" s="7" t="s">
        <v>3572</v>
      </c>
      <c r="C173" s="7" t="s">
        <v>3573</v>
      </c>
      <c r="D173" s="7" t="s">
        <v>3574</v>
      </c>
      <c r="E173" s="7" t="n">
        <v>2000</v>
      </c>
      <c r="F173" s="7" t="s">
        <v>50</v>
      </c>
      <c r="G173" s="7" t="s">
        <v>3575</v>
      </c>
      <c r="H173" s="7" t="s">
        <v>3576</v>
      </c>
      <c r="I173" s="7" t="s">
        <v>3514</v>
      </c>
      <c r="J173" s="7" t="s">
        <v>3577</v>
      </c>
      <c r="K173" s="7" t="s">
        <v>2772</v>
      </c>
      <c r="L173" s="7" t="s">
        <v>2705</v>
      </c>
      <c r="M173" s="10" t="b">
        <f aca="false">FALSE()</f>
        <v>0</v>
      </c>
      <c r="N173" s="7" t="n">
        <v>-33.86132358</v>
      </c>
      <c r="O173" s="7" t="n">
        <v>151.2103898</v>
      </c>
    </row>
    <row r="174" customFormat="false" ht="15" hidden="false" customHeight="false" outlineLevel="0" collapsed="false">
      <c r="A174" s="7" t="s">
        <v>3578</v>
      </c>
      <c r="B174" s="7" t="s">
        <v>3579</v>
      </c>
      <c r="C174" s="7" t="s">
        <v>3580</v>
      </c>
      <c r="D174" s="7" t="s">
        <v>3581</v>
      </c>
      <c r="E174" s="7" t="n">
        <v>2300</v>
      </c>
      <c r="F174" s="7" t="s">
        <v>50</v>
      </c>
      <c r="G174" s="7" t="s">
        <v>2769</v>
      </c>
      <c r="H174" s="7" t="s">
        <v>3582</v>
      </c>
      <c r="I174" s="7" t="s">
        <v>3583</v>
      </c>
      <c r="J174" s="7"/>
      <c r="K174" s="7" t="s">
        <v>2772</v>
      </c>
      <c r="L174" s="7" t="s">
        <v>2705</v>
      </c>
      <c r="M174" s="10" t="b">
        <f aca="false">FALSE()</f>
        <v>0</v>
      </c>
      <c r="N174" s="7" t="n">
        <v>-32.927024</v>
      </c>
      <c r="O174" s="7" t="n">
        <v>151.771687</v>
      </c>
    </row>
    <row r="175" customFormat="false" ht="15" hidden="false" customHeight="false" outlineLevel="0" collapsed="false">
      <c r="A175" s="7" t="s">
        <v>3584</v>
      </c>
      <c r="B175" s="7" t="s">
        <v>3585</v>
      </c>
      <c r="C175" s="7" t="s">
        <v>3586</v>
      </c>
      <c r="D175" s="7" t="s">
        <v>3587</v>
      </c>
      <c r="E175" s="7" t="n">
        <v>2848</v>
      </c>
      <c r="F175" s="7" t="s">
        <v>50</v>
      </c>
      <c r="G175" s="7" t="s">
        <v>2718</v>
      </c>
      <c r="H175" s="7"/>
      <c r="I175" s="7" t="s">
        <v>2719</v>
      </c>
      <c r="J175" s="7"/>
      <c r="K175" s="7"/>
      <c r="L175" s="7"/>
      <c r="M175" s="10" t="b">
        <f aca="false">FALSE()</f>
        <v>0</v>
      </c>
      <c r="N175" s="7" t="n">
        <v>-32.903535</v>
      </c>
      <c r="O175" s="7" t="n">
        <v>149.946374</v>
      </c>
    </row>
    <row r="176" customFormat="false" ht="15" hidden="false" customHeight="false" outlineLevel="0" collapsed="false">
      <c r="A176" s="7" t="s">
        <v>3588</v>
      </c>
      <c r="B176" s="7" t="s">
        <v>3589</v>
      </c>
      <c r="C176" s="7" t="s">
        <v>3590</v>
      </c>
      <c r="D176" s="7" t="s">
        <v>3591</v>
      </c>
      <c r="E176" s="7" t="n">
        <v>2756</v>
      </c>
      <c r="F176" s="7" t="s">
        <v>50</v>
      </c>
      <c r="G176" s="7" t="s">
        <v>2806</v>
      </c>
      <c r="H176" s="7" t="s">
        <v>2988</v>
      </c>
      <c r="I176" s="7" t="s">
        <v>3592</v>
      </c>
      <c r="J176" s="7" t="s">
        <v>3593</v>
      </c>
      <c r="K176" s="7" t="s">
        <v>2772</v>
      </c>
      <c r="L176" s="7" t="s">
        <v>2705</v>
      </c>
      <c r="M176" s="10" t="b">
        <f aca="false">FALSE()</f>
        <v>0</v>
      </c>
      <c r="N176" s="7" t="n">
        <v>-33.60895245</v>
      </c>
      <c r="O176" s="7" t="n">
        <v>150.7885628</v>
      </c>
    </row>
    <row r="177" customFormat="false" ht="15" hidden="false" customHeight="false" outlineLevel="0" collapsed="false">
      <c r="A177" s="7" t="s">
        <v>3594</v>
      </c>
      <c r="B177" s="7" t="s">
        <v>3595</v>
      </c>
      <c r="C177" s="7" t="s">
        <v>3596</v>
      </c>
      <c r="D177" s="7" t="s">
        <v>3597</v>
      </c>
      <c r="E177" s="7" t="n">
        <v>2480</v>
      </c>
      <c r="F177" s="7" t="s">
        <v>50</v>
      </c>
      <c r="G177" s="7" t="s">
        <v>2718</v>
      </c>
      <c r="H177" s="7"/>
      <c r="I177" s="7" t="s">
        <v>2719</v>
      </c>
      <c r="J177" s="7"/>
      <c r="K177" s="7"/>
      <c r="L177" s="7"/>
      <c r="M177" s="10" t="b">
        <f aca="false">FALSE()</f>
        <v>0</v>
      </c>
      <c r="N177" s="7" t="n">
        <v>-28.731116</v>
      </c>
      <c r="O177" s="7" t="n">
        <v>153.405844</v>
      </c>
    </row>
    <row r="178" customFormat="false" ht="15" hidden="false" customHeight="false" outlineLevel="0" collapsed="false">
      <c r="A178" s="7" t="s">
        <v>3598</v>
      </c>
      <c r="B178" s="7" t="s">
        <v>3599</v>
      </c>
      <c r="C178" s="7" t="s">
        <v>3600</v>
      </c>
      <c r="D178" s="7" t="s">
        <v>3601</v>
      </c>
      <c r="E178" s="7" t="n">
        <v>2142</v>
      </c>
      <c r="F178" s="7" t="s">
        <v>50</v>
      </c>
      <c r="G178" s="7" t="s">
        <v>2806</v>
      </c>
      <c r="H178" s="7" t="s">
        <v>3602</v>
      </c>
      <c r="I178" s="7" t="s">
        <v>3603</v>
      </c>
      <c r="J178" s="7" t="s">
        <v>3604</v>
      </c>
      <c r="K178" s="7" t="s">
        <v>2772</v>
      </c>
      <c r="L178" s="7" t="s">
        <v>2705</v>
      </c>
      <c r="M178" s="10" t="b">
        <f aca="false">FALSE()</f>
        <v>0</v>
      </c>
      <c r="N178" s="7" t="n">
        <v>-33.83628176</v>
      </c>
      <c r="O178" s="7" t="n">
        <v>151.0174895</v>
      </c>
    </row>
    <row r="179" customFormat="false" ht="15" hidden="false" customHeight="false" outlineLevel="0" collapsed="false">
      <c r="A179" s="7" t="s">
        <v>3605</v>
      </c>
      <c r="B179" s="7" t="s">
        <v>3606</v>
      </c>
      <c r="C179" s="7" t="s">
        <v>3607</v>
      </c>
      <c r="D179" s="7" t="s">
        <v>3608</v>
      </c>
      <c r="E179" s="7" t="n">
        <v>2508</v>
      </c>
      <c r="F179" s="7" t="s">
        <v>50</v>
      </c>
      <c r="G179" s="7" t="s">
        <v>2710</v>
      </c>
      <c r="H179" s="7" t="s">
        <v>3609</v>
      </c>
      <c r="I179" s="7" t="s">
        <v>2831</v>
      </c>
      <c r="J179" s="7" t="s">
        <v>3610</v>
      </c>
      <c r="K179" s="7" t="s">
        <v>2704</v>
      </c>
      <c r="L179" s="7" t="s">
        <v>2705</v>
      </c>
      <c r="M179" s="10" t="b">
        <f aca="false">TRUE()</f>
        <v>1</v>
      </c>
      <c r="N179" s="7" t="n">
        <v>-34.24225043</v>
      </c>
      <c r="O179" s="7" t="n">
        <v>150.9772427</v>
      </c>
    </row>
    <row r="180" customFormat="false" ht="15" hidden="false" customHeight="false" outlineLevel="0" collapsed="false">
      <c r="A180" s="7" t="s">
        <v>3611</v>
      </c>
      <c r="B180" s="7" t="s">
        <v>3612</v>
      </c>
      <c r="C180" s="7" t="s">
        <v>3613</v>
      </c>
      <c r="D180" s="7" t="s">
        <v>3614</v>
      </c>
      <c r="E180" s="7" t="n">
        <v>2835</v>
      </c>
      <c r="F180" s="7" t="s">
        <v>50</v>
      </c>
      <c r="G180" s="7" t="s">
        <v>3615</v>
      </c>
      <c r="H180" s="7"/>
      <c r="I180" s="7" t="s">
        <v>2719</v>
      </c>
      <c r="J180" s="7"/>
      <c r="K180" s="7"/>
      <c r="L180" s="7"/>
      <c r="M180" s="10" t="b">
        <f aca="false">FALSE()</f>
        <v>0</v>
      </c>
      <c r="N180" s="7" t="n">
        <v>-31.498306</v>
      </c>
      <c r="O180" s="7" t="n">
        <v>145.83831</v>
      </c>
    </row>
    <row r="181" customFormat="false" ht="15" hidden="false" customHeight="false" outlineLevel="0" collapsed="false">
      <c r="A181" s="7" t="s">
        <v>3616</v>
      </c>
      <c r="B181" s="7" t="s">
        <v>3617</v>
      </c>
      <c r="C181" s="7" t="s">
        <v>3618</v>
      </c>
      <c r="D181" s="7" t="s">
        <v>3619</v>
      </c>
      <c r="E181" s="7" t="n">
        <v>2347</v>
      </c>
      <c r="F181" s="7" t="s">
        <v>50</v>
      </c>
      <c r="G181" s="7" t="s">
        <v>2718</v>
      </c>
      <c r="H181" s="7"/>
      <c r="I181" s="7" t="s">
        <v>2719</v>
      </c>
      <c r="J181" s="7"/>
      <c r="K181" s="7"/>
      <c r="L181" s="7"/>
      <c r="M181" s="10" t="b">
        <f aca="false">FALSE()</f>
        <v>0</v>
      </c>
      <c r="N181" s="7" t="n">
        <v>-30.230845</v>
      </c>
      <c r="O181" s="7" t="n">
        <v>150.577905</v>
      </c>
    </row>
    <row r="182" customFormat="false" ht="15" hidden="false" customHeight="false" outlineLevel="0" collapsed="false">
      <c r="A182" s="7" t="s">
        <v>3620</v>
      </c>
      <c r="B182" s="7" t="s">
        <v>3621</v>
      </c>
      <c r="C182" s="7" t="s">
        <v>3622</v>
      </c>
      <c r="D182" s="7" t="s">
        <v>3623</v>
      </c>
      <c r="E182" s="7" t="n">
        <v>3644</v>
      </c>
      <c r="F182" s="7" t="s">
        <v>50</v>
      </c>
      <c r="G182" s="7" t="s">
        <v>2718</v>
      </c>
      <c r="H182" s="7"/>
      <c r="I182" s="7" t="s">
        <v>2719</v>
      </c>
      <c r="J182" s="7"/>
      <c r="K182" s="7"/>
      <c r="L182" s="7"/>
      <c r="M182" s="10" t="b">
        <f aca="false">FALSE()</f>
        <v>0</v>
      </c>
      <c r="N182" s="7" t="n">
        <v>-35.920883</v>
      </c>
      <c r="O182" s="7" t="n">
        <v>145.645189</v>
      </c>
    </row>
    <row r="183" customFormat="false" ht="15" hidden="false" customHeight="false" outlineLevel="0" collapsed="false">
      <c r="A183" s="7" t="s">
        <v>3624</v>
      </c>
      <c r="B183" s="7" t="s">
        <v>3625</v>
      </c>
      <c r="C183" s="7" t="s">
        <v>3626</v>
      </c>
      <c r="D183" s="7" t="s">
        <v>3627</v>
      </c>
      <c r="E183" s="7" t="n">
        <v>2041</v>
      </c>
      <c r="F183" s="7" t="s">
        <v>3628</v>
      </c>
      <c r="G183" s="7" t="s">
        <v>2852</v>
      </c>
      <c r="H183" s="7" t="s">
        <v>3263</v>
      </c>
      <c r="I183" s="7" t="s">
        <v>2695</v>
      </c>
      <c r="J183" s="7"/>
      <c r="K183" s="7"/>
      <c r="L183" s="7"/>
      <c r="M183" s="10" t="b">
        <f aca="false">FALSE()</f>
        <v>0</v>
      </c>
      <c r="N183" s="7" t="n">
        <v>-33.84559502</v>
      </c>
      <c r="O183" s="7" t="n">
        <v>151.1732389</v>
      </c>
    </row>
    <row r="184" customFormat="false" ht="15" hidden="false" customHeight="false" outlineLevel="0" collapsed="false">
      <c r="A184" s="7" t="s">
        <v>3629</v>
      </c>
      <c r="B184" s="7" t="s">
        <v>3630</v>
      </c>
      <c r="C184" s="7" t="s">
        <v>3631</v>
      </c>
      <c r="D184" s="7" t="s">
        <v>3632</v>
      </c>
      <c r="E184" s="7" t="n">
        <v>2284</v>
      </c>
      <c r="F184" s="7" t="s">
        <v>50</v>
      </c>
      <c r="G184" s="7" t="s">
        <v>2710</v>
      </c>
      <c r="H184" s="7" t="s">
        <v>2701</v>
      </c>
      <c r="I184" s="7" t="s">
        <v>3633</v>
      </c>
      <c r="J184" s="7" t="s">
        <v>3203</v>
      </c>
      <c r="K184" s="7" t="s">
        <v>2704</v>
      </c>
      <c r="L184" s="7" t="s">
        <v>2705</v>
      </c>
      <c r="M184" s="10" t="b">
        <f aca="false">TRUE()</f>
        <v>1</v>
      </c>
      <c r="N184" s="7" t="n">
        <v>-32.94270992</v>
      </c>
      <c r="O184" s="7" t="n">
        <v>151.6233813</v>
      </c>
    </row>
    <row r="185" customFormat="false" ht="15" hidden="false" customHeight="false" outlineLevel="0" collapsed="false">
      <c r="A185" s="7" t="s">
        <v>3634</v>
      </c>
      <c r="B185" s="7" t="s">
        <v>3635</v>
      </c>
      <c r="C185" s="7" t="s">
        <v>3636</v>
      </c>
      <c r="D185" s="7" t="s">
        <v>3637</v>
      </c>
      <c r="E185" s="7" t="n">
        <v>2450</v>
      </c>
      <c r="F185" s="7" t="s">
        <v>50</v>
      </c>
      <c r="G185" s="7" t="s">
        <v>2718</v>
      </c>
      <c r="H185" s="7"/>
      <c r="I185" s="7" t="s">
        <v>2719</v>
      </c>
      <c r="J185" s="7"/>
      <c r="K185" s="7"/>
      <c r="L185" s="7"/>
      <c r="M185" s="10" t="b">
        <f aca="false">FALSE()</f>
        <v>0</v>
      </c>
      <c r="N185" s="7" t="n">
        <v>-30.298868</v>
      </c>
      <c r="O185" s="7" t="n">
        <v>153.111773</v>
      </c>
    </row>
    <row r="186" customFormat="false" ht="15" hidden="false" customHeight="false" outlineLevel="0" collapsed="false">
      <c r="A186" s="7" t="s">
        <v>3638</v>
      </c>
      <c r="B186" s="7" t="s">
        <v>3639</v>
      </c>
      <c r="C186" s="7" t="s">
        <v>3640</v>
      </c>
      <c r="D186" s="7" t="s">
        <v>3641</v>
      </c>
      <c r="E186" s="7" t="n">
        <v>2450</v>
      </c>
      <c r="F186" s="7" t="s">
        <v>50</v>
      </c>
      <c r="G186" s="7" t="s">
        <v>2793</v>
      </c>
      <c r="H186" s="7" t="s">
        <v>2736</v>
      </c>
      <c r="I186" s="7" t="s">
        <v>2737</v>
      </c>
      <c r="J186" s="7"/>
      <c r="K186" s="7"/>
      <c r="L186" s="7"/>
      <c r="M186" s="10" t="b">
        <f aca="false">FALSE()</f>
        <v>0</v>
      </c>
      <c r="N186" s="7" t="n">
        <v>-30.3052</v>
      </c>
      <c r="O186" s="7" t="n">
        <v>153.138175</v>
      </c>
    </row>
    <row r="187" customFormat="false" ht="15" hidden="false" customHeight="false" outlineLevel="0" collapsed="false">
      <c r="A187" s="7" t="s">
        <v>3642</v>
      </c>
      <c r="B187" s="7" t="s">
        <v>3643</v>
      </c>
      <c r="C187" s="7" t="s">
        <v>3644</v>
      </c>
      <c r="D187" s="7" t="s">
        <v>3645</v>
      </c>
      <c r="E187" s="7" t="n">
        <v>2515</v>
      </c>
      <c r="F187" s="7" t="s">
        <v>50</v>
      </c>
      <c r="G187" s="7" t="s">
        <v>2793</v>
      </c>
      <c r="H187" s="7" t="s">
        <v>3315</v>
      </c>
      <c r="I187" s="7" t="s">
        <v>3202</v>
      </c>
      <c r="J187" s="7" t="s">
        <v>2825</v>
      </c>
      <c r="K187" s="7" t="s">
        <v>2704</v>
      </c>
      <c r="L187" s="7" t="s">
        <v>2705</v>
      </c>
      <c r="M187" s="10" t="b">
        <f aca="false">TRUE()</f>
        <v>1</v>
      </c>
      <c r="N187" s="7" t="n">
        <v>-34.28938913</v>
      </c>
      <c r="O187" s="7" t="n">
        <v>150.9433353</v>
      </c>
    </row>
    <row r="188" customFormat="false" ht="15" hidden="false" customHeight="false" outlineLevel="0" collapsed="false">
      <c r="A188" s="7" t="s">
        <v>3646</v>
      </c>
      <c r="B188" s="7" t="s">
        <v>3647</v>
      </c>
      <c r="C188" s="7" t="s">
        <v>3648</v>
      </c>
      <c r="D188" s="7" t="s">
        <v>3649</v>
      </c>
      <c r="E188" s="7" t="n">
        <v>2097</v>
      </c>
      <c r="F188" s="7" t="s">
        <v>50</v>
      </c>
      <c r="G188" s="7" t="s">
        <v>3439</v>
      </c>
      <c r="H188" s="7" t="s">
        <v>3650</v>
      </c>
      <c r="I188" s="7" t="s">
        <v>3400</v>
      </c>
      <c r="J188" s="7"/>
      <c r="K188" s="7" t="s">
        <v>2772</v>
      </c>
      <c r="L188" s="7" t="s">
        <v>2705</v>
      </c>
      <c r="M188" s="10" t="b">
        <f aca="false">FALSE()</f>
        <v>0</v>
      </c>
      <c r="N188" s="7" t="n">
        <v>-33.731811</v>
      </c>
      <c r="O188" s="7" t="n">
        <v>151.301239</v>
      </c>
    </row>
    <row r="189" customFormat="false" ht="15" hidden="false" customHeight="false" outlineLevel="0" collapsed="false">
      <c r="A189" s="7" t="s">
        <v>3651</v>
      </c>
      <c r="B189" s="7" t="s">
        <v>3652</v>
      </c>
      <c r="C189" s="7" t="s">
        <v>3653</v>
      </c>
      <c r="D189" s="7" t="s">
        <v>3654</v>
      </c>
      <c r="E189" s="7" t="n">
        <v>2226</v>
      </c>
      <c r="F189" s="7" t="s">
        <v>50</v>
      </c>
      <c r="G189" s="7" t="s">
        <v>2806</v>
      </c>
      <c r="H189" s="7" t="s">
        <v>3655</v>
      </c>
      <c r="I189" s="7" t="s">
        <v>2747</v>
      </c>
      <c r="J189" s="7" t="s">
        <v>3656</v>
      </c>
      <c r="K189" s="7" t="s">
        <v>2772</v>
      </c>
      <c r="L189" s="7" t="s">
        <v>2705</v>
      </c>
      <c r="M189" s="10" t="b">
        <f aca="false">FALSE()</f>
        <v>0</v>
      </c>
      <c r="N189" s="7" t="n">
        <v>-34.00426616</v>
      </c>
      <c r="O189" s="7" t="n">
        <v>151.0679988</v>
      </c>
    </row>
    <row r="190" customFormat="false" ht="15" hidden="false" customHeight="false" outlineLevel="0" collapsed="false">
      <c r="A190" s="7" t="s">
        <v>3657</v>
      </c>
      <c r="B190" s="7" t="s">
        <v>3658</v>
      </c>
      <c r="C190" s="7" t="s">
        <v>3659</v>
      </c>
      <c r="D190" s="7" t="s">
        <v>3660</v>
      </c>
      <c r="E190" s="7" t="n">
        <v>2138</v>
      </c>
      <c r="F190" s="7" t="s">
        <v>50</v>
      </c>
      <c r="G190" s="7" t="s">
        <v>2806</v>
      </c>
      <c r="H190" s="7" t="s">
        <v>3661</v>
      </c>
      <c r="I190" s="7" t="s">
        <v>2747</v>
      </c>
      <c r="J190" s="7" t="s">
        <v>3662</v>
      </c>
      <c r="K190" s="7" t="s">
        <v>2772</v>
      </c>
      <c r="L190" s="7" t="s">
        <v>2705</v>
      </c>
      <c r="M190" s="10" t="b">
        <f aca="false">FALSE()</f>
        <v>0</v>
      </c>
      <c r="N190" s="7" t="n">
        <v>-33.84873998</v>
      </c>
      <c r="O190" s="7" t="n">
        <v>151.0856262</v>
      </c>
    </row>
    <row r="191" customFormat="false" ht="15" hidden="false" customHeight="false" outlineLevel="0" collapsed="false">
      <c r="A191" s="7" t="s">
        <v>3663</v>
      </c>
      <c r="B191" s="7" t="s">
        <v>3664</v>
      </c>
      <c r="C191" s="7" t="s">
        <v>3665</v>
      </c>
      <c r="D191" s="7" t="s">
        <v>3666</v>
      </c>
      <c r="E191" s="7" t="n">
        <v>2877</v>
      </c>
      <c r="F191" s="7" t="s">
        <v>50</v>
      </c>
      <c r="G191" s="7" t="s">
        <v>2806</v>
      </c>
      <c r="H191" s="7" t="s">
        <v>3667</v>
      </c>
      <c r="I191" s="7" t="s">
        <v>2939</v>
      </c>
      <c r="J191" s="7"/>
      <c r="K191" s="7"/>
      <c r="L191" s="7"/>
      <c r="M191" s="10" t="b">
        <f aca="false">FALSE()</f>
        <v>0</v>
      </c>
      <c r="N191" s="7" t="n">
        <v>-33.08391</v>
      </c>
      <c r="O191" s="7" t="n">
        <v>147.153285</v>
      </c>
    </row>
    <row r="192" customFormat="false" ht="15" hidden="false" customHeight="false" outlineLevel="0" collapsed="false">
      <c r="A192" s="7" t="s">
        <v>3668</v>
      </c>
      <c r="B192" s="7" t="s">
        <v>3669</v>
      </c>
      <c r="C192" s="7" t="s">
        <v>3670</v>
      </c>
      <c r="D192" s="7" t="s">
        <v>3671</v>
      </c>
      <c r="E192" s="7" t="n">
        <v>2877</v>
      </c>
      <c r="F192" s="7" t="s">
        <v>50</v>
      </c>
      <c r="G192" s="7" t="s">
        <v>2718</v>
      </c>
      <c r="H192" s="7"/>
      <c r="I192" s="7" t="s">
        <v>2719</v>
      </c>
      <c r="J192" s="7"/>
      <c r="K192" s="7"/>
      <c r="L192" s="7"/>
      <c r="M192" s="10" t="b">
        <f aca="false">FALSE()</f>
        <v>0</v>
      </c>
      <c r="N192" s="7" t="n">
        <v>-33.090038</v>
      </c>
      <c r="O192" s="7" t="n">
        <v>147.147115</v>
      </c>
    </row>
    <row r="193" customFormat="false" ht="15" hidden="false" customHeight="false" outlineLevel="0" collapsed="false">
      <c r="A193" s="7" t="s">
        <v>3672</v>
      </c>
      <c r="B193" s="7" t="s">
        <v>3673</v>
      </c>
      <c r="C193" s="7" t="s">
        <v>3674</v>
      </c>
      <c r="D193" s="7" t="s">
        <v>3675</v>
      </c>
      <c r="E193" s="7" t="n">
        <v>2500</v>
      </c>
      <c r="F193" s="7" t="s">
        <v>50</v>
      </c>
      <c r="G193" s="7" t="s">
        <v>2786</v>
      </c>
      <c r="H193" s="7" t="s">
        <v>3676</v>
      </c>
      <c r="I193" s="7" t="s">
        <v>2831</v>
      </c>
      <c r="J193" s="7" t="s">
        <v>3677</v>
      </c>
      <c r="K193" s="7" t="s">
        <v>2704</v>
      </c>
      <c r="L193" s="7" t="s">
        <v>2705</v>
      </c>
      <c r="M193" s="10" t="b">
        <f aca="false">TRUE()</f>
        <v>1</v>
      </c>
      <c r="N193" s="7" t="n">
        <v>-34.43745489</v>
      </c>
      <c r="O193" s="7" t="n">
        <v>150.8855292</v>
      </c>
    </row>
    <row r="194" customFormat="false" ht="15" hidden="false" customHeight="false" outlineLevel="0" collapsed="false">
      <c r="A194" s="7" t="s">
        <v>3678</v>
      </c>
      <c r="B194" s="7" t="s">
        <v>3679</v>
      </c>
      <c r="C194" s="7" t="s">
        <v>3680</v>
      </c>
      <c r="D194" s="7" t="s">
        <v>3681</v>
      </c>
      <c r="E194" s="7" t="n">
        <v>2000</v>
      </c>
      <c r="F194" s="7" t="s">
        <v>50</v>
      </c>
      <c r="G194" s="7" t="s">
        <v>2769</v>
      </c>
      <c r="H194" s="7" t="s">
        <v>2872</v>
      </c>
      <c r="I194" s="7" t="s">
        <v>3682</v>
      </c>
      <c r="J194" s="7"/>
      <c r="K194" s="7" t="s">
        <v>2772</v>
      </c>
      <c r="L194" s="7" t="s">
        <v>2705</v>
      </c>
      <c r="M194" s="10" t="b">
        <f aca="false">FALSE()</f>
        <v>0</v>
      </c>
      <c r="N194" s="7" t="n">
        <v>-33.87262846</v>
      </c>
      <c r="O194" s="7" t="n">
        <v>151.198123</v>
      </c>
    </row>
    <row r="195" customFormat="false" ht="15" hidden="false" customHeight="false" outlineLevel="0" collapsed="false">
      <c r="A195" s="7" t="s">
        <v>3683</v>
      </c>
      <c r="B195" s="7" t="s">
        <v>3684</v>
      </c>
      <c r="C195" s="7" t="s">
        <v>3685</v>
      </c>
      <c r="D195" s="7" t="s">
        <v>3686</v>
      </c>
      <c r="E195" s="7" t="n">
        <v>2831</v>
      </c>
      <c r="F195" s="7" t="s">
        <v>50</v>
      </c>
      <c r="G195" s="7" t="s">
        <v>2718</v>
      </c>
      <c r="H195" s="7"/>
      <c r="I195" s="7" t="s">
        <v>2719</v>
      </c>
      <c r="J195" s="7"/>
      <c r="K195" s="7"/>
      <c r="L195" s="7"/>
      <c r="M195" s="10" t="b">
        <f aca="false">FALSE()</f>
        <v>0</v>
      </c>
      <c r="N195" s="7" t="n">
        <v>-31.027687</v>
      </c>
      <c r="O195" s="7" t="n">
        <v>146.713126</v>
      </c>
    </row>
    <row r="196" customFormat="false" ht="15" hidden="false" customHeight="false" outlineLevel="0" collapsed="false">
      <c r="A196" s="7" t="s">
        <v>3687</v>
      </c>
      <c r="B196" s="7" t="s">
        <v>3688</v>
      </c>
      <c r="C196" s="7" t="s">
        <v>3689</v>
      </c>
      <c r="D196" s="7" t="s">
        <v>3690</v>
      </c>
      <c r="E196" s="7" t="n">
        <v>2727</v>
      </c>
      <c r="F196" s="7" t="s">
        <v>50</v>
      </c>
      <c r="G196" s="7" t="s">
        <v>2718</v>
      </c>
      <c r="H196" s="7"/>
      <c r="I196" s="7" t="s">
        <v>2719</v>
      </c>
      <c r="J196" s="7"/>
      <c r="K196" s="7"/>
      <c r="L196" s="7"/>
      <c r="M196" s="10" t="b">
        <f aca="false">FALSE()</f>
        <v>0</v>
      </c>
      <c r="N196" s="7" t="n">
        <v>-34.929046</v>
      </c>
      <c r="O196" s="7" t="n">
        <v>148.166247</v>
      </c>
    </row>
    <row r="197" customFormat="false" ht="15" hidden="false" customHeight="false" outlineLevel="0" collapsed="false">
      <c r="A197" s="7" t="s">
        <v>3691</v>
      </c>
      <c r="B197" s="7" t="s">
        <v>3692</v>
      </c>
      <c r="C197" s="7" t="s">
        <v>3693</v>
      </c>
      <c r="D197" s="7" t="s">
        <v>3694</v>
      </c>
      <c r="E197" s="7" t="n">
        <v>2843</v>
      </c>
      <c r="F197" s="7" t="s">
        <v>50</v>
      </c>
      <c r="G197" s="7" t="s">
        <v>2718</v>
      </c>
      <c r="H197" s="7"/>
      <c r="I197" s="7" t="s">
        <v>2719</v>
      </c>
      <c r="J197" s="7"/>
      <c r="K197" s="7"/>
      <c r="L197" s="7"/>
      <c r="M197" s="10" t="b">
        <f aca="false">FALSE()</f>
        <v>0</v>
      </c>
      <c r="N197" s="7" t="n">
        <v>-31.825022</v>
      </c>
      <c r="O197" s="7" t="n">
        <v>149.718902</v>
      </c>
    </row>
    <row r="198" customFormat="false" ht="15" hidden="false" customHeight="false" outlineLevel="0" collapsed="false">
      <c r="A198" s="7" t="s">
        <v>3695</v>
      </c>
      <c r="B198" s="7" t="s">
        <v>3696</v>
      </c>
      <c r="C198" s="7" t="s">
        <v>3697</v>
      </c>
      <c r="D198" s="7" t="s">
        <v>3698</v>
      </c>
      <c r="E198" s="7" t="n">
        <v>2701</v>
      </c>
      <c r="F198" s="7" t="s">
        <v>50</v>
      </c>
      <c r="G198" s="7" t="s">
        <v>2806</v>
      </c>
      <c r="H198" s="7" t="s">
        <v>3699</v>
      </c>
      <c r="I198" s="7" t="s">
        <v>2919</v>
      </c>
      <c r="J198" s="7"/>
      <c r="K198" s="7"/>
      <c r="L198" s="7"/>
      <c r="M198" s="10" t="b">
        <f aca="false">FALSE()</f>
        <v>0</v>
      </c>
      <c r="N198" s="7" t="n">
        <v>-34.816045</v>
      </c>
      <c r="O198" s="7" t="n">
        <v>147.201858</v>
      </c>
    </row>
    <row r="199" customFormat="false" ht="15" hidden="false" customHeight="false" outlineLevel="0" collapsed="false">
      <c r="A199" s="7" t="s">
        <v>3700</v>
      </c>
      <c r="B199" s="7" t="s">
        <v>3701</v>
      </c>
      <c r="C199" s="7" t="s">
        <v>3702</v>
      </c>
      <c r="D199" s="7" t="s">
        <v>3703</v>
      </c>
      <c r="E199" s="7" t="n">
        <v>2630</v>
      </c>
      <c r="F199" s="7" t="s">
        <v>50</v>
      </c>
      <c r="G199" s="7" t="s">
        <v>2718</v>
      </c>
      <c r="H199" s="7"/>
      <c r="I199" s="7" t="s">
        <v>2719</v>
      </c>
      <c r="J199" s="7"/>
      <c r="K199" s="7"/>
      <c r="L199" s="7"/>
      <c r="M199" s="10" t="b">
        <f aca="false">FALSE()</f>
        <v>0</v>
      </c>
      <c r="N199" s="7" t="n">
        <v>-36.234146</v>
      </c>
      <c r="O199" s="7" t="n">
        <v>149.126521</v>
      </c>
    </row>
    <row r="200" customFormat="false" ht="15" hidden="false" customHeight="false" outlineLevel="0" collapsed="false">
      <c r="A200" s="7" t="s">
        <v>3704</v>
      </c>
      <c r="B200" s="7" t="s">
        <v>3705</v>
      </c>
      <c r="C200" s="7" t="s">
        <v>3706</v>
      </c>
      <c r="D200" s="7" t="s">
        <v>3707</v>
      </c>
      <c r="E200" s="7" t="n">
        <v>2357</v>
      </c>
      <c r="F200" s="7" t="s">
        <v>50</v>
      </c>
      <c r="G200" s="7" t="s">
        <v>2718</v>
      </c>
      <c r="H200" s="7"/>
      <c r="I200" s="7" t="s">
        <v>2719</v>
      </c>
      <c r="J200" s="7"/>
      <c r="K200" s="7"/>
      <c r="L200" s="7"/>
      <c r="M200" s="10" t="b">
        <f aca="false">FALSE()</f>
        <v>0</v>
      </c>
      <c r="N200" s="7" t="n">
        <v>-31.279073</v>
      </c>
      <c r="O200" s="7" t="n">
        <v>149.279362</v>
      </c>
    </row>
    <row r="201" customFormat="false" ht="15" hidden="false" customHeight="false" outlineLevel="0" collapsed="false">
      <c r="A201" s="7" t="s">
        <v>3708</v>
      </c>
      <c r="B201" s="7" t="s">
        <v>3709</v>
      </c>
      <c r="C201" s="7" t="s">
        <v>3710</v>
      </c>
      <c r="D201" s="7" t="s">
        <v>3711</v>
      </c>
      <c r="E201" s="7" t="n">
        <v>2829</v>
      </c>
      <c r="F201" s="7" t="s">
        <v>50</v>
      </c>
      <c r="G201" s="7" t="s">
        <v>2718</v>
      </c>
      <c r="H201" s="7"/>
      <c r="I201" s="7" t="s">
        <v>2719</v>
      </c>
      <c r="J201" s="7"/>
      <c r="K201" s="7"/>
      <c r="L201" s="7"/>
      <c r="M201" s="10" t="b">
        <f aca="false">FALSE()</f>
        <v>0</v>
      </c>
      <c r="N201" s="7" t="n">
        <v>-30.955843</v>
      </c>
      <c r="O201" s="7" t="n">
        <v>148.389184</v>
      </c>
    </row>
    <row r="202" customFormat="false" ht="15" hidden="false" customHeight="false" outlineLevel="0" collapsed="false">
      <c r="A202" s="7" t="s">
        <v>3712</v>
      </c>
      <c r="B202" s="7" t="s">
        <v>3713</v>
      </c>
      <c r="C202" s="7" t="s">
        <v>3714</v>
      </c>
      <c r="D202" s="7" t="s">
        <v>3715</v>
      </c>
      <c r="E202" s="7" t="n">
        <v>2590</v>
      </c>
      <c r="F202" s="7" t="s">
        <v>50</v>
      </c>
      <c r="G202" s="7" t="s">
        <v>2735</v>
      </c>
      <c r="H202" s="7" t="s">
        <v>3716</v>
      </c>
      <c r="I202" s="7" t="s">
        <v>2702</v>
      </c>
      <c r="J202" s="7"/>
      <c r="K202" s="7"/>
      <c r="L202" s="7"/>
      <c r="M202" s="10" t="b">
        <f aca="false">FALSE()</f>
        <v>0</v>
      </c>
      <c r="N202" s="7" t="n">
        <v>-34.641038</v>
      </c>
      <c r="O202" s="7" t="n">
        <v>148.030649</v>
      </c>
    </row>
    <row r="203" customFormat="false" ht="15" hidden="false" customHeight="false" outlineLevel="0" collapsed="false">
      <c r="A203" s="7" t="s">
        <v>3717</v>
      </c>
      <c r="B203" s="7" t="s">
        <v>3718</v>
      </c>
      <c r="C203" s="7" t="s">
        <v>3719</v>
      </c>
      <c r="D203" s="7" t="s">
        <v>3720</v>
      </c>
      <c r="E203" s="7" t="n">
        <v>2646</v>
      </c>
      <c r="F203" s="7" t="s">
        <v>50</v>
      </c>
      <c r="G203" s="7" t="s">
        <v>2718</v>
      </c>
      <c r="H203" s="7"/>
      <c r="I203" s="7" t="s">
        <v>2719</v>
      </c>
      <c r="J203" s="7"/>
      <c r="K203" s="7"/>
      <c r="L203" s="7"/>
      <c r="M203" s="10" t="b">
        <f aca="false">FALSE()</f>
        <v>0</v>
      </c>
      <c r="N203" s="7" t="n">
        <v>-35.998779</v>
      </c>
      <c r="O203" s="7" t="n">
        <v>146.391492</v>
      </c>
    </row>
    <row r="204" customFormat="false" ht="15" hidden="false" customHeight="false" outlineLevel="0" collapsed="false">
      <c r="A204" s="7" t="s">
        <v>3721</v>
      </c>
      <c r="B204" s="7" t="s">
        <v>3722</v>
      </c>
      <c r="C204" s="7" t="s">
        <v>3723</v>
      </c>
      <c r="D204" s="7" t="s">
        <v>3724</v>
      </c>
      <c r="E204" s="7" t="n">
        <v>2518</v>
      </c>
      <c r="F204" s="7" t="s">
        <v>50</v>
      </c>
      <c r="G204" s="7" t="s">
        <v>2793</v>
      </c>
      <c r="H204" s="7" t="s">
        <v>3725</v>
      </c>
      <c r="I204" s="7" t="s">
        <v>3726</v>
      </c>
      <c r="J204" s="7" t="s">
        <v>3727</v>
      </c>
      <c r="K204" s="7" t="s">
        <v>2704</v>
      </c>
      <c r="L204" s="7" t="s">
        <v>2705</v>
      </c>
      <c r="M204" s="10" t="b">
        <f aca="false">TRUE()</f>
        <v>1</v>
      </c>
      <c r="N204" s="7" t="n">
        <v>-34.37572692</v>
      </c>
      <c r="O204" s="7" t="n">
        <v>150.9049716</v>
      </c>
    </row>
    <row r="205" customFormat="false" ht="15" hidden="false" customHeight="false" outlineLevel="0" collapsed="false">
      <c r="A205" s="7" t="s">
        <v>3728</v>
      </c>
      <c r="B205" s="7" t="s">
        <v>3729</v>
      </c>
      <c r="C205" s="7" t="s">
        <v>3730</v>
      </c>
      <c r="D205" s="7" t="s">
        <v>3731</v>
      </c>
      <c r="E205" s="7" t="n">
        <v>2081</v>
      </c>
      <c r="F205" s="7" t="s">
        <v>50</v>
      </c>
      <c r="G205" s="7" t="s">
        <v>2806</v>
      </c>
      <c r="H205" s="7" t="s">
        <v>3732</v>
      </c>
      <c r="I205" s="7" t="s">
        <v>3592</v>
      </c>
      <c r="J205" s="7" t="s">
        <v>3045</v>
      </c>
      <c r="K205" s="7" t="s">
        <v>2704</v>
      </c>
      <c r="L205" s="7" t="s">
        <v>2705</v>
      </c>
      <c r="M205" s="10" t="b">
        <f aca="false">TRUE()</f>
        <v>1</v>
      </c>
      <c r="N205" s="7" t="n">
        <v>-33.59310763</v>
      </c>
      <c r="O205" s="7" t="n">
        <v>151.1717177</v>
      </c>
    </row>
    <row r="206" customFormat="false" ht="15" hidden="false" customHeight="false" outlineLevel="0" collapsed="false">
      <c r="A206" s="7" t="s">
        <v>3733</v>
      </c>
      <c r="B206" s="7" t="s">
        <v>3734</v>
      </c>
      <c r="C206" s="7" t="s">
        <v>3735</v>
      </c>
      <c r="D206" s="7" t="s">
        <v>3736</v>
      </c>
      <c r="E206" s="7" t="n">
        <v>2460</v>
      </c>
      <c r="F206" s="7" t="s">
        <v>50</v>
      </c>
      <c r="G206" s="7" t="s">
        <v>2718</v>
      </c>
      <c r="H206" s="7"/>
      <c r="I206" s="7" t="s">
        <v>2719</v>
      </c>
      <c r="J206" s="7"/>
      <c r="K206" s="7"/>
      <c r="L206" s="7"/>
      <c r="M206" s="10" t="b">
        <f aca="false">FALSE()</f>
        <v>0</v>
      </c>
      <c r="N206" s="7" t="n">
        <v>-29.573336</v>
      </c>
      <c r="O206" s="7" t="n">
        <v>153.073751</v>
      </c>
    </row>
    <row r="207" customFormat="false" ht="15" hidden="false" customHeight="false" outlineLevel="0" collapsed="false">
      <c r="A207" s="7" t="s">
        <v>3737</v>
      </c>
      <c r="B207" s="7" t="s">
        <v>3738</v>
      </c>
      <c r="C207" s="7" t="s">
        <v>3739</v>
      </c>
      <c r="D207" s="7" t="s">
        <v>3740</v>
      </c>
      <c r="E207" s="7" t="n">
        <v>2794</v>
      </c>
      <c r="F207" s="7" t="s">
        <v>50</v>
      </c>
      <c r="G207" s="7" t="s">
        <v>2718</v>
      </c>
      <c r="H207" s="7"/>
      <c r="I207" s="7" t="s">
        <v>2719</v>
      </c>
      <c r="J207" s="7"/>
      <c r="K207" s="7"/>
      <c r="L207" s="7"/>
      <c r="M207" s="10" t="b">
        <f aca="false">FALSE()</f>
        <v>0</v>
      </c>
      <c r="N207" s="7" t="n">
        <v>-33.834717</v>
      </c>
      <c r="O207" s="7" t="n">
        <v>148.688777</v>
      </c>
    </row>
    <row r="208" customFormat="false" ht="15" hidden="false" customHeight="false" outlineLevel="0" collapsed="false">
      <c r="A208" s="7" t="s">
        <v>3741</v>
      </c>
      <c r="B208" s="7" t="s">
        <v>3742</v>
      </c>
      <c r="C208" s="7" t="s">
        <v>3743</v>
      </c>
      <c r="D208" s="7" t="s">
        <v>3744</v>
      </c>
      <c r="E208" s="7" t="n">
        <v>2844</v>
      </c>
      <c r="F208" s="7" t="s">
        <v>50</v>
      </c>
      <c r="G208" s="7" t="s">
        <v>2718</v>
      </c>
      <c r="H208" s="7"/>
      <c r="I208" s="7" t="s">
        <v>2719</v>
      </c>
      <c r="J208" s="7"/>
      <c r="K208" s="7"/>
      <c r="L208" s="7"/>
      <c r="M208" s="10" t="b">
        <f aca="false">FALSE()</f>
        <v>0</v>
      </c>
      <c r="N208" s="7" t="n">
        <v>-32.03896</v>
      </c>
      <c r="O208" s="7" t="n">
        <v>149.476512</v>
      </c>
    </row>
    <row r="209" customFormat="false" ht="15" hidden="false" customHeight="false" outlineLevel="0" collapsed="false">
      <c r="A209" s="7" t="s">
        <v>3745</v>
      </c>
      <c r="B209" s="7" t="s">
        <v>3746</v>
      </c>
      <c r="C209" s="7" t="s">
        <v>3747</v>
      </c>
      <c r="D209" s="7" t="s">
        <v>3748</v>
      </c>
      <c r="E209" s="7" t="n">
        <v>2422</v>
      </c>
      <c r="F209" s="7" t="s">
        <v>50</v>
      </c>
      <c r="G209" s="7" t="s">
        <v>2718</v>
      </c>
      <c r="H209" s="7"/>
      <c r="I209" s="7" t="s">
        <v>2719</v>
      </c>
      <c r="J209" s="7"/>
      <c r="K209" s="7"/>
      <c r="L209" s="7"/>
      <c r="M209" s="10" t="b">
        <f aca="false">FALSE()</f>
        <v>0</v>
      </c>
      <c r="N209" s="7" t="n">
        <v>-32.1575</v>
      </c>
      <c r="O209" s="7" t="n">
        <v>151.9494</v>
      </c>
    </row>
    <row r="210" customFormat="false" ht="15" hidden="false" customHeight="false" outlineLevel="0" collapsed="false">
      <c r="A210" s="7" t="s">
        <v>3749</v>
      </c>
      <c r="B210" s="7" t="s">
        <v>3750</v>
      </c>
      <c r="C210" s="7" t="s">
        <v>3751</v>
      </c>
      <c r="D210" s="7" t="s">
        <v>3752</v>
      </c>
      <c r="E210" s="7" t="n">
        <v>2090</v>
      </c>
      <c r="F210" s="7" t="s">
        <v>50</v>
      </c>
      <c r="G210" s="7" t="s">
        <v>2693</v>
      </c>
      <c r="H210" s="7" t="s">
        <v>3753</v>
      </c>
      <c r="I210" s="7" t="s">
        <v>2695</v>
      </c>
      <c r="J210" s="7"/>
      <c r="K210" s="7"/>
      <c r="L210" s="7"/>
      <c r="M210" s="10" t="b">
        <f aca="false">FALSE()</f>
        <v>0</v>
      </c>
      <c r="N210" s="7" t="n">
        <v>-33.84787838</v>
      </c>
      <c r="O210" s="7" t="n">
        <v>151.2308584</v>
      </c>
    </row>
    <row r="211" customFormat="false" ht="15" hidden="false" customHeight="false" outlineLevel="0" collapsed="false">
      <c r="A211" s="7" t="s">
        <v>3754</v>
      </c>
      <c r="B211" s="7" t="s">
        <v>3755</v>
      </c>
      <c r="C211" s="7" t="s">
        <v>3756</v>
      </c>
      <c r="D211" s="7" t="s">
        <v>3757</v>
      </c>
      <c r="E211" s="7" t="n">
        <v>2505</v>
      </c>
      <c r="F211" s="7" t="s">
        <v>50</v>
      </c>
      <c r="G211" s="7" t="s">
        <v>2710</v>
      </c>
      <c r="H211" s="7" t="s">
        <v>3758</v>
      </c>
      <c r="I211" s="7" t="s">
        <v>2831</v>
      </c>
      <c r="J211" s="7" t="s">
        <v>3759</v>
      </c>
      <c r="K211" s="7" t="s">
        <v>2704</v>
      </c>
      <c r="L211" s="7" t="s">
        <v>2705</v>
      </c>
      <c r="M211" s="10" t="b">
        <f aca="false">TRUE()</f>
        <v>1</v>
      </c>
      <c r="N211" s="7" t="n">
        <v>-34.46717554</v>
      </c>
      <c r="O211" s="7" t="n">
        <v>150.8784228</v>
      </c>
    </row>
    <row r="212" customFormat="false" ht="15" hidden="false" customHeight="false" outlineLevel="0" collapsed="false">
      <c r="A212" s="7" t="s">
        <v>3760</v>
      </c>
      <c r="B212" s="7" t="s">
        <v>3761</v>
      </c>
      <c r="C212" s="7" t="s">
        <v>3762</v>
      </c>
      <c r="D212" s="7" t="s">
        <v>3763</v>
      </c>
      <c r="E212" s="7" t="n">
        <v>2230</v>
      </c>
      <c r="F212" s="7" t="s">
        <v>50</v>
      </c>
      <c r="G212" s="7" t="s">
        <v>3764</v>
      </c>
      <c r="H212" s="7" t="s">
        <v>3765</v>
      </c>
      <c r="I212" s="7" t="s">
        <v>3059</v>
      </c>
      <c r="J212" s="7" t="s">
        <v>3766</v>
      </c>
      <c r="K212" s="7" t="s">
        <v>2772</v>
      </c>
      <c r="L212" s="7" t="s">
        <v>2705</v>
      </c>
      <c r="M212" s="10" t="b">
        <f aca="false">FALSE()</f>
        <v>0</v>
      </c>
      <c r="N212" s="7" t="n">
        <v>-34.05625171</v>
      </c>
      <c r="O212" s="7" t="n">
        <v>151.1515424</v>
      </c>
    </row>
    <row r="213" customFormat="false" ht="15" hidden="false" customHeight="false" outlineLevel="0" collapsed="false">
      <c r="A213" s="7" t="s">
        <v>3767</v>
      </c>
      <c r="B213" s="7" t="s">
        <v>3768</v>
      </c>
      <c r="C213" s="7" t="s">
        <v>3769</v>
      </c>
      <c r="D213" s="7" t="s">
        <v>3581</v>
      </c>
      <c r="E213" s="7" t="n">
        <v>2300</v>
      </c>
      <c r="F213" s="7" t="s">
        <v>50</v>
      </c>
      <c r="G213" s="7" t="s">
        <v>2769</v>
      </c>
      <c r="H213" s="7" t="s">
        <v>3582</v>
      </c>
      <c r="I213" s="7" t="s">
        <v>3583</v>
      </c>
      <c r="J213" s="7"/>
      <c r="K213" s="7" t="s">
        <v>2772</v>
      </c>
      <c r="L213" s="7" t="s">
        <v>2705</v>
      </c>
      <c r="M213" s="10" t="b">
        <f aca="false">FALSE()</f>
        <v>0</v>
      </c>
      <c r="N213" s="7" t="n">
        <v>-32.926418</v>
      </c>
      <c r="O213" s="7" t="n">
        <v>151.77715</v>
      </c>
    </row>
    <row r="214" customFormat="false" ht="15" hidden="false" customHeight="false" outlineLevel="0" collapsed="false">
      <c r="A214" s="7" t="s">
        <v>3770</v>
      </c>
      <c r="B214" s="7" t="s">
        <v>3771</v>
      </c>
      <c r="C214" s="7" t="s">
        <v>3772</v>
      </c>
      <c r="D214" s="7" t="s">
        <v>3773</v>
      </c>
      <c r="E214" s="7" t="n">
        <v>2065</v>
      </c>
      <c r="F214" s="7" t="s">
        <v>50</v>
      </c>
      <c r="G214" s="7" t="s">
        <v>2982</v>
      </c>
      <c r="H214" s="7"/>
      <c r="I214" s="7" t="s">
        <v>2897</v>
      </c>
      <c r="J214" s="7"/>
      <c r="K214" s="7" t="s">
        <v>2772</v>
      </c>
      <c r="L214" s="7" t="s">
        <v>2898</v>
      </c>
      <c r="M214" s="10" t="b">
        <f aca="false">FALSE()</f>
        <v>0</v>
      </c>
      <c r="N214" s="7" t="n">
        <v>-33.825649</v>
      </c>
      <c r="O214" s="7" t="n">
        <v>151.19919</v>
      </c>
    </row>
    <row r="215" customFormat="false" ht="15" hidden="false" customHeight="false" outlineLevel="0" collapsed="false">
      <c r="A215" s="7" t="s">
        <v>3774</v>
      </c>
      <c r="B215" s="7" t="s">
        <v>3775</v>
      </c>
      <c r="C215" s="7" t="s">
        <v>3776</v>
      </c>
      <c r="D215" s="7" t="s">
        <v>3777</v>
      </c>
      <c r="E215" s="7" t="n">
        <v>2132</v>
      </c>
      <c r="F215" s="7" t="s">
        <v>50</v>
      </c>
      <c r="G215" s="7" t="s">
        <v>2806</v>
      </c>
      <c r="H215" s="7" t="s">
        <v>3065</v>
      </c>
      <c r="I215" s="7" t="s">
        <v>2747</v>
      </c>
      <c r="J215" s="7" t="s">
        <v>3778</v>
      </c>
      <c r="K215" s="7" t="s">
        <v>2772</v>
      </c>
      <c r="L215" s="7" t="s">
        <v>2705</v>
      </c>
      <c r="M215" s="10" t="b">
        <f aca="false">FALSE()</f>
        <v>0</v>
      </c>
      <c r="N215" s="7" t="n">
        <v>-33.88323425</v>
      </c>
      <c r="O215" s="7" t="n">
        <v>151.1154882</v>
      </c>
    </row>
    <row r="216" customFormat="false" ht="15" hidden="false" customHeight="false" outlineLevel="0" collapsed="false">
      <c r="A216" s="7" t="s">
        <v>3779</v>
      </c>
      <c r="B216" s="7" t="s">
        <v>3780</v>
      </c>
      <c r="C216" s="7" t="s">
        <v>3781</v>
      </c>
      <c r="D216" s="7" t="s">
        <v>3782</v>
      </c>
      <c r="E216" s="7" t="n">
        <v>2864</v>
      </c>
      <c r="F216" s="7" t="s">
        <v>50</v>
      </c>
      <c r="G216" s="7" t="s">
        <v>2718</v>
      </c>
      <c r="H216" s="7"/>
      <c r="I216" s="7" t="s">
        <v>2719</v>
      </c>
      <c r="J216" s="7"/>
      <c r="K216" s="7"/>
      <c r="L216" s="7"/>
      <c r="M216" s="10" t="b">
        <f aca="false">FALSE()</f>
        <v>0</v>
      </c>
      <c r="N216" s="7" t="n">
        <v>-33.286363</v>
      </c>
      <c r="O216" s="7" t="n">
        <v>148.739524</v>
      </c>
    </row>
    <row r="217" customFormat="false" ht="15" hidden="false" customHeight="false" outlineLevel="0" collapsed="false">
      <c r="A217" s="7" t="s">
        <v>3783</v>
      </c>
      <c r="B217" s="7" t="s">
        <v>3784</v>
      </c>
      <c r="C217" s="7" t="s">
        <v>3785</v>
      </c>
      <c r="D217" s="7" t="s">
        <v>3786</v>
      </c>
      <c r="E217" s="7" t="n">
        <v>2660</v>
      </c>
      <c r="F217" s="7" t="s">
        <v>50</v>
      </c>
      <c r="G217" s="7" t="s">
        <v>3269</v>
      </c>
      <c r="H217" s="7" t="s">
        <v>3787</v>
      </c>
      <c r="I217" s="7" t="s">
        <v>3170</v>
      </c>
      <c r="J217" s="7"/>
      <c r="K217" s="7"/>
      <c r="L217" s="7"/>
      <c r="M217" s="10" t="b">
        <f aca="false">FALSE()</f>
        <v>0</v>
      </c>
      <c r="N217" s="7" t="n">
        <v>-35.666107</v>
      </c>
      <c r="O217" s="7" t="n">
        <v>147.038128</v>
      </c>
    </row>
    <row r="218" customFormat="false" ht="15" hidden="false" customHeight="false" outlineLevel="0" collapsed="false">
      <c r="A218" s="7" t="s">
        <v>3788</v>
      </c>
      <c r="B218" s="7" t="s">
        <v>3789</v>
      </c>
      <c r="C218" s="7" t="s">
        <v>3790</v>
      </c>
      <c r="D218" s="7" t="s">
        <v>3791</v>
      </c>
      <c r="E218" s="7" t="n">
        <v>2790</v>
      </c>
      <c r="F218" s="7" t="s">
        <v>50</v>
      </c>
      <c r="G218" s="7" t="s">
        <v>2718</v>
      </c>
      <c r="H218" s="7"/>
      <c r="I218" s="7" t="s">
        <v>2719</v>
      </c>
      <c r="J218" s="7"/>
      <c r="K218" s="7"/>
      <c r="L218" s="7"/>
      <c r="M218" s="10" t="b">
        <f aca="false">FALSE()</f>
        <v>0</v>
      </c>
      <c r="N218" s="7" t="n">
        <v>-33.299749</v>
      </c>
      <c r="O218" s="7" t="n">
        <v>150.032939</v>
      </c>
    </row>
    <row r="219" customFormat="false" ht="15" hidden="false" customHeight="false" outlineLevel="0" collapsed="false">
      <c r="A219" s="7" t="s">
        <v>3792</v>
      </c>
      <c r="B219" s="7" t="s">
        <v>3793</v>
      </c>
      <c r="C219" s="7" t="s">
        <v>3794</v>
      </c>
      <c r="D219" s="7" t="s">
        <v>3795</v>
      </c>
      <c r="E219" s="7" t="n">
        <v>2628</v>
      </c>
      <c r="F219" s="7" t="s">
        <v>50</v>
      </c>
      <c r="G219" s="7" t="s">
        <v>2718</v>
      </c>
      <c r="H219" s="7"/>
      <c r="I219" s="7" t="s">
        <v>2719</v>
      </c>
      <c r="J219" s="7"/>
      <c r="K219" s="7"/>
      <c r="L219" s="7"/>
      <c r="M219" s="10" t="b">
        <f aca="false">FALSE()</f>
        <v>0</v>
      </c>
      <c r="N219" s="7" t="n">
        <v>-36.50329</v>
      </c>
      <c r="O219" s="7" t="n">
        <v>148.834386</v>
      </c>
    </row>
    <row r="220" customFormat="false" ht="15" hidden="false" customHeight="false" outlineLevel="0" collapsed="false">
      <c r="A220" s="7" t="s">
        <v>3796</v>
      </c>
      <c r="B220" s="7" t="s">
        <v>3797</v>
      </c>
      <c r="C220" s="7" t="s">
        <v>3798</v>
      </c>
      <c r="D220" s="7" t="s">
        <v>3799</v>
      </c>
      <c r="E220" s="7" t="n">
        <v>2530</v>
      </c>
      <c r="F220" s="7" t="s">
        <v>50</v>
      </c>
      <c r="G220" s="7" t="s">
        <v>2937</v>
      </c>
      <c r="H220" s="7" t="s">
        <v>3800</v>
      </c>
      <c r="I220" s="7" t="s">
        <v>2989</v>
      </c>
      <c r="J220" s="7" t="s">
        <v>3801</v>
      </c>
      <c r="K220" s="7" t="s">
        <v>2704</v>
      </c>
      <c r="L220" s="7" t="s">
        <v>2705</v>
      </c>
      <c r="M220" s="10" t="b">
        <f aca="false">TRUE()</f>
        <v>1</v>
      </c>
      <c r="N220" s="7" t="n">
        <v>-34.49209044</v>
      </c>
      <c r="O220" s="7" t="n">
        <v>150.7923283</v>
      </c>
    </row>
    <row r="221" customFormat="false" ht="15" hidden="false" customHeight="false" outlineLevel="0" collapsed="false">
      <c r="A221" s="7" t="s">
        <v>3802</v>
      </c>
      <c r="B221" s="7" t="s">
        <v>3803</v>
      </c>
      <c r="C221" s="7" t="s">
        <v>3804</v>
      </c>
      <c r="D221" s="7" t="s">
        <v>3805</v>
      </c>
      <c r="E221" s="7" t="n">
        <v>2000</v>
      </c>
      <c r="F221" s="7" t="s">
        <v>50</v>
      </c>
      <c r="G221" s="7" t="s">
        <v>3806</v>
      </c>
      <c r="H221" s="7" t="s">
        <v>3807</v>
      </c>
      <c r="I221" s="7" t="s">
        <v>3808</v>
      </c>
      <c r="J221" s="7"/>
      <c r="K221" s="7"/>
      <c r="L221" s="7"/>
      <c r="M221" s="10" t="b">
        <f aca="false">FALSE()</f>
        <v>0</v>
      </c>
      <c r="N221" s="7" t="n">
        <v>-33.866467</v>
      </c>
      <c r="O221" s="7" t="n">
        <v>151.201175</v>
      </c>
    </row>
    <row r="222" customFormat="false" ht="15" hidden="false" customHeight="false" outlineLevel="0" collapsed="false">
      <c r="A222" s="7" t="s">
        <v>3809</v>
      </c>
      <c r="B222" s="7" t="s">
        <v>3810</v>
      </c>
      <c r="C222" s="7" t="s">
        <v>3811</v>
      </c>
      <c r="D222" s="7" t="s">
        <v>3812</v>
      </c>
      <c r="E222" s="7" t="n">
        <v>2000</v>
      </c>
      <c r="F222" s="7" t="s">
        <v>50</v>
      </c>
      <c r="G222" s="7" t="s">
        <v>2852</v>
      </c>
      <c r="H222" s="7"/>
      <c r="I222" s="7" t="s">
        <v>3170</v>
      </c>
      <c r="J222" s="7"/>
      <c r="K222" s="7"/>
      <c r="L222" s="7"/>
      <c r="M222" s="10" t="b">
        <f aca="false">FALSE()</f>
        <v>0</v>
      </c>
      <c r="N222" s="7" t="n">
        <v>-33.86974</v>
      </c>
      <c r="O222" s="7" t="n">
        <v>151.201214</v>
      </c>
    </row>
    <row r="223" customFormat="false" ht="15" hidden="false" customHeight="false" outlineLevel="0" collapsed="false">
      <c r="A223" s="7" t="s">
        <v>3813</v>
      </c>
      <c r="B223" s="7" t="s">
        <v>3814</v>
      </c>
      <c r="C223" s="7" t="s">
        <v>3815</v>
      </c>
      <c r="D223" s="7" t="s">
        <v>3816</v>
      </c>
      <c r="E223" s="7" t="n">
        <v>2000</v>
      </c>
      <c r="F223" s="7" t="s">
        <v>50</v>
      </c>
      <c r="G223" s="7" t="s">
        <v>2852</v>
      </c>
      <c r="H223" s="7"/>
      <c r="I223" s="7" t="s">
        <v>3817</v>
      </c>
      <c r="J223" s="7"/>
      <c r="K223" s="7"/>
      <c r="L223" s="7"/>
      <c r="M223" s="10" t="b">
        <f aca="false">FALSE()</f>
        <v>0</v>
      </c>
      <c r="N223" s="7" t="n">
        <v>-33.872469</v>
      </c>
      <c r="O223" s="7" t="n">
        <v>151.199652</v>
      </c>
    </row>
    <row r="224" customFormat="false" ht="15" hidden="false" customHeight="false" outlineLevel="0" collapsed="false">
      <c r="A224" s="7" t="s">
        <v>3818</v>
      </c>
      <c r="B224" s="7" t="s">
        <v>3819</v>
      </c>
      <c r="C224" s="7" t="s">
        <v>3820</v>
      </c>
      <c r="D224" s="7" t="s">
        <v>3812</v>
      </c>
      <c r="E224" s="7" t="n">
        <v>2000</v>
      </c>
      <c r="F224" s="7" t="s">
        <v>50</v>
      </c>
      <c r="G224" s="7" t="s">
        <v>2852</v>
      </c>
      <c r="H224" s="7"/>
      <c r="I224" s="7" t="s">
        <v>3821</v>
      </c>
      <c r="J224" s="7"/>
      <c r="K224" s="7"/>
      <c r="L224" s="7"/>
      <c r="M224" s="10" t="b">
        <f aca="false">FALSE()</f>
        <v>0</v>
      </c>
      <c r="N224" s="7" t="n">
        <v>-33.870136</v>
      </c>
      <c r="O224" s="7" t="n">
        <v>151.201881</v>
      </c>
    </row>
    <row r="225" customFormat="false" ht="15" hidden="false" customHeight="false" outlineLevel="0" collapsed="false">
      <c r="A225" s="7" t="s">
        <v>3822</v>
      </c>
      <c r="B225" s="7" t="s">
        <v>3823</v>
      </c>
      <c r="C225" s="7" t="s">
        <v>3824</v>
      </c>
      <c r="D225" s="7" t="s">
        <v>3825</v>
      </c>
      <c r="E225" s="7" t="n">
        <v>2027</v>
      </c>
      <c r="F225" s="7" t="s">
        <v>50</v>
      </c>
      <c r="G225" s="7" t="s">
        <v>2852</v>
      </c>
      <c r="H225" s="7" t="s">
        <v>3826</v>
      </c>
      <c r="I225" s="7" t="s">
        <v>2831</v>
      </c>
      <c r="J225" s="7"/>
      <c r="K225" s="7"/>
      <c r="L225" s="7"/>
      <c r="M225" s="10" t="b">
        <f aca="false">FALSE()</f>
        <v>0</v>
      </c>
      <c r="N225" s="7" t="n">
        <v>-33.8664518</v>
      </c>
      <c r="O225" s="7" t="n">
        <v>151.2394906</v>
      </c>
    </row>
    <row r="226" customFormat="false" ht="15" hidden="false" customHeight="false" outlineLevel="0" collapsed="false">
      <c r="A226" s="7" t="s">
        <v>3827</v>
      </c>
      <c r="B226" s="7" t="s">
        <v>3828</v>
      </c>
      <c r="C226" s="7" t="s">
        <v>3829</v>
      </c>
      <c r="D226" s="7" t="s">
        <v>3830</v>
      </c>
      <c r="E226" s="7" t="n">
        <v>2706</v>
      </c>
      <c r="F226" s="7" t="s">
        <v>50</v>
      </c>
      <c r="G226" s="7" t="s">
        <v>2718</v>
      </c>
      <c r="H226" s="7"/>
      <c r="I226" s="7" t="s">
        <v>2719</v>
      </c>
      <c r="J226" s="7"/>
      <c r="K226" s="7"/>
      <c r="L226" s="7"/>
      <c r="M226" s="10" t="b">
        <f aca="false">FALSE()</f>
        <v>0</v>
      </c>
      <c r="N226" s="7" t="n">
        <v>-34.567662</v>
      </c>
      <c r="O226" s="7" t="n">
        <v>146.000244</v>
      </c>
    </row>
    <row r="227" customFormat="false" ht="15" hidden="false" customHeight="false" outlineLevel="0" collapsed="false">
      <c r="A227" s="7" t="s">
        <v>3831</v>
      </c>
      <c r="B227" s="7" t="s">
        <v>3832</v>
      </c>
      <c r="C227" s="7" t="s">
        <v>3833</v>
      </c>
      <c r="D227" s="7" t="s">
        <v>3834</v>
      </c>
      <c r="E227" s="7" t="n">
        <v>2878</v>
      </c>
      <c r="F227" s="7" t="s">
        <v>50</v>
      </c>
      <c r="G227" s="7" t="s">
        <v>2806</v>
      </c>
      <c r="H227" s="7"/>
      <c r="I227" s="7" t="s">
        <v>3821</v>
      </c>
      <c r="J227" s="7"/>
      <c r="K227" s="7"/>
      <c r="L227" s="7"/>
      <c r="M227" s="10" t="b">
        <f aca="false">FALSE()</f>
        <v>0</v>
      </c>
      <c r="N227" s="7" t="n">
        <v>-32.851214</v>
      </c>
      <c r="O227" s="7" t="n">
        <v>143.624896</v>
      </c>
    </row>
    <row r="228" customFormat="false" ht="15" hidden="false" customHeight="false" outlineLevel="0" collapsed="false">
      <c r="A228" s="7" t="s">
        <v>3835</v>
      </c>
      <c r="B228" s="7" t="s">
        <v>3836</v>
      </c>
      <c r="C228" s="7" t="s">
        <v>3837</v>
      </c>
      <c r="D228" s="7" t="s">
        <v>3838</v>
      </c>
      <c r="E228" s="7" t="n">
        <v>2099</v>
      </c>
      <c r="F228" s="7" t="s">
        <v>50</v>
      </c>
      <c r="G228" s="7" t="s">
        <v>3003</v>
      </c>
      <c r="H228" s="7" t="s">
        <v>3839</v>
      </c>
      <c r="I228" s="7" t="s">
        <v>3400</v>
      </c>
      <c r="J228" s="7"/>
      <c r="K228" s="7" t="s">
        <v>2772</v>
      </c>
      <c r="L228" s="7" t="s">
        <v>2705</v>
      </c>
      <c r="M228" s="10" t="b">
        <f aca="false">FALSE()</f>
        <v>0</v>
      </c>
      <c r="N228" s="7" t="n">
        <v>-33.752971</v>
      </c>
      <c r="O228" s="7" t="n">
        <v>151.286433</v>
      </c>
    </row>
    <row r="229" customFormat="false" ht="15" hidden="false" customHeight="false" outlineLevel="0" collapsed="false">
      <c r="A229" s="7" t="s">
        <v>3840</v>
      </c>
      <c r="B229" s="7" t="s">
        <v>3841</v>
      </c>
      <c r="C229" s="7" t="s">
        <v>3842</v>
      </c>
      <c r="D229" s="7" t="s">
        <v>3843</v>
      </c>
      <c r="E229" s="7" t="n">
        <v>2371</v>
      </c>
      <c r="F229" s="7" t="s">
        <v>50</v>
      </c>
      <c r="G229" s="7" t="s">
        <v>2718</v>
      </c>
      <c r="H229" s="7"/>
      <c r="I229" s="7" t="s">
        <v>2719</v>
      </c>
      <c r="J229" s="7"/>
      <c r="K229" s="7"/>
      <c r="L229" s="7"/>
      <c r="M229" s="10" t="b">
        <f aca="false">FALSE()</f>
        <v>0</v>
      </c>
      <c r="N229" s="7" t="n">
        <v>-29.4383</v>
      </c>
      <c r="O229" s="7" t="n">
        <v>151.8471</v>
      </c>
    </row>
    <row r="230" customFormat="false" ht="15" hidden="false" customHeight="false" outlineLevel="0" collapsed="false">
      <c r="A230" s="7" t="s">
        <v>3844</v>
      </c>
      <c r="B230" s="7" t="s">
        <v>3845</v>
      </c>
      <c r="C230" s="7" t="s">
        <v>3846</v>
      </c>
      <c r="D230" s="7" t="s">
        <v>3847</v>
      </c>
      <c r="E230" s="7" t="n">
        <v>2403</v>
      </c>
      <c r="F230" s="7" t="s">
        <v>50</v>
      </c>
      <c r="G230" s="7" t="s">
        <v>2718</v>
      </c>
      <c r="H230" s="7"/>
      <c r="I230" s="7" t="s">
        <v>2719</v>
      </c>
      <c r="J230" s="7"/>
      <c r="K230" s="7"/>
      <c r="L230" s="7"/>
      <c r="M230" s="10" t="b">
        <f aca="false">FALSE()</f>
        <v>0</v>
      </c>
      <c r="N230" s="7" t="n">
        <v>-29.654333</v>
      </c>
      <c r="O230" s="7" t="n">
        <v>150.830022</v>
      </c>
    </row>
    <row r="231" customFormat="false" ht="15" hidden="false" customHeight="false" outlineLevel="0" collapsed="false">
      <c r="A231" s="7" t="s">
        <v>3848</v>
      </c>
      <c r="B231" s="7" t="s">
        <v>3849</v>
      </c>
      <c r="C231" s="7" t="s">
        <v>3850</v>
      </c>
      <c r="D231" s="7" t="s">
        <v>3851</v>
      </c>
      <c r="E231" s="7" t="n">
        <v>2710</v>
      </c>
      <c r="F231" s="7" t="s">
        <v>50</v>
      </c>
      <c r="G231" s="7" t="s">
        <v>2718</v>
      </c>
      <c r="H231" s="7"/>
      <c r="I231" s="7" t="s">
        <v>2719</v>
      </c>
      <c r="J231" s="7"/>
      <c r="K231" s="7"/>
      <c r="L231" s="7"/>
      <c r="M231" s="10" t="b">
        <f aca="false">FALSE()</f>
        <v>0</v>
      </c>
      <c r="N231" s="7" t="n">
        <v>-35.52882</v>
      </c>
      <c r="O231" s="7" t="n">
        <v>144.96153</v>
      </c>
    </row>
    <row r="232" customFormat="false" ht="15" hidden="false" customHeight="false" outlineLevel="0" collapsed="false">
      <c r="A232" s="7" t="s">
        <v>3852</v>
      </c>
      <c r="B232" s="7" t="s">
        <v>3853</v>
      </c>
      <c r="C232" s="7" t="s">
        <v>3854</v>
      </c>
      <c r="D232" s="7" t="s">
        <v>3855</v>
      </c>
      <c r="E232" s="7" t="n">
        <v>2114</v>
      </c>
      <c r="F232" s="7" t="s">
        <v>50</v>
      </c>
      <c r="G232" s="7" t="s">
        <v>2806</v>
      </c>
      <c r="H232" s="7" t="s">
        <v>3856</v>
      </c>
      <c r="I232" s="7" t="s">
        <v>2747</v>
      </c>
      <c r="J232" s="7" t="s">
        <v>3857</v>
      </c>
      <c r="K232" s="7" t="s">
        <v>2772</v>
      </c>
      <c r="L232" s="7" t="s">
        <v>2705</v>
      </c>
      <c r="M232" s="10" t="b">
        <f aca="false">FALSE()</f>
        <v>0</v>
      </c>
      <c r="N232" s="7" t="n">
        <v>-33.79990618</v>
      </c>
      <c r="O232" s="7" t="n">
        <v>151.0875503</v>
      </c>
    </row>
    <row r="233" customFormat="false" ht="15" hidden="false" customHeight="false" outlineLevel="0" collapsed="false">
      <c r="A233" s="7" t="s">
        <v>3858</v>
      </c>
      <c r="B233" s="7" t="s">
        <v>3859</v>
      </c>
      <c r="C233" s="7" t="s">
        <v>3860</v>
      </c>
      <c r="D233" s="7" t="s">
        <v>3861</v>
      </c>
      <c r="E233" s="7" t="n">
        <v>2877</v>
      </c>
      <c r="F233" s="7" t="s">
        <v>50</v>
      </c>
      <c r="G233" s="7" t="s">
        <v>2718</v>
      </c>
      <c r="H233" s="7"/>
      <c r="I233" s="7" t="s">
        <v>2719</v>
      </c>
      <c r="J233" s="7"/>
      <c r="K233" s="7"/>
      <c r="L233" s="7"/>
      <c r="M233" s="10" t="b">
        <f aca="false">FALSE()</f>
        <v>0</v>
      </c>
      <c r="N233" s="7" t="n">
        <v>-33.097654</v>
      </c>
      <c r="O233" s="7" t="n">
        <v>147.335882</v>
      </c>
    </row>
    <row r="234" customFormat="false" ht="15" hidden="false" customHeight="false" outlineLevel="0" collapsed="false">
      <c r="A234" s="7" t="s">
        <v>3862</v>
      </c>
      <c r="B234" s="7" t="s">
        <v>3863</v>
      </c>
      <c r="C234" s="7" t="s">
        <v>3864</v>
      </c>
      <c r="D234" s="7" t="s">
        <v>3865</v>
      </c>
      <c r="E234" s="7" t="n">
        <v>2020</v>
      </c>
      <c r="F234" s="7" t="s">
        <v>50</v>
      </c>
      <c r="G234" s="7" t="s">
        <v>2786</v>
      </c>
      <c r="H234" s="7" t="s">
        <v>3866</v>
      </c>
      <c r="I234" s="7" t="s">
        <v>3867</v>
      </c>
      <c r="J234" s="7" t="s">
        <v>3868</v>
      </c>
      <c r="K234" s="7" t="s">
        <v>2772</v>
      </c>
      <c r="L234" s="7" t="s">
        <v>2705</v>
      </c>
      <c r="M234" s="10" t="b">
        <f aca="false">FALSE()</f>
        <v>0</v>
      </c>
      <c r="N234" s="7" t="n">
        <v>-33.93365963</v>
      </c>
      <c r="O234" s="7" t="n">
        <v>151.1807857</v>
      </c>
    </row>
    <row r="235" customFormat="false" ht="15" hidden="false" customHeight="false" outlineLevel="0" collapsed="false">
      <c r="A235" s="7" t="s">
        <v>3869</v>
      </c>
      <c r="B235" s="7" t="s">
        <v>3870</v>
      </c>
      <c r="C235" s="7" t="s">
        <v>3871</v>
      </c>
      <c r="D235" s="7" t="s">
        <v>3872</v>
      </c>
      <c r="E235" s="7" t="n">
        <v>2767</v>
      </c>
      <c r="F235" s="7" t="s">
        <v>50</v>
      </c>
      <c r="G235" s="7" t="s">
        <v>2786</v>
      </c>
      <c r="H235" s="7" t="s">
        <v>3873</v>
      </c>
      <c r="I235" s="7" t="s">
        <v>2747</v>
      </c>
      <c r="J235" s="7" t="s">
        <v>3874</v>
      </c>
      <c r="K235" s="7" t="s">
        <v>2772</v>
      </c>
      <c r="L235" s="7" t="s">
        <v>2705</v>
      </c>
      <c r="M235" s="10" t="b">
        <f aca="false">FALSE()</f>
        <v>0</v>
      </c>
      <c r="N235" s="7" t="n">
        <v>-33.76398502</v>
      </c>
      <c r="O235" s="7" t="n">
        <v>150.8683521</v>
      </c>
    </row>
    <row r="236" customFormat="false" ht="15" hidden="false" customHeight="false" outlineLevel="0" collapsed="false">
      <c r="A236" s="7" t="s">
        <v>3875</v>
      </c>
      <c r="B236" s="7" t="s">
        <v>3876</v>
      </c>
      <c r="C236" s="7" t="s">
        <v>3877</v>
      </c>
      <c r="D236" s="7" t="s">
        <v>3878</v>
      </c>
      <c r="E236" s="7" t="n">
        <v>2264</v>
      </c>
      <c r="F236" s="7" t="s">
        <v>50</v>
      </c>
      <c r="G236" s="7" t="s">
        <v>2710</v>
      </c>
      <c r="H236" s="7" t="s">
        <v>2830</v>
      </c>
      <c r="I236" s="7" t="s">
        <v>2831</v>
      </c>
      <c r="J236" s="7" t="s">
        <v>2832</v>
      </c>
      <c r="K236" s="7" t="s">
        <v>2704</v>
      </c>
      <c r="L236" s="7" t="s">
        <v>2705</v>
      </c>
      <c r="M236" s="10" t="b">
        <f aca="false">TRUE()</f>
        <v>1</v>
      </c>
      <c r="N236" s="7" t="n">
        <v>-33.08318747</v>
      </c>
      <c r="O236" s="7" t="n">
        <v>151.5011621</v>
      </c>
    </row>
    <row r="237" customFormat="false" ht="15" hidden="false" customHeight="false" outlineLevel="0" collapsed="false">
      <c r="A237" s="7" t="s">
        <v>3879</v>
      </c>
      <c r="B237" s="7" t="s">
        <v>3880</v>
      </c>
      <c r="C237" s="7" t="s">
        <v>3881</v>
      </c>
      <c r="D237" s="7" t="s">
        <v>3882</v>
      </c>
      <c r="E237" s="7" t="n">
        <v>2028</v>
      </c>
      <c r="F237" s="7" t="s">
        <v>50</v>
      </c>
      <c r="G237" s="7" t="s">
        <v>2852</v>
      </c>
      <c r="H237" s="7" t="s">
        <v>3883</v>
      </c>
      <c r="I237" s="7" t="s">
        <v>2695</v>
      </c>
      <c r="J237" s="7"/>
      <c r="K237" s="7"/>
      <c r="L237" s="7"/>
      <c r="M237" s="10" t="b">
        <f aca="false">FALSE()</f>
        <v>0</v>
      </c>
      <c r="N237" s="7" t="n">
        <v>-33.87334922</v>
      </c>
      <c r="O237" s="7" t="n">
        <v>151.2425813</v>
      </c>
    </row>
    <row r="238" customFormat="false" ht="15" hidden="false" customHeight="false" outlineLevel="0" collapsed="false">
      <c r="A238" s="7" t="s">
        <v>3884</v>
      </c>
      <c r="B238" s="7" t="s">
        <v>3885</v>
      </c>
      <c r="C238" s="7" t="s">
        <v>3886</v>
      </c>
      <c r="D238" s="7" t="s">
        <v>3887</v>
      </c>
      <c r="E238" s="7" t="n">
        <v>2569</v>
      </c>
      <c r="F238" s="7" t="s">
        <v>50</v>
      </c>
      <c r="G238" s="7" t="s">
        <v>2806</v>
      </c>
      <c r="H238" s="7" t="s">
        <v>3888</v>
      </c>
      <c r="I238" s="7" t="s">
        <v>3889</v>
      </c>
      <c r="J238" s="7" t="s">
        <v>3890</v>
      </c>
      <c r="K238" s="7" t="s">
        <v>2704</v>
      </c>
      <c r="L238" s="7" t="s">
        <v>2705</v>
      </c>
      <c r="M238" s="10" t="b">
        <f aca="false">TRUE()</f>
        <v>1</v>
      </c>
      <c r="N238" s="7" t="n">
        <v>-34.18322665</v>
      </c>
      <c r="O238" s="7" t="n">
        <v>150.7099378</v>
      </c>
    </row>
    <row r="239" customFormat="false" ht="15" hidden="false" customHeight="false" outlineLevel="0" collapsed="false">
      <c r="A239" s="7" t="s">
        <v>3891</v>
      </c>
      <c r="B239" s="7" t="s">
        <v>3892</v>
      </c>
      <c r="C239" s="7" t="s">
        <v>3893</v>
      </c>
      <c r="D239" s="7" t="s">
        <v>3894</v>
      </c>
      <c r="E239" s="7" t="n">
        <v>2047</v>
      </c>
      <c r="F239" s="7" t="s">
        <v>50</v>
      </c>
      <c r="G239" s="7" t="s">
        <v>2852</v>
      </c>
      <c r="H239" s="7" t="s">
        <v>3895</v>
      </c>
      <c r="I239" s="7" t="s">
        <v>2695</v>
      </c>
      <c r="J239" s="7"/>
      <c r="K239" s="7"/>
      <c r="L239" s="7"/>
      <c r="M239" s="10" t="b">
        <f aca="false">FALSE()</f>
        <v>0</v>
      </c>
      <c r="N239" s="7" t="n">
        <v>-33.84548995</v>
      </c>
      <c r="O239" s="7" t="n">
        <v>151.1570955</v>
      </c>
    </row>
    <row r="240" customFormat="false" ht="15" hidden="false" customHeight="false" outlineLevel="0" collapsed="false">
      <c r="A240" s="7" t="s">
        <v>3896</v>
      </c>
      <c r="B240" s="7" t="s">
        <v>3897</v>
      </c>
      <c r="C240" s="7" t="s">
        <v>3898</v>
      </c>
      <c r="D240" s="7" t="s">
        <v>3899</v>
      </c>
      <c r="E240" s="7" t="n">
        <v>2830</v>
      </c>
      <c r="F240" s="7" t="s">
        <v>50</v>
      </c>
      <c r="G240" s="7" t="s">
        <v>2718</v>
      </c>
      <c r="H240" s="7"/>
      <c r="I240" s="7" t="s">
        <v>2719</v>
      </c>
      <c r="J240" s="7"/>
      <c r="K240" s="7"/>
      <c r="L240" s="7"/>
      <c r="M240" s="10" t="b">
        <f aca="false">FALSE()</f>
        <v>0</v>
      </c>
      <c r="N240" s="7" t="n">
        <v>-32.218925</v>
      </c>
      <c r="O240" s="7" t="n">
        <v>148.569807</v>
      </c>
    </row>
    <row r="241" customFormat="false" ht="15" hidden="false" customHeight="false" outlineLevel="0" collapsed="false">
      <c r="A241" s="7" t="s">
        <v>3900</v>
      </c>
      <c r="B241" s="7" t="s">
        <v>3901</v>
      </c>
      <c r="C241" s="7" t="s">
        <v>3902</v>
      </c>
      <c r="D241" s="7" t="s">
        <v>3903</v>
      </c>
      <c r="E241" s="7" t="n">
        <v>2830</v>
      </c>
      <c r="F241" s="7" t="s">
        <v>50</v>
      </c>
      <c r="G241" s="7" t="s">
        <v>2735</v>
      </c>
      <c r="H241" s="7" t="s">
        <v>3904</v>
      </c>
      <c r="I241" s="7" t="s">
        <v>3059</v>
      </c>
      <c r="J241" s="7" t="s">
        <v>3905</v>
      </c>
      <c r="K241" s="7"/>
      <c r="L241" s="7"/>
      <c r="M241" s="10" t="b">
        <f aca="false">FALSE()</f>
        <v>0</v>
      </c>
      <c r="N241" s="7" t="n">
        <v>-32.245012</v>
      </c>
      <c r="O241" s="7" t="n">
        <v>148.608182</v>
      </c>
    </row>
    <row r="242" customFormat="false" ht="15" hidden="false" customHeight="false" outlineLevel="0" collapsed="false">
      <c r="A242" s="7" t="s">
        <v>3906</v>
      </c>
      <c r="B242" s="7" t="s">
        <v>3907</v>
      </c>
      <c r="C242" s="7" t="s">
        <v>3908</v>
      </c>
      <c r="D242" s="7" t="s">
        <v>3909</v>
      </c>
      <c r="E242" s="7" t="n">
        <v>2203</v>
      </c>
      <c r="F242" s="7" t="s">
        <v>50</v>
      </c>
      <c r="G242" s="7" t="s">
        <v>2769</v>
      </c>
      <c r="H242" s="7" t="s">
        <v>3910</v>
      </c>
      <c r="I242" s="7" t="s">
        <v>3911</v>
      </c>
      <c r="J242" s="7"/>
      <c r="K242" s="7" t="s">
        <v>2772</v>
      </c>
      <c r="L242" s="7" t="s">
        <v>2705</v>
      </c>
      <c r="M242" s="10" t="b">
        <f aca="false">FALSE()</f>
        <v>0</v>
      </c>
      <c r="N242" s="7" t="n">
        <v>-33.9050373</v>
      </c>
      <c r="O242" s="7" t="n">
        <v>151.1390126</v>
      </c>
    </row>
    <row r="243" customFormat="false" ht="15" hidden="false" customHeight="false" outlineLevel="0" collapsed="false">
      <c r="A243" s="7" t="s">
        <v>3912</v>
      </c>
      <c r="B243" s="7" t="s">
        <v>3913</v>
      </c>
      <c r="C243" s="7" t="s">
        <v>3914</v>
      </c>
      <c r="D243" s="7" t="s">
        <v>3915</v>
      </c>
      <c r="E243" s="7" t="n">
        <v>2203</v>
      </c>
      <c r="F243" s="7" t="s">
        <v>50</v>
      </c>
      <c r="G243" s="7" t="s">
        <v>3916</v>
      </c>
      <c r="H243" s="7" t="s">
        <v>3910</v>
      </c>
      <c r="I243" s="7" t="s">
        <v>3917</v>
      </c>
      <c r="J243" s="7"/>
      <c r="K243" s="7" t="s">
        <v>2772</v>
      </c>
      <c r="L243" s="7" t="s">
        <v>2705</v>
      </c>
      <c r="M243" s="10" t="b">
        <f aca="false">FALSE()</f>
        <v>0</v>
      </c>
      <c r="N243" s="7" t="n">
        <v>-33.91030497</v>
      </c>
      <c r="O243" s="7" t="n">
        <v>151.1400854</v>
      </c>
    </row>
    <row r="244" customFormat="false" ht="15" hidden="false" customHeight="false" outlineLevel="0" collapsed="false">
      <c r="A244" s="7" t="s">
        <v>3918</v>
      </c>
      <c r="B244" s="7" t="s">
        <v>3919</v>
      </c>
      <c r="C244" s="7" t="s">
        <v>3920</v>
      </c>
      <c r="D244" s="7" t="s">
        <v>3921</v>
      </c>
      <c r="E244" s="7" t="n">
        <v>2203</v>
      </c>
      <c r="F244" s="7" t="s">
        <v>50</v>
      </c>
      <c r="G244" s="7" t="s">
        <v>3922</v>
      </c>
      <c r="H244" s="7" t="s">
        <v>3923</v>
      </c>
      <c r="I244" s="7" t="s">
        <v>2712</v>
      </c>
      <c r="J244" s="7" t="s">
        <v>3924</v>
      </c>
      <c r="K244" s="7" t="s">
        <v>2772</v>
      </c>
      <c r="L244" s="7" t="s">
        <v>2705</v>
      </c>
      <c r="M244" s="10" t="b">
        <f aca="false">FALSE()</f>
        <v>0</v>
      </c>
      <c r="N244" s="7" t="n">
        <v>-33.91110223</v>
      </c>
      <c r="O244" s="7" t="n">
        <v>151.1409894</v>
      </c>
    </row>
    <row r="245" customFormat="false" ht="15" hidden="false" customHeight="false" outlineLevel="0" collapsed="false">
      <c r="A245" s="7" t="s">
        <v>3925</v>
      </c>
      <c r="B245" s="7" t="s">
        <v>3926</v>
      </c>
      <c r="C245" s="7" t="s">
        <v>3927</v>
      </c>
      <c r="D245" s="7" t="s">
        <v>3928</v>
      </c>
      <c r="E245" s="7" t="n">
        <v>2117</v>
      </c>
      <c r="F245" s="7" t="s">
        <v>50</v>
      </c>
      <c r="G245" s="7" t="s">
        <v>2769</v>
      </c>
      <c r="H245" s="7" t="s">
        <v>3929</v>
      </c>
      <c r="I245" s="7" t="s">
        <v>3471</v>
      </c>
      <c r="J245" s="7"/>
      <c r="K245" s="7" t="s">
        <v>2772</v>
      </c>
      <c r="L245" s="7" t="s">
        <v>2705</v>
      </c>
      <c r="M245" s="10" t="b">
        <f aca="false">FALSE()</f>
        <v>0</v>
      </c>
      <c r="N245" s="7" t="n">
        <v>-33.803808</v>
      </c>
      <c r="O245" s="7" t="n">
        <v>151.033222</v>
      </c>
    </row>
    <row r="246" customFormat="false" ht="15" hidden="false" customHeight="false" outlineLevel="0" collapsed="false">
      <c r="A246" s="7" t="s">
        <v>3930</v>
      </c>
      <c r="B246" s="7" t="s">
        <v>3931</v>
      </c>
      <c r="C246" s="7" t="s">
        <v>3932</v>
      </c>
      <c r="D246" s="7" t="s">
        <v>3933</v>
      </c>
      <c r="E246" s="7" t="n">
        <v>2370</v>
      </c>
      <c r="F246" s="7" t="s">
        <v>50</v>
      </c>
      <c r="G246" s="7" t="s">
        <v>2718</v>
      </c>
      <c r="H246" s="7"/>
      <c r="I246" s="7" t="s">
        <v>2719</v>
      </c>
      <c r="J246" s="7"/>
      <c r="K246" s="7"/>
      <c r="L246" s="7"/>
      <c r="M246" s="10" t="b">
        <f aca="false">FALSE()</f>
        <v>0</v>
      </c>
      <c r="N246" s="7" t="n">
        <v>-29.5696</v>
      </c>
      <c r="O246" s="7" t="n">
        <v>151.8659</v>
      </c>
    </row>
    <row r="247" customFormat="false" ht="15" hidden="false" customHeight="false" outlineLevel="0" collapsed="false">
      <c r="A247" s="7" t="s">
        <v>3934</v>
      </c>
      <c r="B247" s="7" t="s">
        <v>3935</v>
      </c>
      <c r="C247" s="7" t="s">
        <v>3936</v>
      </c>
      <c r="D247" s="7" t="s">
        <v>3937</v>
      </c>
      <c r="E247" s="7" t="n">
        <v>2844</v>
      </c>
      <c r="F247" s="7" t="s">
        <v>50</v>
      </c>
      <c r="G247" s="7" t="s">
        <v>2718</v>
      </c>
      <c r="H247" s="7"/>
      <c r="I247" s="7" t="s">
        <v>2719</v>
      </c>
      <c r="J247" s="7"/>
      <c r="K247" s="7"/>
      <c r="L247" s="7"/>
      <c r="M247" s="10" t="b">
        <f aca="false">FALSE()</f>
        <v>0</v>
      </c>
      <c r="N247" s="7" t="n">
        <v>-32.015794</v>
      </c>
      <c r="O247" s="7" t="n">
        <v>149.396238</v>
      </c>
    </row>
    <row r="248" customFormat="false" ht="15" hidden="false" customHeight="false" outlineLevel="0" collapsed="false">
      <c r="A248" s="7" t="s">
        <v>3938</v>
      </c>
      <c r="B248" s="7" t="s">
        <v>3939</v>
      </c>
      <c r="C248" s="7" t="s">
        <v>3940</v>
      </c>
      <c r="D248" s="7" t="s">
        <v>3941</v>
      </c>
      <c r="E248" s="7" t="n">
        <v>2420</v>
      </c>
      <c r="F248" s="7" t="s">
        <v>50</v>
      </c>
      <c r="G248" s="7" t="s">
        <v>2710</v>
      </c>
      <c r="H248" s="7" t="s">
        <v>3942</v>
      </c>
      <c r="I248" s="7" t="s">
        <v>2976</v>
      </c>
      <c r="J248" s="7" t="s">
        <v>3943</v>
      </c>
      <c r="K248" s="7" t="s">
        <v>2704</v>
      </c>
      <c r="L248" s="7" t="s">
        <v>2705</v>
      </c>
      <c r="M248" s="10" t="b">
        <f aca="false">TRUE()</f>
        <v>1</v>
      </c>
      <c r="N248" s="7" t="n">
        <v>-32.4022901</v>
      </c>
      <c r="O248" s="7" t="n">
        <v>151.7595395</v>
      </c>
    </row>
    <row r="249" customFormat="false" ht="15" hidden="false" customHeight="false" outlineLevel="0" collapsed="false">
      <c r="A249" s="7" t="s">
        <v>3944</v>
      </c>
      <c r="B249" s="7" t="s">
        <v>3945</v>
      </c>
      <c r="C249" s="7" t="s">
        <v>3946</v>
      </c>
      <c r="D249" s="7" t="s">
        <v>3947</v>
      </c>
      <c r="E249" s="7" t="n">
        <v>2213</v>
      </c>
      <c r="F249" s="7" t="s">
        <v>50</v>
      </c>
      <c r="G249" s="7" t="s">
        <v>2710</v>
      </c>
      <c r="H249" s="7" t="s">
        <v>3948</v>
      </c>
      <c r="I249" s="7" t="s">
        <v>2747</v>
      </c>
      <c r="J249" s="7" t="s">
        <v>3949</v>
      </c>
      <c r="K249" s="7" t="s">
        <v>2772</v>
      </c>
      <c r="L249" s="7" t="s">
        <v>2705</v>
      </c>
      <c r="M249" s="10" t="b">
        <f aca="false">FALSE()</f>
        <v>0</v>
      </c>
      <c r="N249" s="7" t="n">
        <v>-33.96160677</v>
      </c>
      <c r="O249" s="7" t="n">
        <v>150.9848973</v>
      </c>
    </row>
    <row r="250" customFormat="false" ht="15" hidden="false" customHeight="false" outlineLevel="0" collapsed="false">
      <c r="A250" s="7" t="s">
        <v>3950</v>
      </c>
      <c r="B250" s="7" t="s">
        <v>3951</v>
      </c>
      <c r="C250" s="7" t="s">
        <v>3952</v>
      </c>
      <c r="D250" s="7" t="s">
        <v>3953</v>
      </c>
      <c r="E250" s="7" t="n">
        <v>2323</v>
      </c>
      <c r="F250" s="7" t="s">
        <v>50</v>
      </c>
      <c r="G250" s="7" t="s">
        <v>2806</v>
      </c>
      <c r="H250" s="7" t="s">
        <v>3758</v>
      </c>
      <c r="I250" s="7" t="s">
        <v>2831</v>
      </c>
      <c r="J250" s="7" t="s">
        <v>3954</v>
      </c>
      <c r="K250" s="7" t="s">
        <v>2704</v>
      </c>
      <c r="L250" s="7" t="s">
        <v>2705</v>
      </c>
      <c r="M250" s="10" t="b">
        <f aca="false">TRUE()</f>
        <v>1</v>
      </c>
      <c r="N250" s="7" t="n">
        <v>-32.74487523</v>
      </c>
      <c r="O250" s="7" t="n">
        <v>151.5874213</v>
      </c>
    </row>
    <row r="251" customFormat="false" ht="15" hidden="false" customHeight="false" outlineLevel="0" collapsed="false">
      <c r="A251" s="7" t="s">
        <v>3955</v>
      </c>
      <c r="B251" s="7" t="s">
        <v>3956</v>
      </c>
      <c r="C251" s="7" t="s">
        <v>3957</v>
      </c>
      <c r="D251" s="7" t="s">
        <v>3958</v>
      </c>
      <c r="E251" s="7" t="n">
        <v>2753</v>
      </c>
      <c r="F251" s="7" t="s">
        <v>50</v>
      </c>
      <c r="G251" s="7" t="s">
        <v>2710</v>
      </c>
      <c r="H251" s="7" t="s">
        <v>3959</v>
      </c>
      <c r="I251" s="7" t="s">
        <v>3960</v>
      </c>
      <c r="J251" s="7" t="s">
        <v>3961</v>
      </c>
      <c r="K251" s="7" t="s">
        <v>2772</v>
      </c>
      <c r="L251" s="7" t="s">
        <v>2705</v>
      </c>
      <c r="M251" s="10" t="b">
        <f aca="false">FALSE()</f>
        <v>0</v>
      </c>
      <c r="N251" s="7" t="n">
        <v>-33.60179614</v>
      </c>
      <c r="O251" s="7" t="n">
        <v>150.759234</v>
      </c>
    </row>
    <row r="252" customFormat="false" ht="15" hidden="false" customHeight="false" outlineLevel="0" collapsed="false">
      <c r="A252" s="7" t="s">
        <v>3962</v>
      </c>
      <c r="B252" s="7" t="s">
        <v>3963</v>
      </c>
      <c r="C252" s="7" t="s">
        <v>3964</v>
      </c>
      <c r="D252" s="7" t="s">
        <v>3965</v>
      </c>
      <c r="E252" s="7" t="n">
        <v>2122</v>
      </c>
      <c r="F252" s="7" t="s">
        <v>50</v>
      </c>
      <c r="G252" s="7" t="s">
        <v>2786</v>
      </c>
      <c r="H252" s="7" t="s">
        <v>3966</v>
      </c>
      <c r="I252" s="7" t="s">
        <v>2747</v>
      </c>
      <c r="J252" s="7" t="s">
        <v>3967</v>
      </c>
      <c r="K252" s="7" t="s">
        <v>2772</v>
      </c>
      <c r="L252" s="7" t="s">
        <v>2705</v>
      </c>
      <c r="M252" s="10" t="b">
        <f aca="false">FALSE()</f>
        <v>0</v>
      </c>
      <c r="N252" s="7" t="n">
        <v>-33.7900214</v>
      </c>
      <c r="O252" s="7" t="n">
        <v>151.0822335</v>
      </c>
    </row>
    <row r="253" customFormat="false" ht="15" hidden="false" customHeight="false" outlineLevel="0" collapsed="false">
      <c r="A253" s="7" t="s">
        <v>3968</v>
      </c>
      <c r="B253" s="7" t="s">
        <v>3969</v>
      </c>
      <c r="C253" s="7" t="s">
        <v>3970</v>
      </c>
      <c r="D253" s="7" t="s">
        <v>3971</v>
      </c>
      <c r="E253" s="7" t="n">
        <v>3564</v>
      </c>
      <c r="F253" s="7" t="s">
        <v>50</v>
      </c>
      <c r="G253" s="7" t="s">
        <v>2718</v>
      </c>
      <c r="H253" s="7"/>
      <c r="I253" s="7" t="s">
        <v>2719</v>
      </c>
      <c r="J253" s="7"/>
      <c r="K253" s="7"/>
      <c r="L253" s="7"/>
      <c r="M253" s="10" t="b">
        <f aca="false">FALSE()</f>
        <v>0</v>
      </c>
      <c r="N253" s="7" t="n">
        <v>-36.124102</v>
      </c>
      <c r="O253" s="7" t="n">
        <v>144.751933</v>
      </c>
    </row>
    <row r="254" customFormat="false" ht="15" hidden="false" customHeight="false" outlineLevel="0" collapsed="false">
      <c r="A254" s="7" t="s">
        <v>3972</v>
      </c>
      <c r="B254" s="7" t="s">
        <v>3973</v>
      </c>
      <c r="C254" s="7" t="s">
        <v>3974</v>
      </c>
      <c r="D254" s="7" t="s">
        <v>3975</v>
      </c>
      <c r="E254" s="7" t="n">
        <v>2551</v>
      </c>
      <c r="F254" s="7" t="s">
        <v>50</v>
      </c>
      <c r="G254" s="7" t="s">
        <v>2837</v>
      </c>
      <c r="H254" s="7"/>
      <c r="I254" s="7" t="s">
        <v>2719</v>
      </c>
      <c r="J254" s="7"/>
      <c r="K254" s="7"/>
      <c r="L254" s="7"/>
      <c r="M254" s="10" t="b">
        <f aca="false">FALSE()</f>
        <v>0</v>
      </c>
      <c r="N254" s="7" t="n">
        <v>-37.065712</v>
      </c>
      <c r="O254" s="7" t="n">
        <v>149.906725</v>
      </c>
    </row>
    <row r="255" customFormat="false" ht="15" hidden="false" customHeight="false" outlineLevel="0" collapsed="false">
      <c r="A255" s="7" t="s">
        <v>3976</v>
      </c>
      <c r="B255" s="7" t="s">
        <v>3977</v>
      </c>
      <c r="C255" s="7" t="s">
        <v>3978</v>
      </c>
      <c r="D255" s="7" t="s">
        <v>3979</v>
      </c>
      <c r="E255" s="7" t="n">
        <v>2027</v>
      </c>
      <c r="F255" s="7" t="s">
        <v>50</v>
      </c>
      <c r="G255" s="7" t="s">
        <v>2786</v>
      </c>
      <c r="H255" s="7" t="s">
        <v>3980</v>
      </c>
      <c r="I255" s="7" t="s">
        <v>3133</v>
      </c>
      <c r="J255" s="7" t="s">
        <v>3981</v>
      </c>
      <c r="K255" s="7" t="s">
        <v>2772</v>
      </c>
      <c r="L255" s="7" t="s">
        <v>2705</v>
      </c>
      <c r="M255" s="10" t="b">
        <f aca="false">TRUE()</f>
        <v>1</v>
      </c>
      <c r="N255" s="7" t="n">
        <v>-33.87925148</v>
      </c>
      <c r="O255" s="7" t="n">
        <v>151.2361614</v>
      </c>
    </row>
    <row r="256" customFormat="false" ht="15" hidden="false" customHeight="false" outlineLevel="0" collapsed="false">
      <c r="A256" s="7" t="s">
        <v>3982</v>
      </c>
      <c r="B256" s="7" t="s">
        <v>3983</v>
      </c>
      <c r="C256" s="7" t="s">
        <v>3984</v>
      </c>
      <c r="D256" s="7" t="s">
        <v>3985</v>
      </c>
      <c r="E256" s="7" t="n">
        <v>2174</v>
      </c>
      <c r="F256" s="7" t="s">
        <v>50</v>
      </c>
      <c r="G256" s="7" t="s">
        <v>2786</v>
      </c>
      <c r="H256" s="7" t="s">
        <v>3382</v>
      </c>
      <c r="I256" s="7" t="s">
        <v>2747</v>
      </c>
      <c r="J256" s="7" t="s">
        <v>3986</v>
      </c>
      <c r="K256" s="7" t="s">
        <v>2772</v>
      </c>
      <c r="L256" s="7" t="s">
        <v>2705</v>
      </c>
      <c r="M256" s="10" t="b">
        <f aca="false">FALSE()</f>
        <v>0</v>
      </c>
      <c r="N256" s="7" t="n">
        <v>-33.9693</v>
      </c>
      <c r="O256" s="7" t="n">
        <v>150.8587</v>
      </c>
    </row>
    <row r="257" customFormat="false" ht="15" hidden="false" customHeight="false" outlineLevel="0" collapsed="false">
      <c r="A257" s="7" t="s">
        <v>3987</v>
      </c>
      <c r="B257" s="7" t="s">
        <v>3988</v>
      </c>
      <c r="C257" s="7" t="s">
        <v>3989</v>
      </c>
      <c r="D257" s="7" t="s">
        <v>3990</v>
      </c>
      <c r="E257" s="7" t="n">
        <v>2480</v>
      </c>
      <c r="F257" s="7" t="s">
        <v>50</v>
      </c>
      <c r="G257" s="7" t="s">
        <v>2718</v>
      </c>
      <c r="H257" s="7"/>
      <c r="I257" s="7" t="s">
        <v>2719</v>
      </c>
      <c r="J257" s="7"/>
      <c r="K257" s="7"/>
      <c r="L257" s="7"/>
      <c r="M257" s="10" t="b">
        <f aca="false">FALSE()</f>
        <v>0</v>
      </c>
      <c r="N257" s="7" t="n">
        <v>-28.755837</v>
      </c>
      <c r="O257" s="7" t="n">
        <v>153.394117</v>
      </c>
    </row>
    <row r="258" customFormat="false" ht="15" hidden="false" customHeight="false" outlineLevel="0" collapsed="false">
      <c r="A258" s="7" t="s">
        <v>3991</v>
      </c>
      <c r="B258" s="7" t="s">
        <v>3992</v>
      </c>
      <c r="C258" s="7" t="s">
        <v>3993</v>
      </c>
      <c r="D258" s="7" t="s">
        <v>3994</v>
      </c>
      <c r="E258" s="7" t="n">
        <v>2836</v>
      </c>
      <c r="F258" s="7" t="s">
        <v>50</v>
      </c>
      <c r="G258" s="7" t="s">
        <v>2718</v>
      </c>
      <c r="H258" s="7"/>
      <c r="I258" s="7" t="s">
        <v>2719</v>
      </c>
      <c r="J258" s="7"/>
      <c r="K258" s="7"/>
      <c r="L258" s="7"/>
      <c r="M258" s="10" t="b">
        <f aca="false">FALSE()</f>
        <v>0</v>
      </c>
      <c r="N258" s="7" t="n">
        <v>-31.653308</v>
      </c>
      <c r="O258" s="7" t="n">
        <v>144.268255</v>
      </c>
    </row>
    <row r="259" customFormat="false" ht="15" hidden="false" customHeight="false" outlineLevel="0" collapsed="false">
      <c r="A259" s="7" t="s">
        <v>3995</v>
      </c>
      <c r="B259" s="7" t="s">
        <v>3996</v>
      </c>
      <c r="C259" s="7" t="s">
        <v>3997</v>
      </c>
      <c r="D259" s="7" t="s">
        <v>3998</v>
      </c>
      <c r="E259" s="7" t="n">
        <v>2750</v>
      </c>
      <c r="F259" s="7" t="s">
        <v>50</v>
      </c>
      <c r="G259" s="7" t="s">
        <v>2710</v>
      </c>
      <c r="H259" s="7" t="s">
        <v>3999</v>
      </c>
      <c r="I259" s="7" t="s">
        <v>2747</v>
      </c>
      <c r="J259" s="7" t="s">
        <v>4000</v>
      </c>
      <c r="K259" s="7" t="s">
        <v>2772</v>
      </c>
      <c r="L259" s="7" t="s">
        <v>2705</v>
      </c>
      <c r="M259" s="10" t="b">
        <f aca="false">TRUE()</f>
        <v>1</v>
      </c>
      <c r="N259" s="7" t="n">
        <v>-33.74556778</v>
      </c>
      <c r="O259" s="7" t="n">
        <v>150.6722867</v>
      </c>
    </row>
    <row r="260" customFormat="false" ht="15" hidden="false" customHeight="false" outlineLevel="0" collapsed="false">
      <c r="A260" s="7" t="s">
        <v>4001</v>
      </c>
      <c r="B260" s="7" t="s">
        <v>4002</v>
      </c>
      <c r="C260" s="7" t="s">
        <v>4003</v>
      </c>
      <c r="D260" s="7" t="s">
        <v>4004</v>
      </c>
      <c r="E260" s="7" t="n">
        <v>2233</v>
      </c>
      <c r="F260" s="7" t="s">
        <v>50</v>
      </c>
      <c r="G260" s="7" t="s">
        <v>2786</v>
      </c>
      <c r="H260" s="7" t="s">
        <v>4005</v>
      </c>
      <c r="I260" s="7" t="s">
        <v>2747</v>
      </c>
      <c r="J260" s="7" t="s">
        <v>4006</v>
      </c>
      <c r="K260" s="7" t="s">
        <v>2772</v>
      </c>
      <c r="L260" s="7" t="s">
        <v>2705</v>
      </c>
      <c r="M260" s="10" t="b">
        <f aca="false">TRUE()</f>
        <v>1</v>
      </c>
      <c r="N260" s="7" t="n">
        <v>-34.06789901</v>
      </c>
      <c r="O260" s="7" t="n">
        <v>151.0146529</v>
      </c>
    </row>
    <row r="261" customFormat="false" ht="15" hidden="false" customHeight="false" outlineLevel="0" collapsed="false">
      <c r="A261" s="7" t="s">
        <v>4007</v>
      </c>
      <c r="B261" s="7" t="s">
        <v>4008</v>
      </c>
      <c r="C261" s="7" t="s">
        <v>4009</v>
      </c>
      <c r="D261" s="7" t="s">
        <v>4010</v>
      </c>
      <c r="E261" s="7" t="n">
        <v>2121</v>
      </c>
      <c r="F261" s="7" t="s">
        <v>50</v>
      </c>
      <c r="G261" s="7" t="s">
        <v>3524</v>
      </c>
      <c r="H261" s="7" t="s">
        <v>4011</v>
      </c>
      <c r="I261" s="7" t="s">
        <v>3526</v>
      </c>
      <c r="J261" s="7" t="s">
        <v>4012</v>
      </c>
      <c r="K261" s="7" t="s">
        <v>2772</v>
      </c>
      <c r="L261" s="7" t="s">
        <v>2705</v>
      </c>
      <c r="M261" s="10" t="b">
        <f aca="false">TRUE()</f>
        <v>1</v>
      </c>
      <c r="N261" s="7" t="n">
        <v>-33.77284145</v>
      </c>
      <c r="O261" s="7" t="n">
        <v>151.0821766</v>
      </c>
    </row>
    <row r="262" customFormat="false" ht="15" hidden="false" customHeight="false" outlineLevel="0" collapsed="false">
      <c r="A262" s="7" t="s">
        <v>4013</v>
      </c>
      <c r="B262" s="7" t="s">
        <v>4014</v>
      </c>
      <c r="C262" s="7" t="s">
        <v>4015</v>
      </c>
      <c r="D262" s="7" t="s">
        <v>4016</v>
      </c>
      <c r="E262" s="7" t="n">
        <v>2043</v>
      </c>
      <c r="F262" s="7" t="s">
        <v>50</v>
      </c>
      <c r="G262" s="7" t="s">
        <v>2710</v>
      </c>
      <c r="H262" s="7" t="s">
        <v>4017</v>
      </c>
      <c r="I262" s="7" t="s">
        <v>2747</v>
      </c>
      <c r="J262" s="7" t="s">
        <v>4018</v>
      </c>
      <c r="K262" s="7" t="s">
        <v>2772</v>
      </c>
      <c r="L262" s="7" t="s">
        <v>2705</v>
      </c>
      <c r="M262" s="10" t="b">
        <f aca="false">FALSE()</f>
        <v>0</v>
      </c>
      <c r="N262" s="7" t="n">
        <v>-33.9008581</v>
      </c>
      <c r="O262" s="7" t="n">
        <v>151.1853076</v>
      </c>
    </row>
    <row r="263" customFormat="false" ht="15" hidden="false" customHeight="false" outlineLevel="0" collapsed="false">
      <c r="A263" s="7" t="s">
        <v>4019</v>
      </c>
      <c r="B263" s="7" t="s">
        <v>4020</v>
      </c>
      <c r="C263" s="7" t="s">
        <v>4021</v>
      </c>
      <c r="D263" s="7" t="s">
        <v>4022</v>
      </c>
      <c r="E263" s="7" t="n">
        <v>2021</v>
      </c>
      <c r="F263" s="7" t="s">
        <v>50</v>
      </c>
      <c r="G263" s="7" t="s">
        <v>2769</v>
      </c>
      <c r="H263" s="7" t="s">
        <v>3263</v>
      </c>
      <c r="I263" s="7" t="s">
        <v>3264</v>
      </c>
      <c r="J263" s="7"/>
      <c r="K263" s="7" t="s">
        <v>2772</v>
      </c>
      <c r="L263" s="7" t="s">
        <v>2705</v>
      </c>
      <c r="M263" s="10" t="b">
        <f aca="false">FALSE()</f>
        <v>0</v>
      </c>
      <c r="N263" s="7" t="n">
        <v>-33.905813</v>
      </c>
      <c r="O263" s="7" t="n">
        <v>151.223925</v>
      </c>
    </row>
    <row r="264" customFormat="false" ht="15" hidden="false" customHeight="false" outlineLevel="0" collapsed="false">
      <c r="A264" s="7" t="s">
        <v>4023</v>
      </c>
      <c r="B264" s="7" t="s">
        <v>4024</v>
      </c>
      <c r="C264" s="7" t="s">
        <v>4025</v>
      </c>
      <c r="D264" s="7" t="s">
        <v>4026</v>
      </c>
      <c r="E264" s="7" t="n">
        <v>2877</v>
      </c>
      <c r="F264" s="7" t="s">
        <v>50</v>
      </c>
      <c r="G264" s="7" t="s">
        <v>2718</v>
      </c>
      <c r="H264" s="7"/>
      <c r="I264" s="7" t="s">
        <v>2719</v>
      </c>
      <c r="J264" s="7"/>
      <c r="K264" s="7"/>
      <c r="L264" s="7"/>
      <c r="M264" s="10" t="b">
        <f aca="false">FALSE()</f>
        <v>0</v>
      </c>
      <c r="N264" s="7" t="n">
        <v>-33.108964</v>
      </c>
      <c r="O264" s="7" t="n">
        <v>146.473193</v>
      </c>
    </row>
    <row r="265" customFormat="false" ht="15" hidden="false" customHeight="false" outlineLevel="0" collapsed="false">
      <c r="A265" s="7" t="s">
        <v>4027</v>
      </c>
      <c r="B265" s="7" t="s">
        <v>4028</v>
      </c>
      <c r="C265" s="7" t="s">
        <v>4029</v>
      </c>
      <c r="D265" s="7" t="s">
        <v>4030</v>
      </c>
      <c r="E265" s="7" t="n">
        <v>2877</v>
      </c>
      <c r="F265" s="7" t="s">
        <v>50</v>
      </c>
      <c r="G265" s="7" t="s">
        <v>2806</v>
      </c>
      <c r="H265" s="7"/>
      <c r="I265" s="7" t="s">
        <v>2831</v>
      </c>
      <c r="J265" s="7"/>
      <c r="K265" s="7"/>
      <c r="L265" s="7"/>
      <c r="M265" s="10" t="b">
        <f aca="false">FALSE()</f>
        <v>0</v>
      </c>
      <c r="N265" s="7" t="n">
        <v>-33.0548</v>
      </c>
      <c r="O265" s="7" t="n">
        <v>146.3909</v>
      </c>
    </row>
    <row r="266" customFormat="false" ht="15" hidden="false" customHeight="false" outlineLevel="0" collapsed="false">
      <c r="A266" s="7" t="s">
        <v>4031</v>
      </c>
      <c r="B266" s="7" t="s">
        <v>4032</v>
      </c>
      <c r="C266" s="7" t="s">
        <v>4033</v>
      </c>
      <c r="D266" s="7" t="s">
        <v>4034</v>
      </c>
      <c r="E266" s="7" t="n">
        <v>2877</v>
      </c>
      <c r="F266" s="7" t="s">
        <v>50</v>
      </c>
      <c r="G266" s="7" t="s">
        <v>2718</v>
      </c>
      <c r="H266" s="7"/>
      <c r="I266" s="7" t="s">
        <v>2719</v>
      </c>
      <c r="J266" s="7"/>
      <c r="K266" s="7"/>
      <c r="L266" s="7"/>
      <c r="M266" s="10" t="b">
        <f aca="false">FALSE()</f>
        <v>0</v>
      </c>
      <c r="N266" s="7" t="n">
        <v>-33.055715</v>
      </c>
      <c r="O266" s="7" t="n">
        <v>146.394249</v>
      </c>
    </row>
    <row r="267" customFormat="false" ht="15" hidden="false" customHeight="false" outlineLevel="0" collapsed="false">
      <c r="A267" s="7" t="s">
        <v>4035</v>
      </c>
      <c r="B267" s="7" t="s">
        <v>4036</v>
      </c>
      <c r="C267" s="7" t="s">
        <v>4037</v>
      </c>
      <c r="D267" s="7" t="s">
        <v>4038</v>
      </c>
      <c r="E267" s="7" t="n">
        <v>2806</v>
      </c>
      <c r="F267" s="7" t="s">
        <v>50</v>
      </c>
      <c r="G267" s="7" t="s">
        <v>2718</v>
      </c>
      <c r="H267" s="7"/>
      <c r="I267" s="7" t="s">
        <v>2719</v>
      </c>
      <c r="J267" s="7"/>
      <c r="K267" s="7"/>
      <c r="L267" s="7"/>
      <c r="M267" s="10" t="b">
        <f aca="false">FALSE()</f>
        <v>0</v>
      </c>
      <c r="N267" s="7" t="n">
        <v>-33.427064</v>
      </c>
      <c r="O267" s="7" t="n">
        <v>148.369866</v>
      </c>
    </row>
    <row r="268" customFormat="false" ht="15" hidden="false" customHeight="false" outlineLevel="0" collapsed="false">
      <c r="A268" s="7" t="s">
        <v>4039</v>
      </c>
      <c r="B268" s="7" t="s">
        <v>4040</v>
      </c>
      <c r="C268" s="7" t="s">
        <v>4041</v>
      </c>
      <c r="D268" s="7" t="s">
        <v>4042</v>
      </c>
      <c r="E268" s="7" t="n">
        <v>2831</v>
      </c>
      <c r="F268" s="7" t="s">
        <v>50</v>
      </c>
      <c r="G268" s="7" t="s">
        <v>2718</v>
      </c>
      <c r="H268" s="7"/>
      <c r="I268" s="7" t="s">
        <v>2719</v>
      </c>
      <c r="J268" s="7"/>
      <c r="K268" s="7"/>
      <c r="L268" s="7"/>
      <c r="M268" s="10" t="b">
        <f aca="false">FALSE()</f>
        <v>0</v>
      </c>
      <c r="N268" s="7" t="n">
        <v>-31.949295</v>
      </c>
      <c r="O268" s="7" t="n">
        <v>148.619853</v>
      </c>
    </row>
    <row r="269" customFormat="false" ht="15" hidden="false" customHeight="false" outlineLevel="0" collapsed="false">
      <c r="A269" s="7" t="s">
        <v>4043</v>
      </c>
      <c r="B269" s="7" t="s">
        <v>4044</v>
      </c>
      <c r="C269" s="7" t="s">
        <v>4045</v>
      </c>
      <c r="D269" s="7" t="s">
        <v>4046</v>
      </c>
      <c r="E269" s="7" t="n">
        <v>2441</v>
      </c>
      <c r="F269" s="7" t="s">
        <v>50</v>
      </c>
      <c r="G269" s="7" t="s">
        <v>2806</v>
      </c>
      <c r="H269" s="7" t="s">
        <v>3667</v>
      </c>
      <c r="I269" s="7" t="s">
        <v>3170</v>
      </c>
      <c r="J269" s="7"/>
      <c r="K269" s="7"/>
      <c r="L269" s="7"/>
      <c r="M269" s="10" t="b">
        <f aca="false">FALSE()</f>
        <v>0</v>
      </c>
      <c r="N269" s="7" t="n">
        <v>-30.8497</v>
      </c>
      <c r="O269" s="7" t="n">
        <v>152.9001</v>
      </c>
    </row>
    <row r="270" customFormat="false" ht="15" hidden="false" customHeight="false" outlineLevel="0" collapsed="false">
      <c r="A270" s="7" t="s">
        <v>4047</v>
      </c>
      <c r="B270" s="7" t="s">
        <v>4048</v>
      </c>
      <c r="C270" s="7" t="s">
        <v>4049</v>
      </c>
      <c r="D270" s="7" t="s">
        <v>4050</v>
      </c>
      <c r="E270" s="7" t="n">
        <v>2737</v>
      </c>
      <c r="F270" s="7" t="s">
        <v>50</v>
      </c>
      <c r="G270" s="7" t="s">
        <v>2718</v>
      </c>
      <c r="H270" s="7"/>
      <c r="I270" s="7" t="s">
        <v>2719</v>
      </c>
      <c r="J270" s="7"/>
      <c r="K270" s="7"/>
      <c r="L270" s="7"/>
      <c r="M270" s="10" t="b">
        <f aca="false">FALSE()</f>
        <v>0</v>
      </c>
      <c r="N270" s="7" t="n">
        <v>-34.577328</v>
      </c>
      <c r="O270" s="7" t="n">
        <v>142.744641</v>
      </c>
    </row>
    <row r="271" customFormat="false" ht="15" hidden="false" customHeight="false" outlineLevel="0" collapsed="false">
      <c r="A271" s="7" t="s">
        <v>4051</v>
      </c>
      <c r="B271" s="7" t="s">
        <v>4052</v>
      </c>
      <c r="C271" s="7" t="s">
        <v>4053</v>
      </c>
      <c r="D271" s="7" t="s">
        <v>4054</v>
      </c>
      <c r="E271" s="7" t="n">
        <v>2473</v>
      </c>
      <c r="F271" s="7" t="s">
        <v>50</v>
      </c>
      <c r="G271" s="7" t="s">
        <v>2837</v>
      </c>
      <c r="H271" s="7"/>
      <c r="I271" s="7" t="s">
        <v>2719</v>
      </c>
      <c r="J271" s="7"/>
      <c r="K271" s="7"/>
      <c r="L271" s="7"/>
      <c r="M271" s="10" t="b">
        <f aca="false">FALSE()</f>
        <v>0</v>
      </c>
      <c r="N271" s="7" t="n">
        <v>-29.118619</v>
      </c>
      <c r="O271" s="7" t="n">
        <v>153.431145</v>
      </c>
    </row>
    <row r="272" customFormat="false" ht="15" hidden="false" customHeight="false" outlineLevel="0" collapsed="false">
      <c r="A272" s="7" t="s">
        <v>4055</v>
      </c>
      <c r="B272" s="7" t="s">
        <v>4056</v>
      </c>
      <c r="C272" s="7" t="s">
        <v>4057</v>
      </c>
      <c r="D272" s="7" t="s">
        <v>4058</v>
      </c>
      <c r="E272" s="7" t="n">
        <v>2579</v>
      </c>
      <c r="F272" s="7" t="s">
        <v>50</v>
      </c>
      <c r="G272" s="7" t="s">
        <v>2710</v>
      </c>
      <c r="H272" s="7" t="s">
        <v>4059</v>
      </c>
      <c r="I272" s="7" t="s">
        <v>3889</v>
      </c>
      <c r="J272" s="7" t="s">
        <v>3317</v>
      </c>
      <c r="K272" s="7" t="s">
        <v>2704</v>
      </c>
      <c r="L272" s="7" t="s">
        <v>2705</v>
      </c>
      <c r="M272" s="10" t="b">
        <f aca="false">TRUE()</f>
        <v>1</v>
      </c>
      <c r="N272" s="7" t="n">
        <v>-34.61377487</v>
      </c>
      <c r="O272" s="7" t="n">
        <v>150.3173447</v>
      </c>
    </row>
    <row r="273" customFormat="false" ht="15" hidden="false" customHeight="false" outlineLevel="0" collapsed="false">
      <c r="A273" s="7" t="s">
        <v>4060</v>
      </c>
      <c r="B273" s="7" t="s">
        <v>4061</v>
      </c>
      <c r="C273" s="7" t="s">
        <v>4062</v>
      </c>
      <c r="D273" s="7" t="s">
        <v>3681</v>
      </c>
      <c r="E273" s="7" t="n">
        <v>2000</v>
      </c>
      <c r="F273" s="7" t="s">
        <v>50</v>
      </c>
      <c r="G273" s="7" t="s">
        <v>2769</v>
      </c>
      <c r="H273" s="7" t="s">
        <v>4063</v>
      </c>
      <c r="I273" s="7" t="s">
        <v>4064</v>
      </c>
      <c r="J273" s="7"/>
      <c r="K273" s="7" t="s">
        <v>2772</v>
      </c>
      <c r="L273" s="7" t="s">
        <v>2705</v>
      </c>
      <c r="M273" s="10" t="b">
        <f aca="false">FALSE()</f>
        <v>0</v>
      </c>
      <c r="N273" s="7" t="n">
        <v>-33.87719386</v>
      </c>
      <c r="O273" s="7" t="n">
        <v>151.1997027</v>
      </c>
    </row>
    <row r="274" customFormat="false" ht="15" hidden="false" customHeight="false" outlineLevel="0" collapsed="false">
      <c r="A274" s="7" t="s">
        <v>4065</v>
      </c>
      <c r="B274" s="7" t="s">
        <v>4066</v>
      </c>
      <c r="C274" s="7" t="s">
        <v>4067</v>
      </c>
      <c r="D274" s="7" t="s">
        <v>4068</v>
      </c>
      <c r="E274" s="7" t="n">
        <v>2165</v>
      </c>
      <c r="F274" s="7" t="s">
        <v>50</v>
      </c>
      <c r="G274" s="7" t="s">
        <v>2786</v>
      </c>
      <c r="H274" s="7" t="s">
        <v>2787</v>
      </c>
      <c r="I274" s="7" t="s">
        <v>2747</v>
      </c>
      <c r="J274" s="7" t="s">
        <v>4069</v>
      </c>
      <c r="K274" s="7" t="s">
        <v>2772</v>
      </c>
      <c r="L274" s="7" t="s">
        <v>2705</v>
      </c>
      <c r="M274" s="10" t="b">
        <f aca="false">FALSE()</f>
        <v>0</v>
      </c>
      <c r="N274" s="7" t="n">
        <v>-33.87233065</v>
      </c>
      <c r="O274" s="7" t="n">
        <v>150.9570711</v>
      </c>
    </row>
    <row r="275" customFormat="false" ht="15" hidden="false" customHeight="false" outlineLevel="0" collapsed="false">
      <c r="A275" s="7" t="s">
        <v>4070</v>
      </c>
      <c r="B275" s="7" t="s">
        <v>4071</v>
      </c>
      <c r="C275" s="7" t="s">
        <v>4072</v>
      </c>
      <c r="D275" s="7" t="s">
        <v>4073</v>
      </c>
      <c r="E275" s="7" t="n">
        <v>2519</v>
      </c>
      <c r="F275" s="7" t="s">
        <v>50</v>
      </c>
      <c r="G275" s="7" t="s">
        <v>2793</v>
      </c>
      <c r="H275" s="7" t="s">
        <v>4074</v>
      </c>
      <c r="I275" s="7" t="s">
        <v>2747</v>
      </c>
      <c r="J275" s="7" t="s">
        <v>4075</v>
      </c>
      <c r="K275" s="7" t="s">
        <v>2704</v>
      </c>
      <c r="L275" s="7" t="s">
        <v>2705</v>
      </c>
      <c r="M275" s="10" t="b">
        <f aca="false">TRUE()</f>
        <v>1</v>
      </c>
      <c r="N275" s="7" t="n">
        <v>-34.39583411</v>
      </c>
      <c r="O275" s="7" t="n">
        <v>150.8961702</v>
      </c>
    </row>
    <row r="276" customFormat="false" ht="15" hidden="false" customHeight="false" outlineLevel="0" collapsed="false">
      <c r="A276" s="7" t="s">
        <v>4076</v>
      </c>
      <c r="B276" s="7" t="s">
        <v>4077</v>
      </c>
      <c r="C276" s="7" t="s">
        <v>4078</v>
      </c>
      <c r="D276" s="7" t="s">
        <v>4079</v>
      </c>
      <c r="E276" s="7" t="n">
        <v>2283</v>
      </c>
      <c r="F276" s="7" t="s">
        <v>50</v>
      </c>
      <c r="G276" s="7" t="s">
        <v>2710</v>
      </c>
      <c r="H276" s="7" t="s">
        <v>4080</v>
      </c>
      <c r="I276" s="7" t="s">
        <v>2747</v>
      </c>
      <c r="J276" s="7" t="s">
        <v>4081</v>
      </c>
      <c r="K276" s="7" t="s">
        <v>2704</v>
      </c>
      <c r="L276" s="7" t="s">
        <v>2705</v>
      </c>
      <c r="M276" s="10" t="b">
        <f aca="false">TRUE()</f>
        <v>1</v>
      </c>
      <c r="N276" s="7" t="n">
        <v>-32.9857882</v>
      </c>
      <c r="O276" s="7" t="n">
        <v>151.5812509</v>
      </c>
    </row>
    <row r="277" customFormat="false" ht="15" hidden="false" customHeight="false" outlineLevel="0" collapsed="false">
      <c r="A277" s="7" t="s">
        <v>4082</v>
      </c>
      <c r="B277" s="7" t="s">
        <v>4083</v>
      </c>
      <c r="C277" s="7" t="s">
        <v>4084</v>
      </c>
      <c r="D277" s="7" t="s">
        <v>4085</v>
      </c>
      <c r="E277" s="7" t="n">
        <v>2776</v>
      </c>
      <c r="F277" s="7" t="s">
        <v>50</v>
      </c>
      <c r="G277" s="7" t="s">
        <v>2710</v>
      </c>
      <c r="H277" s="7" t="s">
        <v>4086</v>
      </c>
      <c r="I277" s="7" t="s">
        <v>2747</v>
      </c>
      <c r="J277" s="7" t="s">
        <v>4087</v>
      </c>
      <c r="K277" s="7" t="s">
        <v>2704</v>
      </c>
      <c r="L277" s="7" t="s">
        <v>2705</v>
      </c>
      <c r="M277" s="10" t="b">
        <f aca="false">TRUE()</f>
        <v>1</v>
      </c>
      <c r="N277" s="7" t="n">
        <v>-33.69648835</v>
      </c>
      <c r="O277" s="7" t="n">
        <v>150.5350339</v>
      </c>
    </row>
    <row r="278" customFormat="false" ht="15" hidden="false" customHeight="false" outlineLevel="0" collapsed="false">
      <c r="A278" s="7" t="s">
        <v>4088</v>
      </c>
      <c r="B278" s="7" t="s">
        <v>4089</v>
      </c>
      <c r="C278" s="7" t="s">
        <v>4090</v>
      </c>
      <c r="D278" s="7" t="s">
        <v>4091</v>
      </c>
      <c r="E278" s="7" t="n">
        <v>2150</v>
      </c>
      <c r="F278" s="7" t="s">
        <v>50</v>
      </c>
      <c r="G278" s="7" t="s">
        <v>2769</v>
      </c>
      <c r="H278" s="7" t="s">
        <v>3018</v>
      </c>
      <c r="I278" s="7" t="s">
        <v>3019</v>
      </c>
      <c r="J278" s="7"/>
      <c r="K278" s="7" t="s">
        <v>2772</v>
      </c>
      <c r="L278" s="7" t="s">
        <v>2705</v>
      </c>
      <c r="M278" s="10" t="b">
        <f aca="false">FALSE()</f>
        <v>0</v>
      </c>
      <c r="N278" s="7" t="n">
        <v>-33.805187</v>
      </c>
      <c r="O278" s="7" t="n">
        <v>151.005833</v>
      </c>
    </row>
    <row r="279" customFormat="false" ht="15" hidden="false" customHeight="false" outlineLevel="0" collapsed="false">
      <c r="A279" s="7" t="s">
        <v>4092</v>
      </c>
      <c r="B279" s="7" t="s">
        <v>4093</v>
      </c>
      <c r="C279" s="7" t="s">
        <v>4094</v>
      </c>
      <c r="D279" s="7" t="s">
        <v>4095</v>
      </c>
      <c r="E279" s="7" t="n">
        <v>2713</v>
      </c>
      <c r="F279" s="7" t="s">
        <v>50</v>
      </c>
      <c r="G279" s="7" t="s">
        <v>2718</v>
      </c>
      <c r="H279" s="7"/>
      <c r="I279" s="7" t="s">
        <v>2719</v>
      </c>
      <c r="J279" s="7"/>
      <c r="K279" s="7"/>
      <c r="L279" s="7"/>
      <c r="M279" s="10" t="b">
        <f aca="false">FALSE()</f>
        <v>0</v>
      </c>
      <c r="N279" s="7" t="n">
        <v>-35.639939</v>
      </c>
      <c r="O279" s="7" t="n">
        <v>145.579341</v>
      </c>
    </row>
    <row r="280" customFormat="false" ht="15" hidden="false" customHeight="false" outlineLevel="0" collapsed="false">
      <c r="A280" s="7" t="s">
        <v>4096</v>
      </c>
      <c r="B280" s="7" t="s">
        <v>4097</v>
      </c>
      <c r="C280" s="7" t="s">
        <v>4098</v>
      </c>
      <c r="D280" s="7" t="s">
        <v>4099</v>
      </c>
      <c r="E280" s="7" t="n">
        <v>2009</v>
      </c>
      <c r="F280" s="7" t="s">
        <v>50</v>
      </c>
      <c r="G280" s="7" t="s">
        <v>2852</v>
      </c>
      <c r="H280" s="7"/>
      <c r="I280" s="7" t="s">
        <v>2719</v>
      </c>
      <c r="J280" s="7"/>
      <c r="K280" s="7"/>
      <c r="L280" s="7"/>
      <c r="M280" s="10" t="b">
        <f aca="false">FALSE()</f>
        <v>0</v>
      </c>
      <c r="N280" s="7" t="n">
        <v>-33.873317</v>
      </c>
      <c r="O280" s="7" t="n">
        <v>151.191755</v>
      </c>
    </row>
    <row r="281" customFormat="false" ht="15" hidden="false" customHeight="false" outlineLevel="0" collapsed="false">
      <c r="A281" s="7" t="s">
        <v>4100</v>
      </c>
      <c r="B281" s="7" t="s">
        <v>4101</v>
      </c>
      <c r="C281" s="7" t="s">
        <v>4102</v>
      </c>
      <c r="D281" s="7" t="s">
        <v>4103</v>
      </c>
      <c r="E281" s="7" t="n">
        <v>2140</v>
      </c>
      <c r="F281" s="7" t="s">
        <v>50</v>
      </c>
      <c r="G281" s="7" t="s">
        <v>2786</v>
      </c>
      <c r="H281" s="7" t="s">
        <v>4104</v>
      </c>
      <c r="I281" s="7" t="s">
        <v>2747</v>
      </c>
      <c r="J281" s="7" t="s">
        <v>4105</v>
      </c>
      <c r="K281" s="7" t="s">
        <v>2772</v>
      </c>
      <c r="L281" s="7" t="s">
        <v>2705</v>
      </c>
      <c r="M281" s="10" t="b">
        <f aca="false">FALSE()</f>
        <v>0</v>
      </c>
      <c r="N281" s="7" t="n">
        <v>-33.86482229</v>
      </c>
      <c r="O281" s="7" t="n">
        <v>151.0697665</v>
      </c>
    </row>
    <row r="282" customFormat="false" ht="15" hidden="false" customHeight="false" outlineLevel="0" collapsed="false">
      <c r="A282" s="7" t="s">
        <v>4106</v>
      </c>
      <c r="B282" s="7" t="s">
        <v>4107</v>
      </c>
      <c r="C282" s="7" t="s">
        <v>4108</v>
      </c>
      <c r="D282" s="7" t="s">
        <v>4109</v>
      </c>
      <c r="E282" s="7" t="n">
        <v>2871</v>
      </c>
      <c r="F282" s="7" t="s">
        <v>50</v>
      </c>
      <c r="G282" s="7" t="s">
        <v>2718</v>
      </c>
      <c r="H282" s="7"/>
      <c r="I282" s="7" t="s">
        <v>2719</v>
      </c>
      <c r="J282" s="7"/>
      <c r="K282" s="7"/>
      <c r="L282" s="7"/>
      <c r="M282" s="10" t="b">
        <f aca="false">FALSE()</f>
        <v>0</v>
      </c>
      <c r="N282" s="7" t="n">
        <v>-33.379132</v>
      </c>
      <c r="O282" s="7" t="n">
        <v>148.01189</v>
      </c>
    </row>
    <row r="283" customFormat="false" ht="15" hidden="false" customHeight="false" outlineLevel="0" collapsed="false">
      <c r="A283" s="7" t="s">
        <v>4110</v>
      </c>
      <c r="B283" s="7" t="s">
        <v>4111</v>
      </c>
      <c r="C283" s="7" t="s">
        <v>4112</v>
      </c>
      <c r="D283" s="7" t="s">
        <v>4113</v>
      </c>
      <c r="E283" s="7" t="n">
        <v>2000</v>
      </c>
      <c r="F283" s="7" t="s">
        <v>50</v>
      </c>
      <c r="G283" s="7" t="s">
        <v>2982</v>
      </c>
      <c r="H283" s="7"/>
      <c r="I283" s="7" t="s">
        <v>2897</v>
      </c>
      <c r="J283" s="7"/>
      <c r="K283" s="7" t="s">
        <v>2772</v>
      </c>
      <c r="L283" s="7" t="s">
        <v>2898</v>
      </c>
      <c r="M283" s="10" t="b">
        <f aca="false">FALSE()</f>
        <v>0</v>
      </c>
      <c r="N283" s="7" t="n">
        <v>-33.873882</v>
      </c>
      <c r="O283" s="7" t="n">
        <v>151.208552</v>
      </c>
    </row>
    <row r="284" customFormat="false" ht="15" hidden="false" customHeight="false" outlineLevel="0" collapsed="false">
      <c r="A284" s="7" t="s">
        <v>4114</v>
      </c>
      <c r="B284" s="7" t="s">
        <v>4115</v>
      </c>
      <c r="C284" s="7" t="s">
        <v>4116</v>
      </c>
      <c r="D284" s="7" t="s">
        <v>4117</v>
      </c>
      <c r="E284" s="7" t="n">
        <v>2585</v>
      </c>
      <c r="F284" s="7" t="s">
        <v>50</v>
      </c>
      <c r="G284" s="7" t="s">
        <v>2718</v>
      </c>
      <c r="H284" s="7"/>
      <c r="I284" s="7" t="s">
        <v>2719</v>
      </c>
      <c r="J284" s="7"/>
      <c r="K284" s="7"/>
      <c r="L284" s="7"/>
      <c r="M284" s="10" t="b">
        <f aca="false">FALSE()</f>
        <v>0</v>
      </c>
      <c r="N284" s="7" t="n">
        <v>-34.601176</v>
      </c>
      <c r="O284" s="7" t="n">
        <v>148.557725</v>
      </c>
    </row>
    <row r="285" customFormat="false" ht="15" hidden="false" customHeight="false" outlineLevel="0" collapsed="false">
      <c r="A285" s="7" t="s">
        <v>4118</v>
      </c>
      <c r="B285" s="7" t="s">
        <v>4119</v>
      </c>
      <c r="C285" s="7" t="s">
        <v>4120</v>
      </c>
      <c r="D285" s="7" t="s">
        <v>4121</v>
      </c>
      <c r="E285" s="7" t="n">
        <v>2702</v>
      </c>
      <c r="F285" s="7" t="s">
        <v>50</v>
      </c>
      <c r="G285" s="7" t="s">
        <v>2718</v>
      </c>
      <c r="H285" s="7"/>
      <c r="I285" s="7" t="s">
        <v>2719</v>
      </c>
      <c r="J285" s="7"/>
      <c r="K285" s="7"/>
      <c r="L285" s="7"/>
      <c r="M285" s="10" t="b">
        <f aca="false">FALSE()</f>
        <v>0</v>
      </c>
      <c r="N285" s="7" t="n">
        <v>-34.793782</v>
      </c>
      <c r="O285" s="7" t="n">
        <v>147.03889</v>
      </c>
    </row>
    <row r="286" customFormat="false" ht="15" hidden="false" customHeight="false" outlineLevel="0" collapsed="false">
      <c r="A286" s="7" t="s">
        <v>4122</v>
      </c>
      <c r="B286" s="7" t="s">
        <v>4123</v>
      </c>
      <c r="C286" s="7" t="s">
        <v>4124</v>
      </c>
      <c r="D286" s="7" t="s">
        <v>4125</v>
      </c>
      <c r="E286" s="7" t="n">
        <v>2011</v>
      </c>
      <c r="F286" s="7" t="s">
        <v>50</v>
      </c>
      <c r="G286" s="7" t="s">
        <v>2852</v>
      </c>
      <c r="H286" s="7" t="s">
        <v>4126</v>
      </c>
      <c r="I286" s="7" t="s">
        <v>4127</v>
      </c>
      <c r="J286" s="7"/>
      <c r="K286" s="7"/>
      <c r="L286" s="7"/>
      <c r="M286" s="10" t="b">
        <f aca="false">FALSE()</f>
        <v>0</v>
      </c>
      <c r="N286" s="7" t="n">
        <v>-33.85813587</v>
      </c>
      <c r="O286" s="7" t="n">
        <v>151.2299226</v>
      </c>
    </row>
    <row r="287" customFormat="false" ht="15" hidden="false" customHeight="false" outlineLevel="0" collapsed="false">
      <c r="A287" s="7" t="s">
        <v>4128</v>
      </c>
      <c r="B287" s="7" t="s">
        <v>4129</v>
      </c>
      <c r="C287" s="7" t="s">
        <v>4130</v>
      </c>
      <c r="D287" s="7" t="s">
        <v>4131</v>
      </c>
      <c r="E287" s="7" t="n">
        <v>2534</v>
      </c>
      <c r="F287" s="7" t="s">
        <v>50</v>
      </c>
      <c r="G287" s="7" t="s">
        <v>2793</v>
      </c>
      <c r="H287" s="7" t="s">
        <v>4132</v>
      </c>
      <c r="I287" s="7" t="s">
        <v>3059</v>
      </c>
      <c r="J287" s="7" t="s">
        <v>4133</v>
      </c>
      <c r="K287" s="7" t="s">
        <v>2704</v>
      </c>
      <c r="L287" s="7" t="s">
        <v>2705</v>
      </c>
      <c r="M287" s="10" t="b">
        <f aca="false">TRUE()</f>
        <v>1</v>
      </c>
      <c r="N287" s="7" t="n">
        <v>-34.74488594</v>
      </c>
      <c r="O287" s="7" t="n">
        <v>150.8175078</v>
      </c>
    </row>
    <row r="288" customFormat="false" ht="15" hidden="false" customHeight="false" outlineLevel="0" collapsed="false">
      <c r="A288" s="7" t="s">
        <v>4134</v>
      </c>
      <c r="B288" s="7" t="s">
        <v>4135</v>
      </c>
      <c r="C288" s="7" t="s">
        <v>4136</v>
      </c>
      <c r="D288" s="7" t="s">
        <v>4137</v>
      </c>
      <c r="E288" s="7" t="n">
        <v>2818</v>
      </c>
      <c r="F288" s="7" t="s">
        <v>50</v>
      </c>
      <c r="G288" s="7" t="s">
        <v>2700</v>
      </c>
      <c r="H288" s="7" t="s">
        <v>4138</v>
      </c>
      <c r="I288" s="7" t="s">
        <v>4139</v>
      </c>
      <c r="J288" s="7"/>
      <c r="K288" s="7"/>
      <c r="L288" s="7"/>
      <c r="M288" s="10" t="b">
        <f aca="false">FALSE()</f>
        <v>0</v>
      </c>
      <c r="N288" s="7" t="n">
        <v>-32.398277</v>
      </c>
      <c r="O288" s="7" t="n">
        <v>148.830581</v>
      </c>
    </row>
    <row r="289" customFormat="false" ht="15" hidden="false" customHeight="false" outlineLevel="0" collapsed="false">
      <c r="A289" s="7" t="s">
        <v>4140</v>
      </c>
      <c r="B289" s="7" t="s">
        <v>4141</v>
      </c>
      <c r="C289" s="7" t="s">
        <v>4142</v>
      </c>
      <c r="D289" s="7" t="s">
        <v>4143</v>
      </c>
      <c r="E289" s="7" t="n">
        <v>2370</v>
      </c>
      <c r="F289" s="7" t="s">
        <v>50</v>
      </c>
      <c r="G289" s="7" t="s">
        <v>2718</v>
      </c>
      <c r="H289" s="7"/>
      <c r="I289" s="7" t="s">
        <v>2719</v>
      </c>
      <c r="J289" s="7"/>
      <c r="K289" s="7"/>
      <c r="L289" s="7"/>
      <c r="M289" s="10" t="b">
        <f aca="false">FALSE()</f>
        <v>0</v>
      </c>
      <c r="N289" s="7" t="n">
        <v>-29.513902</v>
      </c>
      <c r="O289" s="7" t="n">
        <v>152.312939</v>
      </c>
    </row>
    <row r="290" customFormat="false" ht="15" hidden="false" customHeight="false" outlineLevel="0" collapsed="false">
      <c r="A290" s="7" t="s">
        <v>4144</v>
      </c>
      <c r="B290" s="7" t="s">
        <v>4145</v>
      </c>
      <c r="C290" s="7" t="s">
        <v>4146</v>
      </c>
      <c r="D290" s="7" t="s">
        <v>4147</v>
      </c>
      <c r="E290" s="7" t="n">
        <v>2360</v>
      </c>
      <c r="F290" s="7" t="s">
        <v>50</v>
      </c>
      <c r="G290" s="7" t="s">
        <v>2718</v>
      </c>
      <c r="H290" s="7"/>
      <c r="I290" s="7" t="s">
        <v>2719</v>
      </c>
      <c r="J290" s="7"/>
      <c r="K290" s="7"/>
      <c r="L290" s="7"/>
      <c r="M290" s="10" t="b">
        <f aca="false">FALSE()</f>
        <v>0</v>
      </c>
      <c r="N290" s="7" t="n">
        <v>-29.853765</v>
      </c>
      <c r="O290" s="7" t="n">
        <v>151.117179</v>
      </c>
    </row>
    <row r="291" customFormat="false" ht="15" hidden="false" customHeight="false" outlineLevel="0" collapsed="false">
      <c r="A291" s="7" t="s">
        <v>4148</v>
      </c>
      <c r="B291" s="7" t="s">
        <v>4149</v>
      </c>
      <c r="C291" s="7" t="s">
        <v>4150</v>
      </c>
      <c r="D291" s="7" t="s">
        <v>4151</v>
      </c>
      <c r="E291" s="7" t="n">
        <v>2827</v>
      </c>
      <c r="F291" s="7" t="s">
        <v>50</v>
      </c>
      <c r="G291" s="7" t="s">
        <v>2718</v>
      </c>
      <c r="H291" s="7"/>
      <c r="I291" s="7" t="s">
        <v>2719</v>
      </c>
      <c r="J291" s="7"/>
      <c r="K291" s="7"/>
      <c r="L291" s="7"/>
      <c r="M291" s="10" t="b">
        <f aca="false">FALSE()</f>
        <v>0</v>
      </c>
      <c r="N291" s="7" t="n">
        <v>-31.711945</v>
      </c>
      <c r="O291" s="7" t="n">
        <v>148.665964</v>
      </c>
    </row>
    <row r="292" customFormat="false" ht="15" hidden="false" customHeight="false" outlineLevel="0" collapsed="false">
      <c r="A292" s="7" t="s">
        <v>4152</v>
      </c>
      <c r="B292" s="7" t="s">
        <v>4153</v>
      </c>
      <c r="C292" s="7" t="s">
        <v>4154</v>
      </c>
      <c r="D292" s="7" t="s">
        <v>4155</v>
      </c>
      <c r="E292" s="7" t="n">
        <v>2831</v>
      </c>
      <c r="F292" s="7" t="s">
        <v>50</v>
      </c>
      <c r="G292" s="7" t="s">
        <v>2718</v>
      </c>
      <c r="H292" s="7"/>
      <c r="I292" s="7" t="s">
        <v>2719</v>
      </c>
      <c r="J292" s="7"/>
      <c r="K292" s="7"/>
      <c r="L292" s="7"/>
      <c r="M292" s="10" t="b">
        <f aca="false">FALSE()</f>
        <v>0</v>
      </c>
      <c r="N292" s="7" t="n">
        <v>-31.711945</v>
      </c>
      <c r="O292" s="7" t="n">
        <v>148.665964</v>
      </c>
    </row>
    <row r="293" customFormat="false" ht="15" hidden="false" customHeight="false" outlineLevel="0" collapsed="false">
      <c r="A293" s="7" t="s">
        <v>4156</v>
      </c>
      <c r="B293" s="7" t="s">
        <v>4157</v>
      </c>
      <c r="C293" s="7" t="s">
        <v>4158</v>
      </c>
      <c r="D293" s="7" t="s">
        <v>4159</v>
      </c>
      <c r="E293" s="7" t="n">
        <v>2037</v>
      </c>
      <c r="F293" s="7" t="s">
        <v>50</v>
      </c>
      <c r="G293" s="7" t="s">
        <v>2769</v>
      </c>
      <c r="H293" s="7" t="s">
        <v>2872</v>
      </c>
      <c r="I293" s="7" t="s">
        <v>4064</v>
      </c>
      <c r="J293" s="7"/>
      <c r="K293" s="7" t="s">
        <v>2772</v>
      </c>
      <c r="L293" s="7" t="s">
        <v>2705</v>
      </c>
      <c r="M293" s="10" t="b">
        <f aca="false">FALSE()</f>
        <v>0</v>
      </c>
      <c r="N293" s="7" t="n">
        <v>-33.87715587</v>
      </c>
      <c r="O293" s="7" t="n">
        <v>151.1873612</v>
      </c>
    </row>
    <row r="294" customFormat="false" ht="15" hidden="false" customHeight="false" outlineLevel="0" collapsed="false">
      <c r="A294" s="7" t="s">
        <v>4160</v>
      </c>
      <c r="B294" s="7" t="s">
        <v>4161</v>
      </c>
      <c r="C294" s="7" t="s">
        <v>4162</v>
      </c>
      <c r="D294" s="7" t="s">
        <v>4163</v>
      </c>
      <c r="E294" s="7" t="n">
        <v>2370</v>
      </c>
      <c r="F294" s="7" t="s">
        <v>50</v>
      </c>
      <c r="G294" s="7" t="s">
        <v>2718</v>
      </c>
      <c r="H294" s="7"/>
      <c r="I294" s="7" t="s">
        <v>2719</v>
      </c>
      <c r="J294" s="7"/>
      <c r="K294" s="7"/>
      <c r="L294" s="7"/>
      <c r="M294" s="10" t="b">
        <f aca="false">FALSE()</f>
        <v>0</v>
      </c>
      <c r="N294" s="7" t="n">
        <v>-29.7383</v>
      </c>
      <c r="O294" s="7" t="n">
        <v>151.7377</v>
      </c>
    </row>
    <row r="295" customFormat="false" ht="15" hidden="false" customHeight="false" outlineLevel="0" collapsed="false">
      <c r="A295" s="7" t="s">
        <v>4164</v>
      </c>
      <c r="B295" s="7" t="s">
        <v>4165</v>
      </c>
      <c r="C295" s="7" t="s">
        <v>4166</v>
      </c>
      <c r="D295" s="7" t="s">
        <v>4167</v>
      </c>
      <c r="E295" s="7" t="n">
        <v>2773</v>
      </c>
      <c r="F295" s="7" t="s">
        <v>50</v>
      </c>
      <c r="G295" s="7" t="s">
        <v>2710</v>
      </c>
      <c r="H295" s="7" t="s">
        <v>4168</v>
      </c>
      <c r="I295" s="7" t="s">
        <v>2885</v>
      </c>
      <c r="J295" s="7" t="s">
        <v>4169</v>
      </c>
      <c r="K295" s="7" t="s">
        <v>2704</v>
      </c>
      <c r="L295" s="7" t="s">
        <v>2705</v>
      </c>
      <c r="M295" s="10" t="b">
        <f aca="false">TRUE()</f>
        <v>1</v>
      </c>
      <c r="N295" s="7" t="n">
        <v>-33.76900437</v>
      </c>
      <c r="O295" s="7" t="n">
        <v>150.6208342</v>
      </c>
    </row>
    <row r="296" customFormat="false" ht="15" hidden="false" customHeight="false" outlineLevel="0" collapsed="false">
      <c r="A296" s="7" t="s">
        <v>4170</v>
      </c>
      <c r="B296" s="7" t="s">
        <v>4171</v>
      </c>
      <c r="C296" s="7" t="s">
        <v>4172</v>
      </c>
      <c r="D296" s="7" t="s">
        <v>4173</v>
      </c>
      <c r="E296" s="7" t="n">
        <v>2365</v>
      </c>
      <c r="F296" s="7" t="s">
        <v>50</v>
      </c>
      <c r="G296" s="7" t="s">
        <v>2718</v>
      </c>
      <c r="H296" s="7"/>
      <c r="I296" s="7" t="s">
        <v>2719</v>
      </c>
      <c r="J296" s="7"/>
      <c r="K296" s="7"/>
      <c r="L296" s="7"/>
      <c r="M296" s="10" t="b">
        <f aca="false">FALSE()</f>
        <v>0</v>
      </c>
      <c r="N296" s="7" t="n">
        <v>-29.925909</v>
      </c>
      <c r="O296" s="7" t="n">
        <v>151.723766</v>
      </c>
    </row>
    <row r="297" customFormat="false" ht="15" hidden="false" customHeight="false" outlineLevel="0" collapsed="false">
      <c r="A297" s="7" t="s">
        <v>4174</v>
      </c>
      <c r="B297" s="7" t="s">
        <v>4175</v>
      </c>
      <c r="C297" s="7" t="s">
        <v>4176</v>
      </c>
      <c r="D297" s="7" t="s">
        <v>4177</v>
      </c>
      <c r="E297" s="7" t="n">
        <v>2167</v>
      </c>
      <c r="F297" s="7" t="s">
        <v>50</v>
      </c>
      <c r="G297" s="7" t="s">
        <v>2786</v>
      </c>
      <c r="H297" s="7" t="s">
        <v>4178</v>
      </c>
      <c r="I297" s="7" t="s">
        <v>2747</v>
      </c>
      <c r="J297" s="7" t="s">
        <v>4179</v>
      </c>
      <c r="K297" s="7" t="s">
        <v>2772</v>
      </c>
      <c r="L297" s="7" t="s">
        <v>2705</v>
      </c>
      <c r="M297" s="10" t="b">
        <f aca="false">FALSE()</f>
        <v>0</v>
      </c>
      <c r="N297" s="7" t="n">
        <v>-33.97236827</v>
      </c>
      <c r="O297" s="7" t="n">
        <v>150.8928072</v>
      </c>
    </row>
    <row r="298" customFormat="false" ht="15" hidden="false" customHeight="false" outlineLevel="0" collapsed="false">
      <c r="A298" s="7" t="s">
        <v>4180</v>
      </c>
      <c r="B298" s="7" t="s">
        <v>4181</v>
      </c>
      <c r="C298" s="7" t="s">
        <v>4182</v>
      </c>
      <c r="D298" s="7" t="s">
        <v>4183</v>
      </c>
      <c r="E298" s="7" t="n">
        <v>2422</v>
      </c>
      <c r="F298" s="7" t="s">
        <v>50</v>
      </c>
      <c r="G298" s="7" t="s">
        <v>2806</v>
      </c>
      <c r="H298" s="7" t="s">
        <v>3787</v>
      </c>
      <c r="I298" s="7" t="s">
        <v>4139</v>
      </c>
      <c r="J298" s="7"/>
      <c r="K298" s="7"/>
      <c r="L298" s="7"/>
      <c r="M298" s="10" t="b">
        <f aca="false">FALSE()</f>
        <v>0</v>
      </c>
      <c r="N298" s="7" t="n">
        <v>-32.004766</v>
      </c>
      <c r="O298" s="7" t="n">
        <v>151.966735</v>
      </c>
    </row>
    <row r="299" customFormat="false" ht="15" hidden="false" customHeight="false" outlineLevel="0" collapsed="false">
      <c r="A299" s="7" t="s">
        <v>4184</v>
      </c>
      <c r="B299" s="7" t="s">
        <v>4185</v>
      </c>
      <c r="C299" s="7" t="s">
        <v>4186</v>
      </c>
      <c r="D299" s="7" t="s">
        <v>4187</v>
      </c>
      <c r="E299" s="7" t="n">
        <v>2422</v>
      </c>
      <c r="F299" s="7" t="s">
        <v>50</v>
      </c>
      <c r="G299" s="7" t="s">
        <v>2718</v>
      </c>
      <c r="H299" s="7"/>
      <c r="I299" s="7" t="s">
        <v>2719</v>
      </c>
      <c r="J299" s="7"/>
      <c r="K299" s="7"/>
      <c r="L299" s="7"/>
      <c r="M299" s="10" t="b">
        <f aca="false">FALSE()</f>
        <v>0</v>
      </c>
      <c r="N299" s="7" t="n">
        <v>-32.00678</v>
      </c>
      <c r="O299" s="7" t="n">
        <v>151.95721</v>
      </c>
    </row>
    <row r="300" customFormat="false" ht="15" hidden="false" customHeight="false" outlineLevel="0" collapsed="false">
      <c r="A300" s="7" t="s">
        <v>4188</v>
      </c>
      <c r="B300" s="7" t="s">
        <v>4189</v>
      </c>
      <c r="C300" s="7" t="s">
        <v>4190</v>
      </c>
      <c r="D300" s="7" t="s">
        <v>4191</v>
      </c>
      <c r="E300" s="7" t="n">
        <v>2839</v>
      </c>
      <c r="F300" s="7" t="s">
        <v>50</v>
      </c>
      <c r="G300" s="7" t="s">
        <v>2718</v>
      </c>
      <c r="H300" s="7"/>
      <c r="I300" s="7" t="s">
        <v>2719</v>
      </c>
      <c r="J300" s="7"/>
      <c r="K300" s="7"/>
      <c r="L300" s="7"/>
      <c r="M300" s="10" t="b">
        <f aca="false">FALSE()</f>
        <v>0</v>
      </c>
      <c r="N300" s="7" t="n">
        <v>-30.349861</v>
      </c>
      <c r="O300" s="7" t="n">
        <v>146.89596</v>
      </c>
    </row>
    <row r="301" customFormat="false" ht="15" hidden="false" customHeight="false" outlineLevel="0" collapsed="false">
      <c r="A301" s="7" t="s">
        <v>4192</v>
      </c>
      <c r="B301" s="7" t="s">
        <v>4193</v>
      </c>
      <c r="C301" s="7" t="s">
        <v>4194</v>
      </c>
      <c r="D301" s="7" t="s">
        <v>4195</v>
      </c>
      <c r="E301" s="7" t="n">
        <v>2480</v>
      </c>
      <c r="F301" s="7" t="s">
        <v>50</v>
      </c>
      <c r="G301" s="7" t="s">
        <v>2718</v>
      </c>
      <c r="H301" s="7"/>
      <c r="I301" s="7" t="s">
        <v>2719</v>
      </c>
      <c r="J301" s="7"/>
      <c r="K301" s="7"/>
      <c r="L301" s="7"/>
      <c r="M301" s="10" t="b">
        <f aca="false">FALSE()</f>
        <v>0</v>
      </c>
      <c r="N301" s="7" t="n">
        <v>-28.811465</v>
      </c>
      <c r="O301" s="7" t="n">
        <v>153.344105</v>
      </c>
    </row>
    <row r="302" customFormat="false" ht="15" hidden="false" customHeight="false" outlineLevel="0" collapsed="false">
      <c r="A302" s="7" t="s">
        <v>4196</v>
      </c>
      <c r="B302" s="7" t="s">
        <v>4197</v>
      </c>
      <c r="C302" s="7" t="s">
        <v>4198</v>
      </c>
      <c r="D302" s="7" t="s">
        <v>4199</v>
      </c>
      <c r="E302" s="7" t="n">
        <v>2072</v>
      </c>
      <c r="F302" s="7" t="s">
        <v>50</v>
      </c>
      <c r="G302" s="7" t="s">
        <v>2786</v>
      </c>
      <c r="H302" s="7" t="s">
        <v>4200</v>
      </c>
      <c r="I302" s="7" t="s">
        <v>2747</v>
      </c>
      <c r="J302" s="7" t="s">
        <v>4201</v>
      </c>
      <c r="K302" s="7" t="s">
        <v>2772</v>
      </c>
      <c r="L302" s="7" t="s">
        <v>2705</v>
      </c>
      <c r="M302" s="10" t="b">
        <f aca="false">TRUE()</f>
        <v>1</v>
      </c>
      <c r="N302" s="7" t="n">
        <v>-33.75600864</v>
      </c>
      <c r="O302" s="7" t="n">
        <v>151.154528</v>
      </c>
    </row>
    <row r="303" customFormat="false" ht="15" hidden="false" customHeight="false" outlineLevel="0" collapsed="false">
      <c r="A303" s="7" t="s">
        <v>4202</v>
      </c>
      <c r="B303" s="7" t="s">
        <v>4203</v>
      </c>
      <c r="C303" s="7" t="s">
        <v>4204</v>
      </c>
      <c r="D303" s="7" t="s">
        <v>4205</v>
      </c>
      <c r="E303" s="7" t="n">
        <v>2250</v>
      </c>
      <c r="F303" s="7" t="s">
        <v>50</v>
      </c>
      <c r="G303" s="7" t="s">
        <v>2786</v>
      </c>
      <c r="H303" s="7" t="s">
        <v>4206</v>
      </c>
      <c r="I303" s="7" t="s">
        <v>2747</v>
      </c>
      <c r="J303" s="7" t="s">
        <v>4207</v>
      </c>
      <c r="K303" s="7" t="s">
        <v>2704</v>
      </c>
      <c r="L303" s="7" t="s">
        <v>2705</v>
      </c>
      <c r="M303" s="10" t="b">
        <f aca="false">TRUE()</f>
        <v>1</v>
      </c>
      <c r="N303" s="7" t="n">
        <v>-33.42388261</v>
      </c>
      <c r="O303" s="7" t="n">
        <v>151.3417109</v>
      </c>
    </row>
    <row r="304" customFormat="false" ht="15" hidden="false" customHeight="false" outlineLevel="0" collapsed="false">
      <c r="A304" s="7" t="s">
        <v>4208</v>
      </c>
      <c r="B304" s="7" t="s">
        <v>4209</v>
      </c>
      <c r="C304" s="7" t="s">
        <v>4210</v>
      </c>
      <c r="D304" s="7" t="s">
        <v>4211</v>
      </c>
      <c r="E304" s="7" t="n">
        <v>2580</v>
      </c>
      <c r="F304" s="7" t="s">
        <v>50</v>
      </c>
      <c r="G304" s="7" t="s">
        <v>2718</v>
      </c>
      <c r="H304" s="7"/>
      <c r="I304" s="7" t="s">
        <v>2719</v>
      </c>
      <c r="J304" s="7"/>
      <c r="K304" s="7"/>
      <c r="L304" s="7"/>
      <c r="M304" s="10" t="b">
        <f aca="false">FALSE()</f>
        <v>0</v>
      </c>
      <c r="N304" s="7" t="n">
        <v>-34.773038</v>
      </c>
      <c r="O304" s="7" t="n">
        <v>149.692324</v>
      </c>
    </row>
    <row r="305" customFormat="false" ht="15" hidden="false" customHeight="false" outlineLevel="0" collapsed="false">
      <c r="A305" s="7" t="s">
        <v>4212</v>
      </c>
      <c r="B305" s="7" t="s">
        <v>4213</v>
      </c>
      <c r="C305" s="7" t="s">
        <v>4214</v>
      </c>
      <c r="D305" s="7" t="s">
        <v>4215</v>
      </c>
      <c r="E305" s="7" t="n">
        <v>2580</v>
      </c>
      <c r="F305" s="7" t="s">
        <v>50</v>
      </c>
      <c r="G305" s="7" t="s">
        <v>2786</v>
      </c>
      <c r="H305" s="7" t="s">
        <v>4216</v>
      </c>
      <c r="I305" s="7" t="s">
        <v>2737</v>
      </c>
      <c r="J305" s="7" t="s">
        <v>2940</v>
      </c>
      <c r="K305" s="7" t="s">
        <v>2704</v>
      </c>
      <c r="L305" s="7" t="s">
        <v>2705</v>
      </c>
      <c r="M305" s="10" t="b">
        <f aca="false">TRUE()</f>
        <v>1</v>
      </c>
      <c r="N305" s="7" t="n">
        <v>-34.75846191</v>
      </c>
      <c r="O305" s="7" t="n">
        <v>149.7192744</v>
      </c>
    </row>
    <row r="306" customFormat="false" ht="15" hidden="false" customHeight="false" outlineLevel="0" collapsed="false">
      <c r="A306" s="7" t="s">
        <v>4217</v>
      </c>
      <c r="B306" s="7" t="s">
        <v>4218</v>
      </c>
      <c r="C306" s="7" t="s">
        <v>4219</v>
      </c>
      <c r="D306" s="7" t="s">
        <v>4220</v>
      </c>
      <c r="E306" s="7" t="n">
        <v>2460</v>
      </c>
      <c r="F306" s="7" t="s">
        <v>50</v>
      </c>
      <c r="G306" s="7" t="s">
        <v>2937</v>
      </c>
      <c r="H306" s="7" t="s">
        <v>4221</v>
      </c>
      <c r="I306" s="7" t="s">
        <v>2702</v>
      </c>
      <c r="J306" s="7"/>
      <c r="K306" s="7"/>
      <c r="L306" s="7"/>
      <c r="M306" s="10" t="b">
        <f aca="false">FALSE()</f>
        <v>0</v>
      </c>
      <c r="N306" s="7" t="n">
        <v>-29.703905</v>
      </c>
      <c r="O306" s="7" t="n">
        <v>152.941692</v>
      </c>
    </row>
    <row r="307" customFormat="false" ht="15" hidden="false" customHeight="false" outlineLevel="0" collapsed="false">
      <c r="A307" s="7" t="s">
        <v>4222</v>
      </c>
      <c r="B307" s="7" t="s">
        <v>4223</v>
      </c>
      <c r="C307" s="7" t="s">
        <v>4224</v>
      </c>
      <c r="D307" s="7" t="s">
        <v>4225</v>
      </c>
      <c r="E307" s="7" t="n">
        <v>2460</v>
      </c>
      <c r="F307" s="7" t="s">
        <v>50</v>
      </c>
      <c r="G307" s="7" t="s">
        <v>2718</v>
      </c>
      <c r="H307" s="7"/>
      <c r="I307" s="7" t="s">
        <v>2719</v>
      </c>
      <c r="J307" s="7"/>
      <c r="K307" s="7"/>
      <c r="L307" s="7"/>
      <c r="M307" s="10" t="b">
        <f aca="false">FALSE()</f>
        <v>0</v>
      </c>
      <c r="N307" s="7" t="n">
        <v>-29.689379</v>
      </c>
      <c r="O307" s="7" t="n">
        <v>152.935069</v>
      </c>
    </row>
    <row r="308" customFormat="false" ht="15" hidden="false" customHeight="false" outlineLevel="0" collapsed="false">
      <c r="A308" s="7" t="s">
        <v>4226</v>
      </c>
      <c r="B308" s="7" t="s">
        <v>4227</v>
      </c>
      <c r="C308" s="7" t="s">
        <v>4228</v>
      </c>
      <c r="D308" s="7" t="s">
        <v>4229</v>
      </c>
      <c r="E308" s="7" t="n">
        <v>2142</v>
      </c>
      <c r="F308" s="7" t="s">
        <v>50</v>
      </c>
      <c r="G308" s="7" t="s">
        <v>2786</v>
      </c>
      <c r="H308" s="7" t="s">
        <v>4230</v>
      </c>
      <c r="I308" s="7" t="s">
        <v>2747</v>
      </c>
      <c r="J308" s="7" t="s">
        <v>4231</v>
      </c>
      <c r="K308" s="7" t="s">
        <v>2772</v>
      </c>
      <c r="L308" s="7" t="s">
        <v>2705</v>
      </c>
      <c r="M308" s="10" t="b">
        <f aca="false">FALSE()</f>
        <v>0</v>
      </c>
      <c r="N308" s="7" t="n">
        <v>-33.83317598</v>
      </c>
      <c r="O308" s="7" t="n">
        <v>151.0124947</v>
      </c>
    </row>
    <row r="309" customFormat="false" ht="15" hidden="false" customHeight="false" outlineLevel="0" collapsed="false">
      <c r="A309" s="7" t="s">
        <v>4232</v>
      </c>
      <c r="B309" s="7" t="s">
        <v>4233</v>
      </c>
      <c r="C309" s="7" t="s">
        <v>4234</v>
      </c>
      <c r="D309" s="7" t="s">
        <v>4235</v>
      </c>
      <c r="E309" s="7" t="n">
        <v>2401</v>
      </c>
      <c r="F309" s="7" t="s">
        <v>50</v>
      </c>
      <c r="G309" s="7" t="s">
        <v>2718</v>
      </c>
      <c r="H309" s="7"/>
      <c r="I309" s="7" t="s">
        <v>2719</v>
      </c>
      <c r="J309" s="7"/>
      <c r="K309" s="7"/>
      <c r="L309" s="7"/>
      <c r="M309" s="10" t="b">
        <f aca="false">FALSE()</f>
        <v>0</v>
      </c>
      <c r="N309" s="7" t="n">
        <v>-29.58381</v>
      </c>
      <c r="O309" s="7" t="n">
        <v>150.338048</v>
      </c>
    </row>
    <row r="310" customFormat="false" ht="15" hidden="false" customHeight="false" outlineLevel="0" collapsed="false">
      <c r="A310" s="7" t="s">
        <v>4236</v>
      </c>
      <c r="B310" s="7" t="s">
        <v>4237</v>
      </c>
      <c r="C310" s="7" t="s">
        <v>4238</v>
      </c>
      <c r="D310" s="7" t="s">
        <v>4239</v>
      </c>
      <c r="E310" s="7" t="n">
        <v>2015</v>
      </c>
      <c r="F310" s="7" t="s">
        <v>50</v>
      </c>
      <c r="G310" s="7" t="s">
        <v>2710</v>
      </c>
      <c r="H310" s="7" t="s">
        <v>4240</v>
      </c>
      <c r="I310" s="7" t="s">
        <v>3514</v>
      </c>
      <c r="J310" s="7" t="s">
        <v>4241</v>
      </c>
      <c r="K310" s="7" t="s">
        <v>2772</v>
      </c>
      <c r="L310" s="7" t="s">
        <v>2705</v>
      </c>
      <c r="M310" s="10" t="b">
        <f aca="false">FALSE()</f>
        <v>0</v>
      </c>
      <c r="N310" s="7" t="n">
        <v>-33.90606259</v>
      </c>
      <c r="O310" s="7" t="n">
        <v>151.2024745</v>
      </c>
    </row>
    <row r="311" customFormat="false" ht="15" hidden="false" customHeight="false" outlineLevel="0" collapsed="false">
      <c r="A311" s="7" t="s">
        <v>4242</v>
      </c>
      <c r="B311" s="7" t="s">
        <v>4243</v>
      </c>
      <c r="C311" s="7" t="s">
        <v>4244</v>
      </c>
      <c r="D311" s="7" t="s">
        <v>4245</v>
      </c>
      <c r="E311" s="7" t="n">
        <v>2065</v>
      </c>
      <c r="F311" s="7" t="s">
        <v>50</v>
      </c>
      <c r="G311" s="7" t="s">
        <v>2693</v>
      </c>
      <c r="H311" s="7" t="s">
        <v>4246</v>
      </c>
      <c r="I311" s="7" t="s">
        <v>4247</v>
      </c>
      <c r="J311" s="7"/>
      <c r="K311" s="7"/>
      <c r="L311" s="7"/>
      <c r="M311" s="10" t="b">
        <f aca="false">FALSE()</f>
        <v>0</v>
      </c>
      <c r="N311" s="7" t="n">
        <v>-33.84209993</v>
      </c>
      <c r="O311" s="7" t="n">
        <v>151.1808023</v>
      </c>
    </row>
    <row r="312" customFormat="false" ht="15" hidden="false" customHeight="false" outlineLevel="0" collapsed="false">
      <c r="A312" s="7" t="s">
        <v>4248</v>
      </c>
      <c r="B312" s="7" t="s">
        <v>4249</v>
      </c>
      <c r="C312" s="7" t="s">
        <v>4250</v>
      </c>
      <c r="D312" s="7" t="s">
        <v>4251</v>
      </c>
      <c r="E312" s="7" t="n">
        <v>2065</v>
      </c>
      <c r="F312" s="7" t="s">
        <v>50</v>
      </c>
      <c r="G312" s="7" t="s">
        <v>2852</v>
      </c>
      <c r="H312" s="7" t="s">
        <v>4252</v>
      </c>
      <c r="I312" s="7" t="s">
        <v>4253</v>
      </c>
      <c r="J312" s="7"/>
      <c r="K312" s="7"/>
      <c r="L312" s="7"/>
      <c r="M312" s="10" t="b">
        <f aca="false">FALSE()</f>
        <v>0</v>
      </c>
      <c r="N312" s="7" t="n">
        <v>-33.834036</v>
      </c>
      <c r="O312" s="7" t="n">
        <v>151.182367</v>
      </c>
    </row>
    <row r="313" customFormat="false" ht="15" hidden="false" customHeight="false" outlineLevel="0" collapsed="false">
      <c r="A313" s="7" t="s">
        <v>4254</v>
      </c>
      <c r="B313" s="7" t="s">
        <v>4255</v>
      </c>
      <c r="C313" s="7" t="s">
        <v>4256</v>
      </c>
      <c r="D313" s="7" t="s">
        <v>4257</v>
      </c>
      <c r="E313" s="7" t="n">
        <v>2810</v>
      </c>
      <c r="F313" s="7" t="s">
        <v>50</v>
      </c>
      <c r="G313" s="7" t="s">
        <v>2718</v>
      </c>
      <c r="H313" s="7"/>
      <c r="I313" s="7" t="s">
        <v>2719</v>
      </c>
      <c r="J313" s="7"/>
      <c r="K313" s="7"/>
      <c r="L313" s="7"/>
      <c r="M313" s="10" t="b">
        <f aca="false">FALSE()</f>
        <v>0</v>
      </c>
      <c r="N313" s="7" t="n">
        <v>-33.893479</v>
      </c>
      <c r="O313" s="7" t="n">
        <v>148.160537</v>
      </c>
    </row>
    <row r="314" customFormat="false" ht="15" hidden="false" customHeight="false" outlineLevel="0" collapsed="false">
      <c r="A314" s="7" t="s">
        <v>4258</v>
      </c>
      <c r="B314" s="7" t="s">
        <v>4259</v>
      </c>
      <c r="C314" s="7" t="s">
        <v>4260</v>
      </c>
      <c r="D314" s="7" t="s">
        <v>4261</v>
      </c>
      <c r="E314" s="7" t="n">
        <v>2334</v>
      </c>
      <c r="F314" s="7" t="s">
        <v>50</v>
      </c>
      <c r="G314" s="7" t="s">
        <v>2806</v>
      </c>
      <c r="H314" s="7" t="s">
        <v>4262</v>
      </c>
      <c r="I314" s="7" t="s">
        <v>2831</v>
      </c>
      <c r="J314" s="7" t="s">
        <v>2703</v>
      </c>
      <c r="K314" s="7" t="s">
        <v>2704</v>
      </c>
      <c r="L314" s="7" t="s">
        <v>2705</v>
      </c>
      <c r="M314" s="10" t="b">
        <f aca="false">TRUE()</f>
        <v>1</v>
      </c>
      <c r="N314" s="7" t="n">
        <v>-32.68662215</v>
      </c>
      <c r="O314" s="7" t="n">
        <v>151.3840895</v>
      </c>
    </row>
    <row r="315" customFormat="false" ht="15" hidden="false" customHeight="false" outlineLevel="0" collapsed="false">
      <c r="A315" s="7" t="s">
        <v>4263</v>
      </c>
      <c r="B315" s="7" t="s">
        <v>4264</v>
      </c>
      <c r="C315" s="7" t="s">
        <v>4265</v>
      </c>
      <c r="D315" s="7" t="s">
        <v>4266</v>
      </c>
      <c r="E315" s="7" t="n">
        <v>2680</v>
      </c>
      <c r="F315" s="7" t="s">
        <v>50</v>
      </c>
      <c r="G315" s="7" t="s">
        <v>2806</v>
      </c>
      <c r="H315" s="7" t="s">
        <v>4267</v>
      </c>
      <c r="I315" s="7" t="s">
        <v>2702</v>
      </c>
      <c r="J315" s="7"/>
      <c r="K315" s="7"/>
      <c r="L315" s="7"/>
      <c r="M315" s="10" t="b">
        <f aca="false">FALSE()</f>
        <v>0</v>
      </c>
      <c r="N315" s="7" t="n">
        <v>-34.28682</v>
      </c>
      <c r="O315" s="7" t="n">
        <v>146.047734</v>
      </c>
    </row>
    <row r="316" customFormat="false" ht="15" hidden="false" customHeight="false" outlineLevel="0" collapsed="false">
      <c r="A316" s="7" t="s">
        <v>4268</v>
      </c>
      <c r="B316" s="7" t="s">
        <v>4269</v>
      </c>
      <c r="C316" s="7" t="s">
        <v>4270</v>
      </c>
      <c r="D316" s="7" t="s">
        <v>4271</v>
      </c>
      <c r="E316" s="7" t="n">
        <v>2652</v>
      </c>
      <c r="F316" s="7" t="s">
        <v>50</v>
      </c>
      <c r="G316" s="7" t="s">
        <v>2718</v>
      </c>
      <c r="H316" s="7"/>
      <c r="I316" s="7" t="s">
        <v>2719</v>
      </c>
      <c r="J316" s="7"/>
      <c r="K316" s="7"/>
      <c r="L316" s="7"/>
      <c r="M316" s="10" t="b">
        <f aca="false">FALSE()</f>
        <v>0</v>
      </c>
      <c r="N316" s="7" t="n">
        <v>-34.740092</v>
      </c>
      <c r="O316" s="7" t="n">
        <v>146.782746</v>
      </c>
    </row>
    <row r="317" customFormat="false" ht="15" hidden="false" customHeight="false" outlineLevel="0" collapsed="false">
      <c r="A317" s="7" t="s">
        <v>4272</v>
      </c>
      <c r="B317" s="7" t="s">
        <v>4273</v>
      </c>
      <c r="C317" s="7" t="s">
        <v>4274</v>
      </c>
      <c r="D317" s="7" t="s">
        <v>4275</v>
      </c>
      <c r="E317" s="7" t="n">
        <v>2161</v>
      </c>
      <c r="F317" s="7" t="s">
        <v>50</v>
      </c>
      <c r="G317" s="7" t="s">
        <v>2786</v>
      </c>
      <c r="H317" s="7" t="s">
        <v>3032</v>
      </c>
      <c r="I317" s="7" t="s">
        <v>2747</v>
      </c>
      <c r="J317" s="7" t="s">
        <v>4276</v>
      </c>
      <c r="K317" s="7" t="s">
        <v>2772</v>
      </c>
      <c r="L317" s="7" t="s">
        <v>2705</v>
      </c>
      <c r="M317" s="10" t="b">
        <f aca="false">FALSE()</f>
        <v>0</v>
      </c>
      <c r="N317" s="7" t="n">
        <v>-33.8545057</v>
      </c>
      <c r="O317" s="7" t="n">
        <v>150.984361</v>
      </c>
    </row>
    <row r="318" customFormat="false" ht="15" hidden="false" customHeight="false" outlineLevel="0" collapsed="false">
      <c r="A318" s="7" t="s">
        <v>4277</v>
      </c>
      <c r="B318" s="7" t="s">
        <v>4278</v>
      </c>
      <c r="C318" s="7" t="s">
        <v>4279</v>
      </c>
      <c r="D318" s="7" t="s">
        <v>4280</v>
      </c>
      <c r="E318" s="7" t="n">
        <v>2828</v>
      </c>
      <c r="F318" s="7" t="s">
        <v>50</v>
      </c>
      <c r="G318" s="7" t="s">
        <v>2718</v>
      </c>
      <c r="H318" s="7"/>
      <c r="I318" s="7" t="s">
        <v>2719</v>
      </c>
      <c r="J318" s="7"/>
      <c r="K318" s="7"/>
      <c r="L318" s="7"/>
      <c r="M318" s="10" t="b">
        <f aca="false">FALSE()</f>
        <v>0</v>
      </c>
      <c r="N318" s="7" t="n">
        <v>-31.331091</v>
      </c>
      <c r="O318" s="7" t="n">
        <v>148.472993</v>
      </c>
    </row>
    <row r="319" customFormat="false" ht="15" hidden="false" customHeight="false" outlineLevel="0" collapsed="false">
      <c r="A319" s="7" t="s">
        <v>4281</v>
      </c>
      <c r="B319" s="7" t="s">
        <v>4282</v>
      </c>
      <c r="C319" s="7" t="s">
        <v>4283</v>
      </c>
      <c r="D319" s="7" t="s">
        <v>4284</v>
      </c>
      <c r="E319" s="7" t="n">
        <v>2852</v>
      </c>
      <c r="F319" s="7" t="s">
        <v>50</v>
      </c>
      <c r="G319" s="7" t="s">
        <v>2718</v>
      </c>
      <c r="H319" s="7"/>
      <c r="I319" s="7" t="s">
        <v>2719</v>
      </c>
      <c r="J319" s="7"/>
      <c r="K319" s="7"/>
      <c r="L319" s="7"/>
      <c r="M319" s="10" t="b">
        <f aca="false">FALSE()</f>
        <v>0</v>
      </c>
      <c r="N319" s="7" t="n">
        <v>-32.36437</v>
      </c>
      <c r="O319" s="7" t="n">
        <v>149.533026</v>
      </c>
    </row>
    <row r="320" customFormat="false" ht="15" hidden="false" customHeight="false" outlineLevel="0" collapsed="false">
      <c r="A320" s="7" t="s">
        <v>4285</v>
      </c>
      <c r="B320" s="7" t="s">
        <v>4286</v>
      </c>
      <c r="C320" s="7" t="s">
        <v>4287</v>
      </c>
      <c r="D320" s="7" t="s">
        <v>4288</v>
      </c>
      <c r="E320" s="7" t="n">
        <v>2722</v>
      </c>
      <c r="F320" s="7" t="s">
        <v>50</v>
      </c>
      <c r="G320" s="7" t="s">
        <v>2718</v>
      </c>
      <c r="H320" s="7"/>
      <c r="I320" s="7" t="s">
        <v>2719</v>
      </c>
      <c r="J320" s="7"/>
      <c r="K320" s="7"/>
      <c r="L320" s="7"/>
      <c r="M320" s="10" t="b">
        <f aca="false">FALSE()</f>
        <v>0</v>
      </c>
      <c r="N320" s="7" t="n">
        <v>-35.06297</v>
      </c>
      <c r="O320" s="7" t="n">
        <v>148.101696</v>
      </c>
    </row>
    <row r="321" customFormat="false" ht="15" hidden="false" customHeight="false" outlineLevel="0" collapsed="false">
      <c r="A321" s="7" t="s">
        <v>4289</v>
      </c>
      <c r="B321" s="7" t="s">
        <v>4290</v>
      </c>
      <c r="C321" s="7" t="s">
        <v>4291</v>
      </c>
      <c r="D321" s="7" t="s">
        <v>4292</v>
      </c>
      <c r="E321" s="7" t="n">
        <v>2380</v>
      </c>
      <c r="F321" s="7" t="s">
        <v>50</v>
      </c>
      <c r="G321" s="7" t="s">
        <v>2793</v>
      </c>
      <c r="H321" s="7" t="s">
        <v>4293</v>
      </c>
      <c r="I321" s="7" t="s">
        <v>3059</v>
      </c>
      <c r="J321" s="7"/>
      <c r="K321" s="7"/>
      <c r="L321" s="7"/>
      <c r="M321" s="10" t="b">
        <f aca="false">FALSE()</f>
        <v>0</v>
      </c>
      <c r="N321" s="7" t="n">
        <v>-30.979376</v>
      </c>
      <c r="O321" s="7" t="n">
        <v>150.247996</v>
      </c>
    </row>
    <row r="322" customFormat="false" ht="15" hidden="false" customHeight="false" outlineLevel="0" collapsed="false">
      <c r="A322" s="7" t="s">
        <v>4294</v>
      </c>
      <c r="B322" s="7" t="s">
        <v>4295</v>
      </c>
      <c r="C322" s="7" t="s">
        <v>4296</v>
      </c>
      <c r="D322" s="7" t="s">
        <v>4297</v>
      </c>
      <c r="E322" s="7" t="n">
        <v>2581</v>
      </c>
      <c r="F322" s="7" t="s">
        <v>50</v>
      </c>
      <c r="G322" s="7" t="s">
        <v>2806</v>
      </c>
      <c r="H322" s="7" t="s">
        <v>4298</v>
      </c>
      <c r="I322" s="7" t="s">
        <v>4299</v>
      </c>
      <c r="J322" s="7"/>
      <c r="K322" s="7"/>
      <c r="L322" s="7"/>
      <c r="M322" s="10" t="b">
        <f aca="false">FALSE()</f>
        <v>0</v>
      </c>
      <c r="N322" s="7" t="n">
        <v>-34.779691</v>
      </c>
      <c r="O322" s="7" t="n">
        <v>149.261031</v>
      </c>
    </row>
    <row r="323" customFormat="false" ht="15" hidden="false" customHeight="false" outlineLevel="0" collapsed="false">
      <c r="A323" s="7" t="s">
        <v>4300</v>
      </c>
      <c r="B323" s="7" t="s">
        <v>4301</v>
      </c>
      <c r="C323" s="7" t="s">
        <v>4302</v>
      </c>
      <c r="D323" s="7" t="s">
        <v>4303</v>
      </c>
      <c r="E323" s="7" t="n">
        <v>2365</v>
      </c>
      <c r="F323" s="7" t="s">
        <v>50</v>
      </c>
      <c r="G323" s="7" t="s">
        <v>2718</v>
      </c>
      <c r="H323" s="7"/>
      <c r="I323" s="7" t="s">
        <v>2719</v>
      </c>
      <c r="J323" s="7"/>
      <c r="K323" s="7"/>
      <c r="L323" s="7"/>
      <c r="M323" s="10" t="b">
        <f aca="false">FALSE()</f>
        <v>0</v>
      </c>
      <c r="N323" s="7" t="n">
        <v>-30.220216</v>
      </c>
      <c r="O323" s="7" t="n">
        <v>151.67152</v>
      </c>
    </row>
    <row r="324" customFormat="false" ht="15" hidden="false" customHeight="false" outlineLevel="0" collapsed="false">
      <c r="A324" s="7" t="s">
        <v>4304</v>
      </c>
      <c r="B324" s="7" t="s">
        <v>4305</v>
      </c>
      <c r="C324" s="7" t="s">
        <v>4306</v>
      </c>
      <c r="D324" s="7" t="s">
        <v>4307</v>
      </c>
      <c r="E324" s="7" t="n">
        <v>2227</v>
      </c>
      <c r="F324" s="7" t="s">
        <v>50</v>
      </c>
      <c r="G324" s="7" t="s">
        <v>2786</v>
      </c>
      <c r="H324" s="7" t="s">
        <v>4308</v>
      </c>
      <c r="I324" s="7" t="s">
        <v>2747</v>
      </c>
      <c r="J324" s="7" t="s">
        <v>4309</v>
      </c>
      <c r="K324" s="7" t="s">
        <v>2772</v>
      </c>
      <c r="L324" s="7" t="s">
        <v>2705</v>
      </c>
      <c r="M324" s="10" t="b">
        <f aca="false">FALSE()</f>
        <v>0</v>
      </c>
      <c r="N324" s="7" t="n">
        <v>-34.03489294</v>
      </c>
      <c r="O324" s="7" t="n">
        <v>151.0854766</v>
      </c>
    </row>
    <row r="325" customFormat="false" ht="15" hidden="false" customHeight="false" outlineLevel="0" collapsed="false">
      <c r="A325" s="7" t="s">
        <v>4310</v>
      </c>
      <c r="B325" s="7" t="s">
        <v>4311</v>
      </c>
      <c r="C325" s="7" t="s">
        <v>4312</v>
      </c>
      <c r="D325" s="7" t="s">
        <v>4313</v>
      </c>
      <c r="E325" s="7" t="n">
        <v>2303</v>
      </c>
      <c r="F325" s="7" t="s">
        <v>50</v>
      </c>
      <c r="G325" s="7" t="s">
        <v>2786</v>
      </c>
      <c r="H325" s="7" t="s">
        <v>4314</v>
      </c>
      <c r="I325" s="7" t="s">
        <v>3592</v>
      </c>
      <c r="J325" s="7" t="s">
        <v>4315</v>
      </c>
      <c r="K325" s="7" t="s">
        <v>2704</v>
      </c>
      <c r="L325" s="7" t="s">
        <v>2705</v>
      </c>
      <c r="M325" s="10" t="b">
        <f aca="false">TRUE()</f>
        <v>1</v>
      </c>
      <c r="N325" s="7" t="n">
        <v>-32.91871348</v>
      </c>
      <c r="O325" s="7" t="n">
        <v>151.7488722</v>
      </c>
    </row>
    <row r="326" customFormat="false" ht="15" hidden="false" customHeight="false" outlineLevel="0" collapsed="false">
      <c r="A326" s="7" t="s">
        <v>4316</v>
      </c>
      <c r="B326" s="7" t="s">
        <v>4317</v>
      </c>
      <c r="C326" s="7" t="s">
        <v>4318</v>
      </c>
      <c r="D326" s="7" t="s">
        <v>4319</v>
      </c>
      <c r="E326" s="7" t="n">
        <v>2587</v>
      </c>
      <c r="F326" s="7" t="s">
        <v>50</v>
      </c>
      <c r="G326" s="7" t="s">
        <v>2806</v>
      </c>
      <c r="H326" s="7" t="s">
        <v>4320</v>
      </c>
      <c r="I326" s="7" t="s">
        <v>4139</v>
      </c>
      <c r="J326" s="7"/>
      <c r="K326" s="7"/>
      <c r="L326" s="7"/>
      <c r="M326" s="10" t="b">
        <f aca="false">FALSE()</f>
        <v>0</v>
      </c>
      <c r="N326" s="7" t="n">
        <v>-34.553349</v>
      </c>
      <c r="O326" s="7" t="n">
        <v>148.371322</v>
      </c>
    </row>
    <row r="327" customFormat="false" ht="15" hidden="false" customHeight="false" outlineLevel="0" collapsed="false">
      <c r="A327" s="7" t="s">
        <v>4321</v>
      </c>
      <c r="B327" s="7" t="s">
        <v>4322</v>
      </c>
      <c r="C327" s="7" t="s">
        <v>4323</v>
      </c>
      <c r="D327" s="7" t="s">
        <v>4324</v>
      </c>
      <c r="E327" s="7" t="n">
        <v>2587</v>
      </c>
      <c r="F327" s="7" t="s">
        <v>50</v>
      </c>
      <c r="G327" s="7" t="s">
        <v>2718</v>
      </c>
      <c r="H327" s="7"/>
      <c r="I327" s="7" t="s">
        <v>2719</v>
      </c>
      <c r="J327" s="7"/>
      <c r="K327" s="7"/>
      <c r="L327" s="7"/>
      <c r="M327" s="10" t="b">
        <f aca="false">FALSE()</f>
        <v>0</v>
      </c>
      <c r="N327" s="7" t="n">
        <v>-34.55424</v>
      </c>
      <c r="O327" s="7" t="n">
        <v>148.367228</v>
      </c>
    </row>
    <row r="328" customFormat="false" ht="15" hidden="false" customHeight="false" outlineLevel="0" collapsed="false">
      <c r="A328" s="7" t="s">
        <v>4325</v>
      </c>
      <c r="B328" s="7" t="s">
        <v>4326</v>
      </c>
      <c r="C328" s="7" t="s">
        <v>4327</v>
      </c>
      <c r="D328" s="7" t="s">
        <v>4328</v>
      </c>
      <c r="E328" s="7" t="n">
        <v>2150</v>
      </c>
      <c r="F328" s="7" t="s">
        <v>50</v>
      </c>
      <c r="G328" s="7" t="s">
        <v>2806</v>
      </c>
      <c r="H328" s="7" t="s">
        <v>4329</v>
      </c>
      <c r="I328" s="7" t="s">
        <v>2747</v>
      </c>
      <c r="J328" s="7" t="s">
        <v>4330</v>
      </c>
      <c r="K328" s="7" t="s">
        <v>2772</v>
      </c>
      <c r="L328" s="7" t="s">
        <v>2705</v>
      </c>
      <c r="M328" s="10" t="b">
        <f aca="false">FALSE()</f>
        <v>0</v>
      </c>
      <c r="N328" s="7" t="n">
        <v>-33.82326002</v>
      </c>
      <c r="O328" s="7" t="n">
        <v>151.0076387</v>
      </c>
    </row>
    <row r="329" customFormat="false" ht="15" hidden="false" customHeight="false" outlineLevel="0" collapsed="false">
      <c r="A329" s="7" t="s">
        <v>4331</v>
      </c>
      <c r="B329" s="7" t="s">
        <v>4332</v>
      </c>
      <c r="C329" s="7" t="s">
        <v>4333</v>
      </c>
      <c r="D329" s="7" t="s">
        <v>4334</v>
      </c>
      <c r="E329" s="7" t="n">
        <v>2489</v>
      </c>
      <c r="F329" s="7" t="s">
        <v>50</v>
      </c>
      <c r="G329" s="7" t="s">
        <v>2718</v>
      </c>
      <c r="H329" s="7"/>
      <c r="I329" s="7" t="s">
        <v>2719</v>
      </c>
      <c r="J329" s="7"/>
      <c r="K329" s="7"/>
      <c r="L329" s="7"/>
      <c r="M329" s="10" t="b">
        <f aca="false">FALSE()</f>
        <v>0</v>
      </c>
      <c r="N329" s="7" t="n">
        <v>-28.354774</v>
      </c>
      <c r="O329" s="7" t="n">
        <v>153.572477</v>
      </c>
    </row>
    <row r="330" customFormat="false" ht="15" hidden="false" customHeight="false" outlineLevel="0" collapsed="false">
      <c r="A330" s="7" t="s">
        <v>4335</v>
      </c>
      <c r="B330" s="7" t="s">
        <v>4336</v>
      </c>
      <c r="C330" s="7" t="s">
        <v>4337</v>
      </c>
      <c r="D330" s="7" t="s">
        <v>4338</v>
      </c>
      <c r="E330" s="7" t="n">
        <v>2083</v>
      </c>
      <c r="F330" s="7" t="s">
        <v>50</v>
      </c>
      <c r="G330" s="7" t="s">
        <v>4339</v>
      </c>
      <c r="H330" s="7" t="s">
        <v>4086</v>
      </c>
      <c r="I330" s="7" t="s">
        <v>2747</v>
      </c>
      <c r="J330" s="7"/>
      <c r="K330" s="7" t="s">
        <v>2704</v>
      </c>
      <c r="L330" s="7" t="s">
        <v>2705</v>
      </c>
      <c r="M330" s="10" t="b">
        <f aca="false">TRUE()</f>
        <v>1</v>
      </c>
      <c r="N330" s="7" t="n">
        <v>-33.54678835</v>
      </c>
      <c r="O330" s="7" t="n">
        <v>151.2265104</v>
      </c>
    </row>
    <row r="331" customFormat="false" ht="15" hidden="false" customHeight="false" outlineLevel="0" collapsed="false">
      <c r="A331" s="7" t="s">
        <v>4340</v>
      </c>
      <c r="B331" s="7" t="s">
        <v>4341</v>
      </c>
      <c r="C331" s="7" t="s">
        <v>4342</v>
      </c>
      <c r="D331" s="7" t="s">
        <v>4343</v>
      </c>
      <c r="E331" s="7" t="n">
        <v>2040</v>
      </c>
      <c r="F331" s="7" t="s">
        <v>50</v>
      </c>
      <c r="G331" s="7" t="s">
        <v>2769</v>
      </c>
      <c r="H331" s="7" t="s">
        <v>2770</v>
      </c>
      <c r="I331" s="7" t="s">
        <v>3583</v>
      </c>
      <c r="J331" s="7"/>
      <c r="K331" s="7" t="s">
        <v>2772</v>
      </c>
      <c r="L331" s="7" t="s">
        <v>2705</v>
      </c>
      <c r="M331" s="10" t="b">
        <f aca="false">FALSE()</f>
        <v>0</v>
      </c>
      <c r="N331" s="7" t="n">
        <v>-33.87972548</v>
      </c>
      <c r="O331" s="7" t="n">
        <v>151.1471308</v>
      </c>
    </row>
    <row r="332" customFormat="false" ht="15" hidden="false" customHeight="false" outlineLevel="0" collapsed="false">
      <c r="A332" s="7" t="s">
        <v>4344</v>
      </c>
      <c r="B332" s="7" t="s">
        <v>4345</v>
      </c>
      <c r="C332" s="7" t="s">
        <v>4346</v>
      </c>
      <c r="D332" s="7" t="s">
        <v>4347</v>
      </c>
      <c r="E332" s="7" t="n">
        <v>2711</v>
      </c>
      <c r="F332" s="7" t="s">
        <v>50</v>
      </c>
      <c r="G332" s="7" t="s">
        <v>2718</v>
      </c>
      <c r="H332" s="7"/>
      <c r="I332" s="7" t="s">
        <v>2719</v>
      </c>
      <c r="J332" s="7"/>
      <c r="K332" s="7"/>
      <c r="L332" s="7"/>
      <c r="M332" s="10" t="b">
        <f aca="false">FALSE()</f>
        <v>0</v>
      </c>
      <c r="N332" s="7" t="n">
        <v>-34.5205</v>
      </c>
      <c r="O332" s="7" t="n">
        <v>144.837548</v>
      </c>
    </row>
    <row r="333" customFormat="false" ht="15" hidden="false" customHeight="false" outlineLevel="0" collapsed="false">
      <c r="A333" s="7" t="s">
        <v>4348</v>
      </c>
      <c r="B333" s="7" t="s">
        <v>4349</v>
      </c>
      <c r="C333" s="7" t="s">
        <v>4350</v>
      </c>
      <c r="D333" s="7" t="s">
        <v>3511</v>
      </c>
      <c r="E333" s="7" t="n">
        <v>2000</v>
      </c>
      <c r="F333" s="7" t="s">
        <v>50</v>
      </c>
      <c r="G333" s="7" t="s">
        <v>4351</v>
      </c>
      <c r="H333" s="7" t="s">
        <v>3263</v>
      </c>
      <c r="I333" s="7" t="s">
        <v>3264</v>
      </c>
      <c r="J333" s="7"/>
      <c r="K333" s="7" t="s">
        <v>2772</v>
      </c>
      <c r="L333" s="7" t="s">
        <v>2705</v>
      </c>
      <c r="M333" s="10" t="b">
        <f aca="false">FALSE()</f>
        <v>0</v>
      </c>
      <c r="N333" s="7" t="n">
        <v>-33.881447</v>
      </c>
      <c r="O333" s="7" t="n">
        <v>151.205334</v>
      </c>
    </row>
    <row r="334" customFormat="false" ht="15" hidden="false" customHeight="false" outlineLevel="0" collapsed="false">
      <c r="A334" s="7" t="s">
        <v>4352</v>
      </c>
      <c r="B334" s="7" t="s">
        <v>4353</v>
      </c>
      <c r="C334" s="7" t="s">
        <v>4354</v>
      </c>
      <c r="D334" s="7" t="s">
        <v>4355</v>
      </c>
      <c r="E334" s="7" t="n">
        <v>2779</v>
      </c>
      <c r="F334" s="7" t="s">
        <v>50</v>
      </c>
      <c r="G334" s="7" t="s">
        <v>2786</v>
      </c>
      <c r="H334" s="7" t="s">
        <v>4356</v>
      </c>
      <c r="I334" s="7" t="s">
        <v>2885</v>
      </c>
      <c r="J334" s="7" t="s">
        <v>4357</v>
      </c>
      <c r="K334" s="7" t="s">
        <v>2704</v>
      </c>
      <c r="L334" s="7" t="s">
        <v>2705</v>
      </c>
      <c r="M334" s="10" t="b">
        <f aca="false">TRUE()</f>
        <v>1</v>
      </c>
      <c r="N334" s="7" t="n">
        <v>-33.72397351</v>
      </c>
      <c r="O334" s="7" t="n">
        <v>150.4546038</v>
      </c>
    </row>
    <row r="335" customFormat="false" ht="15" hidden="false" customHeight="false" outlineLevel="0" collapsed="false">
      <c r="A335" s="7" t="s">
        <v>4358</v>
      </c>
      <c r="B335" s="7" t="s">
        <v>4359</v>
      </c>
      <c r="C335" s="7" t="s">
        <v>4360</v>
      </c>
      <c r="D335" s="7" t="s">
        <v>4361</v>
      </c>
      <c r="E335" s="7" t="n">
        <v>2233</v>
      </c>
      <c r="F335" s="7" t="s">
        <v>50</v>
      </c>
      <c r="G335" s="7" t="s">
        <v>2793</v>
      </c>
      <c r="H335" s="7" t="s">
        <v>4362</v>
      </c>
      <c r="I335" s="7" t="s">
        <v>2747</v>
      </c>
      <c r="J335" s="7" t="s">
        <v>4363</v>
      </c>
      <c r="K335" s="7" t="s">
        <v>2772</v>
      </c>
      <c r="L335" s="7" t="s">
        <v>2705</v>
      </c>
      <c r="M335" s="10" t="b">
        <f aca="false">TRUE()</f>
        <v>1</v>
      </c>
      <c r="N335" s="7" t="n">
        <v>-34.08823661</v>
      </c>
      <c r="O335" s="7" t="n">
        <v>151.0080024</v>
      </c>
    </row>
    <row r="336" customFormat="false" ht="15" hidden="false" customHeight="false" outlineLevel="0" collapsed="false">
      <c r="A336" s="7" t="s">
        <v>4364</v>
      </c>
      <c r="B336" s="7" t="s">
        <v>4365</v>
      </c>
      <c r="C336" s="7" t="s">
        <v>4366</v>
      </c>
      <c r="D336" s="7" t="s">
        <v>4367</v>
      </c>
      <c r="E336" s="7" t="n">
        <v>2508</v>
      </c>
      <c r="F336" s="7" t="s">
        <v>50</v>
      </c>
      <c r="G336" s="7" t="s">
        <v>2786</v>
      </c>
      <c r="H336" s="7" t="s">
        <v>4368</v>
      </c>
      <c r="I336" s="7" t="s">
        <v>2747</v>
      </c>
      <c r="J336" s="7" t="s">
        <v>4369</v>
      </c>
      <c r="K336" s="7" t="s">
        <v>2704</v>
      </c>
      <c r="L336" s="7" t="s">
        <v>2705</v>
      </c>
      <c r="M336" s="10" t="b">
        <f aca="false">TRUE()</f>
        <v>1</v>
      </c>
      <c r="N336" s="7" t="n">
        <v>-34.17686988</v>
      </c>
      <c r="O336" s="7" t="n">
        <v>150.9948249</v>
      </c>
    </row>
    <row r="337" customFormat="false" ht="15" hidden="false" customHeight="false" outlineLevel="0" collapsed="false">
      <c r="A337" s="7" t="s">
        <v>4370</v>
      </c>
      <c r="B337" s="7" t="s">
        <v>4371</v>
      </c>
      <c r="C337" s="7" t="s">
        <v>4372</v>
      </c>
      <c r="D337" s="7" t="s">
        <v>4373</v>
      </c>
      <c r="E337" s="7" t="n">
        <v>2658</v>
      </c>
      <c r="F337" s="7" t="s">
        <v>50</v>
      </c>
      <c r="G337" s="7" t="s">
        <v>3269</v>
      </c>
      <c r="H337" s="7" t="s">
        <v>3169</v>
      </c>
      <c r="I337" s="7" t="s">
        <v>4374</v>
      </c>
      <c r="J337" s="7"/>
      <c r="K337" s="7"/>
      <c r="L337" s="7"/>
      <c r="M337" s="10" t="b">
        <f aca="false">FALSE()</f>
        <v>0</v>
      </c>
      <c r="N337" s="7" t="n">
        <v>-35.517886</v>
      </c>
      <c r="O337" s="7" t="n">
        <v>147.035371</v>
      </c>
    </row>
    <row r="338" customFormat="false" ht="15" hidden="false" customHeight="false" outlineLevel="0" collapsed="false">
      <c r="A338" s="7" t="s">
        <v>4375</v>
      </c>
      <c r="B338" s="7" t="s">
        <v>4376</v>
      </c>
      <c r="C338" s="7" t="s">
        <v>4377</v>
      </c>
      <c r="D338" s="7" t="s">
        <v>4378</v>
      </c>
      <c r="E338" s="7" t="n">
        <v>2831</v>
      </c>
      <c r="F338" s="7" t="s">
        <v>50</v>
      </c>
      <c r="G338" s="7" t="s">
        <v>2718</v>
      </c>
      <c r="H338" s="7"/>
      <c r="I338" s="7" t="s">
        <v>2719</v>
      </c>
      <c r="J338" s="7"/>
      <c r="K338" s="7"/>
      <c r="L338" s="7"/>
      <c r="M338" s="10" t="b">
        <f aca="false">FALSE()</f>
        <v>0</v>
      </c>
      <c r="N338" s="7" t="n">
        <v>-31.546814</v>
      </c>
      <c r="O338" s="7" t="n">
        <v>146.725963</v>
      </c>
    </row>
    <row r="339" customFormat="false" ht="15" hidden="false" customHeight="false" outlineLevel="0" collapsed="false">
      <c r="A339" s="7" t="s">
        <v>4379</v>
      </c>
      <c r="B339" s="7" t="s">
        <v>4380</v>
      </c>
      <c r="C339" s="7" t="s">
        <v>4381</v>
      </c>
      <c r="D339" s="7" t="s">
        <v>4382</v>
      </c>
      <c r="E339" s="7" t="n">
        <v>2322</v>
      </c>
      <c r="F339" s="7" t="s">
        <v>50</v>
      </c>
      <c r="G339" s="7" t="s">
        <v>2806</v>
      </c>
      <c r="H339" s="7" t="s">
        <v>2701</v>
      </c>
      <c r="I339" s="7" t="s">
        <v>3633</v>
      </c>
      <c r="J339" s="7" t="s">
        <v>3039</v>
      </c>
      <c r="K339" s="7" t="s">
        <v>2704</v>
      </c>
      <c r="L339" s="7" t="s">
        <v>2705</v>
      </c>
      <c r="M339" s="10" t="b">
        <f aca="false">TRUE()</f>
        <v>1</v>
      </c>
      <c r="N339" s="7" t="n">
        <v>-32.82947029</v>
      </c>
      <c r="O339" s="7" t="n">
        <v>151.6844171</v>
      </c>
    </row>
    <row r="340" customFormat="false" ht="15" hidden="false" customHeight="false" outlineLevel="0" collapsed="false">
      <c r="A340" s="7" t="s">
        <v>4383</v>
      </c>
      <c r="B340" s="7" t="s">
        <v>4384</v>
      </c>
      <c r="C340" s="7" t="s">
        <v>4385</v>
      </c>
      <c r="D340" s="7" t="s">
        <v>4386</v>
      </c>
      <c r="E340" s="7" t="n">
        <v>2320</v>
      </c>
      <c r="F340" s="7" t="s">
        <v>50</v>
      </c>
      <c r="G340" s="7" t="s">
        <v>2710</v>
      </c>
      <c r="H340" s="7" t="s">
        <v>2701</v>
      </c>
      <c r="I340" s="7" t="s">
        <v>3633</v>
      </c>
      <c r="J340" s="7" t="s">
        <v>4387</v>
      </c>
      <c r="K340" s="7" t="s">
        <v>2704</v>
      </c>
      <c r="L340" s="7" t="s">
        <v>2705</v>
      </c>
      <c r="M340" s="10" t="b">
        <f aca="false">TRUE()</f>
        <v>1</v>
      </c>
      <c r="N340" s="7" t="n">
        <v>-32.741449</v>
      </c>
      <c r="O340" s="7" t="n">
        <v>151.5636893</v>
      </c>
    </row>
    <row r="341" customFormat="false" ht="15" hidden="false" customHeight="false" outlineLevel="0" collapsed="false">
      <c r="A341" s="7" t="s">
        <v>4388</v>
      </c>
      <c r="B341" s="7" t="s">
        <v>4389</v>
      </c>
      <c r="C341" s="7" t="s">
        <v>4390</v>
      </c>
      <c r="D341" s="7" t="s">
        <v>4391</v>
      </c>
      <c r="E341" s="7" t="n">
        <v>2420</v>
      </c>
      <c r="F341" s="7" t="s">
        <v>50</v>
      </c>
      <c r="G341" s="7" t="s">
        <v>2806</v>
      </c>
      <c r="H341" s="7" t="s">
        <v>4063</v>
      </c>
      <c r="I341" s="7" t="s">
        <v>4139</v>
      </c>
      <c r="J341" s="7" t="s">
        <v>2703</v>
      </c>
      <c r="K341" s="7" t="s">
        <v>2704</v>
      </c>
      <c r="L341" s="7" t="s">
        <v>2705</v>
      </c>
      <c r="M341" s="10" t="b">
        <f aca="false">TRUE()</f>
        <v>1</v>
      </c>
      <c r="N341" s="7" t="n">
        <v>-32.50450378</v>
      </c>
      <c r="O341" s="7" t="n">
        <v>151.6497678</v>
      </c>
    </row>
    <row r="342" customFormat="false" ht="15" hidden="false" customHeight="false" outlineLevel="0" collapsed="false">
      <c r="A342" s="7" t="s">
        <v>4392</v>
      </c>
      <c r="B342" s="7" t="s">
        <v>4393</v>
      </c>
      <c r="C342" s="7" t="s">
        <v>4394</v>
      </c>
      <c r="D342" s="7" t="s">
        <v>4395</v>
      </c>
      <c r="E342" s="7" t="n">
        <v>2154</v>
      </c>
      <c r="F342" s="7" t="s">
        <v>50</v>
      </c>
      <c r="G342" s="7" t="s">
        <v>2982</v>
      </c>
      <c r="H342" s="7" t="s">
        <v>2983</v>
      </c>
      <c r="I342" s="7" t="s">
        <v>2897</v>
      </c>
      <c r="J342" s="7"/>
      <c r="K342" s="7" t="s">
        <v>2772</v>
      </c>
      <c r="L342" s="7" t="s">
        <v>2705</v>
      </c>
      <c r="M342" s="10" t="b">
        <f aca="false">FALSE()</f>
        <v>0</v>
      </c>
      <c r="N342" s="7" t="n">
        <v>-33.72782</v>
      </c>
      <c r="O342" s="7" t="n">
        <v>150.987345</v>
      </c>
    </row>
    <row r="343" customFormat="false" ht="15" hidden="false" customHeight="false" outlineLevel="0" collapsed="false">
      <c r="A343" s="7" t="s">
        <v>4396</v>
      </c>
      <c r="B343" s="7" t="s">
        <v>4397</v>
      </c>
      <c r="C343" s="7" t="s">
        <v>4398</v>
      </c>
      <c r="D343" s="7" t="s">
        <v>4399</v>
      </c>
      <c r="E343" s="7" t="n">
        <v>2173</v>
      </c>
      <c r="F343" s="7" t="s">
        <v>50</v>
      </c>
      <c r="G343" s="7" t="s">
        <v>2786</v>
      </c>
      <c r="H343" s="7" t="s">
        <v>4400</v>
      </c>
      <c r="I343" s="7" t="s">
        <v>2747</v>
      </c>
      <c r="J343" s="7" t="s">
        <v>4401</v>
      </c>
      <c r="K343" s="7" t="s">
        <v>2772</v>
      </c>
      <c r="L343" s="7" t="s">
        <v>2705</v>
      </c>
      <c r="M343" s="10" t="b">
        <f aca="false">FALSE()</f>
        <v>0</v>
      </c>
      <c r="N343" s="7" t="n">
        <v>-33.96320957</v>
      </c>
      <c r="O343" s="7" t="n">
        <v>150.9568946</v>
      </c>
    </row>
    <row r="344" customFormat="false" ht="15" hidden="false" customHeight="false" outlineLevel="0" collapsed="false">
      <c r="A344" s="7" t="s">
        <v>4402</v>
      </c>
      <c r="B344" s="7" t="s">
        <v>4403</v>
      </c>
      <c r="C344" s="7" t="s">
        <v>4404</v>
      </c>
      <c r="D344" s="7" t="s">
        <v>4405</v>
      </c>
      <c r="E344" s="7" t="n">
        <v>2140</v>
      </c>
      <c r="F344" s="7" t="s">
        <v>50</v>
      </c>
      <c r="G344" s="7" t="s">
        <v>2786</v>
      </c>
      <c r="H344" s="7" t="s">
        <v>4406</v>
      </c>
      <c r="I344" s="7" t="s">
        <v>4407</v>
      </c>
      <c r="J344" s="7" t="s">
        <v>4408</v>
      </c>
      <c r="K344" s="7" t="s">
        <v>2772</v>
      </c>
      <c r="L344" s="7" t="s">
        <v>2705</v>
      </c>
      <c r="M344" s="10" t="b">
        <f aca="false">FALSE()</f>
        <v>0</v>
      </c>
      <c r="N344" s="7" t="n">
        <v>-33.86673988</v>
      </c>
      <c r="O344" s="7" t="n">
        <v>151.0864413</v>
      </c>
    </row>
    <row r="345" customFormat="false" ht="15" hidden="false" customHeight="false" outlineLevel="0" collapsed="false">
      <c r="A345" s="7" t="s">
        <v>4409</v>
      </c>
      <c r="B345" s="7" t="s">
        <v>4410</v>
      </c>
      <c r="C345" s="7" t="s">
        <v>4411</v>
      </c>
      <c r="D345" s="7" t="s">
        <v>4412</v>
      </c>
      <c r="E345" s="7" t="n">
        <v>2300</v>
      </c>
      <c r="F345" s="7" t="s">
        <v>50</v>
      </c>
      <c r="G345" s="7" t="s">
        <v>2769</v>
      </c>
      <c r="H345" s="7" t="s">
        <v>3582</v>
      </c>
      <c r="I345" s="7" t="s">
        <v>3583</v>
      </c>
      <c r="J345" s="7"/>
      <c r="K345" s="7" t="s">
        <v>2772</v>
      </c>
      <c r="L345" s="7" t="s">
        <v>2705</v>
      </c>
      <c r="M345" s="10" t="b">
        <f aca="false">FALSE()</f>
        <v>0</v>
      </c>
      <c r="N345" s="7" t="n">
        <v>-32.92647</v>
      </c>
      <c r="O345" s="7" t="n">
        <v>151.765765</v>
      </c>
    </row>
    <row r="346" customFormat="false" ht="15" hidden="false" customHeight="false" outlineLevel="0" collapsed="false">
      <c r="A346" s="7" t="s">
        <v>4413</v>
      </c>
      <c r="B346" s="7" t="s">
        <v>4414</v>
      </c>
      <c r="C346" s="7" t="s">
        <v>4415</v>
      </c>
      <c r="D346" s="7" t="s">
        <v>4416</v>
      </c>
      <c r="E346" s="7" t="n">
        <v>2077</v>
      </c>
      <c r="F346" s="7" t="s">
        <v>50</v>
      </c>
      <c r="G346" s="7" t="s">
        <v>2786</v>
      </c>
      <c r="H346" s="7" t="s">
        <v>4417</v>
      </c>
      <c r="I346" s="7" t="s">
        <v>2747</v>
      </c>
      <c r="J346" s="7" t="s">
        <v>4418</v>
      </c>
      <c r="K346" s="7" t="s">
        <v>2772</v>
      </c>
      <c r="L346" s="7" t="s">
        <v>2705</v>
      </c>
      <c r="M346" s="10" t="b">
        <f aca="false">TRUE()</f>
        <v>1</v>
      </c>
      <c r="N346" s="7" t="n">
        <v>-33.70280124</v>
      </c>
      <c r="O346" s="7" t="n">
        <v>151.098494</v>
      </c>
    </row>
    <row r="347" customFormat="false" ht="15" hidden="false" customHeight="false" outlineLevel="0" collapsed="false">
      <c r="A347" s="7" t="s">
        <v>4419</v>
      </c>
      <c r="B347" s="7" t="s">
        <v>4420</v>
      </c>
      <c r="C347" s="7" t="s">
        <v>4421</v>
      </c>
      <c r="D347" s="7" t="s">
        <v>4422</v>
      </c>
      <c r="E347" s="7" t="n">
        <v>2643</v>
      </c>
      <c r="F347" s="7" t="s">
        <v>50</v>
      </c>
      <c r="G347" s="7" t="s">
        <v>2718</v>
      </c>
      <c r="H347" s="7"/>
      <c r="I347" s="7" t="s">
        <v>2719</v>
      </c>
      <c r="J347" s="7"/>
      <c r="K347" s="7"/>
      <c r="L347" s="7"/>
      <c r="M347" s="10" t="b">
        <f aca="false">FALSE()</f>
        <v>0</v>
      </c>
      <c r="N347" s="7" t="n">
        <v>-35.978756</v>
      </c>
      <c r="O347" s="7" t="n">
        <v>146.625294</v>
      </c>
    </row>
    <row r="348" customFormat="false" ht="15" hidden="false" customHeight="false" outlineLevel="0" collapsed="false">
      <c r="A348" s="7" t="s">
        <v>4423</v>
      </c>
      <c r="B348" s="7" t="s">
        <v>4424</v>
      </c>
      <c r="C348" s="7" t="s">
        <v>4425</v>
      </c>
      <c r="D348" s="7" t="s">
        <v>4426</v>
      </c>
      <c r="E348" s="7" t="n">
        <v>2110</v>
      </c>
      <c r="F348" s="7" t="s">
        <v>50</v>
      </c>
      <c r="G348" s="7" t="s">
        <v>2852</v>
      </c>
      <c r="H348" s="7" t="s">
        <v>4427</v>
      </c>
      <c r="I348" s="7" t="s">
        <v>3821</v>
      </c>
      <c r="J348" s="7"/>
      <c r="K348" s="7"/>
      <c r="L348" s="7"/>
      <c r="M348" s="10" t="b">
        <f aca="false">FALSE()</f>
        <v>0</v>
      </c>
      <c r="N348" s="7" t="n">
        <v>-33.835744</v>
      </c>
      <c r="O348" s="7" t="n">
        <v>151.160663</v>
      </c>
    </row>
    <row r="349" customFormat="false" ht="15" hidden="false" customHeight="false" outlineLevel="0" collapsed="false">
      <c r="A349" s="7" t="s">
        <v>4428</v>
      </c>
      <c r="B349" s="7" t="s">
        <v>4429</v>
      </c>
      <c r="C349" s="7" t="s">
        <v>4430</v>
      </c>
      <c r="D349" s="7" t="s">
        <v>4431</v>
      </c>
      <c r="E349" s="7" t="n">
        <v>2111</v>
      </c>
      <c r="F349" s="7" t="s">
        <v>50</v>
      </c>
      <c r="G349" s="7" t="s">
        <v>2852</v>
      </c>
      <c r="H349" s="7" t="s">
        <v>4432</v>
      </c>
      <c r="I349" s="7" t="s">
        <v>4433</v>
      </c>
      <c r="J349" s="7"/>
      <c r="K349" s="7"/>
      <c r="L349" s="7"/>
      <c r="M349" s="10" t="b">
        <f aca="false">FALSE()</f>
        <v>0</v>
      </c>
      <c r="N349" s="7" t="n">
        <v>-33.84192145</v>
      </c>
      <c r="O349" s="7" t="n">
        <v>151.1422376</v>
      </c>
    </row>
    <row r="350" customFormat="false" ht="15" hidden="false" customHeight="false" outlineLevel="0" collapsed="false">
      <c r="A350" s="7" t="s">
        <v>4434</v>
      </c>
      <c r="B350" s="7" t="s">
        <v>4435</v>
      </c>
      <c r="C350" s="7" t="s">
        <v>4436</v>
      </c>
      <c r="D350" s="7" t="s">
        <v>4437</v>
      </c>
      <c r="E350" s="7" t="n">
        <v>2193</v>
      </c>
      <c r="F350" s="7" t="s">
        <v>50</v>
      </c>
      <c r="G350" s="7" t="s">
        <v>3439</v>
      </c>
      <c r="H350" s="7" t="s">
        <v>4438</v>
      </c>
      <c r="I350" s="7" t="s">
        <v>4439</v>
      </c>
      <c r="J350" s="7" t="s">
        <v>4440</v>
      </c>
      <c r="K350" s="7" t="s">
        <v>2772</v>
      </c>
      <c r="L350" s="7" t="s">
        <v>2705</v>
      </c>
      <c r="M350" s="10" t="b">
        <f aca="false">FALSE()</f>
        <v>0</v>
      </c>
      <c r="N350" s="7" t="n">
        <v>-33.91042225</v>
      </c>
      <c r="O350" s="7" t="n">
        <v>151.1320925</v>
      </c>
    </row>
    <row r="351" customFormat="false" ht="15" hidden="false" customHeight="false" outlineLevel="0" collapsed="false">
      <c r="A351" s="7" t="s">
        <v>4441</v>
      </c>
      <c r="B351" s="7" t="s">
        <v>4442</v>
      </c>
      <c r="C351" s="7" t="s">
        <v>4443</v>
      </c>
      <c r="D351" s="7" t="s">
        <v>4444</v>
      </c>
      <c r="E351" s="7" t="n">
        <v>2220</v>
      </c>
      <c r="F351" s="7" t="s">
        <v>50</v>
      </c>
      <c r="G351" s="7" t="s">
        <v>2786</v>
      </c>
      <c r="H351" s="7" t="s">
        <v>4445</v>
      </c>
      <c r="I351" s="7" t="s">
        <v>2747</v>
      </c>
      <c r="J351" s="7" t="s">
        <v>4446</v>
      </c>
      <c r="K351" s="7" t="s">
        <v>2772</v>
      </c>
      <c r="L351" s="7" t="s">
        <v>2705</v>
      </c>
      <c r="M351" s="10" t="b">
        <f aca="false">TRUE()</f>
        <v>1</v>
      </c>
      <c r="N351" s="7" t="n">
        <v>-33.96745356</v>
      </c>
      <c r="O351" s="7" t="n">
        <v>151.1027571</v>
      </c>
    </row>
    <row r="352" customFormat="false" ht="15" hidden="false" customHeight="false" outlineLevel="0" collapsed="false">
      <c r="A352" s="7" t="s">
        <v>4447</v>
      </c>
      <c r="B352" s="7" t="s">
        <v>4448</v>
      </c>
      <c r="C352" s="7" t="s">
        <v>4449</v>
      </c>
      <c r="D352" s="7" t="s">
        <v>4450</v>
      </c>
      <c r="E352" s="7" t="n">
        <v>2850</v>
      </c>
      <c r="F352" s="7" t="s">
        <v>50</v>
      </c>
      <c r="G352" s="7" t="s">
        <v>2718</v>
      </c>
      <c r="H352" s="7"/>
      <c r="I352" s="7" t="s">
        <v>2719</v>
      </c>
      <c r="J352" s="7"/>
      <c r="K352" s="7"/>
      <c r="L352" s="7"/>
      <c r="M352" s="10" t="b">
        <f aca="false">FALSE()</f>
        <v>0</v>
      </c>
      <c r="N352" s="7" t="n">
        <v>-32.958304</v>
      </c>
      <c r="O352" s="7" t="n">
        <v>149.857936</v>
      </c>
    </row>
    <row r="353" customFormat="false" ht="15" hidden="false" customHeight="false" outlineLevel="0" collapsed="false">
      <c r="A353" s="7" t="s">
        <v>4451</v>
      </c>
      <c r="B353" s="7" t="s">
        <v>4452</v>
      </c>
      <c r="C353" s="7" t="s">
        <v>4453</v>
      </c>
      <c r="D353" s="7" t="s">
        <v>4454</v>
      </c>
      <c r="E353" s="7" t="n">
        <v>2466</v>
      </c>
      <c r="F353" s="7" t="s">
        <v>50</v>
      </c>
      <c r="G353" s="7" t="s">
        <v>2718</v>
      </c>
      <c r="H353" s="7"/>
      <c r="I353" s="7" t="s">
        <v>2719</v>
      </c>
      <c r="J353" s="7"/>
      <c r="K353" s="7"/>
      <c r="L353" s="7"/>
      <c r="M353" s="10" t="b">
        <f aca="false">FALSE()</f>
        <v>0</v>
      </c>
      <c r="N353" s="7" t="n">
        <v>-29.408259</v>
      </c>
      <c r="O353" s="7" t="n">
        <v>153.351653</v>
      </c>
    </row>
    <row r="354" customFormat="false" ht="15" hidden="false" customHeight="false" outlineLevel="0" collapsed="false">
      <c r="A354" s="7" t="s">
        <v>4455</v>
      </c>
      <c r="B354" s="7" t="s">
        <v>4456</v>
      </c>
      <c r="C354" s="7" t="s">
        <v>4457</v>
      </c>
      <c r="D354" s="7" t="s">
        <v>4458</v>
      </c>
      <c r="E354" s="7" t="n">
        <v>2565</v>
      </c>
      <c r="F354" s="7" t="s">
        <v>50</v>
      </c>
      <c r="G354" s="7" t="s">
        <v>2786</v>
      </c>
      <c r="H354" s="7" t="s">
        <v>4459</v>
      </c>
      <c r="I354" s="7" t="s">
        <v>2747</v>
      </c>
      <c r="J354" s="7" t="s">
        <v>4460</v>
      </c>
      <c r="K354" s="7" t="s">
        <v>2772</v>
      </c>
      <c r="L354" s="7" t="s">
        <v>2705</v>
      </c>
      <c r="M354" s="10" t="b">
        <f aca="false">FALSE()</f>
        <v>0</v>
      </c>
      <c r="N354" s="7" t="n">
        <v>-33.9970797</v>
      </c>
      <c r="O354" s="7" t="n">
        <v>150.8649205</v>
      </c>
    </row>
    <row r="355" customFormat="false" ht="15" hidden="false" customHeight="false" outlineLevel="0" collapsed="false">
      <c r="A355" s="7" t="s">
        <v>4461</v>
      </c>
      <c r="B355" s="7" t="s">
        <v>4462</v>
      </c>
      <c r="C355" s="7" t="s">
        <v>4463</v>
      </c>
      <c r="D355" s="7" t="s">
        <v>4464</v>
      </c>
      <c r="E355" s="7" t="n">
        <v>2020</v>
      </c>
      <c r="F355" s="7" t="s">
        <v>50</v>
      </c>
      <c r="G355" s="7" t="s">
        <v>2786</v>
      </c>
      <c r="H355" s="7" t="s">
        <v>3866</v>
      </c>
      <c r="I355" s="7" t="s">
        <v>3867</v>
      </c>
      <c r="J355" s="7" t="s">
        <v>4465</v>
      </c>
      <c r="K355" s="7" t="s">
        <v>2772</v>
      </c>
      <c r="L355" s="7" t="s">
        <v>2705</v>
      </c>
      <c r="M355" s="10" t="b">
        <f aca="false">FALSE()</f>
        <v>0</v>
      </c>
      <c r="N355" s="7" t="n">
        <v>-33.93498823</v>
      </c>
      <c r="O355" s="7" t="n">
        <v>151.1658913</v>
      </c>
    </row>
    <row r="356" customFormat="false" ht="15" hidden="false" customHeight="false" outlineLevel="0" collapsed="false">
      <c r="A356" s="7" t="s">
        <v>4466</v>
      </c>
      <c r="B356" s="7" t="s">
        <v>4467</v>
      </c>
      <c r="C356" s="7" t="s">
        <v>4468</v>
      </c>
      <c r="D356" s="7" t="s">
        <v>4469</v>
      </c>
      <c r="E356" s="7" t="n">
        <v>2360</v>
      </c>
      <c r="F356" s="7" t="s">
        <v>50</v>
      </c>
      <c r="G356" s="7" t="s">
        <v>2718</v>
      </c>
      <c r="H356" s="7"/>
      <c r="I356" s="7" t="s">
        <v>2719</v>
      </c>
      <c r="J356" s="7"/>
      <c r="K356" s="7"/>
      <c r="L356" s="7"/>
      <c r="M356" s="10" t="b">
        <f aca="false">FALSE()</f>
        <v>0</v>
      </c>
      <c r="N356" s="7" t="n">
        <v>-29.775287</v>
      </c>
      <c r="O356" s="7" t="n">
        <v>151.110168</v>
      </c>
    </row>
    <row r="357" customFormat="false" ht="15" hidden="false" customHeight="false" outlineLevel="0" collapsed="false">
      <c r="A357" s="7" t="s">
        <v>4470</v>
      </c>
      <c r="B357" s="7" t="s">
        <v>4471</v>
      </c>
      <c r="C357" s="7" t="s">
        <v>4472</v>
      </c>
      <c r="D357" s="7" t="s">
        <v>4473</v>
      </c>
      <c r="E357" s="7" t="n">
        <v>2878</v>
      </c>
      <c r="F357" s="7" t="s">
        <v>50</v>
      </c>
      <c r="G357" s="7" t="s">
        <v>2806</v>
      </c>
      <c r="H357" s="7" t="s">
        <v>4474</v>
      </c>
      <c r="I357" s="7" t="s">
        <v>2939</v>
      </c>
      <c r="J357" s="7"/>
      <c r="K357" s="7"/>
      <c r="L357" s="7"/>
      <c r="M357" s="10" t="b">
        <f aca="false">FALSE()</f>
        <v>0</v>
      </c>
      <c r="N357" s="7" t="n">
        <v>-32.914304</v>
      </c>
      <c r="O357" s="7" t="n">
        <v>144.311759</v>
      </c>
    </row>
    <row r="358" customFormat="false" ht="15" hidden="false" customHeight="false" outlineLevel="0" collapsed="false">
      <c r="A358" s="7" t="s">
        <v>4475</v>
      </c>
      <c r="B358" s="7" t="s">
        <v>4476</v>
      </c>
      <c r="C358" s="7" t="s">
        <v>4477</v>
      </c>
      <c r="D358" s="7" t="s">
        <v>4478</v>
      </c>
      <c r="E358" s="7" t="n">
        <v>2460</v>
      </c>
      <c r="F358" s="7" t="s">
        <v>50</v>
      </c>
      <c r="G358" s="7" t="s">
        <v>2718</v>
      </c>
      <c r="H358" s="7"/>
      <c r="I358" s="7" t="s">
        <v>2719</v>
      </c>
      <c r="J358" s="7"/>
      <c r="K358" s="7"/>
      <c r="L358" s="7"/>
      <c r="M358" s="10" t="b">
        <f aca="false">FALSE()</f>
        <v>0</v>
      </c>
      <c r="N358" s="7" t="n">
        <v>-29.576784</v>
      </c>
      <c r="O358" s="7" t="n">
        <v>152.550471</v>
      </c>
    </row>
    <row r="359" customFormat="false" ht="15" hidden="false" customHeight="false" outlineLevel="0" collapsed="false">
      <c r="A359" s="7" t="s">
        <v>4479</v>
      </c>
      <c r="B359" s="7" t="s">
        <v>4480</v>
      </c>
      <c r="C359" s="7" t="s">
        <v>4481</v>
      </c>
      <c r="D359" s="7" t="s">
        <v>4482</v>
      </c>
      <c r="E359" s="7" t="n">
        <v>2226</v>
      </c>
      <c r="F359" s="7" t="s">
        <v>50</v>
      </c>
      <c r="G359" s="7" t="s">
        <v>2786</v>
      </c>
      <c r="H359" s="7" t="s">
        <v>3800</v>
      </c>
      <c r="I359" s="7" t="s">
        <v>2747</v>
      </c>
      <c r="J359" s="7" t="s">
        <v>4483</v>
      </c>
      <c r="K359" s="7" t="s">
        <v>2772</v>
      </c>
      <c r="L359" s="7" t="s">
        <v>2705</v>
      </c>
      <c r="M359" s="10" t="b">
        <f aca="false">TRUE()</f>
        <v>1</v>
      </c>
      <c r="N359" s="7" t="n">
        <v>-34.01612866</v>
      </c>
      <c r="O359" s="7" t="n">
        <v>151.0646645</v>
      </c>
    </row>
    <row r="360" customFormat="false" ht="15" hidden="false" customHeight="false" outlineLevel="0" collapsed="false">
      <c r="A360" s="7" t="s">
        <v>4484</v>
      </c>
      <c r="B360" s="7" t="s">
        <v>4485</v>
      </c>
      <c r="C360" s="7" t="s">
        <v>4486</v>
      </c>
      <c r="D360" s="7" t="s">
        <v>4487</v>
      </c>
      <c r="E360" s="7" t="n">
        <v>2061</v>
      </c>
      <c r="F360" s="7" t="s">
        <v>50</v>
      </c>
      <c r="G360" s="7" t="s">
        <v>2852</v>
      </c>
      <c r="H360" s="7" t="s">
        <v>4488</v>
      </c>
      <c r="I360" s="7" t="s">
        <v>3821</v>
      </c>
      <c r="J360" s="7"/>
      <c r="K360" s="7"/>
      <c r="L360" s="7"/>
      <c r="M360" s="10" t="b">
        <f aca="false">FALSE()</f>
        <v>0</v>
      </c>
      <c r="N360" s="7" t="n">
        <v>-33.849738</v>
      </c>
      <c r="O360" s="7" t="n">
        <v>151.213967</v>
      </c>
    </row>
    <row r="361" customFormat="false" ht="15" hidden="false" customHeight="false" outlineLevel="0" collapsed="false">
      <c r="A361" s="7" t="s">
        <v>4489</v>
      </c>
      <c r="B361" s="7" t="s">
        <v>4490</v>
      </c>
      <c r="C361" s="7" t="s">
        <v>4491</v>
      </c>
      <c r="D361" s="7" t="s">
        <v>4492</v>
      </c>
      <c r="E361" s="7" t="n">
        <v>2716</v>
      </c>
      <c r="F361" s="7" t="s">
        <v>50</v>
      </c>
      <c r="G361" s="7" t="s">
        <v>2718</v>
      </c>
      <c r="H361" s="7"/>
      <c r="I361" s="7" t="s">
        <v>2719</v>
      </c>
      <c r="J361" s="7"/>
      <c r="K361" s="7"/>
      <c r="L361" s="7"/>
      <c r="M361" s="10" t="b">
        <f aca="false">FALSE()</f>
        <v>0</v>
      </c>
      <c r="N361" s="7" t="n">
        <v>-35.358876</v>
      </c>
      <c r="O361" s="7" t="n">
        <v>145.739697</v>
      </c>
    </row>
    <row r="362" customFormat="false" ht="15" hidden="false" customHeight="false" outlineLevel="0" collapsed="false">
      <c r="A362" s="7" t="s">
        <v>4493</v>
      </c>
      <c r="B362" s="7" t="s">
        <v>4494</v>
      </c>
      <c r="C362" s="7" t="s">
        <v>4495</v>
      </c>
      <c r="D362" s="7" t="s">
        <v>4496</v>
      </c>
      <c r="E362" s="7" t="n">
        <v>2627</v>
      </c>
      <c r="F362" s="7" t="s">
        <v>50</v>
      </c>
      <c r="G362" s="7" t="s">
        <v>2718</v>
      </c>
      <c r="H362" s="7"/>
      <c r="I362" s="7" t="s">
        <v>2719</v>
      </c>
      <c r="J362" s="7"/>
      <c r="K362" s="7"/>
      <c r="L362" s="7"/>
      <c r="M362" s="10" t="b">
        <f aca="false">FALSE()</f>
        <v>0</v>
      </c>
      <c r="N362" s="7" t="n">
        <v>-36.41471</v>
      </c>
      <c r="O362" s="7" t="n">
        <v>148.622126</v>
      </c>
    </row>
    <row r="363" customFormat="false" ht="15" hidden="false" customHeight="false" outlineLevel="0" collapsed="false">
      <c r="A363" s="7" t="s">
        <v>4497</v>
      </c>
      <c r="B363" s="7" t="s">
        <v>4498</v>
      </c>
      <c r="C363" s="7" t="s">
        <v>4499</v>
      </c>
      <c r="D363" s="7" t="s">
        <v>4500</v>
      </c>
      <c r="E363" s="7" t="n">
        <v>2009</v>
      </c>
      <c r="F363" s="7" t="s">
        <v>50</v>
      </c>
      <c r="G363" s="7" t="s">
        <v>2769</v>
      </c>
      <c r="H363" s="7" t="s">
        <v>4501</v>
      </c>
      <c r="I363" s="7" t="s">
        <v>2873</v>
      </c>
      <c r="J363" s="7"/>
      <c r="K363" s="7" t="s">
        <v>2772</v>
      </c>
      <c r="L363" s="7" t="s">
        <v>2705</v>
      </c>
      <c r="M363" s="10" t="b">
        <f aca="false">FALSE()</f>
        <v>0</v>
      </c>
      <c r="N363" s="7" t="n">
        <v>-33.86722922</v>
      </c>
      <c r="O363" s="7" t="n">
        <v>151.1918901</v>
      </c>
    </row>
    <row r="364" customFormat="false" ht="15" hidden="false" customHeight="false" outlineLevel="0" collapsed="false">
      <c r="A364" s="7" t="s">
        <v>4502</v>
      </c>
      <c r="B364" s="7" t="s">
        <v>4503</v>
      </c>
      <c r="C364" s="7" t="s">
        <v>4504</v>
      </c>
      <c r="D364" s="7" t="s">
        <v>4505</v>
      </c>
      <c r="E364" s="7" t="n">
        <v>2037</v>
      </c>
      <c r="F364" s="7" t="s">
        <v>50</v>
      </c>
      <c r="G364" s="7" t="s">
        <v>2769</v>
      </c>
      <c r="H364" s="7" t="s">
        <v>2872</v>
      </c>
      <c r="I364" s="7" t="s">
        <v>4064</v>
      </c>
      <c r="J364" s="7"/>
      <c r="K364" s="7" t="s">
        <v>2772</v>
      </c>
      <c r="L364" s="7" t="s">
        <v>2705</v>
      </c>
      <c r="M364" s="10" t="b">
        <f aca="false">FALSE()</f>
        <v>0</v>
      </c>
      <c r="N364" s="7" t="n">
        <v>-33.87537487</v>
      </c>
      <c r="O364" s="7" t="n">
        <v>151.1787626</v>
      </c>
    </row>
    <row r="365" customFormat="false" ht="15" hidden="false" customHeight="false" outlineLevel="0" collapsed="false">
      <c r="A365" s="7" t="s">
        <v>4506</v>
      </c>
      <c r="B365" s="7" t="s">
        <v>4507</v>
      </c>
      <c r="C365" s="7" t="s">
        <v>4508</v>
      </c>
      <c r="D365" s="7" t="s">
        <v>4509</v>
      </c>
      <c r="E365" s="7" t="n">
        <v>2663</v>
      </c>
      <c r="F365" s="7" t="s">
        <v>50</v>
      </c>
      <c r="G365" s="7" t="s">
        <v>2786</v>
      </c>
      <c r="H365" s="7" t="s">
        <v>4510</v>
      </c>
      <c r="I365" s="7" t="s">
        <v>3059</v>
      </c>
      <c r="J365" s="7"/>
      <c r="K365" s="7"/>
      <c r="L365" s="7"/>
      <c r="M365" s="10" t="b">
        <f aca="false">FALSE()</f>
        <v>0</v>
      </c>
      <c r="N365" s="7" t="n">
        <v>-34.87026</v>
      </c>
      <c r="O365" s="7" t="n">
        <v>147.583766</v>
      </c>
    </row>
    <row r="366" customFormat="false" ht="15" hidden="false" customHeight="false" outlineLevel="0" collapsed="false">
      <c r="A366" s="7" t="s">
        <v>4511</v>
      </c>
      <c r="B366" s="7" t="s">
        <v>4512</v>
      </c>
      <c r="C366" s="7" t="s">
        <v>4513</v>
      </c>
      <c r="D366" s="7" t="s">
        <v>4514</v>
      </c>
      <c r="E366" s="7" t="n">
        <v>2032</v>
      </c>
      <c r="F366" s="7" t="s">
        <v>50</v>
      </c>
      <c r="G366" s="7" t="s">
        <v>2769</v>
      </c>
      <c r="H366" s="7" t="s">
        <v>4515</v>
      </c>
      <c r="I366" s="7" t="s">
        <v>3264</v>
      </c>
      <c r="J366" s="7"/>
      <c r="K366" s="7" t="s">
        <v>2772</v>
      </c>
      <c r="L366" s="7" t="s">
        <v>2705</v>
      </c>
      <c r="M366" s="10" t="b">
        <f aca="false">FALSE()</f>
        <v>0</v>
      </c>
      <c r="N366" s="7" t="n">
        <v>-33.925055</v>
      </c>
      <c r="O366" s="7" t="n">
        <v>151.229181</v>
      </c>
    </row>
    <row r="367" customFormat="false" ht="15" hidden="false" customHeight="false" outlineLevel="0" collapsed="false">
      <c r="A367" s="7" t="s">
        <v>4516</v>
      </c>
      <c r="B367" s="7" t="s">
        <v>4517</v>
      </c>
      <c r="C367" s="7" t="s">
        <v>4518</v>
      </c>
      <c r="D367" s="7" t="s">
        <v>4519</v>
      </c>
      <c r="E367" s="7" t="n">
        <v>2848</v>
      </c>
      <c r="F367" s="7" t="s">
        <v>50</v>
      </c>
      <c r="G367" s="7" t="s">
        <v>2718</v>
      </c>
      <c r="H367" s="7"/>
      <c r="I367" s="7" t="s">
        <v>2719</v>
      </c>
      <c r="J367" s="7"/>
      <c r="K367" s="7"/>
      <c r="L367" s="7"/>
      <c r="M367" s="10" t="b">
        <f aca="false">FALSE()</f>
        <v>0</v>
      </c>
      <c r="N367" s="7" t="n">
        <v>-32.859014</v>
      </c>
      <c r="O367" s="7" t="n">
        <v>149.969607</v>
      </c>
    </row>
    <row r="368" customFormat="false" ht="15" hidden="false" customHeight="false" outlineLevel="0" collapsed="false">
      <c r="A368" s="7" t="s">
        <v>4520</v>
      </c>
      <c r="B368" s="7" t="s">
        <v>4521</v>
      </c>
      <c r="C368" s="7" t="s">
        <v>4522</v>
      </c>
      <c r="D368" s="7" t="s">
        <v>4523</v>
      </c>
      <c r="E368" s="7" t="n">
        <v>2780</v>
      </c>
      <c r="F368" s="7" t="s">
        <v>50</v>
      </c>
      <c r="G368" s="7" t="s">
        <v>2793</v>
      </c>
      <c r="H368" s="7" t="s">
        <v>4524</v>
      </c>
      <c r="I368" s="7" t="s">
        <v>2747</v>
      </c>
      <c r="J368" s="7" t="s">
        <v>4525</v>
      </c>
      <c r="K368" s="7" t="s">
        <v>2704</v>
      </c>
      <c r="L368" s="7" t="s">
        <v>2705</v>
      </c>
      <c r="M368" s="10" t="b">
        <f aca="false">TRUE()</f>
        <v>1</v>
      </c>
      <c r="N368" s="7" t="n">
        <v>-33.71157344</v>
      </c>
      <c r="O368" s="7" t="n">
        <v>150.3111602</v>
      </c>
    </row>
    <row r="369" customFormat="false" ht="15" hidden="false" customHeight="false" outlineLevel="0" collapsed="false">
      <c r="A369" s="7" t="s">
        <v>4526</v>
      </c>
      <c r="B369" s="7" t="s">
        <v>4527</v>
      </c>
      <c r="C369" s="7" t="s">
        <v>4528</v>
      </c>
      <c r="D369" s="7" t="s">
        <v>4529</v>
      </c>
      <c r="E369" s="7" t="n">
        <v>2155</v>
      </c>
      <c r="F369" s="7" t="s">
        <v>50</v>
      </c>
      <c r="G369" s="7" t="s">
        <v>2982</v>
      </c>
      <c r="H369" s="7" t="s">
        <v>4530</v>
      </c>
      <c r="I369" s="7" t="s">
        <v>2897</v>
      </c>
      <c r="J369" s="7"/>
      <c r="K369" s="7" t="s">
        <v>2772</v>
      </c>
      <c r="L369" s="7" t="s">
        <v>2705</v>
      </c>
      <c r="M369" s="10" t="b">
        <f aca="false">FALSE()</f>
        <v>0</v>
      </c>
      <c r="N369" s="7" t="n">
        <v>-33.713514</v>
      </c>
      <c r="O369" s="7" t="n">
        <v>150.935304</v>
      </c>
    </row>
    <row r="370" customFormat="false" ht="15" hidden="false" customHeight="false" outlineLevel="0" collapsed="false">
      <c r="A370" s="7" t="s">
        <v>4531</v>
      </c>
      <c r="B370" s="7" t="s">
        <v>4532</v>
      </c>
      <c r="C370" s="7" t="s">
        <v>4533</v>
      </c>
      <c r="D370" s="7" t="s">
        <v>4534</v>
      </c>
      <c r="E370" s="7" t="n">
        <v>2795</v>
      </c>
      <c r="F370" s="7" t="s">
        <v>50</v>
      </c>
      <c r="G370" s="7" t="s">
        <v>2718</v>
      </c>
      <c r="H370" s="7"/>
      <c r="I370" s="7" t="s">
        <v>2719</v>
      </c>
      <c r="J370" s="7"/>
      <c r="K370" s="7"/>
      <c r="L370" s="7"/>
      <c r="M370" s="10" t="b">
        <f aca="false">FALSE()</f>
        <v>0</v>
      </c>
      <c r="N370" s="7" t="n">
        <v>-33.418602</v>
      </c>
      <c r="O370" s="7" t="n">
        <v>149.604502</v>
      </c>
    </row>
    <row r="371" customFormat="false" ht="15" hidden="false" customHeight="false" outlineLevel="0" collapsed="false">
      <c r="A371" s="7" t="s">
        <v>4535</v>
      </c>
      <c r="B371" s="7" t="s">
        <v>4536</v>
      </c>
      <c r="C371" s="7" t="s">
        <v>4537</v>
      </c>
      <c r="D371" s="7" t="s">
        <v>4538</v>
      </c>
      <c r="E371" s="7" t="n">
        <v>2526</v>
      </c>
      <c r="F371" s="7" t="s">
        <v>50</v>
      </c>
      <c r="G371" s="7" t="s">
        <v>2806</v>
      </c>
      <c r="H371" s="7" t="s">
        <v>4539</v>
      </c>
      <c r="I371" s="7" t="s">
        <v>3170</v>
      </c>
      <c r="J371" s="7" t="s">
        <v>4540</v>
      </c>
      <c r="K371" s="7" t="s">
        <v>2704</v>
      </c>
      <c r="L371" s="7" t="s">
        <v>2705</v>
      </c>
      <c r="M371" s="10" t="b">
        <f aca="false">TRUE()</f>
        <v>1</v>
      </c>
      <c r="N371" s="7" t="n">
        <v>-34.47021836</v>
      </c>
      <c r="O371" s="7" t="n">
        <v>150.8173407</v>
      </c>
    </row>
    <row r="372" customFormat="false" ht="15" hidden="false" customHeight="false" outlineLevel="0" collapsed="false">
      <c r="A372" s="7" t="s">
        <v>4541</v>
      </c>
      <c r="B372" s="7" t="s">
        <v>4542</v>
      </c>
      <c r="C372" s="7" t="s">
        <v>4543</v>
      </c>
      <c r="D372" s="7" t="s">
        <v>4544</v>
      </c>
      <c r="E372" s="7" t="n">
        <v>2440</v>
      </c>
      <c r="F372" s="7" t="s">
        <v>50</v>
      </c>
      <c r="G372" s="7" t="s">
        <v>2937</v>
      </c>
      <c r="H372" s="7" t="s">
        <v>4545</v>
      </c>
      <c r="I372" s="7" t="s">
        <v>3059</v>
      </c>
      <c r="J372" s="7"/>
      <c r="K372" s="7"/>
      <c r="L372" s="7"/>
      <c r="M372" s="10" t="b">
        <f aca="false">FALSE()</f>
        <v>0</v>
      </c>
      <c r="N372" s="7" t="n">
        <v>-31.076852</v>
      </c>
      <c r="O372" s="7" t="n">
        <v>152.833041</v>
      </c>
    </row>
    <row r="373" customFormat="false" ht="15" hidden="false" customHeight="false" outlineLevel="0" collapsed="false">
      <c r="A373" s="7" t="s">
        <v>4546</v>
      </c>
      <c r="B373" s="7" t="s">
        <v>4547</v>
      </c>
      <c r="C373" s="7" t="s">
        <v>4548</v>
      </c>
      <c r="D373" s="7" t="s">
        <v>4549</v>
      </c>
      <c r="E373" s="7" t="n">
        <v>2439</v>
      </c>
      <c r="F373" s="7" t="s">
        <v>50</v>
      </c>
      <c r="G373" s="7" t="s">
        <v>2806</v>
      </c>
      <c r="H373" s="7" t="s">
        <v>4550</v>
      </c>
      <c r="I373" s="7" t="s">
        <v>3170</v>
      </c>
      <c r="J373" s="7"/>
      <c r="K373" s="7"/>
      <c r="L373" s="7"/>
      <c r="M373" s="10" t="b">
        <f aca="false">FALSE()</f>
        <v>0</v>
      </c>
      <c r="N373" s="7" t="n">
        <v>-31.635404</v>
      </c>
      <c r="O373" s="7" t="n">
        <v>152.706288</v>
      </c>
    </row>
    <row r="374" customFormat="false" ht="15" hidden="false" customHeight="false" outlineLevel="0" collapsed="false">
      <c r="A374" s="7" t="s">
        <v>4551</v>
      </c>
      <c r="B374" s="7" t="s">
        <v>4552</v>
      </c>
      <c r="C374" s="7" t="s">
        <v>4553</v>
      </c>
      <c r="D374" s="7" t="s">
        <v>4554</v>
      </c>
      <c r="E374" s="7" t="n">
        <v>2033</v>
      </c>
      <c r="F374" s="7" t="s">
        <v>50</v>
      </c>
      <c r="G374" s="7" t="s">
        <v>2769</v>
      </c>
      <c r="H374" s="7" t="s">
        <v>3263</v>
      </c>
      <c r="I374" s="7" t="s">
        <v>3264</v>
      </c>
      <c r="J374" s="7"/>
      <c r="K374" s="7" t="s">
        <v>2772</v>
      </c>
      <c r="L374" s="7" t="s">
        <v>2705</v>
      </c>
      <c r="M374" s="10" t="b">
        <f aca="false">FALSE()</f>
        <v>0</v>
      </c>
      <c r="N374" s="7" t="n">
        <v>-33.909358</v>
      </c>
      <c r="O374" s="7" t="n">
        <v>151.223357</v>
      </c>
    </row>
    <row r="375" customFormat="false" ht="15" hidden="false" customHeight="false" outlineLevel="0" collapsed="false">
      <c r="A375" s="7" t="s">
        <v>4555</v>
      </c>
      <c r="B375" s="7" t="s">
        <v>4556</v>
      </c>
      <c r="C375" s="7" t="s">
        <v>4557</v>
      </c>
      <c r="D375" s="7" t="s">
        <v>4558</v>
      </c>
      <c r="E375" s="7" t="n">
        <v>2533</v>
      </c>
      <c r="F375" s="7" t="s">
        <v>50</v>
      </c>
      <c r="G375" s="7" t="s">
        <v>2786</v>
      </c>
      <c r="H375" s="7" t="s">
        <v>4559</v>
      </c>
      <c r="I375" s="7" t="s">
        <v>2747</v>
      </c>
      <c r="J375" s="7" t="s">
        <v>3191</v>
      </c>
      <c r="K375" s="7" t="s">
        <v>2704</v>
      </c>
      <c r="L375" s="7" t="s">
        <v>2705</v>
      </c>
      <c r="M375" s="10" t="b">
        <f aca="false">TRUE()</f>
        <v>1</v>
      </c>
      <c r="N375" s="7" t="n">
        <v>-34.67251778</v>
      </c>
      <c r="O375" s="7" t="n">
        <v>150.8546947</v>
      </c>
    </row>
    <row r="376" customFormat="false" ht="15" hidden="false" customHeight="false" outlineLevel="0" collapsed="false">
      <c r="A376" s="7" t="s">
        <v>4560</v>
      </c>
      <c r="B376" s="7" t="s">
        <v>4561</v>
      </c>
      <c r="C376" s="7" t="s">
        <v>4562</v>
      </c>
      <c r="D376" s="7" t="s">
        <v>4563</v>
      </c>
      <c r="E376" s="7" t="n">
        <v>2071</v>
      </c>
      <c r="F376" s="7" t="s">
        <v>50</v>
      </c>
      <c r="G376" s="7" t="s">
        <v>2710</v>
      </c>
      <c r="H376" s="7" t="s">
        <v>4564</v>
      </c>
      <c r="I376" s="7" t="s">
        <v>2747</v>
      </c>
      <c r="J376" s="7" t="s">
        <v>4565</v>
      </c>
      <c r="K376" s="7" t="s">
        <v>2772</v>
      </c>
      <c r="L376" s="7" t="s">
        <v>2705</v>
      </c>
      <c r="M376" s="10" t="b">
        <f aca="false">FALSE()</f>
        <v>0</v>
      </c>
      <c r="N376" s="7" t="n">
        <v>-33.76540899</v>
      </c>
      <c r="O376" s="7" t="n">
        <v>151.1616474</v>
      </c>
    </row>
    <row r="377" customFormat="false" ht="15" hidden="false" customHeight="false" outlineLevel="0" collapsed="false">
      <c r="A377" s="7" t="s">
        <v>4566</v>
      </c>
      <c r="B377" s="7" t="s">
        <v>4567</v>
      </c>
      <c r="C377" s="7" t="s">
        <v>4568</v>
      </c>
      <c r="D377" s="7" t="s">
        <v>4569</v>
      </c>
      <c r="E377" s="7" t="n">
        <v>2011</v>
      </c>
      <c r="F377" s="7" t="s">
        <v>50</v>
      </c>
      <c r="G377" s="7" t="s">
        <v>2786</v>
      </c>
      <c r="H377" s="7" t="s">
        <v>4570</v>
      </c>
      <c r="I377" s="7" t="s">
        <v>3133</v>
      </c>
      <c r="J377" s="7" t="s">
        <v>4571</v>
      </c>
      <c r="K377" s="7" t="s">
        <v>2772</v>
      </c>
      <c r="L377" s="7" t="s">
        <v>2705</v>
      </c>
      <c r="M377" s="10" t="b">
        <f aca="false">TRUE()</f>
        <v>1</v>
      </c>
      <c r="N377" s="7" t="n">
        <v>-33.87454091</v>
      </c>
      <c r="O377" s="7" t="n">
        <v>151.2223342</v>
      </c>
    </row>
    <row r="378" customFormat="false" ht="15" hidden="false" customHeight="false" outlineLevel="0" collapsed="false">
      <c r="A378" s="7" t="s">
        <v>4572</v>
      </c>
      <c r="B378" s="7" t="s">
        <v>4573</v>
      </c>
      <c r="C378" s="7" t="s">
        <v>4574</v>
      </c>
      <c r="D378" s="7" t="s">
        <v>4575</v>
      </c>
      <c r="E378" s="7" t="n">
        <v>2487</v>
      </c>
      <c r="F378" s="7" t="s">
        <v>50</v>
      </c>
      <c r="G378" s="7" t="s">
        <v>2718</v>
      </c>
      <c r="H378" s="7"/>
      <c r="I378" s="7" t="s">
        <v>2719</v>
      </c>
      <c r="J378" s="7"/>
      <c r="K378" s="7"/>
      <c r="L378" s="7"/>
      <c r="M378" s="10" t="b">
        <f aca="false">FALSE()</f>
        <v>0</v>
      </c>
      <c r="N378" s="7" t="n">
        <v>-28.255587</v>
      </c>
      <c r="O378" s="7" t="n">
        <v>153.575369</v>
      </c>
    </row>
    <row r="379" customFormat="false" ht="15" hidden="false" customHeight="false" outlineLevel="0" collapsed="false">
      <c r="A379" s="7" t="s">
        <v>4576</v>
      </c>
      <c r="B379" s="7" t="s">
        <v>4577</v>
      </c>
      <c r="C379" s="7" t="s">
        <v>4578</v>
      </c>
      <c r="D379" s="7" t="s">
        <v>4514</v>
      </c>
      <c r="E379" s="7" t="n">
        <v>2032</v>
      </c>
      <c r="F379" s="7" t="s">
        <v>50</v>
      </c>
      <c r="G379" s="7" t="s">
        <v>2769</v>
      </c>
      <c r="H379" s="7" t="s">
        <v>3263</v>
      </c>
      <c r="I379" s="7" t="s">
        <v>3264</v>
      </c>
      <c r="J379" s="7"/>
      <c r="K379" s="7" t="s">
        <v>2772</v>
      </c>
      <c r="L379" s="7" t="s">
        <v>2705</v>
      </c>
      <c r="M379" s="10" t="b">
        <f aca="false">FALSE()</f>
        <v>0</v>
      </c>
      <c r="N379" s="7" t="n">
        <v>-33.921856</v>
      </c>
      <c r="O379" s="7" t="n">
        <v>151.226878</v>
      </c>
    </row>
    <row r="380" customFormat="false" ht="15" hidden="false" customHeight="false" outlineLevel="0" collapsed="false">
      <c r="A380" s="7" t="s">
        <v>4579</v>
      </c>
      <c r="B380" s="7" t="s">
        <v>4580</v>
      </c>
      <c r="C380" s="7" t="s">
        <v>4581</v>
      </c>
      <c r="D380" s="7" t="s">
        <v>4582</v>
      </c>
      <c r="E380" s="7" t="n">
        <v>2208</v>
      </c>
      <c r="F380" s="7" t="s">
        <v>50</v>
      </c>
      <c r="G380" s="7" t="s">
        <v>2786</v>
      </c>
      <c r="H380" s="7" t="s">
        <v>4583</v>
      </c>
      <c r="I380" s="7" t="s">
        <v>2747</v>
      </c>
      <c r="J380" s="7" t="s">
        <v>4584</v>
      </c>
      <c r="K380" s="7" t="s">
        <v>2772</v>
      </c>
      <c r="L380" s="7" t="s">
        <v>2705</v>
      </c>
      <c r="M380" s="10" t="b">
        <f aca="false">FALSE()</f>
        <v>0</v>
      </c>
      <c r="N380" s="7" t="n">
        <v>-33.94063602</v>
      </c>
      <c r="O380" s="7" t="n">
        <v>151.1004839</v>
      </c>
    </row>
    <row r="381" customFormat="false" ht="15" hidden="false" customHeight="false" outlineLevel="0" collapsed="false">
      <c r="A381" s="7" t="s">
        <v>4585</v>
      </c>
      <c r="B381" s="7" t="s">
        <v>4586</v>
      </c>
      <c r="C381" s="7" t="s">
        <v>4587</v>
      </c>
      <c r="D381" s="7" t="s">
        <v>4588</v>
      </c>
      <c r="E381" s="7" t="n">
        <v>2747</v>
      </c>
      <c r="F381" s="7" t="s">
        <v>50</v>
      </c>
      <c r="G381" s="7" t="s">
        <v>2786</v>
      </c>
      <c r="H381" s="7" t="s">
        <v>4589</v>
      </c>
      <c r="I381" s="7" t="s">
        <v>2747</v>
      </c>
      <c r="J381" s="7" t="s">
        <v>4590</v>
      </c>
      <c r="K381" s="7" t="s">
        <v>2772</v>
      </c>
      <c r="L381" s="7" t="s">
        <v>2705</v>
      </c>
      <c r="M381" s="10" t="b">
        <f aca="false">FALSE()</f>
        <v>0</v>
      </c>
      <c r="N381" s="7" t="n">
        <v>-33.7582512</v>
      </c>
      <c r="O381" s="7" t="n">
        <v>150.7198236</v>
      </c>
    </row>
    <row r="382" customFormat="false" ht="15" hidden="false" customHeight="false" outlineLevel="0" collapsed="false">
      <c r="A382" s="7" t="s">
        <v>4591</v>
      </c>
      <c r="B382" s="7" t="s">
        <v>4592</v>
      </c>
      <c r="C382" s="7" t="s">
        <v>4593</v>
      </c>
      <c r="D382" s="7" t="s">
        <v>4594</v>
      </c>
      <c r="E382" s="7" t="n">
        <v>2232</v>
      </c>
      <c r="F382" s="7" t="s">
        <v>50</v>
      </c>
      <c r="G382" s="7" t="s">
        <v>2793</v>
      </c>
      <c r="H382" s="7" t="s">
        <v>4308</v>
      </c>
      <c r="I382" s="7" t="s">
        <v>2747</v>
      </c>
      <c r="J382" s="7" t="s">
        <v>4595</v>
      </c>
      <c r="K382" s="7" t="s">
        <v>2772</v>
      </c>
      <c r="L382" s="7" t="s">
        <v>2705</v>
      </c>
      <c r="M382" s="10" t="b">
        <f aca="false">FALSE()</f>
        <v>0</v>
      </c>
      <c r="N382" s="7" t="n">
        <v>-34.03501535</v>
      </c>
      <c r="O382" s="7" t="n">
        <v>151.0713153</v>
      </c>
    </row>
    <row r="383" customFormat="false" ht="15" hidden="false" customHeight="false" outlineLevel="0" collapsed="false">
      <c r="A383" s="7" t="s">
        <v>4596</v>
      </c>
      <c r="B383" s="7" t="s">
        <v>4597</v>
      </c>
      <c r="C383" s="7" t="s">
        <v>4598</v>
      </c>
      <c r="D383" s="7" t="s">
        <v>4599</v>
      </c>
      <c r="E383" s="7" t="n">
        <v>2061</v>
      </c>
      <c r="F383" s="7" t="s">
        <v>50</v>
      </c>
      <c r="G383" s="7" t="s">
        <v>2852</v>
      </c>
      <c r="H383" s="7" t="s">
        <v>4600</v>
      </c>
      <c r="I383" s="7" t="s">
        <v>3114</v>
      </c>
      <c r="J383" s="7"/>
      <c r="K383" s="7"/>
      <c r="L383" s="7"/>
      <c r="M383" s="10" t="b">
        <f aca="false">FALSE()</f>
        <v>0</v>
      </c>
      <c r="N383" s="7" t="n">
        <v>-33.84936725</v>
      </c>
      <c r="O383" s="7" t="n">
        <v>151.2202795</v>
      </c>
    </row>
    <row r="384" customFormat="false" ht="15" hidden="false" customHeight="false" outlineLevel="0" collapsed="false">
      <c r="A384" s="7" t="s">
        <v>4601</v>
      </c>
      <c r="B384" s="7" t="s">
        <v>4602</v>
      </c>
      <c r="C384" s="7" t="s">
        <v>4603</v>
      </c>
      <c r="D384" s="7" t="s">
        <v>4604</v>
      </c>
      <c r="E384" s="7" t="n">
        <v>2112</v>
      </c>
      <c r="F384" s="7" t="s">
        <v>50</v>
      </c>
      <c r="G384" s="7" t="s">
        <v>2852</v>
      </c>
      <c r="H384" s="7" t="s">
        <v>4605</v>
      </c>
      <c r="I384" s="7" t="s">
        <v>2695</v>
      </c>
      <c r="J384" s="7"/>
      <c r="K384" s="7"/>
      <c r="L384" s="7"/>
      <c r="M384" s="10" t="b">
        <f aca="false">FALSE()</f>
        <v>0</v>
      </c>
      <c r="N384" s="7" t="n">
        <v>-33.8316867</v>
      </c>
      <c r="O384" s="7" t="n">
        <v>151.1019831</v>
      </c>
    </row>
    <row r="385" customFormat="false" ht="15" hidden="false" customHeight="false" outlineLevel="0" collapsed="false">
      <c r="A385" s="7" t="s">
        <v>4606</v>
      </c>
      <c r="B385" s="7" t="s">
        <v>4607</v>
      </c>
      <c r="C385" s="7" t="s">
        <v>4608</v>
      </c>
      <c r="D385" s="7" t="s">
        <v>4609</v>
      </c>
      <c r="E385" s="7" t="n">
        <v>2217</v>
      </c>
      <c r="F385" s="7" t="s">
        <v>50</v>
      </c>
      <c r="G385" s="7" t="s">
        <v>2786</v>
      </c>
      <c r="H385" s="7" t="s">
        <v>4610</v>
      </c>
      <c r="I385" s="7" t="s">
        <v>2747</v>
      </c>
      <c r="J385" s="7" t="s">
        <v>4611</v>
      </c>
      <c r="K385" s="7" t="s">
        <v>2772</v>
      </c>
      <c r="L385" s="7" t="s">
        <v>2705</v>
      </c>
      <c r="M385" s="10" t="b">
        <f aca="false">FALSE()</f>
        <v>0</v>
      </c>
      <c r="N385" s="7" t="n">
        <v>-33.96214931</v>
      </c>
      <c r="O385" s="7" t="n">
        <v>151.1326415</v>
      </c>
    </row>
    <row r="386" customFormat="false" ht="15" hidden="false" customHeight="false" outlineLevel="0" collapsed="false">
      <c r="A386" s="7" t="s">
        <v>4612</v>
      </c>
      <c r="B386" s="7" t="s">
        <v>4613</v>
      </c>
      <c r="C386" s="7" t="s">
        <v>4614</v>
      </c>
      <c r="D386" s="7" t="s">
        <v>4615</v>
      </c>
      <c r="E386" s="7" t="n">
        <v>2256</v>
      </c>
      <c r="F386" s="7" t="s">
        <v>50</v>
      </c>
      <c r="G386" s="7" t="s">
        <v>2710</v>
      </c>
      <c r="H386" s="7" t="s">
        <v>4616</v>
      </c>
      <c r="I386" s="7" t="s">
        <v>4299</v>
      </c>
      <c r="J386" s="7" t="s">
        <v>4617</v>
      </c>
      <c r="K386" s="7" t="s">
        <v>2704</v>
      </c>
      <c r="L386" s="7" t="s">
        <v>2705</v>
      </c>
      <c r="M386" s="10" t="b">
        <f aca="false">TRUE()</f>
        <v>1</v>
      </c>
      <c r="N386" s="7" t="n">
        <v>-33.46697442</v>
      </c>
      <c r="O386" s="7" t="n">
        <v>151.318655</v>
      </c>
    </row>
    <row r="387" customFormat="false" ht="15" hidden="false" customHeight="false" outlineLevel="0" collapsed="false">
      <c r="A387" s="7" t="s">
        <v>4618</v>
      </c>
      <c r="B387" s="7" t="s">
        <v>4619</v>
      </c>
      <c r="C387" s="7" t="s">
        <v>4620</v>
      </c>
      <c r="D387" s="7" t="s">
        <v>4621</v>
      </c>
      <c r="E387" s="7" t="n">
        <v>2807</v>
      </c>
      <c r="F387" s="7" t="s">
        <v>50</v>
      </c>
      <c r="G387" s="7" t="s">
        <v>2718</v>
      </c>
      <c r="H387" s="7"/>
      <c r="I387" s="7" t="s">
        <v>2719</v>
      </c>
      <c r="J387" s="7"/>
      <c r="K387" s="7"/>
      <c r="L387" s="7"/>
      <c r="M387" s="10" t="b">
        <f aca="false">FALSE()</f>
        <v>0</v>
      </c>
      <c r="N387" s="7" t="n">
        <v>-34.038985</v>
      </c>
      <c r="O387" s="7" t="n">
        <v>148.554832</v>
      </c>
    </row>
    <row r="388" customFormat="false" ht="15" hidden="false" customHeight="false" outlineLevel="0" collapsed="false">
      <c r="A388" s="7" t="s">
        <v>4622</v>
      </c>
      <c r="B388" s="7" t="s">
        <v>4623</v>
      </c>
      <c r="C388" s="7" t="s">
        <v>4624</v>
      </c>
      <c r="D388" s="7" t="s">
        <v>4625</v>
      </c>
      <c r="E388" s="7" t="n">
        <v>2352</v>
      </c>
      <c r="F388" s="7" t="s">
        <v>50</v>
      </c>
      <c r="G388" s="7" t="s">
        <v>2806</v>
      </c>
      <c r="H388" s="7" t="s">
        <v>3667</v>
      </c>
      <c r="I388" s="7" t="s">
        <v>3170</v>
      </c>
      <c r="J388" s="7"/>
      <c r="K388" s="7"/>
      <c r="L388" s="7"/>
      <c r="M388" s="10" t="b">
        <f aca="false">FALSE()</f>
        <v>0</v>
      </c>
      <c r="N388" s="7" t="n">
        <v>-31.058731</v>
      </c>
      <c r="O388" s="7" t="n">
        <v>151.056154</v>
      </c>
    </row>
    <row r="389" customFormat="false" ht="15" hidden="false" customHeight="false" outlineLevel="0" collapsed="false">
      <c r="A389" s="7" t="s">
        <v>4626</v>
      </c>
      <c r="B389" s="7" t="s">
        <v>4627</v>
      </c>
      <c r="C389" s="7" t="s">
        <v>4628</v>
      </c>
      <c r="D389" s="7" t="s">
        <v>4629</v>
      </c>
      <c r="E389" s="7" t="n">
        <v>2352</v>
      </c>
      <c r="F389" s="7" t="s">
        <v>50</v>
      </c>
      <c r="G389" s="7" t="s">
        <v>2718</v>
      </c>
      <c r="H389" s="7"/>
      <c r="I389" s="7" t="s">
        <v>2719</v>
      </c>
      <c r="J389" s="7"/>
      <c r="K389" s="7"/>
      <c r="L389" s="7"/>
      <c r="M389" s="10" t="b">
        <f aca="false">FALSE()</f>
        <v>0</v>
      </c>
      <c r="N389" s="7" t="n">
        <v>-31.056292</v>
      </c>
      <c r="O389" s="7" t="n">
        <v>151.054274</v>
      </c>
    </row>
    <row r="390" customFormat="false" ht="15" hidden="false" customHeight="false" outlineLevel="0" collapsed="false">
      <c r="A390" s="7" t="s">
        <v>4630</v>
      </c>
      <c r="B390" s="7" t="s">
        <v>4631</v>
      </c>
      <c r="C390" s="7" t="s">
        <v>4632</v>
      </c>
      <c r="D390" s="7" t="s">
        <v>4633</v>
      </c>
      <c r="E390" s="7" t="n">
        <v>2289</v>
      </c>
      <c r="F390" s="7" t="s">
        <v>50</v>
      </c>
      <c r="G390" s="7" t="s">
        <v>2710</v>
      </c>
      <c r="H390" s="7" t="s">
        <v>4063</v>
      </c>
      <c r="I390" s="7" t="s">
        <v>2831</v>
      </c>
      <c r="J390" s="7" t="s">
        <v>3203</v>
      </c>
      <c r="K390" s="7" t="s">
        <v>2704</v>
      </c>
      <c r="L390" s="7" t="s">
        <v>2705</v>
      </c>
      <c r="M390" s="10" t="b">
        <f aca="false">TRUE()</f>
        <v>1</v>
      </c>
      <c r="N390" s="7" t="n">
        <v>-32.94139627</v>
      </c>
      <c r="O390" s="7" t="n">
        <v>151.6984933</v>
      </c>
    </row>
    <row r="391" customFormat="false" ht="15" hidden="false" customHeight="false" outlineLevel="0" collapsed="false">
      <c r="A391" s="7" t="s">
        <v>4634</v>
      </c>
      <c r="B391" s="7" t="s">
        <v>4635</v>
      </c>
      <c r="C391" s="7" t="s">
        <v>4636</v>
      </c>
      <c r="D391" s="7" t="s">
        <v>4637</v>
      </c>
      <c r="E391" s="7" t="n">
        <v>2429</v>
      </c>
      <c r="F391" s="7" t="s">
        <v>50</v>
      </c>
      <c r="G391" s="7" t="s">
        <v>2718</v>
      </c>
      <c r="H391" s="7"/>
      <c r="I391" s="7" t="s">
        <v>2719</v>
      </c>
      <c r="J391" s="7"/>
      <c r="K391" s="7"/>
      <c r="L391" s="7"/>
      <c r="M391" s="10" t="b">
        <f aca="false">FALSE()</f>
        <v>0</v>
      </c>
      <c r="N391" s="7" t="n">
        <v>-32.051628</v>
      </c>
      <c r="O391" s="7" t="n">
        <v>152.260192</v>
      </c>
    </row>
    <row r="392" customFormat="false" ht="15" hidden="false" customHeight="false" outlineLevel="0" collapsed="false">
      <c r="A392" s="7" t="s">
        <v>4638</v>
      </c>
      <c r="B392" s="7" t="s">
        <v>4639</v>
      </c>
      <c r="C392" s="7" t="s">
        <v>4640</v>
      </c>
      <c r="D392" s="7" t="s">
        <v>4641</v>
      </c>
      <c r="E392" s="7" t="n">
        <v>2089</v>
      </c>
      <c r="F392" s="7" t="s">
        <v>50</v>
      </c>
      <c r="G392" s="7" t="s">
        <v>2852</v>
      </c>
      <c r="H392" s="7" t="s">
        <v>4642</v>
      </c>
      <c r="I392" s="7" t="s">
        <v>2831</v>
      </c>
      <c r="J392" s="7"/>
      <c r="K392" s="7"/>
      <c r="L392" s="7"/>
      <c r="M392" s="10" t="b">
        <f aca="false">FALSE()</f>
        <v>0</v>
      </c>
      <c r="N392" s="7" t="n">
        <v>-33.84342906</v>
      </c>
      <c r="O392" s="7" t="n">
        <v>151.2218291</v>
      </c>
    </row>
    <row r="393" customFormat="false" ht="15" hidden="false" customHeight="false" outlineLevel="0" collapsed="false">
      <c r="A393" s="7" t="s">
        <v>4643</v>
      </c>
      <c r="B393" s="7" t="s">
        <v>4644</v>
      </c>
      <c r="C393" s="7" t="s">
        <v>4645</v>
      </c>
      <c r="D393" s="7" t="s">
        <v>4646</v>
      </c>
      <c r="E393" s="7" t="n">
        <v>2474</v>
      </c>
      <c r="F393" s="7" t="s">
        <v>50</v>
      </c>
      <c r="G393" s="7" t="s">
        <v>2806</v>
      </c>
      <c r="H393" s="7" t="s">
        <v>3667</v>
      </c>
      <c r="I393" s="7" t="s">
        <v>3170</v>
      </c>
      <c r="J393" s="7"/>
      <c r="K393" s="7"/>
      <c r="L393" s="7"/>
      <c r="M393" s="10" t="b">
        <f aca="false">FALSE()</f>
        <v>0</v>
      </c>
      <c r="N393" s="7" t="n">
        <v>-28.620185</v>
      </c>
      <c r="O393" s="7" t="n">
        <v>153.001284</v>
      </c>
    </row>
    <row r="394" customFormat="false" ht="15" hidden="false" customHeight="false" outlineLevel="0" collapsed="false">
      <c r="A394" s="7" t="s">
        <v>4647</v>
      </c>
      <c r="B394" s="7" t="s">
        <v>4648</v>
      </c>
      <c r="C394" s="7" t="s">
        <v>4649</v>
      </c>
      <c r="D394" s="7" t="s">
        <v>4650</v>
      </c>
      <c r="E394" s="7" t="n">
        <v>2672</v>
      </c>
      <c r="F394" s="7" t="s">
        <v>50</v>
      </c>
      <c r="G394" s="7" t="s">
        <v>2718</v>
      </c>
      <c r="H394" s="7"/>
      <c r="I394" s="7" t="s">
        <v>2719</v>
      </c>
      <c r="J394" s="7"/>
      <c r="K394" s="7"/>
      <c r="L394" s="7"/>
      <c r="M394" s="10" t="b">
        <f aca="false">FALSE()</f>
        <v>0</v>
      </c>
      <c r="N394" s="7" t="n">
        <v>-33.299081</v>
      </c>
      <c r="O394" s="7" t="n">
        <v>146.374193</v>
      </c>
    </row>
    <row r="395" customFormat="false" ht="15" hidden="false" customHeight="false" outlineLevel="0" collapsed="false">
      <c r="A395" s="7" t="s">
        <v>4651</v>
      </c>
      <c r="B395" s="7" t="s">
        <v>4652</v>
      </c>
      <c r="C395" s="7" t="s">
        <v>4653</v>
      </c>
      <c r="D395" s="7" t="s">
        <v>4654</v>
      </c>
      <c r="E395" s="7" t="n">
        <v>2195</v>
      </c>
      <c r="F395" s="7" t="s">
        <v>50</v>
      </c>
      <c r="G395" s="7" t="s">
        <v>3003</v>
      </c>
      <c r="H395" s="7" t="s">
        <v>4655</v>
      </c>
      <c r="I395" s="7" t="s">
        <v>2747</v>
      </c>
      <c r="J395" s="7" t="s">
        <v>4656</v>
      </c>
      <c r="K395" s="7" t="s">
        <v>2772</v>
      </c>
      <c r="L395" s="7" t="s">
        <v>2705</v>
      </c>
      <c r="M395" s="10" t="b">
        <f aca="false">FALSE()</f>
        <v>0</v>
      </c>
      <c r="N395" s="7" t="n">
        <v>-33.92012699</v>
      </c>
      <c r="O395" s="7" t="n">
        <v>151.0759555</v>
      </c>
    </row>
    <row r="396" customFormat="false" ht="15" hidden="false" customHeight="false" outlineLevel="0" collapsed="false">
      <c r="A396" s="7" t="s">
        <v>4657</v>
      </c>
      <c r="B396" s="7" t="s">
        <v>4658</v>
      </c>
      <c r="C396" s="7" t="s">
        <v>4659</v>
      </c>
      <c r="D396" s="7" t="s">
        <v>4660</v>
      </c>
      <c r="E396" s="7" t="n">
        <v>2066</v>
      </c>
      <c r="F396" s="7" t="s">
        <v>50</v>
      </c>
      <c r="G396" s="7" t="s">
        <v>3439</v>
      </c>
      <c r="H396" s="7" t="s">
        <v>4661</v>
      </c>
      <c r="I396" s="7" t="s">
        <v>4662</v>
      </c>
      <c r="J396" s="7"/>
      <c r="K396" s="7" t="s">
        <v>2772</v>
      </c>
      <c r="L396" s="7" t="s">
        <v>2705</v>
      </c>
      <c r="M396" s="10" t="b">
        <f aca="false">FALSE()</f>
        <v>0</v>
      </c>
      <c r="N396" s="7" t="n">
        <v>-33.81234789</v>
      </c>
      <c r="O396" s="7" t="n">
        <v>151.1712926</v>
      </c>
    </row>
    <row r="397" customFormat="false" ht="15" hidden="false" customHeight="false" outlineLevel="0" collapsed="false">
      <c r="A397" s="7" t="s">
        <v>4663</v>
      </c>
      <c r="B397" s="7" t="s">
        <v>4664</v>
      </c>
      <c r="C397" s="7" t="s">
        <v>4665</v>
      </c>
      <c r="D397" s="7" t="s">
        <v>4666</v>
      </c>
      <c r="E397" s="7" t="n">
        <v>2773</v>
      </c>
      <c r="F397" s="7" t="s">
        <v>50</v>
      </c>
      <c r="G397" s="7" t="s">
        <v>2806</v>
      </c>
      <c r="H397" s="7" t="s">
        <v>4667</v>
      </c>
      <c r="I397" s="7" t="s">
        <v>2747</v>
      </c>
      <c r="J397" s="7" t="s">
        <v>4668</v>
      </c>
      <c r="K397" s="7" t="s">
        <v>2704</v>
      </c>
      <c r="L397" s="7" t="s">
        <v>2705</v>
      </c>
      <c r="M397" s="10" t="b">
        <f aca="false">TRUE()</f>
        <v>1</v>
      </c>
      <c r="N397" s="7" t="n">
        <v>-33.77369788</v>
      </c>
      <c r="O397" s="7" t="n">
        <v>150.6427966</v>
      </c>
    </row>
    <row r="398" customFormat="false" ht="15" hidden="false" customHeight="false" outlineLevel="0" collapsed="false">
      <c r="A398" s="7" t="s">
        <v>4669</v>
      </c>
      <c r="B398" s="7" t="s">
        <v>4670</v>
      </c>
      <c r="C398" s="7" t="s">
        <v>4671</v>
      </c>
      <c r="D398" s="7" t="s">
        <v>4672</v>
      </c>
      <c r="E398" s="7" t="n">
        <v>2649</v>
      </c>
      <c r="F398" s="7" t="s">
        <v>50</v>
      </c>
      <c r="G398" s="7" t="s">
        <v>2718</v>
      </c>
      <c r="H398" s="7"/>
      <c r="I398" s="7" t="s">
        <v>2719</v>
      </c>
      <c r="J398" s="7"/>
      <c r="K398" s="7"/>
      <c r="L398" s="7"/>
      <c r="M398" s="10" t="b">
        <f aca="false">FALSE()</f>
        <v>0</v>
      </c>
      <c r="N398" s="7" t="n">
        <v>-35.604175</v>
      </c>
      <c r="O398" s="7" t="n">
        <v>148.093556</v>
      </c>
    </row>
    <row r="399" customFormat="false" ht="15" hidden="false" customHeight="false" outlineLevel="0" collapsed="false">
      <c r="A399" s="7" t="s">
        <v>4673</v>
      </c>
      <c r="B399" s="7" t="s">
        <v>4674</v>
      </c>
      <c r="C399" s="7" t="s">
        <v>4675</v>
      </c>
      <c r="D399" s="7" t="s">
        <v>4676</v>
      </c>
      <c r="E399" s="7" t="n">
        <v>2783</v>
      </c>
      <c r="F399" s="7" t="s">
        <v>50</v>
      </c>
      <c r="G399" s="7" t="s">
        <v>2786</v>
      </c>
      <c r="H399" s="7" t="s">
        <v>4677</v>
      </c>
      <c r="I399" s="7" t="s">
        <v>3202</v>
      </c>
      <c r="J399" s="7" t="s">
        <v>4678</v>
      </c>
      <c r="K399" s="7" t="s">
        <v>2704</v>
      </c>
      <c r="L399" s="7" t="s">
        <v>2705</v>
      </c>
      <c r="M399" s="10" t="b">
        <f aca="false">TRUE()</f>
        <v>1</v>
      </c>
      <c r="N399" s="7" t="n">
        <v>-33.71914485</v>
      </c>
      <c r="O399" s="7" t="n">
        <v>150.4298244</v>
      </c>
    </row>
    <row r="400" customFormat="false" ht="15" hidden="false" customHeight="false" outlineLevel="0" collapsed="false">
      <c r="A400" s="7" t="s">
        <v>4679</v>
      </c>
      <c r="B400" s="7" t="s">
        <v>4680</v>
      </c>
      <c r="C400" s="7" t="s">
        <v>4681</v>
      </c>
      <c r="D400" s="7" t="s">
        <v>4682</v>
      </c>
      <c r="E400" s="7" t="n">
        <v>2705</v>
      </c>
      <c r="F400" s="7" t="s">
        <v>50</v>
      </c>
      <c r="G400" s="7" t="s">
        <v>2806</v>
      </c>
      <c r="H400" s="7" t="s">
        <v>3787</v>
      </c>
      <c r="I400" s="7" t="s">
        <v>3285</v>
      </c>
      <c r="J400" s="7"/>
      <c r="K400" s="7"/>
      <c r="L400" s="7"/>
      <c r="M400" s="10" t="b">
        <f aca="false">FALSE()</f>
        <v>0</v>
      </c>
      <c r="N400" s="7" t="n">
        <v>-34.554328</v>
      </c>
      <c r="O400" s="7" t="n">
        <v>146.397659</v>
      </c>
    </row>
    <row r="401" customFormat="false" ht="15" hidden="false" customHeight="false" outlineLevel="0" collapsed="false">
      <c r="A401" s="7" t="s">
        <v>4683</v>
      </c>
      <c r="B401" s="7" t="s">
        <v>4684</v>
      </c>
      <c r="C401" s="7" t="s">
        <v>4685</v>
      </c>
      <c r="D401" s="7" t="s">
        <v>4686</v>
      </c>
      <c r="E401" s="7" t="n">
        <v>2705</v>
      </c>
      <c r="F401" s="7" t="s">
        <v>50</v>
      </c>
      <c r="G401" s="7" t="s">
        <v>2718</v>
      </c>
      <c r="H401" s="7"/>
      <c r="I401" s="7" t="s">
        <v>2719</v>
      </c>
      <c r="J401" s="7"/>
      <c r="K401" s="7"/>
      <c r="L401" s="7"/>
      <c r="M401" s="10" t="b">
        <f aca="false">FALSE()</f>
        <v>0</v>
      </c>
      <c r="N401" s="7" t="n">
        <v>-34.557147</v>
      </c>
      <c r="O401" s="7" t="n">
        <v>146.41094</v>
      </c>
    </row>
    <row r="402" customFormat="false" ht="15" hidden="false" customHeight="false" outlineLevel="0" collapsed="false">
      <c r="A402" s="7" t="s">
        <v>4687</v>
      </c>
      <c r="B402" s="7" t="s">
        <v>4688</v>
      </c>
      <c r="C402" s="7" t="s">
        <v>4689</v>
      </c>
      <c r="D402" s="7" t="s">
        <v>4690</v>
      </c>
      <c r="E402" s="7" t="n">
        <v>2040</v>
      </c>
      <c r="F402" s="7" t="s">
        <v>50</v>
      </c>
      <c r="G402" s="7" t="s">
        <v>2769</v>
      </c>
      <c r="H402" s="7" t="s">
        <v>4691</v>
      </c>
      <c r="I402" s="7" t="s">
        <v>3911</v>
      </c>
      <c r="J402" s="7"/>
      <c r="K402" s="7" t="s">
        <v>2772</v>
      </c>
      <c r="L402" s="7" t="s">
        <v>2705</v>
      </c>
      <c r="M402" s="10" t="b">
        <f aca="false">FALSE()</f>
        <v>0</v>
      </c>
      <c r="N402" s="7" t="n">
        <v>-33.87498209</v>
      </c>
      <c r="O402" s="7" t="n">
        <v>151.1538683</v>
      </c>
    </row>
    <row r="403" customFormat="false" ht="15" hidden="false" customHeight="false" outlineLevel="0" collapsed="false">
      <c r="A403" s="7" t="s">
        <v>4692</v>
      </c>
      <c r="B403" s="7" t="s">
        <v>4693</v>
      </c>
      <c r="C403" s="7" t="s">
        <v>4694</v>
      </c>
      <c r="D403" s="7" t="s">
        <v>4695</v>
      </c>
      <c r="E403" s="7" t="n">
        <v>2163</v>
      </c>
      <c r="F403" s="7" t="s">
        <v>50</v>
      </c>
      <c r="G403" s="7" t="s">
        <v>2710</v>
      </c>
      <c r="H403" s="7" t="s">
        <v>4696</v>
      </c>
      <c r="I403" s="7" t="s">
        <v>3202</v>
      </c>
      <c r="J403" s="7" t="s">
        <v>4697</v>
      </c>
      <c r="K403" s="7" t="s">
        <v>2772</v>
      </c>
      <c r="L403" s="7" t="s">
        <v>2705</v>
      </c>
      <c r="M403" s="10" t="b">
        <f aca="false">FALSE()</f>
        <v>0</v>
      </c>
      <c r="N403" s="7" t="n">
        <v>-33.8815017</v>
      </c>
      <c r="O403" s="7" t="n">
        <v>150.9849671</v>
      </c>
    </row>
    <row r="404" customFormat="false" ht="15" hidden="false" customHeight="false" outlineLevel="0" collapsed="false">
      <c r="A404" s="7" t="s">
        <v>4698</v>
      </c>
      <c r="B404" s="7" t="s">
        <v>4699</v>
      </c>
      <c r="C404" s="7" t="s">
        <v>4700</v>
      </c>
      <c r="D404" s="7" t="s">
        <v>4701</v>
      </c>
      <c r="E404" s="7" t="n">
        <v>2478</v>
      </c>
      <c r="F404" s="7" t="s">
        <v>50</v>
      </c>
      <c r="G404" s="7" t="s">
        <v>2837</v>
      </c>
      <c r="H404" s="7"/>
      <c r="I404" s="7" t="s">
        <v>2719</v>
      </c>
      <c r="J404" s="7"/>
      <c r="K404" s="7"/>
      <c r="L404" s="7"/>
      <c r="M404" s="10" t="b">
        <f aca="false">FALSE()</f>
        <v>0</v>
      </c>
      <c r="N404" s="7" t="n">
        <v>-28.797639</v>
      </c>
      <c r="O404" s="7" t="n">
        <v>153.593009</v>
      </c>
    </row>
    <row r="405" customFormat="false" ht="15" hidden="false" customHeight="false" outlineLevel="0" collapsed="false">
      <c r="A405" s="7" t="s">
        <v>4702</v>
      </c>
      <c r="B405" s="7" t="s">
        <v>4703</v>
      </c>
      <c r="C405" s="7" t="s">
        <v>4704</v>
      </c>
      <c r="D405" s="7" t="s">
        <v>4705</v>
      </c>
      <c r="E405" s="7" t="n">
        <v>2179</v>
      </c>
      <c r="F405" s="7" t="s">
        <v>50</v>
      </c>
      <c r="G405" s="7" t="s">
        <v>2786</v>
      </c>
      <c r="H405" s="7" t="s">
        <v>4706</v>
      </c>
      <c r="I405" s="7" t="s">
        <v>2747</v>
      </c>
      <c r="J405" s="7" t="s">
        <v>4707</v>
      </c>
      <c r="K405" s="7" t="s">
        <v>2772</v>
      </c>
      <c r="L405" s="7" t="s">
        <v>2705</v>
      </c>
      <c r="M405" s="10" t="b">
        <f aca="false">FALSE()</f>
        <v>0</v>
      </c>
      <c r="N405" s="7" t="n">
        <v>-33.9544</v>
      </c>
      <c r="O405" s="7" t="n">
        <v>150.8081</v>
      </c>
    </row>
    <row r="406" customFormat="false" ht="15" hidden="false" customHeight="false" outlineLevel="0" collapsed="false">
      <c r="A406" s="7" t="s">
        <v>4708</v>
      </c>
      <c r="B406" s="7" t="s">
        <v>4709</v>
      </c>
      <c r="C406" s="7" t="s">
        <v>4710</v>
      </c>
      <c r="D406" s="7" t="s">
        <v>4711</v>
      </c>
      <c r="E406" s="7" t="n">
        <v>2560</v>
      </c>
      <c r="F406" s="7" t="s">
        <v>50</v>
      </c>
      <c r="G406" s="7" t="s">
        <v>2786</v>
      </c>
      <c r="H406" s="7" t="s">
        <v>4712</v>
      </c>
      <c r="I406" s="7" t="s">
        <v>2885</v>
      </c>
      <c r="J406" s="7" t="s">
        <v>4713</v>
      </c>
      <c r="K406" s="7" t="s">
        <v>2772</v>
      </c>
      <c r="L406" s="7" t="s">
        <v>2705</v>
      </c>
      <c r="M406" s="10" t="b">
        <f aca="false">FALSE()</f>
        <v>0</v>
      </c>
      <c r="N406" s="7" t="n">
        <v>-34.0511705</v>
      </c>
      <c r="O406" s="7" t="n">
        <v>150.8300507</v>
      </c>
    </row>
    <row r="407" customFormat="false" ht="15" hidden="false" customHeight="false" outlineLevel="0" collapsed="false">
      <c r="A407" s="7" t="s">
        <v>4714</v>
      </c>
      <c r="B407" s="7" t="s">
        <v>4715</v>
      </c>
      <c r="C407" s="7" t="s">
        <v>4716</v>
      </c>
      <c r="D407" s="7" t="s">
        <v>4717</v>
      </c>
      <c r="E407" s="7" t="n">
        <v>2780</v>
      </c>
      <c r="F407" s="7" t="s">
        <v>50</v>
      </c>
      <c r="G407" s="7" t="s">
        <v>2786</v>
      </c>
      <c r="H407" s="7" t="s">
        <v>4718</v>
      </c>
      <c r="I407" s="7" t="s">
        <v>2885</v>
      </c>
      <c r="J407" s="7" t="s">
        <v>4719</v>
      </c>
      <c r="K407" s="7" t="s">
        <v>2704</v>
      </c>
      <c r="L407" s="7" t="s">
        <v>2705</v>
      </c>
      <c r="M407" s="10" t="b">
        <f aca="false">TRUE()</f>
        <v>1</v>
      </c>
      <c r="N407" s="7" t="n">
        <v>-33.71172185</v>
      </c>
      <c r="O407" s="7" t="n">
        <v>150.3302704</v>
      </c>
    </row>
    <row r="408" customFormat="false" ht="15" hidden="false" customHeight="false" outlineLevel="0" collapsed="false">
      <c r="A408" s="7" t="s">
        <v>4720</v>
      </c>
      <c r="B408" s="7" t="s">
        <v>4721</v>
      </c>
      <c r="C408" s="7" t="s">
        <v>4722</v>
      </c>
      <c r="D408" s="7" t="s">
        <v>4723</v>
      </c>
      <c r="E408" s="7" t="n">
        <v>2049</v>
      </c>
      <c r="F408" s="7" t="s">
        <v>50</v>
      </c>
      <c r="G408" s="7" t="s">
        <v>2710</v>
      </c>
      <c r="H408" s="7" t="s">
        <v>4724</v>
      </c>
      <c r="I408" s="7" t="s">
        <v>3202</v>
      </c>
      <c r="J408" s="7" t="s">
        <v>4725</v>
      </c>
      <c r="K408" s="7" t="s">
        <v>2772</v>
      </c>
      <c r="L408" s="7" t="s">
        <v>2705</v>
      </c>
      <c r="M408" s="10" t="b">
        <f aca="false">FALSE()</f>
        <v>0</v>
      </c>
      <c r="N408" s="7" t="n">
        <v>-33.89327853</v>
      </c>
      <c r="O408" s="7" t="n">
        <v>151.1472725</v>
      </c>
    </row>
    <row r="409" customFormat="false" ht="15" hidden="false" customHeight="false" outlineLevel="0" collapsed="false">
      <c r="A409" s="7" t="s">
        <v>4726</v>
      </c>
      <c r="B409" s="7" t="s">
        <v>4727</v>
      </c>
      <c r="C409" s="7" t="s">
        <v>4728</v>
      </c>
      <c r="D409" s="7" t="s">
        <v>4729</v>
      </c>
      <c r="E409" s="7" t="n">
        <v>2049</v>
      </c>
      <c r="F409" s="7" t="s">
        <v>50</v>
      </c>
      <c r="G409" s="7" t="s">
        <v>2769</v>
      </c>
      <c r="H409" s="7" t="s">
        <v>4730</v>
      </c>
      <c r="I409" s="7" t="s">
        <v>3583</v>
      </c>
      <c r="J409" s="7"/>
      <c r="K409" s="7" t="s">
        <v>2772</v>
      </c>
      <c r="L409" s="7" t="s">
        <v>2705</v>
      </c>
      <c r="M409" s="10" t="b">
        <f aca="false">FALSE()</f>
        <v>0</v>
      </c>
      <c r="N409" s="7" t="n">
        <v>-33.89398857</v>
      </c>
      <c r="O409" s="7" t="n">
        <v>151.1432381</v>
      </c>
    </row>
    <row r="410" customFormat="false" ht="15" hidden="false" customHeight="false" outlineLevel="0" collapsed="false">
      <c r="A410" s="7" t="s">
        <v>4731</v>
      </c>
      <c r="B410" s="7" t="s">
        <v>4732</v>
      </c>
      <c r="C410" s="7" t="s">
        <v>4733</v>
      </c>
      <c r="D410" s="7" t="s">
        <v>4734</v>
      </c>
      <c r="E410" s="7" t="n">
        <v>2141</v>
      </c>
      <c r="F410" s="7" t="s">
        <v>50</v>
      </c>
      <c r="G410" s="7" t="s">
        <v>2786</v>
      </c>
      <c r="H410" s="7" t="s">
        <v>4735</v>
      </c>
      <c r="I410" s="7" t="s">
        <v>2747</v>
      </c>
      <c r="J410" s="7" t="s">
        <v>4736</v>
      </c>
      <c r="K410" s="7" t="s">
        <v>2772</v>
      </c>
      <c r="L410" s="7" t="s">
        <v>2705</v>
      </c>
      <c r="M410" s="10" t="b">
        <f aca="false">FALSE()</f>
        <v>0</v>
      </c>
      <c r="N410" s="7" t="n">
        <v>-33.86388935</v>
      </c>
      <c r="O410" s="7" t="n">
        <v>151.0453895</v>
      </c>
    </row>
    <row r="411" customFormat="false" ht="15" hidden="false" customHeight="false" outlineLevel="0" collapsed="false">
      <c r="A411" s="7" t="s">
        <v>4737</v>
      </c>
      <c r="B411" s="7" t="s">
        <v>4738</v>
      </c>
      <c r="C411" s="7" t="s">
        <v>4739</v>
      </c>
      <c r="D411" s="7" t="s">
        <v>4740</v>
      </c>
      <c r="E411" s="7" t="n">
        <v>2834</v>
      </c>
      <c r="F411" s="7" t="s">
        <v>50</v>
      </c>
      <c r="G411" s="7" t="s">
        <v>2718</v>
      </c>
      <c r="H411" s="7"/>
      <c r="I411" s="7" t="s">
        <v>2719</v>
      </c>
      <c r="J411" s="7"/>
      <c r="K411" s="7"/>
      <c r="L411" s="7"/>
      <c r="M411" s="10" t="b">
        <f aca="false">FALSE()</f>
        <v>0</v>
      </c>
      <c r="N411" s="7" t="n">
        <v>-29.427061</v>
      </c>
      <c r="O411" s="7" t="n">
        <v>147.98034</v>
      </c>
    </row>
    <row r="412" customFormat="false" ht="15" hidden="false" customHeight="false" outlineLevel="0" collapsed="false">
      <c r="A412" s="7" t="s">
        <v>4741</v>
      </c>
      <c r="B412" s="7" t="s">
        <v>4742</v>
      </c>
      <c r="C412" s="7" t="s">
        <v>4743</v>
      </c>
      <c r="D412" s="7" t="s">
        <v>4744</v>
      </c>
      <c r="E412" s="7" t="n">
        <v>2040</v>
      </c>
      <c r="F412" s="7" t="s">
        <v>50</v>
      </c>
      <c r="G412" s="7" t="s">
        <v>2769</v>
      </c>
      <c r="H412" s="7" t="s">
        <v>2872</v>
      </c>
      <c r="I412" s="7" t="s">
        <v>2873</v>
      </c>
      <c r="J412" s="7"/>
      <c r="K412" s="7" t="s">
        <v>2772</v>
      </c>
      <c r="L412" s="7" t="s">
        <v>2705</v>
      </c>
      <c r="M412" s="10" t="b">
        <f aca="false">FALSE()</f>
        <v>0</v>
      </c>
      <c r="N412" s="7" t="n">
        <v>-33.87408114</v>
      </c>
      <c r="O412" s="7" t="n">
        <v>151.1651053</v>
      </c>
    </row>
    <row r="413" customFormat="false" ht="15" hidden="false" customHeight="false" outlineLevel="0" collapsed="false">
      <c r="A413" s="7" t="s">
        <v>4745</v>
      </c>
      <c r="B413" s="7" t="s">
        <v>4746</v>
      </c>
      <c r="C413" s="7" t="s">
        <v>4747</v>
      </c>
      <c r="D413" s="7" t="s">
        <v>4748</v>
      </c>
      <c r="E413" s="7" t="n">
        <v>2324</v>
      </c>
      <c r="F413" s="7" t="s">
        <v>50</v>
      </c>
      <c r="G413" s="7" t="s">
        <v>2718</v>
      </c>
      <c r="H413" s="7"/>
      <c r="I413" s="7" t="s">
        <v>2719</v>
      </c>
      <c r="J413" s="7"/>
      <c r="K413" s="7"/>
      <c r="L413" s="7"/>
      <c r="M413" s="10" t="b">
        <f aca="false">FALSE()</f>
        <v>0</v>
      </c>
      <c r="N413" s="7" t="n">
        <v>-32.605693</v>
      </c>
      <c r="O413" s="7" t="n">
        <v>151.895849</v>
      </c>
    </row>
    <row r="414" customFormat="false" ht="15" hidden="false" customHeight="false" outlineLevel="0" collapsed="false">
      <c r="A414" s="7" t="s">
        <v>4749</v>
      </c>
      <c r="B414" s="7" t="s">
        <v>4750</v>
      </c>
      <c r="C414" s="7" t="s">
        <v>4751</v>
      </c>
      <c r="D414" s="7" t="s">
        <v>4752</v>
      </c>
      <c r="E414" s="7" t="n">
        <v>2778</v>
      </c>
      <c r="F414" s="7" t="s">
        <v>50</v>
      </c>
      <c r="G414" s="7" t="s">
        <v>2710</v>
      </c>
      <c r="H414" s="7" t="s">
        <v>4753</v>
      </c>
      <c r="I414" s="7" t="s">
        <v>4754</v>
      </c>
      <c r="J414" s="7" t="s">
        <v>4755</v>
      </c>
      <c r="K414" s="7" t="s">
        <v>2704</v>
      </c>
      <c r="L414" s="7" t="s">
        <v>2705</v>
      </c>
      <c r="M414" s="10" t="b">
        <f aca="false">TRUE()</f>
        <v>1</v>
      </c>
      <c r="N414" s="7" t="n">
        <v>-33.71500231</v>
      </c>
      <c r="O414" s="7" t="n">
        <v>150.5052641</v>
      </c>
    </row>
    <row r="415" customFormat="false" ht="15" hidden="false" customHeight="false" outlineLevel="0" collapsed="false">
      <c r="A415" s="7" t="s">
        <v>4756</v>
      </c>
      <c r="B415" s="7" t="s">
        <v>4757</v>
      </c>
      <c r="C415" s="7" t="s">
        <v>4758</v>
      </c>
      <c r="D415" s="7" t="s">
        <v>4759</v>
      </c>
      <c r="E415" s="7" t="n">
        <v>2070</v>
      </c>
      <c r="F415" s="7" t="s">
        <v>50</v>
      </c>
      <c r="G415" s="7" t="s">
        <v>2786</v>
      </c>
      <c r="H415" s="7" t="s">
        <v>4760</v>
      </c>
      <c r="I415" s="7" t="s">
        <v>2747</v>
      </c>
      <c r="J415" s="7" t="s">
        <v>4761</v>
      </c>
      <c r="K415" s="7" t="s">
        <v>2772</v>
      </c>
      <c r="L415" s="7" t="s">
        <v>2705</v>
      </c>
      <c r="M415" s="10" t="b">
        <f aca="false">FALSE()</f>
        <v>0</v>
      </c>
      <c r="N415" s="7" t="n">
        <v>-33.77518546</v>
      </c>
      <c r="O415" s="7" t="n">
        <v>151.1691106</v>
      </c>
    </row>
    <row r="416" customFormat="false" ht="15" hidden="false" customHeight="false" outlineLevel="0" collapsed="false">
      <c r="A416" s="7" t="s">
        <v>4762</v>
      </c>
      <c r="B416" s="7" t="s">
        <v>4763</v>
      </c>
      <c r="C416" s="7" t="s">
        <v>4764</v>
      </c>
      <c r="D416" s="7" t="s">
        <v>4765</v>
      </c>
      <c r="E416" s="7" t="n">
        <v>2250</v>
      </c>
      <c r="F416" s="7" t="s">
        <v>50</v>
      </c>
      <c r="G416" s="7" t="s">
        <v>2710</v>
      </c>
      <c r="H416" s="7" t="s">
        <v>4766</v>
      </c>
      <c r="I416" s="7" t="s">
        <v>2747</v>
      </c>
      <c r="J416" s="7" t="s">
        <v>4767</v>
      </c>
      <c r="K416" s="7" t="s">
        <v>2704</v>
      </c>
      <c r="L416" s="7" t="s">
        <v>2705</v>
      </c>
      <c r="M416" s="10" t="b">
        <f aca="false">TRUE()</f>
        <v>1</v>
      </c>
      <c r="N416" s="7" t="n">
        <v>-33.38231099</v>
      </c>
      <c r="O416" s="7" t="n">
        <v>151.3698171</v>
      </c>
    </row>
    <row r="417" customFormat="false" ht="15" hidden="false" customHeight="false" outlineLevel="0" collapsed="false">
      <c r="A417" s="7" t="s">
        <v>4768</v>
      </c>
      <c r="B417" s="7" t="s">
        <v>4769</v>
      </c>
      <c r="C417" s="7" t="s">
        <v>4770</v>
      </c>
      <c r="D417" s="7" t="s">
        <v>4771</v>
      </c>
      <c r="E417" s="7" t="n">
        <v>2480</v>
      </c>
      <c r="F417" s="7" t="s">
        <v>50</v>
      </c>
      <c r="G417" s="7" t="s">
        <v>2718</v>
      </c>
      <c r="H417" s="7"/>
      <c r="I417" s="7" t="s">
        <v>2719</v>
      </c>
      <c r="J417" s="7"/>
      <c r="K417" s="7"/>
      <c r="L417" s="7"/>
      <c r="M417" s="10" t="b">
        <f aca="false">FALSE()</f>
        <v>0</v>
      </c>
      <c r="N417" s="7" t="n">
        <v>-28.810107</v>
      </c>
      <c r="O417" s="7" t="n">
        <v>153.268957</v>
      </c>
    </row>
    <row r="418" customFormat="false" ht="15" hidden="false" customHeight="false" outlineLevel="0" collapsed="false">
      <c r="A418" s="7" t="s">
        <v>4772</v>
      </c>
      <c r="B418" s="7" t="s">
        <v>4773</v>
      </c>
      <c r="C418" s="7" t="s">
        <v>4774</v>
      </c>
      <c r="D418" s="7" t="s">
        <v>4775</v>
      </c>
      <c r="E418" s="7" t="n">
        <v>2480</v>
      </c>
      <c r="F418" s="7" t="s">
        <v>50</v>
      </c>
      <c r="G418" s="7" t="s">
        <v>2718</v>
      </c>
      <c r="H418" s="7"/>
      <c r="I418" s="7" t="s">
        <v>2719</v>
      </c>
      <c r="J418" s="7"/>
      <c r="K418" s="7"/>
      <c r="L418" s="7"/>
      <c r="M418" s="10" t="b">
        <f aca="false">FALSE()</f>
        <v>0</v>
      </c>
      <c r="N418" s="7" t="n">
        <v>-28.811176</v>
      </c>
      <c r="O418" s="7" t="n">
        <v>153.275955</v>
      </c>
    </row>
    <row r="419" customFormat="false" ht="15" hidden="false" customHeight="false" outlineLevel="0" collapsed="false">
      <c r="A419" s="7" t="s">
        <v>4776</v>
      </c>
      <c r="B419" s="7" t="s">
        <v>4777</v>
      </c>
      <c r="C419" s="7" t="s">
        <v>4778</v>
      </c>
      <c r="D419" s="7" t="s">
        <v>4779</v>
      </c>
      <c r="E419" s="7" t="n">
        <v>2790</v>
      </c>
      <c r="F419" s="7" t="s">
        <v>50</v>
      </c>
      <c r="G419" s="7" t="s">
        <v>2937</v>
      </c>
      <c r="H419" s="7" t="s">
        <v>4780</v>
      </c>
      <c r="I419" s="7" t="s">
        <v>2747</v>
      </c>
      <c r="J419" s="7" t="s">
        <v>4781</v>
      </c>
      <c r="K419" s="7" t="s">
        <v>2704</v>
      </c>
      <c r="L419" s="7" t="s">
        <v>2705</v>
      </c>
      <c r="M419" s="10" t="b">
        <f aca="false">TRUE()</f>
        <v>1</v>
      </c>
      <c r="N419" s="7" t="n">
        <v>-33.48050099</v>
      </c>
      <c r="O419" s="7" t="n">
        <v>150.1574494</v>
      </c>
    </row>
    <row r="420" customFormat="false" ht="15" hidden="false" customHeight="false" outlineLevel="0" collapsed="false">
      <c r="A420" s="7" t="s">
        <v>4782</v>
      </c>
      <c r="B420" s="7" t="s">
        <v>4783</v>
      </c>
      <c r="C420" s="7" t="s">
        <v>4784</v>
      </c>
      <c r="D420" s="7" t="s">
        <v>4785</v>
      </c>
      <c r="E420" s="7" t="n">
        <v>2170</v>
      </c>
      <c r="F420" s="7" t="s">
        <v>50</v>
      </c>
      <c r="G420" s="7" t="s">
        <v>2786</v>
      </c>
      <c r="H420" s="7" t="s">
        <v>4786</v>
      </c>
      <c r="I420" s="7" t="s">
        <v>3514</v>
      </c>
      <c r="J420" s="7" t="s">
        <v>3507</v>
      </c>
      <c r="K420" s="7" t="s">
        <v>2772</v>
      </c>
      <c r="L420" s="7" t="s">
        <v>2705</v>
      </c>
      <c r="M420" s="10" t="b">
        <f aca="false">FALSE()</f>
        <v>0</v>
      </c>
      <c r="N420" s="7" t="n">
        <v>-33.92510969</v>
      </c>
      <c r="O420" s="7" t="n">
        <v>150.9270542</v>
      </c>
    </row>
    <row r="421" customFormat="false" ht="15" hidden="false" customHeight="false" outlineLevel="0" collapsed="false">
      <c r="A421" s="7" t="s">
        <v>4787</v>
      </c>
      <c r="B421" s="7" t="s">
        <v>4788</v>
      </c>
      <c r="C421" s="7" t="s">
        <v>4789</v>
      </c>
      <c r="D421" s="7" t="s">
        <v>4790</v>
      </c>
      <c r="E421" s="7" t="n">
        <v>2365</v>
      </c>
      <c r="F421" s="7" t="s">
        <v>50</v>
      </c>
      <c r="G421" s="7" t="s">
        <v>2718</v>
      </c>
      <c r="H421" s="7"/>
      <c r="I421" s="7" t="s">
        <v>2719</v>
      </c>
      <c r="J421" s="7"/>
      <c r="K421" s="7"/>
      <c r="L421" s="7"/>
      <c r="M421" s="10" t="b">
        <f aca="false">FALSE()</f>
        <v>0</v>
      </c>
      <c r="N421" s="7" t="n">
        <v>-30.128813</v>
      </c>
      <c r="O421" s="7" t="n">
        <v>151.684701</v>
      </c>
    </row>
    <row r="422" customFormat="false" ht="15" hidden="false" customHeight="false" outlineLevel="0" collapsed="false">
      <c r="A422" s="7" t="s">
        <v>4791</v>
      </c>
      <c r="B422" s="7" t="s">
        <v>4792</v>
      </c>
      <c r="C422" s="7" t="s">
        <v>4793</v>
      </c>
      <c r="D422" s="7" t="s">
        <v>4794</v>
      </c>
      <c r="E422" s="7" t="n">
        <v>2321</v>
      </c>
      <c r="F422" s="7" t="s">
        <v>50</v>
      </c>
      <c r="G422" s="7" t="s">
        <v>2806</v>
      </c>
      <c r="H422" s="7" t="s">
        <v>4795</v>
      </c>
      <c r="I422" s="7" t="s">
        <v>4796</v>
      </c>
      <c r="J422" s="7" t="s">
        <v>2703</v>
      </c>
      <c r="K422" s="7" t="s">
        <v>2704</v>
      </c>
      <c r="L422" s="7" t="s">
        <v>2705</v>
      </c>
      <c r="M422" s="10" t="b">
        <f aca="false">TRUE()</f>
        <v>1</v>
      </c>
      <c r="N422" s="7" t="n">
        <v>-32.72072004</v>
      </c>
      <c r="O422" s="7" t="n">
        <v>151.4490865</v>
      </c>
    </row>
    <row r="423" customFormat="false" ht="15" hidden="false" customHeight="false" outlineLevel="0" collapsed="false">
      <c r="A423" s="7" t="s">
        <v>4797</v>
      </c>
      <c r="B423" s="7" t="s">
        <v>4798</v>
      </c>
      <c r="C423" s="7" t="s">
        <v>4799</v>
      </c>
      <c r="D423" s="7" t="s">
        <v>4800</v>
      </c>
      <c r="E423" s="7" t="n">
        <v>2656</v>
      </c>
      <c r="F423" s="7" t="s">
        <v>50</v>
      </c>
      <c r="G423" s="7" t="s">
        <v>2718</v>
      </c>
      <c r="H423" s="7"/>
      <c r="I423" s="7" t="s">
        <v>2719</v>
      </c>
      <c r="J423" s="7"/>
      <c r="K423" s="7"/>
      <c r="L423" s="7"/>
      <c r="M423" s="10" t="b">
        <f aca="false">FALSE()</f>
        <v>0</v>
      </c>
      <c r="N423" s="7" t="n">
        <v>-35.220835</v>
      </c>
      <c r="O423" s="7" t="n">
        <v>146.716392</v>
      </c>
    </row>
    <row r="424" customFormat="false" ht="15" hidden="false" customHeight="false" outlineLevel="0" collapsed="false">
      <c r="A424" s="7" t="s">
        <v>4801</v>
      </c>
      <c r="B424" s="7" t="s">
        <v>4802</v>
      </c>
      <c r="C424" s="7" t="s">
        <v>4803</v>
      </c>
      <c r="D424" s="7" t="s">
        <v>4804</v>
      </c>
      <c r="E424" s="7" t="n">
        <v>2232</v>
      </c>
      <c r="F424" s="7" t="s">
        <v>50</v>
      </c>
      <c r="G424" s="7" t="s">
        <v>2710</v>
      </c>
      <c r="H424" s="7" t="s">
        <v>4805</v>
      </c>
      <c r="I424" s="7" t="s">
        <v>4806</v>
      </c>
      <c r="J424" s="7" t="s">
        <v>4807</v>
      </c>
      <c r="K424" s="7" t="s">
        <v>2772</v>
      </c>
      <c r="L424" s="7" t="s">
        <v>2705</v>
      </c>
      <c r="M424" s="10" t="b">
        <f aca="false">TRUE()</f>
        <v>1</v>
      </c>
      <c r="N424" s="7" t="n">
        <v>-34.04513834</v>
      </c>
      <c r="O424" s="7" t="n">
        <v>151.05132</v>
      </c>
    </row>
    <row r="425" customFormat="false" ht="15" hidden="false" customHeight="false" outlineLevel="0" collapsed="false">
      <c r="A425" s="7" t="s">
        <v>4808</v>
      </c>
      <c r="B425" s="7" t="s">
        <v>4809</v>
      </c>
      <c r="C425" s="7" t="s">
        <v>4810</v>
      </c>
      <c r="D425" s="7" t="s">
        <v>4811</v>
      </c>
      <c r="E425" s="7" t="n">
        <v>2446</v>
      </c>
      <c r="F425" s="7" t="s">
        <v>50</v>
      </c>
      <c r="G425" s="7" t="s">
        <v>2718</v>
      </c>
      <c r="H425" s="7"/>
      <c r="I425" s="7" t="s">
        <v>2719</v>
      </c>
      <c r="J425" s="7"/>
      <c r="K425" s="7"/>
      <c r="L425" s="7"/>
      <c r="M425" s="10" t="b">
        <f aca="false">FALSE()</f>
        <v>0</v>
      </c>
      <c r="N425" s="7" t="n">
        <v>-31.436226</v>
      </c>
      <c r="O425" s="7" t="n">
        <v>152.492721</v>
      </c>
    </row>
    <row r="426" customFormat="false" ht="15" hidden="false" customHeight="false" outlineLevel="0" collapsed="false">
      <c r="A426" s="7" t="s">
        <v>4812</v>
      </c>
      <c r="B426" s="7" t="s">
        <v>4813</v>
      </c>
      <c r="C426" s="7" t="s">
        <v>4814</v>
      </c>
      <c r="D426" s="7" t="s">
        <v>4815</v>
      </c>
      <c r="E426" s="7" t="n">
        <v>2066</v>
      </c>
      <c r="F426" s="7" t="s">
        <v>50</v>
      </c>
      <c r="G426" s="7" t="s">
        <v>2852</v>
      </c>
      <c r="H426" s="7" t="s">
        <v>4488</v>
      </c>
      <c r="I426" s="7" t="s">
        <v>4253</v>
      </c>
      <c r="J426" s="7"/>
      <c r="K426" s="7"/>
      <c r="L426" s="7"/>
      <c r="M426" s="10" t="b">
        <f aca="false">FALSE()</f>
        <v>0</v>
      </c>
      <c r="N426" s="7" t="n">
        <v>-33.836059</v>
      </c>
      <c r="O426" s="7" t="n">
        <v>151.169351</v>
      </c>
    </row>
    <row r="427" customFormat="false" ht="15" hidden="false" customHeight="false" outlineLevel="0" collapsed="false">
      <c r="A427" s="7" t="s">
        <v>4816</v>
      </c>
      <c r="B427" s="7" t="s">
        <v>4817</v>
      </c>
      <c r="C427" s="7" t="s">
        <v>4818</v>
      </c>
      <c r="D427" s="7" t="s">
        <v>4819</v>
      </c>
      <c r="E427" s="7" t="n">
        <v>2800</v>
      </c>
      <c r="F427" s="7" t="s">
        <v>50</v>
      </c>
      <c r="G427" s="7" t="s">
        <v>2718</v>
      </c>
      <c r="H427" s="7"/>
      <c r="I427" s="7" t="s">
        <v>2719</v>
      </c>
      <c r="J427" s="7"/>
      <c r="K427" s="7"/>
      <c r="L427" s="7"/>
      <c r="M427" s="10" t="b">
        <f aca="false">FALSE()</f>
        <v>0</v>
      </c>
      <c r="N427" s="7" t="n">
        <v>-33.347345</v>
      </c>
      <c r="O427" s="7" t="n">
        <v>149.163449</v>
      </c>
    </row>
    <row r="428" customFormat="false" ht="15" hidden="false" customHeight="false" outlineLevel="0" collapsed="false">
      <c r="A428" s="7" t="s">
        <v>4820</v>
      </c>
      <c r="B428" s="7" t="s">
        <v>4821</v>
      </c>
      <c r="C428" s="7" t="s">
        <v>4822</v>
      </c>
      <c r="D428" s="7" t="s">
        <v>4823</v>
      </c>
      <c r="E428" s="7" t="n">
        <v>2850</v>
      </c>
      <c r="F428" s="7" t="s">
        <v>50</v>
      </c>
      <c r="G428" s="7" t="s">
        <v>2718</v>
      </c>
      <c r="H428" s="7"/>
      <c r="I428" s="7" t="s">
        <v>2719</v>
      </c>
      <c r="J428" s="7"/>
      <c r="K428" s="7"/>
      <c r="L428" s="7"/>
      <c r="M428" s="10" t="b">
        <f aca="false">FALSE()</f>
        <v>0</v>
      </c>
      <c r="N428" s="7" t="n">
        <v>-32.6563</v>
      </c>
      <c r="O428" s="7" t="n">
        <v>149.846119</v>
      </c>
    </row>
    <row r="429" customFormat="false" ht="15" hidden="false" customHeight="false" outlineLevel="0" collapsed="false">
      <c r="A429" s="7" t="s">
        <v>4824</v>
      </c>
      <c r="B429" s="7" t="s">
        <v>4825</v>
      </c>
      <c r="C429" s="7" t="s">
        <v>4826</v>
      </c>
      <c r="D429" s="7" t="s">
        <v>4827</v>
      </c>
      <c r="E429" s="7" t="n">
        <v>2797</v>
      </c>
      <c r="F429" s="7" t="s">
        <v>50</v>
      </c>
      <c r="G429" s="7" t="s">
        <v>2718</v>
      </c>
      <c r="H429" s="7"/>
      <c r="I429" s="7" t="s">
        <v>2719</v>
      </c>
      <c r="J429" s="7"/>
      <c r="K429" s="7"/>
      <c r="L429" s="7"/>
      <c r="M429" s="10" t="b">
        <f aca="false">FALSE()</f>
        <v>0</v>
      </c>
      <c r="N429" s="7" t="n">
        <v>-33.673314</v>
      </c>
      <c r="O429" s="7" t="n">
        <v>149.047645</v>
      </c>
    </row>
    <row r="430" customFormat="false" ht="15" hidden="false" customHeight="false" outlineLevel="0" collapsed="false">
      <c r="A430" s="7" t="s">
        <v>4828</v>
      </c>
      <c r="B430" s="7" t="s">
        <v>4829</v>
      </c>
      <c r="C430" s="7" t="s">
        <v>4830</v>
      </c>
      <c r="D430" s="7" t="s">
        <v>4831</v>
      </c>
      <c r="E430" s="7" t="n">
        <v>2500</v>
      </c>
      <c r="F430" s="7" t="s">
        <v>50</v>
      </c>
      <c r="G430" s="7" t="s">
        <v>2806</v>
      </c>
      <c r="H430" s="7" t="s">
        <v>2975</v>
      </c>
      <c r="I430" s="7" t="s">
        <v>3633</v>
      </c>
      <c r="J430" s="7" t="s">
        <v>4832</v>
      </c>
      <c r="K430" s="7" t="s">
        <v>2704</v>
      </c>
      <c r="L430" s="7" t="s">
        <v>2705</v>
      </c>
      <c r="M430" s="10" t="b">
        <f aca="false">TRUE()</f>
        <v>1</v>
      </c>
      <c r="N430" s="7" t="n">
        <v>-34.45484317</v>
      </c>
      <c r="O430" s="7" t="n">
        <v>150.8760944</v>
      </c>
    </row>
    <row r="431" customFormat="false" ht="15" hidden="false" customHeight="false" outlineLevel="0" collapsed="false">
      <c r="A431" s="7" t="s">
        <v>4833</v>
      </c>
      <c r="B431" s="7" t="s">
        <v>4834</v>
      </c>
      <c r="C431" s="7" t="s">
        <v>4835</v>
      </c>
      <c r="D431" s="7" t="s">
        <v>4836</v>
      </c>
      <c r="E431" s="7" t="n">
        <v>2560</v>
      </c>
      <c r="F431" s="7" t="s">
        <v>50</v>
      </c>
      <c r="G431" s="7" t="s">
        <v>2786</v>
      </c>
      <c r="H431" s="7" t="s">
        <v>4459</v>
      </c>
      <c r="I431" s="7" t="s">
        <v>2747</v>
      </c>
      <c r="J431" s="7" t="s">
        <v>4837</v>
      </c>
      <c r="K431" s="7" t="s">
        <v>2772</v>
      </c>
      <c r="L431" s="7" t="s">
        <v>2705</v>
      </c>
      <c r="M431" s="10" t="b">
        <f aca="false">TRUE()</f>
        <v>1</v>
      </c>
      <c r="N431" s="7" t="n">
        <v>-34.07207332</v>
      </c>
      <c r="O431" s="7" t="n">
        <v>150.7967371</v>
      </c>
    </row>
    <row r="432" customFormat="false" ht="15" hidden="false" customHeight="false" outlineLevel="0" collapsed="false">
      <c r="A432" s="7" t="s">
        <v>4838</v>
      </c>
      <c r="B432" s="7" t="s">
        <v>4839</v>
      </c>
      <c r="C432" s="7" t="s">
        <v>4840</v>
      </c>
      <c r="D432" s="7" t="s">
        <v>4841</v>
      </c>
      <c r="E432" s="7" t="n">
        <v>2015</v>
      </c>
      <c r="F432" s="7" t="s">
        <v>50</v>
      </c>
      <c r="G432" s="7" t="s">
        <v>2806</v>
      </c>
      <c r="H432" s="7" t="s">
        <v>4842</v>
      </c>
      <c r="I432" s="7" t="s">
        <v>2831</v>
      </c>
      <c r="J432" s="7" t="s">
        <v>4843</v>
      </c>
      <c r="K432" s="7" t="s">
        <v>2772</v>
      </c>
      <c r="L432" s="7" t="s">
        <v>2705</v>
      </c>
      <c r="M432" s="10" t="b">
        <f aca="false">FALSE()</f>
        <v>0</v>
      </c>
      <c r="N432" s="7" t="n">
        <v>-33.89666002</v>
      </c>
      <c r="O432" s="7" t="n">
        <v>151.1862916</v>
      </c>
    </row>
    <row r="433" customFormat="false" ht="15" hidden="false" customHeight="false" outlineLevel="0" collapsed="false">
      <c r="A433" s="7" t="s">
        <v>4844</v>
      </c>
      <c r="B433" s="7" t="s">
        <v>4845</v>
      </c>
      <c r="C433" s="7" t="s">
        <v>4846</v>
      </c>
      <c r="D433" s="7" t="s">
        <v>4847</v>
      </c>
      <c r="E433" s="7" t="n">
        <v>2447</v>
      </c>
      <c r="F433" s="7" t="s">
        <v>50</v>
      </c>
      <c r="G433" s="7" t="s">
        <v>2735</v>
      </c>
      <c r="H433" s="7" t="s">
        <v>4848</v>
      </c>
      <c r="I433" s="7" t="s">
        <v>4849</v>
      </c>
      <c r="J433" s="7"/>
      <c r="K433" s="7"/>
      <c r="L433" s="7"/>
      <c r="M433" s="10" t="b">
        <f aca="false">FALSE()</f>
        <v>0</v>
      </c>
      <c r="N433" s="7" t="n">
        <v>-30.709283</v>
      </c>
      <c r="O433" s="7" t="n">
        <v>152.913135</v>
      </c>
    </row>
    <row r="434" customFormat="false" ht="15" hidden="false" customHeight="false" outlineLevel="0" collapsed="false">
      <c r="A434" s="7" t="s">
        <v>4850</v>
      </c>
      <c r="B434" s="7" t="s">
        <v>4851</v>
      </c>
      <c r="C434" s="7" t="s">
        <v>4852</v>
      </c>
      <c r="D434" s="7" t="s">
        <v>4853</v>
      </c>
      <c r="E434" s="7" t="n">
        <v>2463</v>
      </c>
      <c r="F434" s="7" t="s">
        <v>50</v>
      </c>
      <c r="G434" s="7" t="s">
        <v>2718</v>
      </c>
      <c r="H434" s="7"/>
      <c r="I434" s="7" t="s">
        <v>2719</v>
      </c>
      <c r="J434" s="7"/>
      <c r="K434" s="7"/>
      <c r="L434" s="7"/>
      <c r="M434" s="10" t="b">
        <f aca="false">FALSE()</f>
        <v>0</v>
      </c>
      <c r="N434" s="7" t="n">
        <v>-29.454593</v>
      </c>
      <c r="O434" s="7" t="n">
        <v>153.197082</v>
      </c>
    </row>
    <row r="435" customFormat="false" ht="15" hidden="false" customHeight="false" outlineLevel="0" collapsed="false">
      <c r="A435" s="7" t="s">
        <v>4854</v>
      </c>
      <c r="B435" s="7" t="s">
        <v>4855</v>
      </c>
      <c r="C435" s="7" t="s">
        <v>4856</v>
      </c>
      <c r="D435" s="7" t="s">
        <v>4857</v>
      </c>
      <c r="E435" s="7" t="n">
        <v>2564</v>
      </c>
      <c r="F435" s="7" t="s">
        <v>50</v>
      </c>
      <c r="G435" s="7" t="s">
        <v>2710</v>
      </c>
      <c r="H435" s="7" t="s">
        <v>4005</v>
      </c>
      <c r="I435" s="7" t="s">
        <v>2747</v>
      </c>
      <c r="J435" s="7" t="s">
        <v>4858</v>
      </c>
      <c r="K435" s="7" t="s">
        <v>2772</v>
      </c>
      <c r="L435" s="7" t="s">
        <v>2705</v>
      </c>
      <c r="M435" s="10" t="b">
        <f aca="false">FALSE()</f>
        <v>0</v>
      </c>
      <c r="N435" s="7" t="n">
        <v>-33.98480719</v>
      </c>
      <c r="O435" s="7" t="n">
        <v>150.8788965</v>
      </c>
    </row>
    <row r="436" customFormat="false" ht="15" hidden="false" customHeight="false" outlineLevel="0" collapsed="false">
      <c r="A436" s="7" t="s">
        <v>4859</v>
      </c>
      <c r="B436" s="7" t="s">
        <v>4860</v>
      </c>
      <c r="C436" s="7" t="s">
        <v>4861</v>
      </c>
      <c r="D436" s="7" t="s">
        <v>4862</v>
      </c>
      <c r="E436" s="7" t="n">
        <v>2113</v>
      </c>
      <c r="F436" s="7" t="s">
        <v>50</v>
      </c>
      <c r="G436" s="7" t="s">
        <v>4863</v>
      </c>
      <c r="H436" s="7" t="s">
        <v>4864</v>
      </c>
      <c r="I436" s="7" t="s">
        <v>4865</v>
      </c>
      <c r="J436" s="7" t="s">
        <v>4866</v>
      </c>
      <c r="K436" s="7" t="s">
        <v>2772</v>
      </c>
      <c r="L436" s="7" t="s">
        <v>2705</v>
      </c>
      <c r="M436" s="10" t="b">
        <f aca="false">FALSE()</f>
        <v>0</v>
      </c>
      <c r="N436" s="7" t="n">
        <v>-33.78501276</v>
      </c>
      <c r="O436" s="7" t="n">
        <v>151.1286414</v>
      </c>
    </row>
    <row r="437" customFormat="false" ht="15" hidden="false" customHeight="false" outlineLevel="0" collapsed="false">
      <c r="A437" s="7" t="s">
        <v>4867</v>
      </c>
      <c r="B437" s="7" t="s">
        <v>4868</v>
      </c>
      <c r="C437" s="7" t="s">
        <v>4869</v>
      </c>
      <c r="D437" s="7" t="s">
        <v>4870</v>
      </c>
      <c r="E437" s="7" t="n">
        <v>2113</v>
      </c>
      <c r="F437" s="7" t="s">
        <v>50</v>
      </c>
      <c r="G437" s="7" t="s">
        <v>2982</v>
      </c>
      <c r="H437" s="7" t="s">
        <v>4871</v>
      </c>
      <c r="I437" s="7" t="s">
        <v>4872</v>
      </c>
      <c r="J437" s="7" t="s">
        <v>4873</v>
      </c>
      <c r="K437" s="7" t="s">
        <v>2772</v>
      </c>
      <c r="L437" s="7" t="s">
        <v>2705</v>
      </c>
      <c r="M437" s="10" t="b">
        <f aca="false">FALSE()</f>
        <v>0</v>
      </c>
      <c r="N437" s="7" t="n">
        <v>-33.77741329</v>
      </c>
      <c r="O437" s="7" t="n">
        <v>151.1181871</v>
      </c>
    </row>
    <row r="438" customFormat="false" ht="15" hidden="false" customHeight="false" outlineLevel="0" collapsed="false">
      <c r="A438" s="7" t="s">
        <v>4874</v>
      </c>
      <c r="B438" s="7" t="s">
        <v>4875</v>
      </c>
      <c r="C438" s="7" t="s">
        <v>4876</v>
      </c>
      <c r="D438" s="7" t="s">
        <v>4877</v>
      </c>
      <c r="E438" s="7" t="n">
        <v>2320</v>
      </c>
      <c r="F438" s="7" t="s">
        <v>50</v>
      </c>
      <c r="G438" s="7" t="s">
        <v>2786</v>
      </c>
      <c r="H438" s="7" t="s">
        <v>3800</v>
      </c>
      <c r="I438" s="7" t="s">
        <v>2885</v>
      </c>
      <c r="J438" s="7"/>
      <c r="K438" s="7" t="s">
        <v>2704</v>
      </c>
      <c r="L438" s="7" t="s">
        <v>2705</v>
      </c>
      <c r="M438" s="10" t="b">
        <f aca="false">TRUE()</f>
        <v>1</v>
      </c>
      <c r="N438" s="7" t="n">
        <v>-32.73803543</v>
      </c>
      <c r="O438" s="7" t="n">
        <v>151.5520999</v>
      </c>
    </row>
    <row r="439" customFormat="false" ht="15" hidden="false" customHeight="false" outlineLevel="0" collapsed="false">
      <c r="A439" s="7" t="s">
        <v>4878</v>
      </c>
      <c r="B439" s="7" t="s">
        <v>4879</v>
      </c>
      <c r="C439" s="7" t="s">
        <v>4880</v>
      </c>
      <c r="D439" s="7" t="s">
        <v>4881</v>
      </c>
      <c r="E439" s="7" t="n">
        <v>2792</v>
      </c>
      <c r="F439" s="7" t="s">
        <v>50</v>
      </c>
      <c r="G439" s="7" t="s">
        <v>2718</v>
      </c>
      <c r="H439" s="7"/>
      <c r="I439" s="7" t="s">
        <v>2719</v>
      </c>
      <c r="J439" s="7"/>
      <c r="K439" s="7"/>
      <c r="L439" s="7"/>
      <c r="M439" s="10" t="b">
        <f aca="false">FALSE()</f>
        <v>0</v>
      </c>
      <c r="N439" s="7" t="n">
        <v>-33.648559</v>
      </c>
      <c r="O439" s="7" t="n">
        <v>149.075348</v>
      </c>
    </row>
    <row r="440" customFormat="false" ht="15" hidden="false" customHeight="false" outlineLevel="0" collapsed="false">
      <c r="A440" s="7" t="s">
        <v>4882</v>
      </c>
      <c r="B440" s="7" t="s">
        <v>4883</v>
      </c>
      <c r="C440" s="7" t="s">
        <v>4884</v>
      </c>
      <c r="D440" s="7" t="s">
        <v>4885</v>
      </c>
      <c r="E440" s="7" t="n">
        <v>2865</v>
      </c>
      <c r="F440" s="7" t="s">
        <v>50</v>
      </c>
      <c r="G440" s="7" t="s">
        <v>2718</v>
      </c>
      <c r="H440" s="7"/>
      <c r="I440" s="7" t="s">
        <v>2719</v>
      </c>
      <c r="J440" s="7"/>
      <c r="K440" s="7"/>
      <c r="L440" s="7"/>
      <c r="M440" s="10" t="b">
        <f aca="false">FALSE()</f>
        <v>0</v>
      </c>
      <c r="N440" s="7" t="n">
        <v>-33.186049</v>
      </c>
      <c r="O440" s="7" t="n">
        <v>148.69459</v>
      </c>
    </row>
    <row r="441" customFormat="false" ht="15" hidden="false" customHeight="false" outlineLevel="0" collapsed="false">
      <c r="A441" s="7" t="s">
        <v>4886</v>
      </c>
      <c r="B441" s="7" t="s">
        <v>4887</v>
      </c>
      <c r="C441" s="7" t="s">
        <v>4888</v>
      </c>
      <c r="D441" s="7" t="s">
        <v>4889</v>
      </c>
      <c r="E441" s="7" t="n">
        <v>2346</v>
      </c>
      <c r="F441" s="7" t="s">
        <v>50</v>
      </c>
      <c r="G441" s="7" t="s">
        <v>2718</v>
      </c>
      <c r="H441" s="7"/>
      <c r="I441" s="7" t="s">
        <v>2719</v>
      </c>
      <c r="J441" s="7"/>
      <c r="K441" s="7"/>
      <c r="L441" s="7"/>
      <c r="M441" s="10" t="b">
        <f aca="false">FALSE()</f>
        <v>0</v>
      </c>
      <c r="N441" s="7" t="n">
        <v>-30.749694</v>
      </c>
      <c r="O441" s="7" t="n">
        <v>150.720829</v>
      </c>
    </row>
    <row r="442" customFormat="false" ht="15" hidden="false" customHeight="false" outlineLevel="0" collapsed="false">
      <c r="A442" s="7" t="s">
        <v>4890</v>
      </c>
      <c r="B442" s="7" t="s">
        <v>4891</v>
      </c>
      <c r="C442" s="7" t="s">
        <v>4892</v>
      </c>
      <c r="D442" s="7" t="s">
        <v>4893</v>
      </c>
      <c r="E442" s="7" t="n">
        <v>2093</v>
      </c>
      <c r="F442" s="7" t="s">
        <v>50</v>
      </c>
      <c r="G442" s="7" t="s">
        <v>3439</v>
      </c>
      <c r="H442" s="7" t="s">
        <v>4894</v>
      </c>
      <c r="I442" s="7" t="s">
        <v>3400</v>
      </c>
      <c r="J442" s="7"/>
      <c r="K442" s="7" t="s">
        <v>2772</v>
      </c>
      <c r="L442" s="7" t="s">
        <v>2705</v>
      </c>
      <c r="M442" s="10" t="b">
        <f aca="false">FALSE()</f>
        <v>0</v>
      </c>
      <c r="N442" s="7" t="n">
        <v>-33.787011</v>
      </c>
      <c r="O442" s="7" t="n">
        <v>151.266626</v>
      </c>
    </row>
    <row r="443" customFormat="false" ht="15" hidden="false" customHeight="false" outlineLevel="0" collapsed="false">
      <c r="A443" s="7" t="s">
        <v>4895</v>
      </c>
      <c r="B443" s="7" t="s">
        <v>4896</v>
      </c>
      <c r="C443" s="7" t="s">
        <v>4897</v>
      </c>
      <c r="D443" s="7" t="s">
        <v>4898</v>
      </c>
      <c r="E443" s="7" t="n">
        <v>2095</v>
      </c>
      <c r="F443" s="7" t="s">
        <v>50</v>
      </c>
      <c r="G443" s="7" t="s">
        <v>3806</v>
      </c>
      <c r="H443" s="7" t="s">
        <v>4899</v>
      </c>
      <c r="I443" s="7" t="s">
        <v>3808</v>
      </c>
      <c r="J443" s="7"/>
      <c r="K443" s="7"/>
      <c r="L443" s="7"/>
      <c r="M443" s="10" t="b">
        <f aca="false">FALSE()</f>
        <v>0</v>
      </c>
      <c r="N443" s="7" t="n">
        <v>-33.80048291</v>
      </c>
      <c r="O443" s="7" t="n">
        <v>151.2838762</v>
      </c>
    </row>
    <row r="444" customFormat="false" ht="15" hidden="false" customHeight="false" outlineLevel="0" collapsed="false">
      <c r="A444" s="7" t="s">
        <v>4900</v>
      </c>
      <c r="B444" s="7" t="s">
        <v>4901</v>
      </c>
      <c r="C444" s="7" t="s">
        <v>4902</v>
      </c>
      <c r="D444" s="7" t="s">
        <v>4903</v>
      </c>
      <c r="E444" s="7" t="n">
        <v>2148</v>
      </c>
      <c r="F444" s="7" t="s">
        <v>50</v>
      </c>
      <c r="G444" s="7" t="s">
        <v>2806</v>
      </c>
      <c r="H444" s="7" t="s">
        <v>4904</v>
      </c>
      <c r="I444" s="7" t="s">
        <v>2747</v>
      </c>
      <c r="J444" s="7" t="s">
        <v>4905</v>
      </c>
      <c r="K444" s="7" t="s">
        <v>2772</v>
      </c>
      <c r="L444" s="7" t="s">
        <v>2705</v>
      </c>
      <c r="M444" s="10" t="b">
        <f aca="false">FALSE()</f>
        <v>0</v>
      </c>
      <c r="N444" s="7" t="n">
        <v>-33.74645111</v>
      </c>
      <c r="O444" s="7" t="n">
        <v>150.9001991</v>
      </c>
    </row>
    <row r="445" customFormat="false" ht="15" hidden="false" customHeight="false" outlineLevel="0" collapsed="false">
      <c r="A445" s="7" t="s">
        <v>4906</v>
      </c>
      <c r="B445" s="7" t="s">
        <v>4907</v>
      </c>
      <c r="C445" s="7" t="s">
        <v>4908</v>
      </c>
      <c r="D445" s="7" t="s">
        <v>4909</v>
      </c>
      <c r="E445" s="7" t="n">
        <v>2040</v>
      </c>
      <c r="F445" s="7" t="s">
        <v>50</v>
      </c>
      <c r="G445" s="7" t="s">
        <v>2769</v>
      </c>
      <c r="H445" s="7" t="s">
        <v>2770</v>
      </c>
      <c r="I445" s="7" t="s">
        <v>3911</v>
      </c>
      <c r="J445" s="7"/>
      <c r="K445" s="7" t="s">
        <v>2772</v>
      </c>
      <c r="L445" s="7" t="s">
        <v>2705</v>
      </c>
      <c r="M445" s="10" t="b">
        <f aca="false">FALSE()</f>
        <v>0</v>
      </c>
      <c r="N445" s="7" t="n">
        <v>-33.88384696</v>
      </c>
      <c r="O445" s="7" t="n">
        <v>151.1450903</v>
      </c>
    </row>
    <row r="446" customFormat="false" ht="15" hidden="false" customHeight="false" outlineLevel="0" collapsed="false">
      <c r="A446" s="7" t="s">
        <v>4910</v>
      </c>
      <c r="B446" s="7" t="s">
        <v>4911</v>
      </c>
      <c r="C446" s="7" t="s">
        <v>4912</v>
      </c>
      <c r="D446" s="7" t="s">
        <v>4913</v>
      </c>
      <c r="E446" s="7" t="n">
        <v>2204</v>
      </c>
      <c r="F446" s="7" t="s">
        <v>50</v>
      </c>
      <c r="G446" s="7" t="s">
        <v>3003</v>
      </c>
      <c r="H446" s="7" t="s">
        <v>4914</v>
      </c>
      <c r="I446" s="7" t="s">
        <v>2747</v>
      </c>
      <c r="J446" s="7" t="s">
        <v>4915</v>
      </c>
      <c r="K446" s="7" t="s">
        <v>2772</v>
      </c>
      <c r="L446" s="7" t="s">
        <v>2705</v>
      </c>
      <c r="M446" s="10" t="b">
        <f aca="false">FALSE()</f>
        <v>0</v>
      </c>
      <c r="N446" s="7" t="n">
        <v>-33.91409037</v>
      </c>
      <c r="O446" s="7" t="n">
        <v>151.1540328</v>
      </c>
    </row>
    <row r="447" customFormat="false" ht="15" hidden="false" customHeight="false" outlineLevel="0" collapsed="false">
      <c r="A447" s="7" t="s">
        <v>4916</v>
      </c>
      <c r="B447" s="7" t="s">
        <v>4917</v>
      </c>
      <c r="C447" s="7" t="s">
        <v>4918</v>
      </c>
      <c r="D447" s="7" t="s">
        <v>4919</v>
      </c>
      <c r="E447" s="7" t="n">
        <v>2000</v>
      </c>
      <c r="F447" s="7" t="s">
        <v>50</v>
      </c>
      <c r="G447" s="7" t="s">
        <v>4920</v>
      </c>
      <c r="H447" s="7" t="s">
        <v>4921</v>
      </c>
      <c r="I447" s="7" t="s">
        <v>3514</v>
      </c>
      <c r="J447" s="7" t="s">
        <v>4922</v>
      </c>
      <c r="K447" s="7" t="s">
        <v>2772</v>
      </c>
      <c r="L447" s="7" t="s">
        <v>2705</v>
      </c>
      <c r="M447" s="10" t="b">
        <f aca="false">TRUE()</f>
        <v>1</v>
      </c>
      <c r="N447" s="7" t="n">
        <v>-33.867728</v>
      </c>
      <c r="O447" s="7" t="n">
        <v>151.210556</v>
      </c>
    </row>
    <row r="448" customFormat="false" ht="15" hidden="false" customHeight="false" outlineLevel="0" collapsed="false">
      <c r="A448" s="7" t="s">
        <v>4923</v>
      </c>
      <c r="B448" s="7" t="s">
        <v>4924</v>
      </c>
      <c r="C448" s="7" t="s">
        <v>4925</v>
      </c>
      <c r="D448" s="7" t="s">
        <v>4926</v>
      </c>
      <c r="E448" s="7" t="n">
        <v>2420</v>
      </c>
      <c r="F448" s="7" t="s">
        <v>50</v>
      </c>
      <c r="G448" s="7" t="s">
        <v>2806</v>
      </c>
      <c r="H448" s="7" t="s">
        <v>4539</v>
      </c>
      <c r="I448" s="7" t="s">
        <v>4374</v>
      </c>
      <c r="J448" s="7" t="s">
        <v>4927</v>
      </c>
      <c r="K448" s="7" t="s">
        <v>2704</v>
      </c>
      <c r="L448" s="7" t="s">
        <v>2705</v>
      </c>
      <c r="M448" s="10" t="b">
        <f aca="false">TRUE()</f>
        <v>1</v>
      </c>
      <c r="N448" s="7" t="n">
        <v>-32.55868695</v>
      </c>
      <c r="O448" s="7" t="n">
        <v>151.618509</v>
      </c>
    </row>
    <row r="449" customFormat="false" ht="15" hidden="false" customHeight="false" outlineLevel="0" collapsed="false">
      <c r="A449" s="7" t="s">
        <v>4928</v>
      </c>
      <c r="B449" s="7" t="s">
        <v>4929</v>
      </c>
      <c r="C449" s="7" t="s">
        <v>4930</v>
      </c>
      <c r="D449" s="7" t="s">
        <v>4931</v>
      </c>
      <c r="E449" s="7" t="n">
        <v>2579</v>
      </c>
      <c r="F449" s="7" t="s">
        <v>50</v>
      </c>
      <c r="G449" s="7" t="s">
        <v>2806</v>
      </c>
      <c r="H449" s="7" t="s">
        <v>4932</v>
      </c>
      <c r="I449" s="7" t="s">
        <v>3316</v>
      </c>
      <c r="J449" s="7" t="s">
        <v>3317</v>
      </c>
      <c r="K449" s="7" t="s">
        <v>2704</v>
      </c>
      <c r="L449" s="7" t="s">
        <v>2705</v>
      </c>
      <c r="M449" s="10" t="b">
        <f aca="false">TRUE()</f>
        <v>1</v>
      </c>
      <c r="N449" s="7" t="n">
        <v>-34.70950062</v>
      </c>
      <c r="O449" s="7" t="n">
        <v>150.0064192</v>
      </c>
    </row>
    <row r="450" customFormat="false" ht="15" hidden="false" customHeight="false" outlineLevel="0" collapsed="false">
      <c r="A450" s="7" t="s">
        <v>4933</v>
      </c>
      <c r="B450" s="7" t="s">
        <v>4934</v>
      </c>
      <c r="C450" s="7" t="s">
        <v>4935</v>
      </c>
      <c r="D450" s="7" t="s">
        <v>4936</v>
      </c>
      <c r="E450" s="7" t="n">
        <v>2020</v>
      </c>
      <c r="F450" s="7" t="s">
        <v>50</v>
      </c>
      <c r="G450" s="7" t="s">
        <v>2793</v>
      </c>
      <c r="H450" s="7" t="s">
        <v>4760</v>
      </c>
      <c r="I450" s="7" t="s">
        <v>4937</v>
      </c>
      <c r="J450" s="7" t="s">
        <v>4938</v>
      </c>
      <c r="K450" s="7" t="s">
        <v>2772</v>
      </c>
      <c r="L450" s="7" t="s">
        <v>2705</v>
      </c>
      <c r="M450" s="10" t="b">
        <f aca="false">FALSE()</f>
        <v>0</v>
      </c>
      <c r="N450" s="7" t="n">
        <v>-33.92318797</v>
      </c>
      <c r="O450" s="7" t="n">
        <v>151.1872531</v>
      </c>
    </row>
    <row r="451" customFormat="false" ht="15" hidden="false" customHeight="false" outlineLevel="0" collapsed="false">
      <c r="A451" s="7" t="s">
        <v>4939</v>
      </c>
      <c r="B451" s="7" t="s">
        <v>4940</v>
      </c>
      <c r="C451" s="7" t="s">
        <v>4941</v>
      </c>
      <c r="D451" s="7" t="s">
        <v>4942</v>
      </c>
      <c r="E451" s="7" t="n">
        <v>2710</v>
      </c>
      <c r="F451" s="7" t="s">
        <v>50</v>
      </c>
      <c r="G451" s="7" t="s">
        <v>2718</v>
      </c>
      <c r="H451" s="7"/>
      <c r="I451" s="7" t="s">
        <v>2719</v>
      </c>
      <c r="J451" s="7"/>
      <c r="K451" s="7"/>
      <c r="L451" s="7"/>
      <c r="M451" s="10" t="b">
        <f aca="false">FALSE()</f>
        <v>0</v>
      </c>
      <c r="N451" s="7" t="n">
        <v>-35.812936</v>
      </c>
      <c r="O451" s="7" t="n">
        <v>144.90272</v>
      </c>
    </row>
    <row r="452" customFormat="false" ht="15" hidden="false" customHeight="false" outlineLevel="0" collapsed="false">
      <c r="A452" s="7" t="s">
        <v>4943</v>
      </c>
      <c r="B452" s="7" t="s">
        <v>4944</v>
      </c>
      <c r="C452" s="7" t="s">
        <v>4945</v>
      </c>
      <c r="D452" s="7" t="s">
        <v>4946</v>
      </c>
      <c r="E452" s="7" t="n">
        <v>2652</v>
      </c>
      <c r="F452" s="7" t="s">
        <v>50</v>
      </c>
      <c r="G452" s="7" t="s">
        <v>2718</v>
      </c>
      <c r="H452" s="7"/>
      <c r="I452" s="7" t="s">
        <v>2719</v>
      </c>
      <c r="J452" s="7"/>
      <c r="K452" s="7"/>
      <c r="L452" s="7"/>
      <c r="M452" s="10" t="b">
        <f aca="false">FALSE()</f>
        <v>0</v>
      </c>
      <c r="N452" s="7" t="n">
        <v>-34.767801</v>
      </c>
      <c r="O452" s="7" t="n">
        <v>146.918673</v>
      </c>
    </row>
    <row r="453" customFormat="false" ht="15" hidden="false" customHeight="false" outlineLevel="0" collapsed="false">
      <c r="A453" s="7" t="s">
        <v>4947</v>
      </c>
      <c r="B453" s="7" t="s">
        <v>4948</v>
      </c>
      <c r="C453" s="7" t="s">
        <v>4949</v>
      </c>
      <c r="D453" s="7" t="s">
        <v>4950</v>
      </c>
      <c r="E453" s="7" t="n">
        <v>2060</v>
      </c>
      <c r="F453" s="7" t="s">
        <v>50</v>
      </c>
      <c r="G453" s="7" t="s">
        <v>2693</v>
      </c>
      <c r="H453" s="7" t="s">
        <v>2859</v>
      </c>
      <c r="I453" s="7" t="s">
        <v>2695</v>
      </c>
      <c r="J453" s="7"/>
      <c r="K453" s="7"/>
      <c r="L453" s="7"/>
      <c r="M453" s="10" t="b">
        <f aca="false">FALSE()</f>
        <v>0</v>
      </c>
      <c r="N453" s="7" t="n">
        <v>-33.84865057</v>
      </c>
      <c r="O453" s="7" t="n">
        <v>151.2062986</v>
      </c>
    </row>
    <row r="454" customFormat="false" ht="15" hidden="false" customHeight="false" outlineLevel="0" collapsed="false">
      <c r="A454" s="7" t="s">
        <v>4951</v>
      </c>
      <c r="B454" s="7" t="s">
        <v>4952</v>
      </c>
      <c r="C454" s="7" t="s">
        <v>4953</v>
      </c>
      <c r="D454" s="7" t="s">
        <v>4954</v>
      </c>
      <c r="E454" s="7" t="n">
        <v>2795</v>
      </c>
      <c r="F454" s="7" t="s">
        <v>50</v>
      </c>
      <c r="G454" s="7" t="s">
        <v>2718</v>
      </c>
      <c r="H454" s="7"/>
      <c r="I454" s="7" t="s">
        <v>2719</v>
      </c>
      <c r="J454" s="7"/>
      <c r="K454" s="7"/>
      <c r="L454" s="7"/>
      <c r="M454" s="10" t="b">
        <f aca="false">FALSE()</f>
        <v>0</v>
      </c>
      <c r="N454" s="7" t="n">
        <v>-33.434702</v>
      </c>
      <c r="O454" s="7" t="n">
        <v>149.92069</v>
      </c>
    </row>
    <row r="455" customFormat="false" ht="15" hidden="false" customHeight="false" outlineLevel="0" collapsed="false">
      <c r="A455" s="7" t="s">
        <v>4955</v>
      </c>
      <c r="B455" s="7" t="s">
        <v>4956</v>
      </c>
      <c r="C455" s="7" t="s">
        <v>4957</v>
      </c>
      <c r="D455" s="7" t="s">
        <v>4958</v>
      </c>
      <c r="E455" s="7" t="n">
        <v>2114</v>
      </c>
      <c r="F455" s="7" t="s">
        <v>50</v>
      </c>
      <c r="G455" s="7" t="s">
        <v>3764</v>
      </c>
      <c r="H455" s="7" t="s">
        <v>4362</v>
      </c>
      <c r="I455" s="7" t="s">
        <v>2747</v>
      </c>
      <c r="J455" s="7" t="s">
        <v>4959</v>
      </c>
      <c r="K455" s="7" t="s">
        <v>2772</v>
      </c>
      <c r="L455" s="7" t="s">
        <v>2705</v>
      </c>
      <c r="M455" s="10" t="b">
        <f aca="false">FALSE()</f>
        <v>0</v>
      </c>
      <c r="N455" s="7" t="n">
        <v>-33.81623815</v>
      </c>
      <c r="O455" s="7" t="n">
        <v>151.0900609</v>
      </c>
    </row>
    <row r="456" customFormat="false" ht="15" hidden="false" customHeight="false" outlineLevel="0" collapsed="false">
      <c r="A456" s="7" t="s">
        <v>4960</v>
      </c>
      <c r="B456" s="7" t="s">
        <v>4961</v>
      </c>
      <c r="C456" s="7" t="s">
        <v>4962</v>
      </c>
      <c r="D456" s="7" t="s">
        <v>4963</v>
      </c>
      <c r="E456" s="7" t="n">
        <v>2114</v>
      </c>
      <c r="F456" s="7" t="s">
        <v>50</v>
      </c>
      <c r="G456" s="7" t="s">
        <v>4964</v>
      </c>
      <c r="H456" s="7" t="s">
        <v>4965</v>
      </c>
      <c r="I456" s="7" t="s">
        <v>2695</v>
      </c>
      <c r="J456" s="7"/>
      <c r="K456" s="7"/>
      <c r="L456" s="7"/>
      <c r="M456" s="10" t="b">
        <f aca="false">FALSE()</f>
        <v>0</v>
      </c>
      <c r="N456" s="7" t="n">
        <v>-33.82114791</v>
      </c>
      <c r="O456" s="7" t="n">
        <v>151.0898782</v>
      </c>
    </row>
    <row r="457" customFormat="false" ht="15" hidden="false" customHeight="false" outlineLevel="0" collapsed="false">
      <c r="A457" s="7" t="s">
        <v>4966</v>
      </c>
      <c r="B457" s="7" t="s">
        <v>4967</v>
      </c>
      <c r="C457" s="7" t="s">
        <v>4968</v>
      </c>
      <c r="D457" s="7" t="s">
        <v>4969</v>
      </c>
      <c r="E457" s="7" t="n">
        <v>2780</v>
      </c>
      <c r="F457" s="7" t="s">
        <v>50</v>
      </c>
      <c r="G457" s="7" t="s">
        <v>2806</v>
      </c>
      <c r="H457" s="7" t="s">
        <v>4970</v>
      </c>
      <c r="I457" s="7" t="s">
        <v>2712</v>
      </c>
      <c r="J457" s="7" t="s">
        <v>4525</v>
      </c>
      <c r="K457" s="7" t="s">
        <v>2704</v>
      </c>
      <c r="L457" s="7" t="s">
        <v>2705</v>
      </c>
      <c r="M457" s="10" t="b">
        <f aca="false">TRUE()</f>
        <v>1</v>
      </c>
      <c r="N457" s="7" t="n">
        <v>-33.67387612</v>
      </c>
      <c r="O457" s="7" t="n">
        <v>150.2807859</v>
      </c>
    </row>
    <row r="458" customFormat="false" ht="15" hidden="false" customHeight="false" outlineLevel="0" collapsed="false">
      <c r="A458" s="7" t="s">
        <v>4971</v>
      </c>
      <c r="B458" s="7" t="s">
        <v>4972</v>
      </c>
      <c r="C458" s="7" t="s">
        <v>4973</v>
      </c>
      <c r="D458" s="7" t="s">
        <v>4974</v>
      </c>
      <c r="E458" s="7" t="n">
        <v>3008</v>
      </c>
      <c r="F458" s="7" t="s">
        <v>50</v>
      </c>
      <c r="G458" s="7" t="s">
        <v>2806</v>
      </c>
      <c r="H458" s="7" t="s">
        <v>4975</v>
      </c>
      <c r="I458" s="7" t="s">
        <v>4976</v>
      </c>
      <c r="J458" s="7"/>
      <c r="K458" s="7"/>
      <c r="L458" s="7"/>
      <c r="M458" s="10" t="b">
        <f aca="false">FALSE()</f>
        <v>0</v>
      </c>
      <c r="N458" s="7" t="n">
        <v>-37.818426</v>
      </c>
      <c r="O458" s="7" t="n">
        <v>144.952472</v>
      </c>
    </row>
    <row r="459" customFormat="false" ht="15" hidden="false" customHeight="false" outlineLevel="0" collapsed="false">
      <c r="A459" s="7" t="s">
        <v>4977</v>
      </c>
      <c r="B459" s="7" t="s">
        <v>4978</v>
      </c>
      <c r="C459" s="7" t="s">
        <v>4979</v>
      </c>
      <c r="D459" s="7" t="s">
        <v>4980</v>
      </c>
      <c r="E459" s="7" t="n">
        <v>2563</v>
      </c>
      <c r="F459" s="7" t="s">
        <v>50</v>
      </c>
      <c r="G459" s="7" t="s">
        <v>2806</v>
      </c>
      <c r="H459" s="7" t="s">
        <v>4539</v>
      </c>
      <c r="I459" s="7" t="s">
        <v>3889</v>
      </c>
      <c r="J459" s="7" t="s">
        <v>3890</v>
      </c>
      <c r="K459" s="7" t="s">
        <v>2704</v>
      </c>
      <c r="L459" s="7" t="s">
        <v>2705</v>
      </c>
      <c r="M459" s="10" t="b">
        <f aca="false">TRUE()</f>
        <v>1</v>
      </c>
      <c r="N459" s="7" t="n">
        <v>-34.1037012</v>
      </c>
      <c r="O459" s="7" t="n">
        <v>150.7449558</v>
      </c>
    </row>
    <row r="460" customFormat="false" ht="15" hidden="false" customHeight="false" outlineLevel="0" collapsed="false">
      <c r="A460" s="7" t="s">
        <v>4981</v>
      </c>
      <c r="B460" s="7" t="s">
        <v>4982</v>
      </c>
      <c r="C460" s="7" t="s">
        <v>4983</v>
      </c>
      <c r="D460" s="7" t="s">
        <v>4984</v>
      </c>
      <c r="E460" s="7" t="n">
        <v>2568</v>
      </c>
      <c r="F460" s="7" t="s">
        <v>50</v>
      </c>
      <c r="G460" s="7" t="s">
        <v>2806</v>
      </c>
      <c r="H460" s="7" t="s">
        <v>4985</v>
      </c>
      <c r="I460" s="7" t="s">
        <v>3889</v>
      </c>
      <c r="J460" s="7" t="s">
        <v>3890</v>
      </c>
      <c r="K460" s="7" t="s">
        <v>2704</v>
      </c>
      <c r="L460" s="7" t="s">
        <v>2705</v>
      </c>
      <c r="M460" s="10" t="b">
        <f aca="false">TRUE()</f>
        <v>1</v>
      </c>
      <c r="N460" s="7" t="n">
        <v>-34.12520137</v>
      </c>
      <c r="O460" s="7" t="n">
        <v>150.7444307</v>
      </c>
    </row>
    <row r="461" customFormat="false" ht="15" hidden="false" customHeight="false" outlineLevel="0" collapsed="false">
      <c r="A461" s="7" t="s">
        <v>4986</v>
      </c>
      <c r="B461" s="7" t="s">
        <v>4987</v>
      </c>
      <c r="C461" s="7" t="s">
        <v>4988</v>
      </c>
      <c r="D461" s="7" t="s">
        <v>4989</v>
      </c>
      <c r="E461" s="7" t="n">
        <v>2842</v>
      </c>
      <c r="F461" s="7" t="s">
        <v>50</v>
      </c>
      <c r="G461" s="7" t="s">
        <v>2718</v>
      </c>
      <c r="H461" s="7"/>
      <c r="I461" s="7" t="s">
        <v>2719</v>
      </c>
      <c r="J461" s="7"/>
      <c r="K461" s="7"/>
      <c r="L461" s="7"/>
      <c r="M461" s="10" t="b">
        <f aca="false">FALSE()</f>
        <v>0</v>
      </c>
      <c r="N461" s="7" t="n">
        <v>-31.823036</v>
      </c>
      <c r="O461" s="7" t="n">
        <v>149.122301</v>
      </c>
    </row>
    <row r="462" customFormat="false" ht="15" hidden="false" customHeight="false" outlineLevel="0" collapsed="false">
      <c r="A462" s="7" t="s">
        <v>4990</v>
      </c>
      <c r="B462" s="7" t="s">
        <v>4991</v>
      </c>
      <c r="C462" s="7" t="s">
        <v>4992</v>
      </c>
      <c r="D462" s="7" t="s">
        <v>4993</v>
      </c>
      <c r="E462" s="7" t="n">
        <v>2879</v>
      </c>
      <c r="F462" s="7" t="s">
        <v>50</v>
      </c>
      <c r="G462" s="7" t="s">
        <v>2806</v>
      </c>
      <c r="H462" s="7"/>
      <c r="I462" s="7" t="s">
        <v>2831</v>
      </c>
      <c r="J462" s="7"/>
      <c r="K462" s="7"/>
      <c r="L462" s="7"/>
      <c r="M462" s="10" t="b">
        <f aca="false">FALSE()</f>
        <v>0</v>
      </c>
      <c r="N462" s="7" t="n">
        <v>-32.389345</v>
      </c>
      <c r="O462" s="7" t="n">
        <v>142.424697</v>
      </c>
    </row>
    <row r="463" customFormat="false" ht="15" hidden="false" customHeight="false" outlineLevel="0" collapsed="false">
      <c r="A463" s="7" t="s">
        <v>4994</v>
      </c>
      <c r="B463" s="7" t="s">
        <v>4995</v>
      </c>
      <c r="C463" s="7" t="s">
        <v>4996</v>
      </c>
      <c r="D463" s="7" t="s">
        <v>4997</v>
      </c>
      <c r="E463" s="7" t="n">
        <v>2879</v>
      </c>
      <c r="F463" s="7" t="s">
        <v>50</v>
      </c>
      <c r="G463" s="7" t="s">
        <v>2718</v>
      </c>
      <c r="H463" s="7"/>
      <c r="I463" s="7" t="s">
        <v>2719</v>
      </c>
      <c r="J463" s="7"/>
      <c r="K463" s="7"/>
      <c r="L463" s="7"/>
      <c r="M463" s="10" t="b">
        <f aca="false">FALSE()</f>
        <v>0</v>
      </c>
      <c r="N463" s="7" t="n">
        <v>-32.38858</v>
      </c>
      <c r="O463" s="7" t="n">
        <v>142.413705</v>
      </c>
    </row>
    <row r="464" customFormat="false" ht="15" hidden="false" customHeight="false" outlineLevel="0" collapsed="false">
      <c r="A464" s="7" t="s">
        <v>4998</v>
      </c>
      <c r="B464" s="7" t="s">
        <v>4999</v>
      </c>
      <c r="C464" s="7" t="s">
        <v>5000</v>
      </c>
      <c r="D464" s="7" t="s">
        <v>5001</v>
      </c>
      <c r="E464" s="7" t="n">
        <v>2548</v>
      </c>
      <c r="F464" s="7" t="s">
        <v>50</v>
      </c>
      <c r="G464" s="7" t="s">
        <v>2718</v>
      </c>
      <c r="H464" s="7"/>
      <c r="I464" s="7" t="s">
        <v>2719</v>
      </c>
      <c r="J464" s="7"/>
      <c r="K464" s="7"/>
      <c r="L464" s="7"/>
      <c r="M464" s="10" t="b">
        <f aca="false">FALSE()</f>
        <v>0</v>
      </c>
      <c r="N464" s="7" t="n">
        <v>-36.888775</v>
      </c>
      <c r="O464" s="7" t="n">
        <v>149.908959</v>
      </c>
    </row>
    <row r="465" customFormat="false" ht="15" hidden="false" customHeight="false" outlineLevel="0" collapsed="false">
      <c r="A465" s="7" t="s">
        <v>5002</v>
      </c>
      <c r="B465" s="7" t="s">
        <v>5003</v>
      </c>
      <c r="C465" s="7" t="s">
        <v>5004</v>
      </c>
      <c r="D465" s="7" t="s">
        <v>5005</v>
      </c>
      <c r="E465" s="7" t="n">
        <v>2160</v>
      </c>
      <c r="F465" s="7" t="s">
        <v>50</v>
      </c>
      <c r="G465" s="7" t="s">
        <v>2786</v>
      </c>
      <c r="H465" s="7" t="s">
        <v>5006</v>
      </c>
      <c r="I465" s="7" t="s">
        <v>2747</v>
      </c>
      <c r="J465" s="7" t="s">
        <v>5007</v>
      </c>
      <c r="K465" s="7" t="s">
        <v>2772</v>
      </c>
      <c r="L465" s="7" t="s">
        <v>2705</v>
      </c>
      <c r="M465" s="10" t="b">
        <f aca="false">FALSE()</f>
        <v>0</v>
      </c>
      <c r="N465" s="7" t="n">
        <v>-33.8363502</v>
      </c>
      <c r="O465" s="7" t="n">
        <v>150.9928633</v>
      </c>
    </row>
    <row r="466" customFormat="false" ht="15" hidden="false" customHeight="false" outlineLevel="0" collapsed="false">
      <c r="A466" s="7" t="s">
        <v>5008</v>
      </c>
      <c r="B466" s="7" t="s">
        <v>5009</v>
      </c>
      <c r="C466" s="7" t="s">
        <v>5010</v>
      </c>
      <c r="D466" s="7" t="s">
        <v>5011</v>
      </c>
      <c r="E466" s="7" t="n">
        <v>2323</v>
      </c>
      <c r="F466" s="7" t="s">
        <v>50</v>
      </c>
      <c r="G466" s="7" t="s">
        <v>2710</v>
      </c>
      <c r="H466" s="7" t="s">
        <v>5012</v>
      </c>
      <c r="I466" s="7" t="s">
        <v>2885</v>
      </c>
      <c r="J466" s="7" t="s">
        <v>4387</v>
      </c>
      <c r="K466" s="7" t="s">
        <v>2704</v>
      </c>
      <c r="L466" s="7" t="s">
        <v>2705</v>
      </c>
      <c r="M466" s="10" t="b">
        <f aca="false">TRUE()</f>
        <v>1</v>
      </c>
      <c r="N466" s="7" t="n">
        <v>-32.76487575</v>
      </c>
      <c r="O466" s="7" t="n">
        <v>151.6178682</v>
      </c>
    </row>
    <row r="467" customFormat="false" ht="15" hidden="false" customHeight="false" outlineLevel="0" collapsed="false">
      <c r="A467" s="7" t="s">
        <v>5013</v>
      </c>
      <c r="B467" s="7" t="s">
        <v>5014</v>
      </c>
      <c r="C467" s="7" t="s">
        <v>5015</v>
      </c>
      <c r="D467" s="7" t="s">
        <v>5016</v>
      </c>
      <c r="E467" s="7" t="n">
        <v>2620</v>
      </c>
      <c r="F467" s="7" t="s">
        <v>50</v>
      </c>
      <c r="G467" s="7" t="s">
        <v>2718</v>
      </c>
      <c r="H467" s="7"/>
      <c r="I467" s="7" t="s">
        <v>2719</v>
      </c>
      <c r="J467" s="7"/>
      <c r="K467" s="7"/>
      <c r="L467" s="7"/>
      <c r="M467" s="10" t="b">
        <f aca="false">FALSE()</f>
        <v>0</v>
      </c>
      <c r="N467" s="7" t="n">
        <v>-35.70383</v>
      </c>
      <c r="O467" s="7" t="n">
        <v>149.158302</v>
      </c>
    </row>
    <row r="468" customFormat="false" ht="15" hidden="false" customHeight="false" outlineLevel="0" collapsed="false">
      <c r="A468" s="7" t="s">
        <v>5017</v>
      </c>
      <c r="B468" s="7" t="s">
        <v>5018</v>
      </c>
      <c r="C468" s="7" t="s">
        <v>5019</v>
      </c>
      <c r="D468" s="7" t="s">
        <v>5020</v>
      </c>
      <c r="E468" s="7" t="n">
        <v>3500</v>
      </c>
      <c r="F468" s="7" t="s">
        <v>50</v>
      </c>
      <c r="G468" s="7" t="s">
        <v>2718</v>
      </c>
      <c r="H468" s="7"/>
      <c r="I468" s="7" t="s">
        <v>2719</v>
      </c>
      <c r="J468" s="7"/>
      <c r="K468" s="7"/>
      <c r="L468" s="7"/>
      <c r="M468" s="10" t="b">
        <f aca="false">FALSE()</f>
        <v>0</v>
      </c>
      <c r="N468" s="7" t="n">
        <v>-34.23092</v>
      </c>
      <c r="O468" s="7" t="n">
        <v>142.084174</v>
      </c>
    </row>
    <row r="469" customFormat="false" ht="15" hidden="false" customHeight="false" outlineLevel="0" collapsed="false">
      <c r="A469" s="7" t="s">
        <v>5021</v>
      </c>
      <c r="B469" s="7" t="s">
        <v>5022</v>
      </c>
      <c r="C469" s="7" t="s">
        <v>5023</v>
      </c>
      <c r="D469" s="7" t="s">
        <v>5024</v>
      </c>
      <c r="E469" s="7" t="n">
        <v>3500</v>
      </c>
      <c r="F469" s="7" t="s">
        <v>50</v>
      </c>
      <c r="G469" s="7" t="s">
        <v>2718</v>
      </c>
      <c r="H469" s="7"/>
      <c r="I469" s="7" t="s">
        <v>2719</v>
      </c>
      <c r="J469" s="7"/>
      <c r="K469" s="7"/>
      <c r="L469" s="7"/>
      <c r="M469" s="10" t="b">
        <f aca="false">FALSE()</f>
        <v>0</v>
      </c>
      <c r="N469" s="7" t="n">
        <v>-34.183476</v>
      </c>
      <c r="O469" s="7" t="n">
        <v>142.144556</v>
      </c>
    </row>
    <row r="470" customFormat="false" ht="15" hidden="false" customHeight="false" outlineLevel="0" collapsed="false">
      <c r="A470" s="7" t="s">
        <v>5025</v>
      </c>
      <c r="B470" s="7" t="s">
        <v>5026</v>
      </c>
      <c r="C470" s="7" t="s">
        <v>5027</v>
      </c>
      <c r="D470" s="7" t="s">
        <v>5028</v>
      </c>
      <c r="E470" s="7" t="n">
        <v>3500</v>
      </c>
      <c r="F470" s="7" t="s">
        <v>50</v>
      </c>
      <c r="G470" s="7" t="s">
        <v>2718</v>
      </c>
      <c r="H470" s="7"/>
      <c r="I470" s="7" t="s">
        <v>2719</v>
      </c>
      <c r="J470" s="7"/>
      <c r="K470" s="7"/>
      <c r="L470" s="7"/>
      <c r="M470" s="10" t="b">
        <f aca="false">FALSE()</f>
        <v>0</v>
      </c>
      <c r="N470" s="7" t="n">
        <v>-34.205752</v>
      </c>
      <c r="O470" s="7" t="n">
        <v>142.137985</v>
      </c>
    </row>
    <row r="471" customFormat="false" ht="15" hidden="false" customHeight="false" outlineLevel="0" collapsed="false">
      <c r="A471" s="7" t="s">
        <v>5029</v>
      </c>
      <c r="B471" s="7" t="s">
        <v>5030</v>
      </c>
      <c r="C471" s="7" t="s">
        <v>5031</v>
      </c>
      <c r="D471" s="7" t="s">
        <v>5032</v>
      </c>
      <c r="E471" s="7" t="n">
        <v>3500</v>
      </c>
      <c r="F471" s="7" t="s">
        <v>50</v>
      </c>
      <c r="G471" s="7" t="s">
        <v>2837</v>
      </c>
      <c r="H471" s="7"/>
      <c r="I471" s="7" t="s">
        <v>2719</v>
      </c>
      <c r="J471" s="7"/>
      <c r="K471" s="7"/>
      <c r="L471" s="7"/>
      <c r="M471" s="10" t="b">
        <f aca="false">FALSE()</f>
        <v>0</v>
      </c>
      <c r="N471" s="7" t="n">
        <v>-34.182081</v>
      </c>
      <c r="O471" s="7" t="n">
        <v>142.163229</v>
      </c>
    </row>
    <row r="472" customFormat="false" ht="15" hidden="false" customHeight="false" outlineLevel="0" collapsed="false">
      <c r="A472" s="7" t="s">
        <v>5033</v>
      </c>
      <c r="B472" s="7" t="s">
        <v>5034</v>
      </c>
      <c r="C472" s="7" t="s">
        <v>5035</v>
      </c>
      <c r="D472" s="7" t="s">
        <v>5036</v>
      </c>
      <c r="E472" s="7" t="n">
        <v>2798</v>
      </c>
      <c r="F472" s="7" t="s">
        <v>50</v>
      </c>
      <c r="G472" s="7" t="s">
        <v>2806</v>
      </c>
      <c r="H472" s="7" t="s">
        <v>5037</v>
      </c>
      <c r="I472" s="7" t="s">
        <v>3059</v>
      </c>
      <c r="J472" s="7"/>
      <c r="K472" s="7"/>
      <c r="L472" s="7"/>
      <c r="M472" s="10" t="b">
        <f aca="false">FALSE()</f>
        <v>0</v>
      </c>
      <c r="N472" s="7" t="n">
        <v>-33.448714</v>
      </c>
      <c r="O472" s="7" t="n">
        <v>149.182802</v>
      </c>
    </row>
    <row r="473" customFormat="false" ht="15" hidden="false" customHeight="false" outlineLevel="0" collapsed="false">
      <c r="A473" s="7" t="s">
        <v>5038</v>
      </c>
      <c r="B473" s="7" t="s">
        <v>5039</v>
      </c>
      <c r="C473" s="7" t="s">
        <v>5040</v>
      </c>
      <c r="D473" s="7" t="s">
        <v>5041</v>
      </c>
      <c r="E473" s="7" t="n">
        <v>2798</v>
      </c>
      <c r="F473" s="7" t="s">
        <v>50</v>
      </c>
      <c r="G473" s="7" t="s">
        <v>2718</v>
      </c>
      <c r="H473" s="7"/>
      <c r="I473" s="7" t="s">
        <v>2719</v>
      </c>
      <c r="J473" s="7"/>
      <c r="K473" s="7"/>
      <c r="L473" s="7"/>
      <c r="M473" s="10" t="b">
        <f aca="false">FALSE()</f>
        <v>0</v>
      </c>
      <c r="N473" s="7" t="n">
        <v>-33.445663</v>
      </c>
      <c r="O473" s="7" t="n">
        <v>149.185235</v>
      </c>
    </row>
    <row r="474" customFormat="false" ht="15" hidden="false" customHeight="false" outlineLevel="0" collapsed="false">
      <c r="A474" s="7" t="s">
        <v>5042</v>
      </c>
      <c r="B474" s="7" t="s">
        <v>5043</v>
      </c>
      <c r="C474" s="7" t="s">
        <v>5044</v>
      </c>
      <c r="D474" s="7" t="s">
        <v>5045</v>
      </c>
      <c r="E474" s="7" t="n">
        <v>2061</v>
      </c>
      <c r="F474" s="7" t="s">
        <v>50</v>
      </c>
      <c r="G474" s="7" t="s">
        <v>3764</v>
      </c>
      <c r="H474" s="7" t="s">
        <v>5046</v>
      </c>
      <c r="I474" s="7" t="s">
        <v>2747</v>
      </c>
      <c r="J474" s="7" t="s">
        <v>5047</v>
      </c>
      <c r="K474" s="7" t="s">
        <v>2772</v>
      </c>
      <c r="L474" s="7" t="s">
        <v>2705</v>
      </c>
      <c r="M474" s="10" t="b">
        <f aca="false">TRUE()</f>
        <v>1</v>
      </c>
      <c r="N474" s="7" t="n">
        <v>-33.84589277</v>
      </c>
      <c r="O474" s="7" t="n">
        <v>151.211825</v>
      </c>
    </row>
    <row r="475" customFormat="false" ht="15" hidden="false" customHeight="false" outlineLevel="0" collapsed="false">
      <c r="A475" s="7" t="s">
        <v>5048</v>
      </c>
      <c r="B475" s="7" t="s">
        <v>5049</v>
      </c>
      <c r="C475" s="7" t="s">
        <v>5050</v>
      </c>
      <c r="D475" s="7" t="s">
        <v>5051</v>
      </c>
      <c r="E475" s="7" t="n">
        <v>2061</v>
      </c>
      <c r="F475" s="7" t="s">
        <v>50</v>
      </c>
      <c r="G475" s="7" t="s">
        <v>3764</v>
      </c>
      <c r="H475" s="7" t="s">
        <v>5052</v>
      </c>
      <c r="I475" s="7" t="s">
        <v>2847</v>
      </c>
      <c r="J475" s="7"/>
      <c r="K475" s="7"/>
      <c r="L475" s="7"/>
      <c r="M475" s="10" t="b">
        <f aca="false">FALSE()</f>
        <v>0</v>
      </c>
      <c r="N475" s="7" t="n">
        <v>-33.84939899</v>
      </c>
      <c r="O475" s="7" t="n">
        <v>151.2106384</v>
      </c>
    </row>
    <row r="476" customFormat="false" ht="15" hidden="false" customHeight="false" outlineLevel="0" collapsed="false">
      <c r="A476" s="7" t="s">
        <v>5053</v>
      </c>
      <c r="B476" s="7" t="s">
        <v>5054</v>
      </c>
      <c r="C476" s="7" t="s">
        <v>5055</v>
      </c>
      <c r="D476" s="7" t="s">
        <v>5056</v>
      </c>
      <c r="E476" s="7" t="n">
        <v>2320</v>
      </c>
      <c r="F476" s="7" t="s">
        <v>50</v>
      </c>
      <c r="G476" s="7" t="s">
        <v>2806</v>
      </c>
      <c r="H476" s="7" t="s">
        <v>4063</v>
      </c>
      <c r="I476" s="7" t="s">
        <v>4139</v>
      </c>
      <c r="J476" s="7" t="s">
        <v>4927</v>
      </c>
      <c r="K476" s="7" t="s">
        <v>2704</v>
      </c>
      <c r="L476" s="7" t="s">
        <v>2705</v>
      </c>
      <c r="M476" s="10" t="b">
        <f aca="false">TRUE()</f>
        <v>1</v>
      </c>
      <c r="N476" s="7" t="n">
        <v>-32.66932312</v>
      </c>
      <c r="O476" s="7" t="n">
        <v>151.5843137</v>
      </c>
    </row>
    <row r="477" customFormat="false" ht="15" hidden="false" customHeight="false" outlineLevel="0" collapsed="false">
      <c r="A477" s="7" t="s">
        <v>5057</v>
      </c>
      <c r="B477" s="7" t="s">
        <v>5058</v>
      </c>
      <c r="C477" s="7" t="s">
        <v>5059</v>
      </c>
      <c r="D477" s="7" t="s">
        <v>5060</v>
      </c>
      <c r="E477" s="7" t="n">
        <v>2533</v>
      </c>
      <c r="F477" s="7" t="s">
        <v>50</v>
      </c>
      <c r="G477" s="7" t="s">
        <v>2710</v>
      </c>
      <c r="H477" s="7" t="s">
        <v>5061</v>
      </c>
      <c r="I477" s="7" t="s">
        <v>3170</v>
      </c>
      <c r="J477" s="7" t="s">
        <v>3191</v>
      </c>
      <c r="K477" s="7" t="s">
        <v>2704</v>
      </c>
      <c r="L477" s="7" t="s">
        <v>2705</v>
      </c>
      <c r="M477" s="10" t="b">
        <f aca="false">TRUE()</f>
        <v>1</v>
      </c>
      <c r="N477" s="7" t="n">
        <v>-34.62569976</v>
      </c>
      <c r="O477" s="7" t="n">
        <v>150.8522575</v>
      </c>
    </row>
    <row r="478" customFormat="false" ht="15" hidden="false" customHeight="false" outlineLevel="0" collapsed="false">
      <c r="A478" s="7" t="s">
        <v>5062</v>
      </c>
      <c r="B478" s="7" t="s">
        <v>5063</v>
      </c>
      <c r="C478" s="7" t="s">
        <v>5064</v>
      </c>
      <c r="D478" s="7" t="s">
        <v>5065</v>
      </c>
      <c r="E478" s="7" t="n">
        <v>2566</v>
      </c>
      <c r="F478" s="7" t="s">
        <v>50</v>
      </c>
      <c r="G478" s="7" t="s">
        <v>2786</v>
      </c>
      <c r="H478" s="7" t="s">
        <v>4712</v>
      </c>
      <c r="I478" s="7" t="s">
        <v>2747</v>
      </c>
      <c r="J478" s="7" t="s">
        <v>5066</v>
      </c>
      <c r="K478" s="7" t="s">
        <v>2772</v>
      </c>
      <c r="L478" s="7" t="s">
        <v>2705</v>
      </c>
      <c r="M478" s="10" t="b">
        <f aca="false">FALSE()</f>
        <v>0</v>
      </c>
      <c r="N478" s="7" t="n">
        <v>-34.02714972</v>
      </c>
      <c r="O478" s="7" t="n">
        <v>150.8425967</v>
      </c>
    </row>
    <row r="479" customFormat="false" ht="15" hidden="false" customHeight="false" outlineLevel="0" collapsed="false">
      <c r="A479" s="7" t="s">
        <v>5067</v>
      </c>
      <c r="B479" s="7" t="s">
        <v>5068</v>
      </c>
      <c r="C479" s="7" t="s">
        <v>5069</v>
      </c>
      <c r="D479" s="7" t="s">
        <v>5070</v>
      </c>
      <c r="E479" s="7" t="n">
        <v>2228</v>
      </c>
      <c r="F479" s="7" t="s">
        <v>50</v>
      </c>
      <c r="G479" s="7" t="s">
        <v>2786</v>
      </c>
      <c r="H479" s="7" t="s">
        <v>5071</v>
      </c>
      <c r="I479" s="7" t="s">
        <v>2747</v>
      </c>
      <c r="J479" s="7" t="s">
        <v>5072</v>
      </c>
      <c r="K479" s="7" t="s">
        <v>2772</v>
      </c>
      <c r="L479" s="7" t="s">
        <v>2705</v>
      </c>
      <c r="M479" s="10" t="b">
        <f aca="false">FALSE()</f>
        <v>0</v>
      </c>
      <c r="N479" s="7" t="n">
        <v>-34.03635478</v>
      </c>
      <c r="O479" s="7" t="n">
        <v>151.1028535</v>
      </c>
    </row>
    <row r="480" customFormat="false" ht="15" hidden="false" customHeight="false" outlineLevel="0" collapsed="false">
      <c r="A480" s="7" t="s">
        <v>5073</v>
      </c>
      <c r="B480" s="7" t="s">
        <v>5074</v>
      </c>
      <c r="C480" s="7" t="s">
        <v>5075</v>
      </c>
      <c r="D480" s="7" t="s">
        <v>5076</v>
      </c>
      <c r="E480" s="7" t="n">
        <v>2575</v>
      </c>
      <c r="F480" s="7" t="s">
        <v>50</v>
      </c>
      <c r="G480" s="7" t="s">
        <v>2710</v>
      </c>
      <c r="H480" s="7" t="s">
        <v>5077</v>
      </c>
      <c r="I480" s="7" t="s">
        <v>2747</v>
      </c>
      <c r="J480" s="7" t="s">
        <v>5078</v>
      </c>
      <c r="K480" s="7" t="s">
        <v>2704</v>
      </c>
      <c r="L480" s="7" t="s">
        <v>2705</v>
      </c>
      <c r="M480" s="10" t="b">
        <f aca="false">TRUE()</f>
        <v>1</v>
      </c>
      <c r="N480" s="7" t="n">
        <v>-34.45270638</v>
      </c>
      <c r="O480" s="7" t="n">
        <v>150.4476899</v>
      </c>
    </row>
    <row r="481" customFormat="false" ht="15" hidden="false" customHeight="false" outlineLevel="0" collapsed="false">
      <c r="A481" s="7" t="s">
        <v>5079</v>
      </c>
      <c r="B481" s="7" t="s">
        <v>5080</v>
      </c>
      <c r="C481" s="7" t="s">
        <v>5081</v>
      </c>
      <c r="D481" s="7" t="s">
        <v>5082</v>
      </c>
      <c r="E481" s="7" t="n">
        <v>2731</v>
      </c>
      <c r="F481" s="7" t="s">
        <v>50</v>
      </c>
      <c r="G481" s="7" t="s">
        <v>2718</v>
      </c>
      <c r="H481" s="7"/>
      <c r="I481" s="7" t="s">
        <v>2719</v>
      </c>
      <c r="J481" s="7"/>
      <c r="K481" s="7"/>
      <c r="L481" s="7"/>
      <c r="M481" s="10" t="b">
        <f aca="false">FALSE()</f>
        <v>0</v>
      </c>
      <c r="N481" s="7" t="n">
        <v>-36.114325</v>
      </c>
      <c r="O481" s="7" t="n">
        <v>144.756149</v>
      </c>
    </row>
    <row r="482" customFormat="false" ht="15" hidden="false" customHeight="false" outlineLevel="0" collapsed="false">
      <c r="A482" s="7" t="s">
        <v>5083</v>
      </c>
      <c r="B482" s="7" t="s">
        <v>5084</v>
      </c>
      <c r="C482" s="7" t="s">
        <v>5085</v>
      </c>
      <c r="D482" s="7" t="s">
        <v>5086</v>
      </c>
      <c r="E482" s="7" t="n">
        <v>2866</v>
      </c>
      <c r="F482" s="7" t="s">
        <v>50</v>
      </c>
      <c r="G482" s="7" t="s">
        <v>2718</v>
      </c>
      <c r="H482" s="7"/>
      <c r="I482" s="7" t="s">
        <v>2719</v>
      </c>
      <c r="J482" s="7"/>
      <c r="K482" s="7"/>
      <c r="L482" s="7"/>
      <c r="M482" s="10" t="b">
        <f aca="false">FALSE()</f>
        <v>0</v>
      </c>
      <c r="N482" s="7" t="n">
        <v>-33.092607</v>
      </c>
      <c r="O482" s="7" t="n">
        <v>148.871452</v>
      </c>
    </row>
    <row r="483" customFormat="false" ht="15" hidden="false" customHeight="false" outlineLevel="0" collapsed="false">
      <c r="A483" s="7" t="s">
        <v>5087</v>
      </c>
      <c r="B483" s="7" t="s">
        <v>5088</v>
      </c>
      <c r="C483" s="7" t="s">
        <v>5089</v>
      </c>
      <c r="D483" s="7" t="s">
        <v>5090</v>
      </c>
      <c r="E483" s="7" t="n">
        <v>2103</v>
      </c>
      <c r="F483" s="7" t="s">
        <v>50</v>
      </c>
      <c r="G483" s="7" t="s">
        <v>3003</v>
      </c>
      <c r="H483" s="7" t="s">
        <v>5091</v>
      </c>
      <c r="I483" s="7" t="s">
        <v>3400</v>
      </c>
      <c r="J483" s="7"/>
      <c r="K483" s="7" t="s">
        <v>2772</v>
      </c>
      <c r="L483" s="7" t="s">
        <v>2705</v>
      </c>
      <c r="M483" s="10" t="b">
        <f aca="false">FALSE()</f>
        <v>0</v>
      </c>
      <c r="N483" s="7" t="n">
        <v>-33.677752</v>
      </c>
      <c r="O483" s="7" t="n">
        <v>151.304356</v>
      </c>
    </row>
    <row r="484" customFormat="false" ht="15" hidden="false" customHeight="false" outlineLevel="0" collapsed="false">
      <c r="A484" s="7" t="s">
        <v>5092</v>
      </c>
      <c r="B484" s="7" t="s">
        <v>5093</v>
      </c>
      <c r="C484" s="7" t="s">
        <v>5094</v>
      </c>
      <c r="D484" s="7" t="s">
        <v>5095</v>
      </c>
      <c r="E484" s="7" t="n">
        <v>2483</v>
      </c>
      <c r="F484" s="7" t="s">
        <v>50</v>
      </c>
      <c r="G484" s="7" t="s">
        <v>2718</v>
      </c>
      <c r="H484" s="7"/>
      <c r="I484" s="7" t="s">
        <v>2719</v>
      </c>
      <c r="J484" s="7"/>
      <c r="K484" s="7"/>
      <c r="L484" s="7"/>
      <c r="M484" s="10" t="b">
        <f aca="false">FALSE()</f>
        <v>0</v>
      </c>
      <c r="N484" s="7" t="n">
        <v>-28.441619</v>
      </c>
      <c r="O484" s="7" t="n">
        <v>153.491795</v>
      </c>
    </row>
    <row r="485" customFormat="false" ht="15" hidden="false" customHeight="false" outlineLevel="0" collapsed="false">
      <c r="A485" s="7" t="s">
        <v>5096</v>
      </c>
      <c r="B485" s="7" t="s">
        <v>5097</v>
      </c>
      <c r="C485" s="7" t="s">
        <v>5098</v>
      </c>
      <c r="D485" s="7" t="s">
        <v>5099</v>
      </c>
      <c r="E485" s="7" t="n">
        <v>2353</v>
      </c>
      <c r="F485" s="7" t="s">
        <v>50</v>
      </c>
      <c r="G485" s="7" t="s">
        <v>2718</v>
      </c>
      <c r="H485" s="7"/>
      <c r="I485" s="7" t="s">
        <v>2719</v>
      </c>
      <c r="J485" s="7"/>
      <c r="K485" s="7"/>
      <c r="L485" s="7"/>
      <c r="M485" s="10" t="b">
        <f aca="false">FALSE()</f>
        <v>0</v>
      </c>
      <c r="N485" s="7" t="n">
        <v>-31.021885</v>
      </c>
      <c r="O485" s="7" t="n">
        <v>151.06988</v>
      </c>
    </row>
    <row r="486" customFormat="false" ht="15" hidden="false" customHeight="false" outlineLevel="0" collapsed="false">
      <c r="A486" s="7" t="s">
        <v>5100</v>
      </c>
      <c r="B486" s="7" t="s">
        <v>5101</v>
      </c>
      <c r="C486" s="7" t="s">
        <v>5102</v>
      </c>
      <c r="D486" s="7" t="s">
        <v>5103</v>
      </c>
      <c r="E486" s="7" t="n">
        <v>2021</v>
      </c>
      <c r="F486" s="7" t="s">
        <v>50</v>
      </c>
      <c r="G486" s="7" t="s">
        <v>3262</v>
      </c>
      <c r="H486" s="7" t="s">
        <v>3263</v>
      </c>
      <c r="I486" s="7" t="s">
        <v>3264</v>
      </c>
      <c r="J486" s="7"/>
      <c r="K486" s="7" t="s">
        <v>2772</v>
      </c>
      <c r="L486" s="7" t="s">
        <v>2705</v>
      </c>
      <c r="M486" s="10" t="b">
        <f aca="false">FALSE()</f>
        <v>0</v>
      </c>
      <c r="N486" s="7" t="n">
        <v>-33.89376</v>
      </c>
      <c r="O486" s="7" t="n">
        <v>151.22178</v>
      </c>
    </row>
    <row r="487" customFormat="false" ht="15" hidden="false" customHeight="false" outlineLevel="0" collapsed="false">
      <c r="A487" s="7" t="s">
        <v>5104</v>
      </c>
      <c r="B487" s="7" t="s">
        <v>5105</v>
      </c>
      <c r="C487" s="7" t="s">
        <v>5106</v>
      </c>
      <c r="D487" s="7" t="s">
        <v>5107</v>
      </c>
      <c r="E487" s="7" t="n">
        <v>2400</v>
      </c>
      <c r="F487" s="7" t="s">
        <v>50</v>
      </c>
      <c r="G487" s="7" t="s">
        <v>2735</v>
      </c>
      <c r="H487" s="7" t="s">
        <v>5108</v>
      </c>
      <c r="I487" s="7" t="s">
        <v>3726</v>
      </c>
      <c r="J487" s="7"/>
      <c r="K487" s="7"/>
      <c r="L487" s="7"/>
      <c r="M487" s="10" t="b">
        <f aca="false">FALSE()</f>
        <v>0</v>
      </c>
      <c r="N487" s="7" t="n">
        <v>-29.473849</v>
      </c>
      <c r="O487" s="7" t="n">
        <v>149.848164</v>
      </c>
    </row>
    <row r="488" customFormat="false" ht="15" hidden="false" customHeight="false" outlineLevel="0" collapsed="false">
      <c r="A488" s="7" t="s">
        <v>5109</v>
      </c>
      <c r="B488" s="7" t="s">
        <v>5110</v>
      </c>
      <c r="C488" s="7" t="s">
        <v>5111</v>
      </c>
      <c r="D488" s="7" t="s">
        <v>5112</v>
      </c>
      <c r="E488" s="7" t="n">
        <v>2400</v>
      </c>
      <c r="F488" s="7" t="s">
        <v>50</v>
      </c>
      <c r="G488" s="7" t="s">
        <v>2837</v>
      </c>
      <c r="H488" s="7"/>
      <c r="I488" s="7" t="s">
        <v>2719</v>
      </c>
      <c r="J488" s="7"/>
      <c r="K488" s="7"/>
      <c r="L488" s="7"/>
      <c r="M488" s="10" t="b">
        <f aca="false">FALSE()</f>
        <v>0</v>
      </c>
      <c r="N488" s="7" t="n">
        <v>-29.461275</v>
      </c>
      <c r="O488" s="7" t="n">
        <v>149.840305</v>
      </c>
    </row>
    <row r="489" customFormat="false" ht="15" hidden="false" customHeight="false" outlineLevel="0" collapsed="false">
      <c r="A489" s="7" t="s">
        <v>5113</v>
      </c>
      <c r="B489" s="7" t="s">
        <v>5114</v>
      </c>
      <c r="C489" s="7" t="s">
        <v>5115</v>
      </c>
      <c r="D489" s="7" t="s">
        <v>5116</v>
      </c>
      <c r="E489" s="7" t="n">
        <v>2264</v>
      </c>
      <c r="F489" s="7" t="s">
        <v>50</v>
      </c>
      <c r="G489" s="7" t="s">
        <v>2786</v>
      </c>
      <c r="H489" s="7" t="s">
        <v>5117</v>
      </c>
      <c r="I489" s="7" t="s">
        <v>2747</v>
      </c>
      <c r="J489" s="7" t="s">
        <v>2832</v>
      </c>
      <c r="K489" s="7" t="s">
        <v>2704</v>
      </c>
      <c r="L489" s="7" t="s">
        <v>2705</v>
      </c>
      <c r="M489" s="10" t="b">
        <f aca="false">TRUE()</f>
        <v>1</v>
      </c>
      <c r="N489" s="7" t="n">
        <v>-33.10924629</v>
      </c>
      <c r="O489" s="7" t="n">
        <v>151.4877339</v>
      </c>
    </row>
    <row r="490" customFormat="false" ht="15" hidden="false" customHeight="false" outlineLevel="0" collapsed="false">
      <c r="A490" s="7" t="s">
        <v>5118</v>
      </c>
      <c r="B490" s="7" t="s">
        <v>5119</v>
      </c>
      <c r="C490" s="7" t="s">
        <v>5120</v>
      </c>
      <c r="D490" s="7" t="s">
        <v>5121</v>
      </c>
      <c r="E490" s="7" t="n">
        <v>2223</v>
      </c>
      <c r="F490" s="7" t="s">
        <v>50</v>
      </c>
      <c r="G490" s="7" t="s">
        <v>2786</v>
      </c>
      <c r="H490" s="7" t="s">
        <v>5122</v>
      </c>
      <c r="I490" s="7" t="s">
        <v>2747</v>
      </c>
      <c r="J490" s="7" t="s">
        <v>5123</v>
      </c>
      <c r="K490" s="7" t="s">
        <v>2772</v>
      </c>
      <c r="L490" s="7" t="s">
        <v>2705</v>
      </c>
      <c r="M490" s="10" t="b">
        <f aca="false">TRUE()</f>
        <v>1</v>
      </c>
      <c r="N490" s="7" t="n">
        <v>-33.97058667</v>
      </c>
      <c r="O490" s="7" t="n">
        <v>151.0812881</v>
      </c>
    </row>
    <row r="491" customFormat="false" ht="15" hidden="false" customHeight="false" outlineLevel="0" collapsed="false">
      <c r="A491" s="7" t="s">
        <v>5124</v>
      </c>
      <c r="B491" s="7" t="s">
        <v>5125</v>
      </c>
      <c r="C491" s="7" t="s">
        <v>5126</v>
      </c>
      <c r="D491" s="7" t="s">
        <v>5127</v>
      </c>
      <c r="E491" s="7" t="n">
        <v>2088</v>
      </c>
      <c r="F491" s="7" t="s">
        <v>50</v>
      </c>
      <c r="G491" s="7" t="s">
        <v>2693</v>
      </c>
      <c r="H491" s="7" t="s">
        <v>3753</v>
      </c>
      <c r="I491" s="7" t="s">
        <v>2695</v>
      </c>
      <c r="J491" s="7"/>
      <c r="K491" s="7"/>
      <c r="L491" s="7"/>
      <c r="M491" s="10" t="b">
        <f aca="false">FALSE()</f>
        <v>0</v>
      </c>
      <c r="N491" s="7" t="n">
        <v>-33.83847631</v>
      </c>
      <c r="O491" s="7" t="n">
        <v>151.2323381</v>
      </c>
    </row>
    <row r="492" customFormat="false" ht="15" hidden="false" customHeight="false" outlineLevel="0" collapsed="false">
      <c r="A492" s="7" t="s">
        <v>5128</v>
      </c>
      <c r="B492" s="7" t="s">
        <v>5129</v>
      </c>
      <c r="C492" s="7" t="s">
        <v>5130</v>
      </c>
      <c r="D492" s="7" t="s">
        <v>5131</v>
      </c>
      <c r="E492" s="7" t="n">
        <v>2577</v>
      </c>
      <c r="F492" s="7" t="s">
        <v>50</v>
      </c>
      <c r="G492" s="7" t="s">
        <v>2937</v>
      </c>
      <c r="H492" s="7" t="s">
        <v>5132</v>
      </c>
      <c r="I492" s="7" t="s">
        <v>2747</v>
      </c>
      <c r="J492" s="7" t="s">
        <v>5133</v>
      </c>
      <c r="K492" s="7" t="s">
        <v>2704</v>
      </c>
      <c r="L492" s="7" t="s">
        <v>2705</v>
      </c>
      <c r="M492" s="10" t="b">
        <f aca="false">TRUE()</f>
        <v>1</v>
      </c>
      <c r="N492" s="7" t="n">
        <v>-34.54795977</v>
      </c>
      <c r="O492" s="7" t="n">
        <v>150.3719897</v>
      </c>
    </row>
    <row r="493" customFormat="false" ht="15" hidden="false" customHeight="false" outlineLevel="0" collapsed="false">
      <c r="A493" s="7" t="s">
        <v>5134</v>
      </c>
      <c r="B493" s="7" t="s">
        <v>5135</v>
      </c>
      <c r="C493" s="7" t="s">
        <v>5136</v>
      </c>
      <c r="D493" s="7" t="s">
        <v>5137</v>
      </c>
      <c r="E493" s="7" t="n">
        <v>2079</v>
      </c>
      <c r="F493" s="7" t="s">
        <v>50</v>
      </c>
      <c r="G493" s="7" t="s">
        <v>2710</v>
      </c>
      <c r="H493" s="7" t="s">
        <v>5138</v>
      </c>
      <c r="I493" s="7" t="s">
        <v>2885</v>
      </c>
      <c r="J493" s="7" t="s">
        <v>5139</v>
      </c>
      <c r="K493" s="7" t="s">
        <v>2772</v>
      </c>
      <c r="L493" s="7" t="s">
        <v>2705</v>
      </c>
      <c r="M493" s="10" t="b">
        <f aca="false">TRUE()</f>
        <v>1</v>
      </c>
      <c r="N493" s="7" t="n">
        <v>-33.67202205</v>
      </c>
      <c r="O493" s="7" t="n">
        <v>151.1144926</v>
      </c>
    </row>
    <row r="494" customFormat="false" ht="15" hidden="false" customHeight="false" outlineLevel="0" collapsed="false">
      <c r="A494" s="7" t="s">
        <v>5140</v>
      </c>
      <c r="B494" s="7" t="s">
        <v>5141</v>
      </c>
      <c r="C494" s="7" t="s">
        <v>5142</v>
      </c>
      <c r="D494" s="7" t="s">
        <v>5143</v>
      </c>
      <c r="E494" s="7" t="n">
        <v>2770</v>
      </c>
      <c r="F494" s="7" t="s">
        <v>50</v>
      </c>
      <c r="G494" s="7" t="s">
        <v>2786</v>
      </c>
      <c r="H494" s="7" t="s">
        <v>5144</v>
      </c>
      <c r="I494" s="7" t="s">
        <v>3133</v>
      </c>
      <c r="J494" s="7" t="s">
        <v>5145</v>
      </c>
      <c r="K494" s="7" t="s">
        <v>2772</v>
      </c>
      <c r="L494" s="7" t="s">
        <v>2705</v>
      </c>
      <c r="M494" s="10" t="b">
        <f aca="false">FALSE()</f>
        <v>0</v>
      </c>
      <c r="N494" s="7" t="n">
        <v>-33.76954233</v>
      </c>
      <c r="O494" s="7" t="n">
        <v>150.8197988</v>
      </c>
    </row>
    <row r="495" customFormat="false" ht="15" hidden="false" customHeight="false" outlineLevel="0" collapsed="false">
      <c r="A495" s="7" t="s">
        <v>5146</v>
      </c>
      <c r="B495" s="7" t="s">
        <v>5147</v>
      </c>
      <c r="C495" s="7" t="s">
        <v>5148</v>
      </c>
      <c r="D495" s="7" t="s">
        <v>5149</v>
      </c>
      <c r="E495" s="7" t="n">
        <v>2429</v>
      </c>
      <c r="F495" s="7" t="s">
        <v>50</v>
      </c>
      <c r="G495" s="7" t="s">
        <v>2718</v>
      </c>
      <c r="H495" s="7"/>
      <c r="I495" s="7" t="s">
        <v>2719</v>
      </c>
      <c r="J495" s="7"/>
      <c r="K495" s="7"/>
      <c r="L495" s="7"/>
      <c r="M495" s="10" t="b">
        <f aca="false">FALSE()</f>
        <v>0</v>
      </c>
      <c r="N495" s="7" t="n">
        <v>-31.897769</v>
      </c>
      <c r="O495" s="7" t="n">
        <v>152.314858</v>
      </c>
    </row>
    <row r="496" customFormat="false" ht="15" hidden="false" customHeight="false" outlineLevel="0" collapsed="false">
      <c r="A496" s="7" t="s">
        <v>5150</v>
      </c>
      <c r="B496" s="7" t="s">
        <v>5151</v>
      </c>
      <c r="C496" s="7" t="s">
        <v>5152</v>
      </c>
      <c r="D496" s="7" t="s">
        <v>5153</v>
      </c>
      <c r="E496" s="7" t="n">
        <v>2080</v>
      </c>
      <c r="F496" s="7" t="s">
        <v>50</v>
      </c>
      <c r="G496" s="7" t="s">
        <v>2786</v>
      </c>
      <c r="H496" s="7" t="s">
        <v>5154</v>
      </c>
      <c r="I496" s="7" t="s">
        <v>3202</v>
      </c>
      <c r="J496" s="7" t="s">
        <v>5155</v>
      </c>
      <c r="K496" s="7" t="s">
        <v>2772</v>
      </c>
      <c r="L496" s="7" t="s">
        <v>2705</v>
      </c>
      <c r="M496" s="10" t="b">
        <f aca="false">TRUE()</f>
        <v>1</v>
      </c>
      <c r="N496" s="7" t="n">
        <v>-33.65300164</v>
      </c>
      <c r="O496" s="7" t="n">
        <v>151.1368223</v>
      </c>
    </row>
    <row r="497" customFormat="false" ht="15" hidden="false" customHeight="false" outlineLevel="0" collapsed="false">
      <c r="A497" s="7" t="s">
        <v>5156</v>
      </c>
      <c r="B497" s="7" t="s">
        <v>5157</v>
      </c>
      <c r="C497" s="7" t="s">
        <v>5158</v>
      </c>
      <c r="D497" s="7" t="s">
        <v>5159</v>
      </c>
      <c r="E497" s="7" t="n">
        <v>2790</v>
      </c>
      <c r="F497" s="7" t="s">
        <v>50</v>
      </c>
      <c r="G497" s="7" t="s">
        <v>2718</v>
      </c>
      <c r="H497" s="7"/>
      <c r="I497" s="7" t="s">
        <v>2719</v>
      </c>
      <c r="J497" s="7"/>
      <c r="K497" s="7"/>
      <c r="L497" s="7"/>
      <c r="M497" s="10" t="b">
        <f aca="false">FALSE()</f>
        <v>0</v>
      </c>
      <c r="N497" s="7" t="n">
        <v>-33.454095</v>
      </c>
      <c r="O497" s="7" t="n">
        <v>149.987554</v>
      </c>
    </row>
    <row r="498" customFormat="false" ht="15" hidden="false" customHeight="false" outlineLevel="0" collapsed="false">
      <c r="A498" s="7" t="s">
        <v>5160</v>
      </c>
      <c r="B498" s="7" t="s">
        <v>5161</v>
      </c>
      <c r="C498" s="7" t="s">
        <v>5162</v>
      </c>
      <c r="D498" s="7" t="s">
        <v>5163</v>
      </c>
      <c r="E498" s="7" t="n">
        <v>2360</v>
      </c>
      <c r="F498" s="7" t="s">
        <v>50</v>
      </c>
      <c r="G498" s="7" t="s">
        <v>2718</v>
      </c>
      <c r="H498" s="7"/>
      <c r="I498" s="7" t="s">
        <v>2719</v>
      </c>
      <c r="J498" s="7"/>
      <c r="K498" s="7"/>
      <c r="L498" s="7"/>
      <c r="M498" s="10" t="b">
        <f aca="false">FALSE()</f>
        <v>0</v>
      </c>
      <c r="N498" s="7" t="n">
        <v>-29.72633</v>
      </c>
      <c r="O498" s="7" t="n">
        <v>150.937034</v>
      </c>
    </row>
    <row r="499" customFormat="false" ht="15" hidden="false" customHeight="false" outlineLevel="0" collapsed="false">
      <c r="A499" s="7" t="s">
        <v>5164</v>
      </c>
      <c r="B499" s="7" t="s">
        <v>5165</v>
      </c>
      <c r="C499" s="7" t="s">
        <v>5166</v>
      </c>
      <c r="D499" s="7" t="s">
        <v>5167</v>
      </c>
      <c r="E499" s="7" t="n">
        <v>2786</v>
      </c>
      <c r="F499" s="7" t="s">
        <v>50</v>
      </c>
      <c r="G499" s="7" t="s">
        <v>2937</v>
      </c>
      <c r="H499" s="7" t="s">
        <v>5168</v>
      </c>
      <c r="I499" s="7" t="s">
        <v>3202</v>
      </c>
      <c r="J499" s="7" t="s">
        <v>5169</v>
      </c>
      <c r="K499" s="7" t="s">
        <v>2704</v>
      </c>
      <c r="L499" s="7" t="s">
        <v>2705</v>
      </c>
      <c r="M499" s="10" t="b">
        <f aca="false">TRUE()</f>
        <v>1</v>
      </c>
      <c r="N499" s="7" t="n">
        <v>-33.5881116</v>
      </c>
      <c r="O499" s="7" t="n">
        <v>150.2569734</v>
      </c>
    </row>
    <row r="500" customFormat="false" ht="15" hidden="false" customHeight="false" outlineLevel="0" collapsed="false">
      <c r="A500" s="7" t="s">
        <v>5170</v>
      </c>
      <c r="B500" s="7" t="s">
        <v>5171</v>
      </c>
      <c r="C500" s="7" t="s">
        <v>5172</v>
      </c>
      <c r="D500" s="7" t="s">
        <v>5173</v>
      </c>
      <c r="E500" s="7" t="n">
        <v>2850</v>
      </c>
      <c r="F500" s="7" t="s">
        <v>50</v>
      </c>
      <c r="G500" s="7" t="s">
        <v>2718</v>
      </c>
      <c r="H500" s="7"/>
      <c r="I500" s="7" t="s">
        <v>2719</v>
      </c>
      <c r="J500" s="7"/>
      <c r="K500" s="7"/>
      <c r="L500" s="7"/>
      <c r="M500" s="10" t="b">
        <f aca="false">FALSE()</f>
        <v>0</v>
      </c>
      <c r="N500" s="7" t="n">
        <v>-32.601146</v>
      </c>
      <c r="O500" s="7" t="n">
        <v>149.587392</v>
      </c>
    </row>
    <row r="501" customFormat="false" ht="15" hidden="false" customHeight="false" outlineLevel="0" collapsed="false">
      <c r="A501" s="7" t="s">
        <v>5174</v>
      </c>
      <c r="B501" s="7" t="s">
        <v>5175</v>
      </c>
      <c r="C501" s="7" t="s">
        <v>5176</v>
      </c>
      <c r="D501" s="7" t="s">
        <v>5177</v>
      </c>
      <c r="E501" s="7" t="n">
        <v>2850</v>
      </c>
      <c r="F501" s="7" t="s">
        <v>50</v>
      </c>
      <c r="G501" s="7" t="s">
        <v>2718</v>
      </c>
      <c r="H501" s="7"/>
      <c r="I501" s="7" t="s">
        <v>2719</v>
      </c>
      <c r="J501" s="7"/>
      <c r="K501" s="7"/>
      <c r="L501" s="7"/>
      <c r="M501" s="10" t="b">
        <f aca="false">FALSE()</f>
        <v>0</v>
      </c>
      <c r="N501" s="7" t="n">
        <v>-32.590463</v>
      </c>
      <c r="O501" s="7" t="n">
        <v>149.585036</v>
      </c>
    </row>
    <row r="502" customFormat="false" ht="15" hidden="false" customHeight="false" outlineLevel="0" collapsed="false">
      <c r="A502" s="7" t="s">
        <v>5178</v>
      </c>
      <c r="B502" s="7" t="s">
        <v>5179</v>
      </c>
      <c r="C502" s="7" t="s">
        <v>5180</v>
      </c>
      <c r="D502" s="7" t="s">
        <v>5181</v>
      </c>
      <c r="E502" s="7" t="n">
        <v>2756</v>
      </c>
      <c r="F502" s="7" t="s">
        <v>50</v>
      </c>
      <c r="G502" s="7" t="s">
        <v>2806</v>
      </c>
      <c r="H502" s="7" t="s">
        <v>5182</v>
      </c>
      <c r="I502" s="7" t="s">
        <v>3316</v>
      </c>
      <c r="J502" s="7" t="s">
        <v>5183</v>
      </c>
      <c r="K502" s="7" t="s">
        <v>2772</v>
      </c>
      <c r="L502" s="7" t="s">
        <v>2705</v>
      </c>
      <c r="M502" s="10" t="b">
        <f aca="false">FALSE()</f>
        <v>0</v>
      </c>
      <c r="N502" s="7" t="n">
        <v>-33.62668367</v>
      </c>
      <c r="O502" s="7" t="n">
        <v>150.830637</v>
      </c>
    </row>
    <row r="503" customFormat="false" ht="15" hidden="false" customHeight="false" outlineLevel="0" collapsed="false">
      <c r="A503" s="7" t="s">
        <v>5184</v>
      </c>
      <c r="B503" s="7" t="s">
        <v>5185</v>
      </c>
      <c r="C503" s="7" t="s">
        <v>5186</v>
      </c>
      <c r="D503" s="7" t="s">
        <v>5187</v>
      </c>
      <c r="E503" s="7" t="n">
        <v>2379</v>
      </c>
      <c r="F503" s="7" t="s">
        <v>50</v>
      </c>
      <c r="G503" s="7" t="s">
        <v>2718</v>
      </c>
      <c r="H503" s="7"/>
      <c r="I503" s="7" t="s">
        <v>2719</v>
      </c>
      <c r="J503" s="7"/>
      <c r="K503" s="7"/>
      <c r="L503" s="7"/>
      <c r="M503" s="10" t="b">
        <f aca="false">FALSE()</f>
        <v>0</v>
      </c>
      <c r="N503" s="7" t="n">
        <v>-31.097917</v>
      </c>
      <c r="O503" s="7" t="n">
        <v>149.910359</v>
      </c>
    </row>
    <row r="504" customFormat="false" ht="15" hidden="false" customHeight="false" outlineLevel="0" collapsed="false">
      <c r="A504" s="7" t="s">
        <v>5188</v>
      </c>
      <c r="B504" s="7" t="s">
        <v>5189</v>
      </c>
      <c r="C504" s="7" t="s">
        <v>5190</v>
      </c>
      <c r="D504" s="7" t="s">
        <v>5191</v>
      </c>
      <c r="E504" s="7" t="n">
        <v>2482</v>
      </c>
      <c r="F504" s="7" t="s">
        <v>50</v>
      </c>
      <c r="G504" s="7" t="s">
        <v>2718</v>
      </c>
      <c r="H504" s="7"/>
      <c r="I504" s="7" t="s">
        <v>2719</v>
      </c>
      <c r="J504" s="7"/>
      <c r="K504" s="7"/>
      <c r="L504" s="7"/>
      <c r="M504" s="10" t="b">
        <f aca="false">FALSE()</f>
        <v>0</v>
      </c>
      <c r="N504" s="7" t="n">
        <v>-28.554009</v>
      </c>
      <c r="O504" s="7" t="n">
        <v>153.503098</v>
      </c>
    </row>
    <row r="505" customFormat="false" ht="15" hidden="false" customHeight="false" outlineLevel="0" collapsed="false">
      <c r="A505" s="7" t="s">
        <v>5192</v>
      </c>
      <c r="B505" s="7" t="s">
        <v>5193</v>
      </c>
      <c r="C505" s="7" t="s">
        <v>5194</v>
      </c>
      <c r="D505" s="7" t="s">
        <v>5195</v>
      </c>
      <c r="E505" s="7" t="n">
        <v>2647</v>
      </c>
      <c r="F505" s="7" t="s">
        <v>50</v>
      </c>
      <c r="G505" s="7" t="s">
        <v>2718</v>
      </c>
      <c r="H505" s="7"/>
      <c r="I505" s="7" t="s">
        <v>2719</v>
      </c>
      <c r="J505" s="7"/>
      <c r="K505" s="7"/>
      <c r="L505" s="7"/>
      <c r="M505" s="10" t="b">
        <f aca="false">FALSE()</f>
        <v>0</v>
      </c>
      <c r="N505" s="7" t="n">
        <v>-35.989306</v>
      </c>
      <c r="O505" s="7" t="n">
        <v>146.005061</v>
      </c>
    </row>
    <row r="506" customFormat="false" ht="15" hidden="false" customHeight="false" outlineLevel="0" collapsed="false">
      <c r="A506" s="7" t="s">
        <v>5196</v>
      </c>
      <c r="B506" s="7" t="s">
        <v>5197</v>
      </c>
      <c r="C506" s="7" t="s">
        <v>5198</v>
      </c>
      <c r="D506" s="7" t="s">
        <v>5199</v>
      </c>
      <c r="E506" s="7" t="n">
        <v>2582</v>
      </c>
      <c r="F506" s="7" t="s">
        <v>50</v>
      </c>
      <c r="G506" s="7" t="s">
        <v>2718</v>
      </c>
      <c r="H506" s="7"/>
      <c r="I506" s="7" t="s">
        <v>2719</v>
      </c>
      <c r="J506" s="7"/>
      <c r="K506" s="7"/>
      <c r="L506" s="7"/>
      <c r="M506" s="10" t="b">
        <f aca="false">FALSE()</f>
        <v>0</v>
      </c>
      <c r="N506" s="7" t="n">
        <v>-34.968544</v>
      </c>
      <c r="O506" s="7" t="n">
        <v>149.030382</v>
      </c>
    </row>
    <row r="507" customFormat="false" ht="15" hidden="false" customHeight="false" outlineLevel="0" collapsed="false">
      <c r="A507" s="7" t="s">
        <v>5200</v>
      </c>
      <c r="B507" s="7" t="s">
        <v>5201</v>
      </c>
      <c r="C507" s="7" t="s">
        <v>5202</v>
      </c>
      <c r="D507" s="7" t="s">
        <v>5203</v>
      </c>
      <c r="E507" s="7" t="n">
        <v>2338</v>
      </c>
      <c r="F507" s="7" t="s">
        <v>50</v>
      </c>
      <c r="G507" s="7" t="s">
        <v>2806</v>
      </c>
      <c r="H507" s="7" t="s">
        <v>3169</v>
      </c>
      <c r="I507" s="7" t="s">
        <v>3808</v>
      </c>
      <c r="J507" s="7"/>
      <c r="K507" s="7"/>
      <c r="L507" s="7"/>
      <c r="M507" s="10" t="b">
        <f aca="false">FALSE()</f>
        <v>0</v>
      </c>
      <c r="N507" s="7" t="n">
        <v>-31.768429</v>
      </c>
      <c r="O507" s="7" t="n">
        <v>150.839451</v>
      </c>
    </row>
    <row r="508" customFormat="false" ht="15" hidden="false" customHeight="false" outlineLevel="0" collapsed="false">
      <c r="A508" s="7" t="s">
        <v>5204</v>
      </c>
      <c r="B508" s="7" t="s">
        <v>5205</v>
      </c>
      <c r="C508" s="7" t="s">
        <v>5206</v>
      </c>
      <c r="D508" s="7" t="s">
        <v>5207</v>
      </c>
      <c r="E508" s="7" t="n">
        <v>2338</v>
      </c>
      <c r="F508" s="7" t="s">
        <v>50</v>
      </c>
      <c r="G508" s="7" t="s">
        <v>2718</v>
      </c>
      <c r="H508" s="7"/>
      <c r="I508" s="7" t="s">
        <v>2719</v>
      </c>
      <c r="J508" s="7"/>
      <c r="K508" s="7"/>
      <c r="L508" s="7"/>
      <c r="M508" s="10" t="b">
        <f aca="false">FALSE()</f>
        <v>0</v>
      </c>
      <c r="N508" s="7" t="n">
        <v>-31.764996</v>
      </c>
      <c r="O508" s="7" t="n">
        <v>150.3839321</v>
      </c>
    </row>
    <row r="509" customFormat="false" ht="15" hidden="false" customHeight="false" outlineLevel="0" collapsed="false">
      <c r="A509" s="7" t="s">
        <v>5208</v>
      </c>
      <c r="B509" s="7" t="s">
        <v>5209</v>
      </c>
      <c r="C509" s="7" t="s">
        <v>5210</v>
      </c>
      <c r="D509" s="7" t="s">
        <v>5211</v>
      </c>
      <c r="E509" s="7" t="n">
        <v>2484</v>
      </c>
      <c r="F509" s="7" t="s">
        <v>50</v>
      </c>
      <c r="G509" s="7" t="s">
        <v>2718</v>
      </c>
      <c r="H509" s="7"/>
      <c r="I509" s="7" t="s">
        <v>2719</v>
      </c>
      <c r="J509" s="7"/>
      <c r="K509" s="7"/>
      <c r="L509" s="7"/>
      <c r="M509" s="10" t="b">
        <f aca="false">FALSE()</f>
        <v>0</v>
      </c>
      <c r="N509" s="7" t="n">
        <v>-28.329887</v>
      </c>
      <c r="O509" s="7" t="n">
        <v>153.402432</v>
      </c>
    </row>
    <row r="510" customFormat="false" ht="15" hidden="false" customHeight="false" outlineLevel="0" collapsed="false">
      <c r="A510" s="7" t="s">
        <v>5212</v>
      </c>
      <c r="B510" s="7" t="s">
        <v>5213</v>
      </c>
      <c r="C510" s="7" t="s">
        <v>5214</v>
      </c>
      <c r="D510" s="7" t="s">
        <v>5215</v>
      </c>
      <c r="E510" s="7" t="n">
        <v>2000</v>
      </c>
      <c r="F510" s="7" t="s">
        <v>50</v>
      </c>
      <c r="G510" s="7" t="s">
        <v>2786</v>
      </c>
      <c r="H510" s="7" t="s">
        <v>5216</v>
      </c>
      <c r="I510" s="7" t="s">
        <v>3133</v>
      </c>
      <c r="J510" s="7" t="s">
        <v>5217</v>
      </c>
      <c r="K510" s="7" t="s">
        <v>2772</v>
      </c>
      <c r="L510" s="7" t="s">
        <v>2705</v>
      </c>
      <c r="M510" s="10" t="b">
        <f aca="false">FALSE()</f>
        <v>0</v>
      </c>
      <c r="N510" s="7" t="n">
        <v>-33.87569985</v>
      </c>
      <c r="O510" s="7" t="n">
        <v>151.2101064</v>
      </c>
    </row>
    <row r="511" customFormat="false" ht="15" hidden="false" customHeight="false" outlineLevel="0" collapsed="false">
      <c r="A511" s="7" t="s">
        <v>5218</v>
      </c>
      <c r="B511" s="7" t="s">
        <v>5219</v>
      </c>
      <c r="C511" s="7" t="s">
        <v>5220</v>
      </c>
      <c r="D511" s="7" t="s">
        <v>5221</v>
      </c>
      <c r="E511" s="7" t="n">
        <v>2333</v>
      </c>
      <c r="F511" s="7" t="s">
        <v>50</v>
      </c>
      <c r="G511" s="7" t="s">
        <v>2700</v>
      </c>
      <c r="H511" s="7" t="s">
        <v>5222</v>
      </c>
      <c r="I511" s="7" t="s">
        <v>2702</v>
      </c>
      <c r="J511" s="7"/>
      <c r="K511" s="7" t="s">
        <v>2704</v>
      </c>
      <c r="L511" s="7" t="s">
        <v>2705</v>
      </c>
      <c r="M511" s="10" t="b">
        <f aca="false">TRUE()</f>
        <v>1</v>
      </c>
      <c r="N511" s="7" t="n">
        <v>-32.26749261</v>
      </c>
      <c r="O511" s="7" t="n">
        <v>150.8903202</v>
      </c>
    </row>
    <row r="512" customFormat="false" ht="15" hidden="false" customHeight="false" outlineLevel="0" collapsed="false">
      <c r="A512" s="7" t="s">
        <v>5223</v>
      </c>
      <c r="B512" s="7" t="s">
        <v>5224</v>
      </c>
      <c r="C512" s="7" t="s">
        <v>5225</v>
      </c>
      <c r="D512" s="7" t="s">
        <v>5226</v>
      </c>
      <c r="E512" s="7" t="n">
        <v>2722</v>
      </c>
      <c r="F512" s="7" t="s">
        <v>50</v>
      </c>
      <c r="G512" s="7" t="s">
        <v>2718</v>
      </c>
      <c r="H512" s="7"/>
      <c r="I512" s="7" t="s">
        <v>2719</v>
      </c>
      <c r="J512" s="7"/>
      <c r="K512" s="7"/>
      <c r="L512" s="7"/>
      <c r="M512" s="10" t="b">
        <f aca="false">FALSE()</f>
        <v>0</v>
      </c>
      <c r="N512" s="7" t="n">
        <v>-34.803942</v>
      </c>
      <c r="O512" s="7" t="n">
        <v>148.117531</v>
      </c>
    </row>
    <row r="513" customFormat="false" ht="15" hidden="false" customHeight="false" outlineLevel="0" collapsed="false">
      <c r="A513" s="7" t="s">
        <v>5227</v>
      </c>
      <c r="B513" s="7" t="s">
        <v>5228</v>
      </c>
      <c r="C513" s="7" t="s">
        <v>5229</v>
      </c>
      <c r="D513" s="7" t="s">
        <v>5230</v>
      </c>
      <c r="E513" s="7" t="n">
        <v>2448</v>
      </c>
      <c r="F513" s="7" t="s">
        <v>50</v>
      </c>
      <c r="G513" s="7" t="s">
        <v>2718</v>
      </c>
      <c r="H513" s="7"/>
      <c r="I513" s="7" t="s">
        <v>2719</v>
      </c>
      <c r="J513" s="7"/>
      <c r="K513" s="7"/>
      <c r="L513" s="7"/>
      <c r="M513" s="10" t="b">
        <f aca="false">FALSE()</f>
        <v>0</v>
      </c>
      <c r="N513" s="7" t="n">
        <v>-30.652521</v>
      </c>
      <c r="O513" s="7" t="n">
        <v>152.990909</v>
      </c>
    </row>
    <row r="514" customFormat="false" ht="15" hidden="false" customHeight="false" outlineLevel="0" collapsed="false">
      <c r="A514" s="7" t="s">
        <v>5231</v>
      </c>
      <c r="B514" s="7" t="s">
        <v>5232</v>
      </c>
      <c r="C514" s="7" t="s">
        <v>5233</v>
      </c>
      <c r="D514" s="7" t="s">
        <v>5234</v>
      </c>
      <c r="E514" s="7" t="n">
        <v>2448</v>
      </c>
      <c r="F514" s="7" t="s">
        <v>50</v>
      </c>
      <c r="G514" s="7" t="s">
        <v>2735</v>
      </c>
      <c r="H514" s="7" t="s">
        <v>5235</v>
      </c>
      <c r="I514" s="7" t="s">
        <v>2939</v>
      </c>
      <c r="J514" s="7"/>
      <c r="K514" s="7"/>
      <c r="L514" s="7"/>
      <c r="M514" s="10" t="b">
        <f aca="false">FALSE()</f>
        <v>0</v>
      </c>
      <c r="N514" s="7" t="n">
        <v>-30.629129</v>
      </c>
      <c r="O514" s="7" t="n">
        <v>152.977472</v>
      </c>
    </row>
    <row r="515" customFormat="false" ht="15" hidden="false" customHeight="false" outlineLevel="0" collapsed="false">
      <c r="A515" s="7" t="s">
        <v>5236</v>
      </c>
      <c r="B515" s="7" t="s">
        <v>5237</v>
      </c>
      <c r="C515" s="7" t="s">
        <v>5238</v>
      </c>
      <c r="D515" s="7" t="s">
        <v>5239</v>
      </c>
      <c r="E515" s="7" t="n">
        <v>2250</v>
      </c>
      <c r="F515" s="7" t="s">
        <v>50</v>
      </c>
      <c r="G515" s="7" t="s">
        <v>2710</v>
      </c>
      <c r="H515" s="7" t="s">
        <v>5240</v>
      </c>
      <c r="I515" s="7" t="s">
        <v>2747</v>
      </c>
      <c r="J515" s="7" t="s">
        <v>4767</v>
      </c>
      <c r="K515" s="7" t="s">
        <v>2704</v>
      </c>
      <c r="L515" s="7" t="s">
        <v>2705</v>
      </c>
      <c r="M515" s="10" t="b">
        <f aca="false">TRUE()</f>
        <v>1</v>
      </c>
      <c r="N515" s="7" t="n">
        <v>-33.39478578</v>
      </c>
      <c r="O515" s="7" t="n">
        <v>151.3443079</v>
      </c>
    </row>
    <row r="516" customFormat="false" ht="15" hidden="false" customHeight="false" outlineLevel="0" collapsed="false">
      <c r="A516" s="7" t="s">
        <v>5241</v>
      </c>
      <c r="B516" s="7" t="s">
        <v>5242</v>
      </c>
      <c r="C516" s="7" t="s">
        <v>5243</v>
      </c>
      <c r="D516" s="7" t="s">
        <v>5244</v>
      </c>
      <c r="E516" s="7" t="n">
        <v>2101</v>
      </c>
      <c r="F516" s="7" t="s">
        <v>50</v>
      </c>
      <c r="G516" s="7" t="s">
        <v>3003</v>
      </c>
      <c r="H516" s="7" t="s">
        <v>5245</v>
      </c>
      <c r="I516" s="7" t="s">
        <v>3400</v>
      </c>
      <c r="J516" s="7"/>
      <c r="K516" s="7" t="s">
        <v>2772</v>
      </c>
      <c r="L516" s="7" t="s">
        <v>2705</v>
      </c>
      <c r="M516" s="10" t="b">
        <f aca="false">FALSE()</f>
        <v>0</v>
      </c>
      <c r="N516" s="7" t="n">
        <v>-33.713467</v>
      </c>
      <c r="O516" s="7" t="n">
        <v>151.297416</v>
      </c>
    </row>
    <row r="517" customFormat="false" ht="15" hidden="false" customHeight="false" outlineLevel="0" collapsed="false">
      <c r="A517" s="7" t="s">
        <v>5246</v>
      </c>
      <c r="B517" s="7" t="s">
        <v>5247</v>
      </c>
      <c r="C517" s="7" t="s">
        <v>5248</v>
      </c>
      <c r="D517" s="7" t="s">
        <v>5249</v>
      </c>
      <c r="E517" s="7" t="n">
        <v>2390</v>
      </c>
      <c r="F517" s="7" t="s">
        <v>50</v>
      </c>
      <c r="G517" s="7" t="s">
        <v>2735</v>
      </c>
      <c r="H517" s="7" t="s">
        <v>3038</v>
      </c>
      <c r="I517" s="7" t="s">
        <v>3285</v>
      </c>
      <c r="J517" s="7"/>
      <c r="K517" s="7"/>
      <c r="L517" s="7"/>
      <c r="M517" s="10" t="b">
        <f aca="false">FALSE()</f>
        <v>0</v>
      </c>
      <c r="N517" s="7" t="n">
        <v>-30.325322</v>
      </c>
      <c r="O517" s="7" t="n">
        <v>149.79202</v>
      </c>
    </row>
    <row r="518" customFormat="false" ht="15" hidden="false" customHeight="false" outlineLevel="0" collapsed="false">
      <c r="A518" s="7" t="s">
        <v>5250</v>
      </c>
      <c r="B518" s="7" t="s">
        <v>5251</v>
      </c>
      <c r="C518" s="7" t="s">
        <v>5252</v>
      </c>
      <c r="D518" s="7" t="s">
        <v>5253</v>
      </c>
      <c r="E518" s="7" t="n">
        <v>2700</v>
      </c>
      <c r="F518" s="7" t="s">
        <v>50</v>
      </c>
      <c r="G518" s="7" t="s">
        <v>3269</v>
      </c>
      <c r="H518" s="7" t="s">
        <v>3787</v>
      </c>
      <c r="I518" s="7" t="s">
        <v>2919</v>
      </c>
      <c r="J518" s="7"/>
      <c r="K518" s="7"/>
      <c r="L518" s="7"/>
      <c r="M518" s="10" t="b">
        <f aca="false">FALSE()</f>
        <v>0</v>
      </c>
      <c r="N518" s="7" t="n">
        <v>-34.740516</v>
      </c>
      <c r="O518" s="7" t="n">
        <v>146.556999</v>
      </c>
    </row>
    <row r="519" customFormat="false" ht="15" hidden="false" customHeight="false" outlineLevel="0" collapsed="false">
      <c r="A519" s="7" t="s">
        <v>5254</v>
      </c>
      <c r="B519" s="7" t="s">
        <v>5255</v>
      </c>
      <c r="C519" s="7" t="s">
        <v>5256</v>
      </c>
      <c r="D519" s="7" t="s">
        <v>5257</v>
      </c>
      <c r="E519" s="7" t="n">
        <v>2821</v>
      </c>
      <c r="F519" s="7" t="s">
        <v>50</v>
      </c>
      <c r="G519" s="7" t="s">
        <v>2718</v>
      </c>
      <c r="H519" s="7"/>
      <c r="I519" s="7" t="s">
        <v>2719</v>
      </c>
      <c r="J519" s="7"/>
      <c r="K519" s="7"/>
      <c r="L519" s="7"/>
      <c r="M519" s="10" t="b">
        <f aca="false">FALSE()</f>
        <v>0</v>
      </c>
      <c r="N519" s="7" t="n">
        <v>-32.234112</v>
      </c>
      <c r="O519" s="7" t="n">
        <v>148.240167</v>
      </c>
    </row>
    <row r="520" customFormat="false" ht="15" hidden="false" customHeight="false" outlineLevel="0" collapsed="false">
      <c r="A520" s="7" t="s">
        <v>5258</v>
      </c>
      <c r="B520" s="7" t="s">
        <v>5259</v>
      </c>
      <c r="C520" s="7" t="s">
        <v>5260</v>
      </c>
      <c r="D520" s="7" t="s">
        <v>5261</v>
      </c>
      <c r="E520" s="7" t="n">
        <v>2209</v>
      </c>
      <c r="F520" s="7" t="s">
        <v>50</v>
      </c>
      <c r="G520" s="7" t="s">
        <v>2786</v>
      </c>
      <c r="H520" s="7" t="s">
        <v>2787</v>
      </c>
      <c r="I520" s="7" t="s">
        <v>2747</v>
      </c>
      <c r="J520" s="7" t="s">
        <v>5262</v>
      </c>
      <c r="K520" s="7" t="s">
        <v>2772</v>
      </c>
      <c r="L520" s="7" t="s">
        <v>2705</v>
      </c>
      <c r="M520" s="10" t="b">
        <f aca="false">FALSE()</f>
        <v>0</v>
      </c>
      <c r="N520" s="7" t="n">
        <v>-33.94751814</v>
      </c>
      <c r="O520" s="7" t="n">
        <v>151.0697482</v>
      </c>
    </row>
    <row r="521" customFormat="false" ht="15" hidden="false" customHeight="false" outlineLevel="0" collapsed="false">
      <c r="A521" s="7" t="s">
        <v>5263</v>
      </c>
      <c r="B521" s="7" t="s">
        <v>5264</v>
      </c>
      <c r="C521" s="7" t="s">
        <v>5265</v>
      </c>
      <c r="D521" s="7" t="s">
        <v>5266</v>
      </c>
      <c r="E521" s="7" t="n">
        <v>2089</v>
      </c>
      <c r="F521" s="7" t="s">
        <v>50</v>
      </c>
      <c r="G521" s="7" t="s">
        <v>3439</v>
      </c>
      <c r="H521" s="7" t="s">
        <v>3650</v>
      </c>
      <c r="I521" s="7" t="s">
        <v>3400</v>
      </c>
      <c r="J521" s="7"/>
      <c r="K521" s="7" t="s">
        <v>2772</v>
      </c>
      <c r="L521" s="7" t="s">
        <v>2705</v>
      </c>
      <c r="M521" s="10" t="b">
        <f aca="false">FALSE()</f>
        <v>0</v>
      </c>
      <c r="N521" s="7" t="n">
        <v>-33.831653</v>
      </c>
      <c r="O521" s="7" t="n">
        <v>151.22274</v>
      </c>
    </row>
    <row r="522" customFormat="false" ht="15" hidden="false" customHeight="false" outlineLevel="0" collapsed="false">
      <c r="A522" s="7" t="s">
        <v>5267</v>
      </c>
      <c r="B522" s="7" t="s">
        <v>5268</v>
      </c>
      <c r="C522" s="7" t="s">
        <v>5269</v>
      </c>
      <c r="D522" s="7" t="s">
        <v>5270</v>
      </c>
      <c r="E522" s="7" t="n">
        <v>2089</v>
      </c>
      <c r="F522" s="7" t="s">
        <v>50</v>
      </c>
      <c r="G522" s="7" t="s">
        <v>2693</v>
      </c>
      <c r="H522" s="7" t="s">
        <v>2859</v>
      </c>
      <c r="I522" s="7" t="s">
        <v>2847</v>
      </c>
      <c r="J522" s="7"/>
      <c r="K522" s="7"/>
      <c r="L522" s="7"/>
      <c r="M522" s="10" t="b">
        <f aca="false">FALSE()</f>
        <v>0</v>
      </c>
      <c r="N522" s="7" t="n">
        <v>-33.84231965</v>
      </c>
      <c r="O522" s="7" t="n">
        <v>151.2193125</v>
      </c>
    </row>
    <row r="523" customFormat="false" ht="15" hidden="false" customHeight="false" outlineLevel="0" collapsed="false">
      <c r="A523" s="7" t="s">
        <v>5271</v>
      </c>
      <c r="B523" s="7" t="s">
        <v>5272</v>
      </c>
      <c r="C523" s="7" t="s">
        <v>5273</v>
      </c>
      <c r="D523" s="7" t="s">
        <v>5274</v>
      </c>
      <c r="E523" s="7" t="n">
        <v>2826</v>
      </c>
      <c r="F523" s="7" t="s">
        <v>50</v>
      </c>
      <c r="G523" s="7" t="s">
        <v>2718</v>
      </c>
      <c r="H523" s="7"/>
      <c r="I523" s="7" t="s">
        <v>2719</v>
      </c>
      <c r="J523" s="7"/>
      <c r="K523" s="7"/>
      <c r="L523" s="7"/>
      <c r="M523" s="10" t="b">
        <f aca="false">FALSE()</f>
        <v>0</v>
      </c>
      <c r="N523" s="7" t="n">
        <v>-31.8375</v>
      </c>
      <c r="O523" s="7" t="n">
        <v>147.717</v>
      </c>
    </row>
    <row r="524" customFormat="false" ht="15" hidden="false" customHeight="false" outlineLevel="0" collapsed="false">
      <c r="A524" s="7" t="s">
        <v>5275</v>
      </c>
      <c r="B524" s="7" t="s">
        <v>5276</v>
      </c>
      <c r="C524" s="7" t="s">
        <v>5277</v>
      </c>
      <c r="D524" s="7" t="s">
        <v>5278</v>
      </c>
      <c r="E524" s="7" t="n">
        <v>2300</v>
      </c>
      <c r="F524" s="7" t="s">
        <v>50</v>
      </c>
      <c r="G524" s="7" t="s">
        <v>2769</v>
      </c>
      <c r="H524" s="7" t="s">
        <v>3582</v>
      </c>
      <c r="I524" s="7" t="s">
        <v>3583</v>
      </c>
      <c r="J524" s="7"/>
      <c r="K524" s="7" t="s">
        <v>2772</v>
      </c>
      <c r="L524" s="7" t="s">
        <v>2705</v>
      </c>
      <c r="M524" s="10" t="b">
        <f aca="false">FALSE()</f>
        <v>0</v>
      </c>
      <c r="N524" s="7" t="n">
        <v>-32.927465</v>
      </c>
      <c r="O524" s="7" t="n">
        <v>151.786195</v>
      </c>
    </row>
    <row r="525" customFormat="false" ht="15" hidden="false" customHeight="false" outlineLevel="0" collapsed="false">
      <c r="A525" s="7" t="s">
        <v>5279</v>
      </c>
      <c r="B525" s="7" t="s">
        <v>5280</v>
      </c>
      <c r="C525" s="7" t="s">
        <v>5281</v>
      </c>
      <c r="D525" s="7" t="s">
        <v>5282</v>
      </c>
      <c r="E525" s="7" t="n">
        <v>2293</v>
      </c>
      <c r="F525" s="7" t="s">
        <v>50</v>
      </c>
      <c r="G525" s="7" t="s">
        <v>5283</v>
      </c>
      <c r="H525" s="7" t="s">
        <v>4760</v>
      </c>
      <c r="I525" s="7" t="s">
        <v>3190</v>
      </c>
      <c r="J525" s="7"/>
      <c r="K525" s="7" t="s">
        <v>2704</v>
      </c>
      <c r="L525" s="7" t="s">
        <v>2705</v>
      </c>
      <c r="M525" s="10" t="b">
        <f aca="false">TRUE()</f>
        <v>1</v>
      </c>
      <c r="N525" s="7" t="n">
        <v>-32.924308</v>
      </c>
      <c r="O525" s="7" t="n">
        <v>151.75965</v>
      </c>
    </row>
    <row r="526" customFormat="false" ht="15" hidden="false" customHeight="false" outlineLevel="0" collapsed="false">
      <c r="A526" s="7" t="s">
        <v>5284</v>
      </c>
      <c r="B526" s="7" t="s">
        <v>5285</v>
      </c>
      <c r="C526" s="7" t="s">
        <v>5286</v>
      </c>
      <c r="D526" s="7" t="s">
        <v>5287</v>
      </c>
      <c r="E526" s="7" t="n">
        <v>2042</v>
      </c>
      <c r="F526" s="7" t="s">
        <v>50</v>
      </c>
      <c r="G526" s="7" t="s">
        <v>2710</v>
      </c>
      <c r="H526" s="7" t="s">
        <v>5288</v>
      </c>
      <c r="I526" s="7" t="s">
        <v>2747</v>
      </c>
      <c r="J526" s="7" t="s">
        <v>5289</v>
      </c>
      <c r="K526" s="7" t="s">
        <v>2772</v>
      </c>
      <c r="L526" s="7" t="s">
        <v>2705</v>
      </c>
      <c r="M526" s="10" t="b">
        <f aca="false">FALSE()</f>
        <v>0</v>
      </c>
      <c r="N526" s="7" t="n">
        <v>-33.89788301</v>
      </c>
      <c r="O526" s="7" t="n">
        <v>151.1799247</v>
      </c>
    </row>
    <row r="527" customFormat="false" ht="15" hidden="false" customHeight="false" outlineLevel="0" collapsed="false">
      <c r="A527" s="7" t="s">
        <v>5290</v>
      </c>
      <c r="B527" s="7" t="s">
        <v>5291</v>
      </c>
      <c r="C527" s="7" t="s">
        <v>5292</v>
      </c>
      <c r="D527" s="7" t="s">
        <v>5293</v>
      </c>
      <c r="E527" s="7" t="n">
        <v>2151</v>
      </c>
      <c r="F527" s="7" t="s">
        <v>50</v>
      </c>
      <c r="G527" s="7" t="s">
        <v>2769</v>
      </c>
      <c r="H527" s="7" t="s">
        <v>5294</v>
      </c>
      <c r="I527" s="7" t="s">
        <v>3019</v>
      </c>
      <c r="J527" s="7"/>
      <c r="K527" s="7" t="s">
        <v>2772</v>
      </c>
      <c r="L527" s="7" t="s">
        <v>2705</v>
      </c>
      <c r="M527" s="10" t="b">
        <f aca="false">FALSE()</f>
        <v>0</v>
      </c>
      <c r="N527" s="7" t="n">
        <v>-33.801459</v>
      </c>
      <c r="O527" s="7" t="n">
        <v>151.001383</v>
      </c>
    </row>
    <row r="528" customFormat="false" ht="15" hidden="false" customHeight="false" outlineLevel="0" collapsed="false">
      <c r="A528" s="7" t="s">
        <v>5295</v>
      </c>
      <c r="B528" s="7" t="s">
        <v>5296</v>
      </c>
      <c r="C528" s="7" t="s">
        <v>5297</v>
      </c>
      <c r="D528" s="7" t="s">
        <v>5298</v>
      </c>
      <c r="E528" s="7" t="n">
        <v>2250</v>
      </c>
      <c r="F528" s="7" t="s">
        <v>50</v>
      </c>
      <c r="G528" s="7" t="s">
        <v>2710</v>
      </c>
      <c r="H528" s="7" t="s">
        <v>5299</v>
      </c>
      <c r="I528" s="7" t="s">
        <v>2747</v>
      </c>
      <c r="J528" s="7" t="s">
        <v>4767</v>
      </c>
      <c r="K528" s="7" t="s">
        <v>2704</v>
      </c>
      <c r="L528" s="7" t="s">
        <v>2705</v>
      </c>
      <c r="M528" s="10" t="b">
        <f aca="false">TRUE()</f>
        <v>1</v>
      </c>
      <c r="N528" s="7" t="n">
        <v>-33.38333131</v>
      </c>
      <c r="O528" s="7" t="n">
        <v>151.3542821</v>
      </c>
    </row>
    <row r="529" customFormat="false" ht="15" hidden="false" customHeight="false" outlineLevel="0" collapsed="false">
      <c r="A529" s="7" t="s">
        <v>5300</v>
      </c>
      <c r="B529" s="7" t="s">
        <v>5301</v>
      </c>
      <c r="C529" s="7" t="s">
        <v>5302</v>
      </c>
      <c r="D529" s="7" t="s">
        <v>5303</v>
      </c>
      <c r="E529" s="7" t="n">
        <v>2631</v>
      </c>
      <c r="F529" s="7" t="s">
        <v>50</v>
      </c>
      <c r="G529" s="7" t="s">
        <v>2718</v>
      </c>
      <c r="H529" s="7"/>
      <c r="I529" s="7" t="s">
        <v>2719</v>
      </c>
      <c r="J529" s="7"/>
      <c r="K529" s="7"/>
      <c r="L529" s="7"/>
      <c r="M529" s="10" t="b">
        <f aca="false">FALSE()</f>
        <v>0</v>
      </c>
      <c r="N529" s="7" t="n">
        <v>-36.513522</v>
      </c>
      <c r="O529" s="7" t="n">
        <v>149.283734</v>
      </c>
    </row>
    <row r="530" customFormat="false" ht="15" hidden="false" customHeight="false" outlineLevel="0" collapsed="false">
      <c r="A530" s="7" t="s">
        <v>5304</v>
      </c>
      <c r="B530" s="7" t="s">
        <v>5305</v>
      </c>
      <c r="C530" s="7" t="s">
        <v>5306</v>
      </c>
      <c r="D530" s="7" t="s">
        <v>5307</v>
      </c>
      <c r="E530" s="7" t="n">
        <v>2076</v>
      </c>
      <c r="F530" s="7" t="s">
        <v>50</v>
      </c>
      <c r="G530" s="7" t="s">
        <v>2786</v>
      </c>
      <c r="H530" s="7" t="s">
        <v>5308</v>
      </c>
      <c r="I530" s="7" t="s">
        <v>2747</v>
      </c>
      <c r="J530" s="7" t="s">
        <v>5309</v>
      </c>
      <c r="K530" s="7" t="s">
        <v>2772</v>
      </c>
      <c r="L530" s="7" t="s">
        <v>2705</v>
      </c>
      <c r="M530" s="10" t="b">
        <f aca="false">FALSE()</f>
        <v>0</v>
      </c>
      <c r="N530" s="7" t="n">
        <v>-33.72075274</v>
      </c>
      <c r="O530" s="7" t="n">
        <v>151.0972405</v>
      </c>
    </row>
    <row r="531" customFormat="false" ht="15" hidden="false" customHeight="false" outlineLevel="0" collapsed="false">
      <c r="A531" s="7" t="s">
        <v>5310</v>
      </c>
      <c r="B531" s="7" t="s">
        <v>5311</v>
      </c>
      <c r="C531" s="7" t="s">
        <v>5312</v>
      </c>
      <c r="D531" s="7" t="s">
        <v>5313</v>
      </c>
      <c r="E531" s="7" t="n">
        <v>2113</v>
      </c>
      <c r="F531" s="7" t="s">
        <v>50</v>
      </c>
      <c r="G531" s="7" t="s">
        <v>4863</v>
      </c>
      <c r="H531" s="7" t="s">
        <v>4864</v>
      </c>
      <c r="I531" s="7" t="s">
        <v>4865</v>
      </c>
      <c r="J531" s="7" t="s">
        <v>5314</v>
      </c>
      <c r="K531" s="7" t="s">
        <v>2772</v>
      </c>
      <c r="L531" s="7" t="s">
        <v>2705</v>
      </c>
      <c r="M531" s="10" t="b">
        <f aca="false">FALSE()</f>
        <v>0</v>
      </c>
      <c r="N531" s="7" t="n">
        <v>-33.7944217</v>
      </c>
      <c r="O531" s="7" t="n">
        <v>151.1379398</v>
      </c>
    </row>
    <row r="532" customFormat="false" ht="15" hidden="false" customHeight="false" outlineLevel="0" collapsed="false">
      <c r="A532" s="7" t="s">
        <v>5315</v>
      </c>
      <c r="B532" s="7" t="s">
        <v>5316</v>
      </c>
      <c r="C532" s="7" t="s">
        <v>5317</v>
      </c>
      <c r="D532" s="7" t="s">
        <v>5318</v>
      </c>
      <c r="E532" s="7" t="n">
        <v>2137</v>
      </c>
      <c r="F532" s="7" t="s">
        <v>50</v>
      </c>
      <c r="G532" s="7" t="s">
        <v>2710</v>
      </c>
      <c r="H532" s="7" t="s">
        <v>5319</v>
      </c>
      <c r="I532" s="7" t="s">
        <v>2747</v>
      </c>
      <c r="J532" s="7" t="s">
        <v>5320</v>
      </c>
      <c r="K532" s="7" t="s">
        <v>2772</v>
      </c>
      <c r="L532" s="7" t="s">
        <v>2705</v>
      </c>
      <c r="M532" s="10" t="b">
        <f aca="false">FALSE()</f>
        <v>0</v>
      </c>
      <c r="N532" s="7" t="n">
        <v>-33.85868801</v>
      </c>
      <c r="O532" s="7" t="n">
        <v>151.0879861</v>
      </c>
    </row>
    <row r="533" customFormat="false" ht="15" hidden="false" customHeight="false" outlineLevel="0" collapsed="false">
      <c r="A533" s="7" t="s">
        <v>5321</v>
      </c>
      <c r="B533" s="7" t="s">
        <v>5322</v>
      </c>
      <c r="C533" s="7" t="s">
        <v>5323</v>
      </c>
      <c r="D533" s="7" t="s">
        <v>5324</v>
      </c>
      <c r="E533" s="7" t="n">
        <v>2060</v>
      </c>
      <c r="F533" s="7" t="s">
        <v>50</v>
      </c>
      <c r="G533" s="7" t="s">
        <v>2786</v>
      </c>
      <c r="H533" s="7" t="s">
        <v>3576</v>
      </c>
      <c r="I533" s="7" t="s">
        <v>3133</v>
      </c>
      <c r="J533" s="7" t="s">
        <v>5325</v>
      </c>
      <c r="K533" s="7" t="s">
        <v>2772</v>
      </c>
      <c r="L533" s="7" t="s">
        <v>2705</v>
      </c>
      <c r="M533" s="10" t="b">
        <f aca="false">TRUE()</f>
        <v>1</v>
      </c>
      <c r="N533" s="7" t="n">
        <v>-33.84120853</v>
      </c>
      <c r="O533" s="7" t="n">
        <v>151.2074102</v>
      </c>
    </row>
    <row r="534" customFormat="false" ht="15" hidden="false" customHeight="false" outlineLevel="0" collapsed="false">
      <c r="A534" s="7" t="s">
        <v>5326</v>
      </c>
      <c r="B534" s="7" t="s">
        <v>5327</v>
      </c>
      <c r="C534" s="7" t="s">
        <v>5328</v>
      </c>
      <c r="D534" s="7" t="s">
        <v>5329</v>
      </c>
      <c r="E534" s="7" t="n">
        <v>2060</v>
      </c>
      <c r="F534" s="7" t="s">
        <v>50</v>
      </c>
      <c r="G534" s="7" t="s">
        <v>2852</v>
      </c>
      <c r="H534" s="7" t="s">
        <v>5330</v>
      </c>
      <c r="I534" s="7" t="s">
        <v>2695</v>
      </c>
      <c r="J534" s="7"/>
      <c r="K534" s="7"/>
      <c r="L534" s="7"/>
      <c r="M534" s="10" t="b">
        <f aca="false">FALSE()</f>
        <v>0</v>
      </c>
      <c r="N534" s="7" t="n">
        <v>-33.84496235</v>
      </c>
      <c r="O534" s="7" t="n">
        <v>151.2187282</v>
      </c>
    </row>
    <row r="535" customFormat="false" ht="15" hidden="false" customHeight="false" outlineLevel="0" collapsed="false">
      <c r="A535" s="7" t="s">
        <v>5331</v>
      </c>
      <c r="B535" s="7" t="s">
        <v>5332</v>
      </c>
      <c r="C535" s="7" t="s">
        <v>5333</v>
      </c>
      <c r="D535" s="7" t="s">
        <v>5334</v>
      </c>
      <c r="E535" s="7" t="n">
        <v>2500</v>
      </c>
      <c r="F535" s="7" t="s">
        <v>50</v>
      </c>
      <c r="G535" s="7" t="s">
        <v>2786</v>
      </c>
      <c r="H535" s="7" t="s">
        <v>5335</v>
      </c>
      <c r="I535" s="7" t="s">
        <v>2747</v>
      </c>
      <c r="J535" s="7" t="s">
        <v>5336</v>
      </c>
      <c r="K535" s="7" t="s">
        <v>2704</v>
      </c>
      <c r="L535" s="7" t="s">
        <v>2705</v>
      </c>
      <c r="M535" s="10" t="b">
        <f aca="false">TRUE()</f>
        <v>1</v>
      </c>
      <c r="N535" s="7" t="n">
        <v>-34.41259326</v>
      </c>
      <c r="O535" s="7" t="n">
        <v>150.8913492</v>
      </c>
    </row>
    <row r="536" customFormat="false" ht="15" hidden="false" customHeight="false" outlineLevel="0" collapsed="false">
      <c r="A536" s="7" t="s">
        <v>5337</v>
      </c>
      <c r="B536" s="7" t="s">
        <v>5338</v>
      </c>
      <c r="C536" s="7" t="s">
        <v>5339</v>
      </c>
      <c r="D536" s="7" t="s">
        <v>5340</v>
      </c>
      <c r="E536" s="7" t="n">
        <v>2066</v>
      </c>
      <c r="F536" s="7" t="s">
        <v>50</v>
      </c>
      <c r="G536" s="7" t="s">
        <v>2852</v>
      </c>
      <c r="H536" s="7" t="s">
        <v>3699</v>
      </c>
      <c r="I536" s="7" t="s">
        <v>4253</v>
      </c>
      <c r="J536" s="7"/>
      <c r="K536" s="7"/>
      <c r="L536" s="7" t="s">
        <v>2705</v>
      </c>
      <c r="M536" s="10" t="b">
        <f aca="false">FALSE()</f>
        <v>0</v>
      </c>
      <c r="N536" s="7" t="n">
        <v>-33.832464</v>
      </c>
      <c r="O536" s="7" t="n">
        <v>151.178664</v>
      </c>
    </row>
    <row r="537" customFormat="false" ht="15" hidden="false" customHeight="false" outlineLevel="0" collapsed="false">
      <c r="A537" s="7" t="s">
        <v>5341</v>
      </c>
      <c r="B537" s="7" t="s">
        <v>5342</v>
      </c>
      <c r="C537" s="7" t="s">
        <v>5343</v>
      </c>
      <c r="D537" s="7" t="s">
        <v>5344</v>
      </c>
      <c r="E537" s="7" t="n">
        <v>2153</v>
      </c>
      <c r="F537" s="7" t="s">
        <v>50</v>
      </c>
      <c r="G537" s="7" t="s">
        <v>2982</v>
      </c>
      <c r="H537" s="7" t="s">
        <v>3501</v>
      </c>
      <c r="I537" s="7" t="s">
        <v>5345</v>
      </c>
      <c r="J537" s="7"/>
      <c r="K537" s="7" t="s">
        <v>2772</v>
      </c>
      <c r="L537" s="7" t="s">
        <v>2705</v>
      </c>
      <c r="M537" s="10" t="b">
        <f aca="false">FALSE()</f>
        <v>0</v>
      </c>
      <c r="N537" s="7" t="n">
        <v>-33.734348</v>
      </c>
      <c r="O537" s="7" t="n">
        <v>150.963846</v>
      </c>
    </row>
    <row r="538" customFormat="false" ht="15" hidden="false" customHeight="false" outlineLevel="0" collapsed="false">
      <c r="A538" s="7" t="s">
        <v>5346</v>
      </c>
      <c r="B538" s="7" t="s">
        <v>5347</v>
      </c>
      <c r="C538" s="7" t="s">
        <v>5348</v>
      </c>
      <c r="D538" s="7" t="s">
        <v>5349</v>
      </c>
      <c r="E538" s="7" t="n">
        <v>2825</v>
      </c>
      <c r="F538" s="7" t="s">
        <v>50</v>
      </c>
      <c r="G538" s="7" t="s">
        <v>2718</v>
      </c>
      <c r="H538" s="7"/>
      <c r="I538" s="7" t="s">
        <v>2719</v>
      </c>
      <c r="J538" s="7"/>
      <c r="K538" s="7"/>
      <c r="L538" s="7"/>
      <c r="M538" s="10" t="b">
        <f aca="false">FALSE()</f>
        <v>0</v>
      </c>
      <c r="N538" s="7" t="n">
        <v>-31.562975</v>
      </c>
      <c r="O538" s="7" t="n">
        <v>147.196784</v>
      </c>
    </row>
    <row r="539" customFormat="false" ht="15" hidden="false" customHeight="false" outlineLevel="0" collapsed="false">
      <c r="A539" s="7" t="s">
        <v>5350</v>
      </c>
      <c r="B539" s="7" t="s">
        <v>5351</v>
      </c>
      <c r="C539" s="7" t="s">
        <v>5352</v>
      </c>
      <c r="D539" s="7" t="s">
        <v>5353</v>
      </c>
      <c r="E539" s="7" t="n">
        <v>2529</v>
      </c>
      <c r="F539" s="7" t="s">
        <v>50</v>
      </c>
      <c r="G539" s="7" t="s">
        <v>2786</v>
      </c>
      <c r="H539" s="7" t="s">
        <v>5354</v>
      </c>
      <c r="I539" s="7" t="s">
        <v>2702</v>
      </c>
      <c r="J539" s="7" t="s">
        <v>5355</v>
      </c>
      <c r="K539" s="7" t="s">
        <v>2704</v>
      </c>
      <c r="L539" s="7" t="s">
        <v>2705</v>
      </c>
      <c r="M539" s="10" t="b">
        <f aca="false">TRUE()</f>
        <v>1</v>
      </c>
      <c r="N539" s="7" t="n">
        <v>-34.57223075</v>
      </c>
      <c r="O539" s="7" t="n">
        <v>150.8209079</v>
      </c>
    </row>
    <row r="540" customFormat="false" ht="15" hidden="false" customHeight="false" outlineLevel="0" collapsed="false">
      <c r="A540" s="7" t="s">
        <v>5356</v>
      </c>
      <c r="B540" s="7" t="s">
        <v>5357</v>
      </c>
      <c r="C540" s="7" t="s">
        <v>5358</v>
      </c>
      <c r="D540" s="7" t="s">
        <v>5359</v>
      </c>
      <c r="E540" s="7" t="n">
        <v>2223</v>
      </c>
      <c r="F540" s="7" t="s">
        <v>50</v>
      </c>
      <c r="G540" s="7" t="s">
        <v>2786</v>
      </c>
      <c r="H540" s="7" t="s">
        <v>2746</v>
      </c>
      <c r="I540" s="7" t="s">
        <v>2747</v>
      </c>
      <c r="J540" s="7" t="s">
        <v>5360</v>
      </c>
      <c r="K540" s="7" t="s">
        <v>2772</v>
      </c>
      <c r="L540" s="7" t="s">
        <v>2705</v>
      </c>
      <c r="M540" s="10" t="b">
        <f aca="false">TRUE()</f>
        <v>1</v>
      </c>
      <c r="N540" s="7" t="n">
        <v>-33.98084516</v>
      </c>
      <c r="O540" s="7" t="n">
        <v>151.0789651</v>
      </c>
    </row>
    <row r="541" customFormat="false" ht="15" hidden="false" customHeight="false" outlineLevel="0" collapsed="false">
      <c r="A541" s="7" t="s">
        <v>5361</v>
      </c>
      <c r="B541" s="7" t="s">
        <v>5362</v>
      </c>
      <c r="C541" s="7" t="s">
        <v>5363</v>
      </c>
      <c r="D541" s="7" t="s">
        <v>5364</v>
      </c>
      <c r="E541" s="7" t="n">
        <v>2483</v>
      </c>
      <c r="F541" s="7" t="s">
        <v>50</v>
      </c>
      <c r="G541" s="7" t="s">
        <v>2718</v>
      </c>
      <c r="H541" s="7"/>
      <c r="I541" s="7" t="s">
        <v>2719</v>
      </c>
      <c r="J541" s="7"/>
      <c r="K541" s="7"/>
      <c r="L541" s="7"/>
      <c r="M541" s="10" t="b">
        <f aca="false">FALSE()</f>
        <v>0</v>
      </c>
      <c r="N541" s="7" t="n">
        <v>-28.524816</v>
      </c>
      <c r="O541" s="7" t="n">
        <v>153.545954</v>
      </c>
    </row>
    <row r="542" customFormat="false" ht="15" hidden="false" customHeight="false" outlineLevel="0" collapsed="false">
      <c r="A542" s="7" t="s">
        <v>5365</v>
      </c>
      <c r="B542" s="7" t="s">
        <v>5366</v>
      </c>
      <c r="C542" s="7" t="s">
        <v>5367</v>
      </c>
      <c r="D542" s="7" t="s">
        <v>5368</v>
      </c>
      <c r="E542" s="7" t="n">
        <v>2090</v>
      </c>
      <c r="F542" s="7" t="s">
        <v>50</v>
      </c>
      <c r="G542" s="7" t="s">
        <v>2852</v>
      </c>
      <c r="H542" s="7" t="s">
        <v>5369</v>
      </c>
      <c r="I542" s="7" t="s">
        <v>3821</v>
      </c>
      <c r="J542" s="7"/>
      <c r="K542" s="7"/>
      <c r="L542" s="7"/>
      <c r="M542" s="10" t="b">
        <f aca="false">FALSE()</f>
        <v>0</v>
      </c>
      <c r="N542" s="7" t="n">
        <v>-33.84092232</v>
      </c>
      <c r="O542" s="7" t="n">
        <v>151.2305011</v>
      </c>
    </row>
    <row r="543" customFormat="false" ht="15" hidden="false" customHeight="false" outlineLevel="0" collapsed="false">
      <c r="A543" s="7" t="s">
        <v>5370</v>
      </c>
      <c r="B543" s="7" t="s">
        <v>5371</v>
      </c>
      <c r="C543" s="7" t="s">
        <v>5372</v>
      </c>
      <c r="D543" s="7" t="s">
        <v>5373</v>
      </c>
      <c r="E543" s="7" t="n">
        <v>2127</v>
      </c>
      <c r="F543" s="7" t="s">
        <v>50</v>
      </c>
      <c r="G543" s="7" t="s">
        <v>2786</v>
      </c>
      <c r="H543" s="7" t="s">
        <v>5374</v>
      </c>
      <c r="I543" s="7" t="s">
        <v>3133</v>
      </c>
      <c r="J543" s="7" t="s">
        <v>5375</v>
      </c>
      <c r="K543" s="7" t="s">
        <v>2772</v>
      </c>
      <c r="L543" s="7" t="s">
        <v>2705</v>
      </c>
      <c r="M543" s="10" t="b">
        <f aca="false">TRUE()</f>
        <v>1</v>
      </c>
      <c r="N543" s="7" t="n">
        <v>-33.84652013</v>
      </c>
      <c r="O543" s="7" t="n">
        <v>151.0695472</v>
      </c>
    </row>
    <row r="544" customFormat="false" ht="15" hidden="false" customHeight="false" outlineLevel="0" collapsed="false">
      <c r="A544" s="7" t="s">
        <v>5376</v>
      </c>
      <c r="B544" s="7" t="s">
        <v>5377</v>
      </c>
      <c r="C544" s="7" t="s">
        <v>5378</v>
      </c>
      <c r="D544" s="7" t="s">
        <v>5379</v>
      </c>
      <c r="E544" s="7" t="n">
        <v>2875</v>
      </c>
      <c r="F544" s="7" t="s">
        <v>50</v>
      </c>
      <c r="G544" s="7" t="s">
        <v>2718</v>
      </c>
      <c r="H544" s="7"/>
      <c r="I544" s="7" t="s">
        <v>2719</v>
      </c>
      <c r="J544" s="7"/>
      <c r="K544" s="7"/>
      <c r="L544" s="7"/>
      <c r="M544" s="10" t="b">
        <f aca="false">FALSE()</f>
        <v>0</v>
      </c>
      <c r="N544" s="7" t="n">
        <v>-33.121352</v>
      </c>
      <c r="O544" s="7" t="n">
        <v>147.448015</v>
      </c>
    </row>
    <row r="545" customFormat="false" ht="15" hidden="false" customHeight="false" outlineLevel="0" collapsed="false">
      <c r="A545" s="7" t="s">
        <v>5380</v>
      </c>
      <c r="B545" s="7" t="s">
        <v>5381</v>
      </c>
      <c r="C545" s="7" t="s">
        <v>5382</v>
      </c>
      <c r="D545" s="7" t="s">
        <v>5383</v>
      </c>
      <c r="E545" s="7" t="n">
        <v>2800</v>
      </c>
      <c r="F545" s="7" t="s">
        <v>50</v>
      </c>
      <c r="G545" s="7" t="s">
        <v>2735</v>
      </c>
      <c r="H545" s="7" t="s">
        <v>2736</v>
      </c>
      <c r="I545" s="7" t="s">
        <v>5384</v>
      </c>
      <c r="J545" s="7"/>
      <c r="K545" s="7"/>
      <c r="L545" s="7"/>
      <c r="M545" s="10" t="b">
        <f aca="false">FALSE()</f>
        <v>0</v>
      </c>
      <c r="N545" s="7" t="n">
        <v>-33.286992</v>
      </c>
      <c r="O545" s="7" t="n">
        <v>149.103703</v>
      </c>
    </row>
    <row r="546" customFormat="false" ht="15" hidden="false" customHeight="false" outlineLevel="0" collapsed="false">
      <c r="A546" s="7" t="s">
        <v>5385</v>
      </c>
      <c r="B546" s="7" t="s">
        <v>5386</v>
      </c>
      <c r="C546" s="7" t="s">
        <v>5387</v>
      </c>
      <c r="D546" s="7" t="s">
        <v>5388</v>
      </c>
      <c r="E546" s="7" t="n">
        <v>2508</v>
      </c>
      <c r="F546" s="7" t="s">
        <v>50</v>
      </c>
      <c r="G546" s="7" t="s">
        <v>2806</v>
      </c>
      <c r="H546" s="7" t="s">
        <v>2824</v>
      </c>
      <c r="I546" s="7" t="s">
        <v>3202</v>
      </c>
      <c r="J546" s="7" t="s">
        <v>5389</v>
      </c>
      <c r="K546" s="7" t="s">
        <v>2704</v>
      </c>
      <c r="L546" s="7" t="s">
        <v>2705</v>
      </c>
      <c r="M546" s="10" t="b">
        <f aca="false">TRUE()</f>
        <v>1</v>
      </c>
      <c r="N546" s="7" t="n">
        <v>-34.21020004</v>
      </c>
      <c r="O546" s="7" t="n">
        <v>151.0060039</v>
      </c>
    </row>
    <row r="547" customFormat="false" ht="15" hidden="false" customHeight="false" outlineLevel="0" collapsed="false">
      <c r="A547" s="7" t="s">
        <v>5390</v>
      </c>
      <c r="B547" s="7" t="s">
        <v>5391</v>
      </c>
      <c r="C547" s="7" t="s">
        <v>5392</v>
      </c>
      <c r="D547" s="7" t="s">
        <v>5393</v>
      </c>
      <c r="E547" s="7" t="n">
        <v>2258</v>
      </c>
      <c r="F547" s="7" t="s">
        <v>50</v>
      </c>
      <c r="G547" s="7" t="s">
        <v>2710</v>
      </c>
      <c r="H547" s="7" t="s">
        <v>3725</v>
      </c>
      <c r="I547" s="7" t="s">
        <v>2747</v>
      </c>
      <c r="J547" s="7" t="s">
        <v>5394</v>
      </c>
      <c r="K547" s="7" t="s">
        <v>2704</v>
      </c>
      <c r="L547" s="7" t="s">
        <v>2705</v>
      </c>
      <c r="M547" s="10" t="b">
        <f aca="false">TRUE()</f>
        <v>1</v>
      </c>
      <c r="N547" s="7" t="n">
        <v>-33.35960353</v>
      </c>
      <c r="O547" s="7" t="n">
        <v>151.3699892</v>
      </c>
    </row>
    <row r="548" customFormat="false" ht="15" hidden="false" customHeight="false" outlineLevel="0" collapsed="false">
      <c r="A548" s="7" t="s">
        <v>5395</v>
      </c>
      <c r="B548" s="7" t="s">
        <v>5396</v>
      </c>
      <c r="C548" s="7" t="s">
        <v>5397</v>
      </c>
      <c r="D548" s="7" t="s">
        <v>5398</v>
      </c>
      <c r="E548" s="7" t="n">
        <v>2000</v>
      </c>
      <c r="F548" s="7" t="s">
        <v>50</v>
      </c>
      <c r="G548" s="7" t="s">
        <v>2769</v>
      </c>
      <c r="H548" s="7" t="s">
        <v>2872</v>
      </c>
      <c r="I548" s="7" t="s">
        <v>3450</v>
      </c>
      <c r="J548" s="7"/>
      <c r="K548" s="7" t="s">
        <v>2772</v>
      </c>
      <c r="L548" s="7" t="s">
        <v>2705</v>
      </c>
      <c r="M548" s="10" t="b">
        <f aca="false">FALSE()</f>
        <v>0</v>
      </c>
      <c r="N548" s="7" t="n">
        <v>-33.87925321</v>
      </c>
      <c r="O548" s="7" t="n">
        <v>151.2027409</v>
      </c>
    </row>
    <row r="549" customFormat="false" ht="15" hidden="false" customHeight="false" outlineLevel="0" collapsed="false">
      <c r="A549" s="7" t="s">
        <v>5399</v>
      </c>
      <c r="B549" s="7" t="s">
        <v>5400</v>
      </c>
      <c r="C549" s="7" t="s">
        <v>5401</v>
      </c>
      <c r="D549" s="7" t="s">
        <v>5402</v>
      </c>
      <c r="E549" s="7" t="n">
        <v>2211</v>
      </c>
      <c r="F549" s="7" t="s">
        <v>50</v>
      </c>
      <c r="G549" s="7" t="s">
        <v>2786</v>
      </c>
      <c r="H549" s="7" t="s">
        <v>5006</v>
      </c>
      <c r="I549" s="7" t="s">
        <v>2747</v>
      </c>
      <c r="J549" s="7" t="s">
        <v>5403</v>
      </c>
      <c r="K549" s="7" t="s">
        <v>2772</v>
      </c>
      <c r="L549" s="7" t="s">
        <v>2705</v>
      </c>
      <c r="M549" s="10" t="b">
        <f aca="false">FALSE()</f>
        <v>0</v>
      </c>
      <c r="N549" s="7" t="n">
        <v>-33.95189202</v>
      </c>
      <c r="O549" s="7" t="n">
        <v>151.0325572</v>
      </c>
    </row>
    <row r="550" customFormat="false" ht="15" hidden="false" customHeight="false" outlineLevel="0" collapsed="false">
      <c r="A550" s="7" t="s">
        <v>5404</v>
      </c>
      <c r="B550" s="7" t="s">
        <v>5405</v>
      </c>
      <c r="C550" s="7" t="s">
        <v>5406</v>
      </c>
      <c r="D550" s="7" t="s">
        <v>5407</v>
      </c>
      <c r="E550" s="7" t="n">
        <v>4221</v>
      </c>
      <c r="F550" s="7" t="s">
        <v>50</v>
      </c>
      <c r="G550" s="7" t="s">
        <v>2718</v>
      </c>
      <c r="H550" s="7"/>
      <c r="I550" s="7" t="s">
        <v>2719</v>
      </c>
      <c r="J550" s="7"/>
      <c r="K550" s="7"/>
      <c r="L550" s="7"/>
      <c r="M550" s="10" t="b">
        <f aca="false">FALSE()</f>
        <v>0</v>
      </c>
      <c r="N550" s="7" t="n">
        <v>-28.120533</v>
      </c>
      <c r="O550" s="7" t="n">
        <v>153.472207</v>
      </c>
    </row>
    <row r="551" customFormat="false" ht="15" hidden="false" customHeight="false" outlineLevel="0" collapsed="false">
      <c r="A551" s="7" t="s">
        <v>5408</v>
      </c>
      <c r="B551" s="7" t="s">
        <v>5409</v>
      </c>
      <c r="C551" s="7" t="s">
        <v>5410</v>
      </c>
      <c r="D551" s="7" t="s">
        <v>5411</v>
      </c>
      <c r="E551" s="7" t="n">
        <v>2463</v>
      </c>
      <c r="F551" s="7" t="s">
        <v>50</v>
      </c>
      <c r="G551" s="7" t="s">
        <v>2718</v>
      </c>
      <c r="H551" s="7"/>
      <c r="I551" s="7" t="s">
        <v>2719</v>
      </c>
      <c r="J551" s="7"/>
      <c r="K551" s="7"/>
      <c r="L551" s="7"/>
      <c r="M551" s="10" t="b">
        <f aca="false">FALSE()</f>
        <v>0</v>
      </c>
      <c r="N551" s="7" t="n">
        <v>-29.420222</v>
      </c>
      <c r="O551" s="7" t="n">
        <v>153.288966</v>
      </c>
    </row>
    <row r="552" customFormat="false" ht="15" hidden="false" customHeight="false" outlineLevel="0" collapsed="false">
      <c r="A552" s="7" t="s">
        <v>5412</v>
      </c>
      <c r="B552" s="7" t="s">
        <v>5413</v>
      </c>
      <c r="C552" s="7" t="s">
        <v>5414</v>
      </c>
      <c r="D552" s="7" t="s">
        <v>5415</v>
      </c>
      <c r="E552" s="7" t="n">
        <v>2549</v>
      </c>
      <c r="F552" s="7" t="s">
        <v>50</v>
      </c>
      <c r="G552" s="7" t="s">
        <v>2837</v>
      </c>
      <c r="H552" s="7"/>
      <c r="I552" s="7" t="s">
        <v>2719</v>
      </c>
      <c r="J552" s="7"/>
      <c r="K552" s="7"/>
      <c r="L552" s="7"/>
      <c r="M552" s="10" t="b">
        <f aca="false">FALSE()</f>
        <v>0</v>
      </c>
      <c r="N552" s="7" t="n">
        <v>-36.930474</v>
      </c>
      <c r="O552" s="7" t="n">
        <v>149.875171</v>
      </c>
    </row>
    <row r="553" customFormat="false" ht="15" hidden="false" customHeight="false" outlineLevel="0" collapsed="false">
      <c r="A553" s="7" t="s">
        <v>5416</v>
      </c>
      <c r="B553" s="7" t="s">
        <v>5417</v>
      </c>
      <c r="C553" s="7" t="s">
        <v>5418</v>
      </c>
      <c r="D553" s="7" t="s">
        <v>5419</v>
      </c>
      <c r="E553" s="7" t="n">
        <v>2213</v>
      </c>
      <c r="F553" s="7" t="s">
        <v>50</v>
      </c>
      <c r="G553" s="7" t="s">
        <v>2786</v>
      </c>
      <c r="H553" s="7" t="s">
        <v>2787</v>
      </c>
      <c r="I553" s="7" t="s">
        <v>2747</v>
      </c>
      <c r="J553" s="7" t="s">
        <v>5420</v>
      </c>
      <c r="K553" s="7" t="s">
        <v>2772</v>
      </c>
      <c r="L553" s="7" t="s">
        <v>2705</v>
      </c>
      <c r="M553" s="10" t="b">
        <f aca="false">FALSE()</f>
        <v>0</v>
      </c>
      <c r="N553" s="7" t="n">
        <v>-33.95431112</v>
      </c>
      <c r="O553" s="7" t="n">
        <v>150.9978261</v>
      </c>
    </row>
    <row r="554" customFormat="false" ht="15" hidden="false" customHeight="false" outlineLevel="0" collapsed="false">
      <c r="A554" s="7" t="s">
        <v>5421</v>
      </c>
      <c r="B554" s="7" t="s">
        <v>5422</v>
      </c>
      <c r="C554" s="7" t="s">
        <v>5423</v>
      </c>
      <c r="D554" s="7" t="s">
        <v>5424</v>
      </c>
      <c r="E554" s="7" t="n">
        <v>2870</v>
      </c>
      <c r="F554" s="7" t="s">
        <v>50</v>
      </c>
      <c r="G554" s="7" t="s">
        <v>3269</v>
      </c>
      <c r="H554" s="7" t="s">
        <v>5425</v>
      </c>
      <c r="I554" s="7" t="s">
        <v>5384</v>
      </c>
      <c r="J554" s="7"/>
      <c r="K554" s="7"/>
      <c r="L554" s="7"/>
      <c r="M554" s="10" t="b">
        <f aca="false">FALSE()</f>
        <v>0</v>
      </c>
      <c r="N554" s="7" t="n">
        <v>-33.142132</v>
      </c>
      <c r="O554" s="7" t="n">
        <v>148.173185</v>
      </c>
    </row>
    <row r="555" customFormat="false" ht="15" hidden="false" customHeight="false" outlineLevel="0" collapsed="false">
      <c r="A555" s="7" t="s">
        <v>5426</v>
      </c>
      <c r="B555" s="7" t="s">
        <v>5427</v>
      </c>
      <c r="C555" s="7" t="s">
        <v>5428</v>
      </c>
      <c r="D555" s="7" t="s">
        <v>5429</v>
      </c>
      <c r="E555" s="7" t="n">
        <v>2150</v>
      </c>
      <c r="F555" s="7" t="s">
        <v>50</v>
      </c>
      <c r="G555" s="7" t="s">
        <v>2769</v>
      </c>
      <c r="H555" s="7" t="s">
        <v>5430</v>
      </c>
      <c r="I555" s="7" t="s">
        <v>3019</v>
      </c>
      <c r="J555" s="7"/>
      <c r="K555" s="7" t="s">
        <v>2772</v>
      </c>
      <c r="L555" s="7" t="s">
        <v>2705</v>
      </c>
      <c r="M555" s="10" t="b">
        <f aca="false">FALSE()</f>
        <v>0</v>
      </c>
      <c r="N555" s="7" t="n">
        <v>-33.815554</v>
      </c>
      <c r="O555" s="7" t="n">
        <v>151.005132</v>
      </c>
    </row>
    <row r="556" customFormat="false" ht="15" hidden="false" customHeight="false" outlineLevel="0" collapsed="false">
      <c r="A556" s="7" t="s">
        <v>5431</v>
      </c>
      <c r="B556" s="7" t="s">
        <v>5432</v>
      </c>
      <c r="C556" s="7" t="s">
        <v>5433</v>
      </c>
      <c r="D556" s="7" t="s">
        <v>5434</v>
      </c>
      <c r="E556" s="7" t="n">
        <v>2150</v>
      </c>
      <c r="F556" s="7" t="s">
        <v>50</v>
      </c>
      <c r="G556" s="7" t="s">
        <v>2786</v>
      </c>
      <c r="H556" s="7" t="s">
        <v>5435</v>
      </c>
      <c r="I556" s="7" t="s">
        <v>3133</v>
      </c>
      <c r="J556" s="7" t="s">
        <v>5436</v>
      </c>
      <c r="K556" s="7" t="s">
        <v>2772</v>
      </c>
      <c r="L556" s="7" t="s">
        <v>2705</v>
      </c>
      <c r="M556" s="10" t="b">
        <f aca="false">TRUE()</f>
        <v>1</v>
      </c>
      <c r="N556" s="7" t="n">
        <v>-33.81757926</v>
      </c>
      <c r="O556" s="7" t="n">
        <v>151.0055351</v>
      </c>
    </row>
    <row r="557" customFormat="false" ht="15" hidden="false" customHeight="false" outlineLevel="0" collapsed="false">
      <c r="A557" s="7" t="s">
        <v>5437</v>
      </c>
      <c r="B557" s="7" t="s">
        <v>5438</v>
      </c>
      <c r="C557" s="7" t="s">
        <v>5439</v>
      </c>
      <c r="D557" s="7" t="s">
        <v>5440</v>
      </c>
      <c r="E557" s="7" t="n">
        <v>2150</v>
      </c>
      <c r="F557" s="7" t="s">
        <v>50</v>
      </c>
      <c r="G557" s="7" t="s">
        <v>5441</v>
      </c>
      <c r="H557" s="7" t="s">
        <v>5442</v>
      </c>
      <c r="I557" s="7" t="s">
        <v>2695</v>
      </c>
      <c r="J557" s="7"/>
      <c r="K557" s="7"/>
      <c r="L557" s="7"/>
      <c r="M557" s="10" t="b">
        <f aca="false">FALSE()</f>
        <v>0</v>
      </c>
      <c r="N557" s="7" t="n">
        <v>-33.81391554</v>
      </c>
      <c r="O557" s="7" t="n">
        <v>151.010585</v>
      </c>
    </row>
    <row r="558" customFormat="false" ht="15" hidden="false" customHeight="false" outlineLevel="0" collapsed="false">
      <c r="A558" s="7" t="s">
        <v>5443</v>
      </c>
      <c r="B558" s="7" t="s">
        <v>5444</v>
      </c>
      <c r="C558" s="7" t="s">
        <v>5445</v>
      </c>
      <c r="D558" s="7" t="s">
        <v>5446</v>
      </c>
      <c r="E558" s="7" t="n">
        <v>2421</v>
      </c>
      <c r="F558" s="7" t="s">
        <v>50</v>
      </c>
      <c r="G558" s="7" t="s">
        <v>2806</v>
      </c>
      <c r="H558" s="7" t="s">
        <v>4539</v>
      </c>
      <c r="I558" s="7" t="s">
        <v>3633</v>
      </c>
      <c r="J558" s="7" t="s">
        <v>4927</v>
      </c>
      <c r="K558" s="7" t="s">
        <v>2704</v>
      </c>
      <c r="L558" s="7" t="s">
        <v>2705</v>
      </c>
      <c r="M558" s="10" t="b">
        <f aca="false">TRUE()</f>
        <v>1</v>
      </c>
      <c r="N558" s="7" t="n">
        <v>-32.60240094</v>
      </c>
      <c r="O558" s="7" t="n">
        <v>151.6146372</v>
      </c>
    </row>
    <row r="559" customFormat="false" ht="15" hidden="false" customHeight="false" outlineLevel="0" collapsed="false">
      <c r="A559" s="7" t="s">
        <v>5447</v>
      </c>
      <c r="B559" s="7" t="s">
        <v>5448</v>
      </c>
      <c r="C559" s="7" t="s">
        <v>5449</v>
      </c>
      <c r="D559" s="7" t="s">
        <v>5450</v>
      </c>
      <c r="E559" s="7" t="n">
        <v>2869</v>
      </c>
      <c r="F559" s="7" t="s">
        <v>50</v>
      </c>
      <c r="G559" s="7" t="s">
        <v>2718</v>
      </c>
      <c r="H559" s="7"/>
      <c r="I559" s="7" t="s">
        <v>2719</v>
      </c>
      <c r="J559" s="7"/>
      <c r="K559" s="7"/>
      <c r="L559" s="7"/>
      <c r="M559" s="10" t="b">
        <f aca="false">FALSE()</f>
        <v>0</v>
      </c>
      <c r="N559" s="7" t="n">
        <v>-32.725638</v>
      </c>
      <c r="O559" s="7" t="n">
        <v>148.191042</v>
      </c>
    </row>
    <row r="560" customFormat="false" ht="15" hidden="false" customHeight="false" outlineLevel="0" collapsed="false">
      <c r="A560" s="7" t="s">
        <v>5451</v>
      </c>
      <c r="B560" s="7" t="s">
        <v>5452</v>
      </c>
      <c r="C560" s="7" t="s">
        <v>5453</v>
      </c>
      <c r="D560" s="7" t="s">
        <v>5454</v>
      </c>
      <c r="E560" s="7" t="n">
        <v>2145</v>
      </c>
      <c r="F560" s="7" t="s">
        <v>50</v>
      </c>
      <c r="G560" s="7" t="s">
        <v>2786</v>
      </c>
      <c r="H560" s="7" t="s">
        <v>5455</v>
      </c>
      <c r="I560" s="7" t="s">
        <v>2747</v>
      </c>
      <c r="J560" s="7" t="s">
        <v>5456</v>
      </c>
      <c r="K560" s="7" t="s">
        <v>2772</v>
      </c>
      <c r="L560" s="7" t="s">
        <v>2705</v>
      </c>
      <c r="M560" s="10" t="b">
        <f aca="false">FALSE()</f>
        <v>0</v>
      </c>
      <c r="N560" s="7" t="n">
        <v>-33.8013479</v>
      </c>
      <c r="O560" s="7" t="n">
        <v>150.9563427</v>
      </c>
    </row>
    <row r="561" customFormat="false" ht="15" hidden="false" customHeight="false" outlineLevel="0" collapsed="false">
      <c r="A561" s="7" t="s">
        <v>5457</v>
      </c>
      <c r="B561" s="7" t="s">
        <v>5458</v>
      </c>
      <c r="C561" s="7" t="s">
        <v>5459</v>
      </c>
      <c r="D561" s="7" t="s">
        <v>5460</v>
      </c>
      <c r="E561" s="7" t="n">
        <v>2120</v>
      </c>
      <c r="F561" s="7" t="s">
        <v>50</v>
      </c>
      <c r="G561" s="7" t="s">
        <v>2786</v>
      </c>
      <c r="H561" s="7" t="s">
        <v>4005</v>
      </c>
      <c r="I561" s="7" t="s">
        <v>2747</v>
      </c>
      <c r="J561" s="7" t="s">
        <v>5461</v>
      </c>
      <c r="K561" s="7" t="s">
        <v>2772</v>
      </c>
      <c r="L561" s="7" t="s">
        <v>2705</v>
      </c>
      <c r="M561" s="10" t="b">
        <f aca="false">FALSE()</f>
        <v>0</v>
      </c>
      <c r="N561" s="7" t="n">
        <v>-33.73793863</v>
      </c>
      <c r="O561" s="7" t="n">
        <v>151.0725297</v>
      </c>
    </row>
    <row r="562" customFormat="false" ht="15" hidden="false" customHeight="false" outlineLevel="0" collapsed="false">
      <c r="A562" s="7" t="s">
        <v>5462</v>
      </c>
      <c r="B562" s="7" t="s">
        <v>5463</v>
      </c>
      <c r="C562" s="7" t="s">
        <v>5464</v>
      </c>
      <c r="D562" s="7" t="s">
        <v>5465</v>
      </c>
      <c r="E562" s="7" t="n">
        <v>2750</v>
      </c>
      <c r="F562" s="7" t="s">
        <v>50</v>
      </c>
      <c r="G562" s="7" t="s">
        <v>2786</v>
      </c>
      <c r="H562" s="7" t="s">
        <v>5466</v>
      </c>
      <c r="I562" s="7" t="s">
        <v>2747</v>
      </c>
      <c r="J562" s="7" t="s">
        <v>5467</v>
      </c>
      <c r="K562" s="7" t="s">
        <v>2772</v>
      </c>
      <c r="L562" s="7" t="s">
        <v>2705</v>
      </c>
      <c r="M562" s="10" t="b">
        <f aca="false">TRUE()</f>
        <v>1</v>
      </c>
      <c r="N562" s="7" t="n">
        <v>-33.75005529</v>
      </c>
      <c r="O562" s="7" t="n">
        <v>150.6961348</v>
      </c>
    </row>
    <row r="563" customFormat="false" ht="15" hidden="false" customHeight="false" outlineLevel="0" collapsed="false">
      <c r="A563" s="7" t="s">
        <v>5468</v>
      </c>
      <c r="B563" s="7" t="s">
        <v>5469</v>
      </c>
      <c r="C563" s="7" t="s">
        <v>5470</v>
      </c>
      <c r="D563" s="7" t="s">
        <v>5471</v>
      </c>
      <c r="E563" s="7" t="n">
        <v>2579</v>
      </c>
      <c r="F563" s="7" t="s">
        <v>50</v>
      </c>
      <c r="G563" s="7" t="s">
        <v>2806</v>
      </c>
      <c r="H563" s="7" t="s">
        <v>2701</v>
      </c>
      <c r="I563" s="7" t="s">
        <v>3889</v>
      </c>
      <c r="J563" s="7" t="s">
        <v>3317</v>
      </c>
      <c r="K563" s="7" t="s">
        <v>2704</v>
      </c>
      <c r="L563" s="7" t="s">
        <v>2705</v>
      </c>
      <c r="M563" s="10" t="b">
        <f aca="false">TRUE()</f>
        <v>1</v>
      </c>
      <c r="N563" s="7" t="n">
        <v>-34.67255107</v>
      </c>
      <c r="O563" s="7" t="n">
        <v>150.2117555</v>
      </c>
    </row>
    <row r="564" customFormat="false" ht="15" hidden="false" customHeight="false" outlineLevel="0" collapsed="false">
      <c r="A564" s="7" t="s">
        <v>5472</v>
      </c>
      <c r="B564" s="7" t="s">
        <v>5473</v>
      </c>
      <c r="C564" s="7" t="s">
        <v>5474</v>
      </c>
      <c r="D564" s="7" t="s">
        <v>5475</v>
      </c>
      <c r="E564" s="7" t="n">
        <v>2222</v>
      </c>
      <c r="F564" s="7" t="s">
        <v>50</v>
      </c>
      <c r="G564" s="7" t="s">
        <v>2786</v>
      </c>
      <c r="H564" s="7" t="s">
        <v>4308</v>
      </c>
      <c r="I564" s="7" t="s">
        <v>2747</v>
      </c>
      <c r="J564" s="7" t="s">
        <v>5476</v>
      </c>
      <c r="K564" s="7" t="s">
        <v>2772</v>
      </c>
      <c r="L564" s="7" t="s">
        <v>2705</v>
      </c>
      <c r="M564" s="10" t="b">
        <f aca="false">TRUE()</f>
        <v>1</v>
      </c>
      <c r="N564" s="7" t="n">
        <v>-33.96612954</v>
      </c>
      <c r="O564" s="7" t="n">
        <v>151.0893865</v>
      </c>
    </row>
    <row r="565" customFormat="false" ht="15" hidden="false" customHeight="false" outlineLevel="0" collapsed="false">
      <c r="A565" s="7" t="s">
        <v>5477</v>
      </c>
      <c r="B565" s="7" t="s">
        <v>5478</v>
      </c>
      <c r="C565" s="7" t="s">
        <v>5479</v>
      </c>
      <c r="D565" s="7" t="s">
        <v>5480</v>
      </c>
      <c r="E565" s="7" t="n">
        <v>2049</v>
      </c>
      <c r="F565" s="7" t="s">
        <v>50</v>
      </c>
      <c r="G565" s="7" t="s">
        <v>2786</v>
      </c>
      <c r="H565" s="7" t="s">
        <v>4406</v>
      </c>
      <c r="I565" s="7" t="s">
        <v>2747</v>
      </c>
      <c r="J565" s="7" t="s">
        <v>5481</v>
      </c>
      <c r="K565" s="7" t="s">
        <v>2772</v>
      </c>
      <c r="L565" s="7" t="s">
        <v>2705</v>
      </c>
      <c r="M565" s="10" t="b">
        <f aca="false">FALSE()</f>
        <v>0</v>
      </c>
      <c r="N565" s="7" t="n">
        <v>-33.8938594</v>
      </c>
      <c r="O565" s="7" t="n">
        <v>151.1551562</v>
      </c>
    </row>
    <row r="566" customFormat="false" ht="15" hidden="false" customHeight="false" outlineLevel="0" collapsed="false">
      <c r="A566" s="7" t="s">
        <v>5482</v>
      </c>
      <c r="B566" s="7" t="s">
        <v>5483</v>
      </c>
      <c r="C566" s="7" t="s">
        <v>5484</v>
      </c>
      <c r="D566" s="7" t="s">
        <v>5485</v>
      </c>
      <c r="E566" s="7" t="n">
        <v>2571</v>
      </c>
      <c r="F566" s="7" t="s">
        <v>50</v>
      </c>
      <c r="G566" s="7" t="s">
        <v>2710</v>
      </c>
      <c r="H566" s="7" t="s">
        <v>5486</v>
      </c>
      <c r="I566" s="7" t="s">
        <v>2747</v>
      </c>
      <c r="J566" s="7" t="s">
        <v>3890</v>
      </c>
      <c r="K566" s="7" t="s">
        <v>2704</v>
      </c>
      <c r="L566" s="7" t="s">
        <v>2705</v>
      </c>
      <c r="M566" s="10" t="b">
        <f aca="false">TRUE()</f>
        <v>1</v>
      </c>
      <c r="N566" s="7" t="n">
        <v>-34.17914657</v>
      </c>
      <c r="O566" s="7" t="n">
        <v>150.6126016</v>
      </c>
    </row>
    <row r="567" customFormat="false" ht="15" hidden="false" customHeight="false" outlineLevel="0" collapsed="false">
      <c r="A567" s="7" t="s">
        <v>5487</v>
      </c>
      <c r="B567" s="7" t="s">
        <v>5488</v>
      </c>
      <c r="C567" s="7" t="s">
        <v>5489</v>
      </c>
      <c r="D567" s="7" t="s">
        <v>5490</v>
      </c>
      <c r="E567" s="7" t="n">
        <v>2009</v>
      </c>
      <c r="F567" s="7" t="s">
        <v>50</v>
      </c>
      <c r="G567" s="7" t="s">
        <v>2852</v>
      </c>
      <c r="H567" s="7" t="s">
        <v>5491</v>
      </c>
      <c r="I567" s="7" t="s">
        <v>3140</v>
      </c>
      <c r="J567" s="7"/>
      <c r="K567" s="7"/>
      <c r="L567" s="7"/>
      <c r="M567" s="10" t="b">
        <f aca="false">FALSE()</f>
        <v>0</v>
      </c>
      <c r="N567" s="7" t="n">
        <v>-33.864614</v>
      </c>
      <c r="O567" s="7" t="n">
        <v>151.191035</v>
      </c>
    </row>
    <row r="568" customFormat="false" ht="15" hidden="false" customHeight="false" outlineLevel="0" collapsed="false">
      <c r="A568" s="7" t="s">
        <v>5492</v>
      </c>
      <c r="B568" s="7" t="s">
        <v>5493</v>
      </c>
      <c r="C568" s="7" t="s">
        <v>5494</v>
      </c>
      <c r="D568" s="7" t="s">
        <v>5495</v>
      </c>
      <c r="E568" s="7" t="n">
        <v>2250</v>
      </c>
      <c r="F568" s="7" t="s">
        <v>50</v>
      </c>
      <c r="G568" s="7" t="s">
        <v>2710</v>
      </c>
      <c r="H568" s="7" t="s">
        <v>5496</v>
      </c>
      <c r="I568" s="7" t="s">
        <v>2885</v>
      </c>
      <c r="J568" s="7" t="s">
        <v>5497</v>
      </c>
      <c r="K568" s="7" t="s">
        <v>2704</v>
      </c>
      <c r="L568" s="7" t="s">
        <v>2705</v>
      </c>
      <c r="M568" s="10" t="b">
        <f aca="false">TRUE()</f>
        <v>1</v>
      </c>
      <c r="N568" s="7" t="n">
        <v>-33.44577008</v>
      </c>
      <c r="O568" s="7" t="n">
        <v>151.328556</v>
      </c>
    </row>
    <row r="569" customFormat="false" ht="15" hidden="false" customHeight="false" outlineLevel="0" collapsed="false">
      <c r="A569" s="7" t="s">
        <v>5498</v>
      </c>
      <c r="B569" s="7" t="s">
        <v>5499</v>
      </c>
      <c r="C569" s="7" t="s">
        <v>5500</v>
      </c>
      <c r="D569" s="7" t="s">
        <v>5501</v>
      </c>
      <c r="E569" s="7" t="n">
        <v>2648</v>
      </c>
      <c r="F569" s="7" t="s">
        <v>50</v>
      </c>
      <c r="G569" s="7" t="s">
        <v>2718</v>
      </c>
      <c r="H569" s="7"/>
      <c r="I569" s="7" t="s">
        <v>2719</v>
      </c>
      <c r="J569" s="7"/>
      <c r="K569" s="7"/>
      <c r="L569" s="7"/>
      <c r="M569" s="10" t="b">
        <f aca="false">FALSE()</f>
        <v>0</v>
      </c>
      <c r="N569" s="7" t="n">
        <v>-33.386677</v>
      </c>
      <c r="O569" s="7" t="n">
        <v>142.570524</v>
      </c>
    </row>
    <row r="570" customFormat="false" ht="15" hidden="false" customHeight="false" outlineLevel="0" collapsed="false">
      <c r="A570" s="7" t="s">
        <v>5502</v>
      </c>
      <c r="B570" s="7" t="s">
        <v>5503</v>
      </c>
      <c r="C570" s="7" t="s">
        <v>5504</v>
      </c>
      <c r="D570" s="7" t="s">
        <v>5505</v>
      </c>
      <c r="E570" s="7" t="n">
        <v>2505</v>
      </c>
      <c r="F570" s="7" t="s">
        <v>50</v>
      </c>
      <c r="G570" s="7" t="s">
        <v>2806</v>
      </c>
      <c r="H570" s="7" t="s">
        <v>3888</v>
      </c>
      <c r="I570" s="7" t="s">
        <v>3633</v>
      </c>
      <c r="J570" s="7" t="s">
        <v>4832</v>
      </c>
      <c r="K570" s="7" t="s">
        <v>2704</v>
      </c>
      <c r="L570" s="7" t="s">
        <v>2705</v>
      </c>
      <c r="M570" s="10" t="b">
        <f aca="false">TRUE()</f>
        <v>1</v>
      </c>
      <c r="N570" s="7" t="n">
        <v>-34.47276667</v>
      </c>
      <c r="O570" s="7" t="n">
        <v>150.8880483</v>
      </c>
    </row>
    <row r="571" customFormat="false" ht="15" hidden="false" customHeight="false" outlineLevel="0" collapsed="false">
      <c r="A571" s="7" t="s">
        <v>5506</v>
      </c>
      <c r="B571" s="7" t="s">
        <v>5507</v>
      </c>
      <c r="C571" s="7" t="s">
        <v>5508</v>
      </c>
      <c r="D571" s="7" t="s">
        <v>5509</v>
      </c>
      <c r="E571" s="7" t="n">
        <v>2505</v>
      </c>
      <c r="F571" s="7" t="s">
        <v>50</v>
      </c>
      <c r="G571" s="7" t="s">
        <v>2710</v>
      </c>
      <c r="H571" s="7" t="s">
        <v>5510</v>
      </c>
      <c r="I571" s="7" t="s">
        <v>4374</v>
      </c>
      <c r="J571" s="7" t="s">
        <v>4832</v>
      </c>
      <c r="K571" s="7" t="s">
        <v>2704</v>
      </c>
      <c r="L571" s="7" t="s">
        <v>2705</v>
      </c>
      <c r="M571" s="10" t="b">
        <f aca="false">TRUE()</f>
        <v>1</v>
      </c>
      <c r="N571" s="7" t="n">
        <v>-34.47724493</v>
      </c>
      <c r="O571" s="7" t="n">
        <v>150.9019223</v>
      </c>
    </row>
    <row r="572" customFormat="false" ht="15" hidden="false" customHeight="false" outlineLevel="0" collapsed="false">
      <c r="A572" s="7" t="s">
        <v>5511</v>
      </c>
      <c r="B572" s="7" t="s">
        <v>5512</v>
      </c>
      <c r="C572" s="7" t="s">
        <v>5513</v>
      </c>
      <c r="D572" s="7" t="s">
        <v>5514</v>
      </c>
      <c r="E572" s="7" t="n">
        <v>2444</v>
      </c>
      <c r="F572" s="7" t="s">
        <v>50</v>
      </c>
      <c r="G572" s="7" t="s">
        <v>2718</v>
      </c>
      <c r="H572" s="7"/>
      <c r="I572" s="7" t="s">
        <v>2719</v>
      </c>
      <c r="J572" s="7"/>
      <c r="K572" s="7"/>
      <c r="L572" s="7"/>
      <c r="M572" s="10" t="b">
        <f aca="false">FALSE()</f>
        <v>0</v>
      </c>
      <c r="N572" s="7" t="n">
        <v>-31.43435</v>
      </c>
      <c r="O572" s="7" t="n">
        <v>152.907169</v>
      </c>
    </row>
    <row r="573" customFormat="false" ht="15" hidden="false" customHeight="false" outlineLevel="0" collapsed="false">
      <c r="A573" s="7" t="s">
        <v>5515</v>
      </c>
      <c r="B573" s="7" t="s">
        <v>5516</v>
      </c>
      <c r="C573" s="7" t="s">
        <v>5517</v>
      </c>
      <c r="D573" s="7" t="s">
        <v>5518</v>
      </c>
      <c r="E573" s="7" t="n">
        <v>2847</v>
      </c>
      <c r="F573" s="7" t="s">
        <v>50</v>
      </c>
      <c r="G573" s="7" t="s">
        <v>2718</v>
      </c>
      <c r="H573" s="7"/>
      <c r="I573" s="7" t="s">
        <v>2719</v>
      </c>
      <c r="J573" s="7"/>
      <c r="K573" s="7"/>
      <c r="L573" s="7"/>
      <c r="M573" s="10" t="b">
        <f aca="false">FALSE()</f>
        <v>0</v>
      </c>
      <c r="N573" s="7" t="n">
        <v>-33.352862</v>
      </c>
      <c r="O573" s="7" t="n">
        <v>149.979461</v>
      </c>
    </row>
    <row r="574" customFormat="false" ht="15" hidden="false" customHeight="false" outlineLevel="0" collapsed="false">
      <c r="A574" s="7" t="s">
        <v>5519</v>
      </c>
      <c r="B574" s="7" t="s">
        <v>5520</v>
      </c>
      <c r="C574" s="7" t="s">
        <v>5521</v>
      </c>
      <c r="D574" s="7" t="s">
        <v>5522</v>
      </c>
      <c r="E574" s="7" t="n">
        <v>2847</v>
      </c>
      <c r="F574" s="7" t="s">
        <v>50</v>
      </c>
      <c r="G574" s="7" t="s">
        <v>2718</v>
      </c>
      <c r="H574" s="7"/>
      <c r="I574" s="7" t="s">
        <v>2719</v>
      </c>
      <c r="J574" s="7"/>
      <c r="K574" s="7"/>
      <c r="L574" s="7"/>
      <c r="M574" s="10" t="b">
        <f aca="false">FALSE()</f>
        <v>0</v>
      </c>
      <c r="N574" s="7" t="n">
        <v>-33.356065</v>
      </c>
      <c r="O574" s="7" t="n">
        <v>149.994868</v>
      </c>
    </row>
    <row r="575" customFormat="false" ht="15" hidden="false" customHeight="false" outlineLevel="0" collapsed="false">
      <c r="A575" s="7" t="s">
        <v>5523</v>
      </c>
      <c r="B575" s="7" t="s">
        <v>5524</v>
      </c>
      <c r="C575" s="7" t="s">
        <v>5525</v>
      </c>
      <c r="D575" s="7" t="s">
        <v>5526</v>
      </c>
      <c r="E575" s="7" t="n">
        <v>2489</v>
      </c>
      <c r="F575" s="7" t="s">
        <v>50</v>
      </c>
      <c r="G575" s="7" t="s">
        <v>2718</v>
      </c>
      <c r="H575" s="7"/>
      <c r="I575" s="7" t="s">
        <v>2719</v>
      </c>
      <c r="J575" s="7"/>
      <c r="K575" s="7"/>
      <c r="L575" s="7"/>
      <c r="M575" s="10" t="b">
        <f aca="false">FALSE()</f>
        <v>0</v>
      </c>
      <c r="N575" s="7" t="n">
        <v>-28.384369</v>
      </c>
      <c r="O575" s="7" t="n">
        <v>153.566986</v>
      </c>
    </row>
    <row r="576" customFormat="false" ht="15" hidden="false" customHeight="false" outlineLevel="0" collapsed="false">
      <c r="A576" s="7" t="s">
        <v>5527</v>
      </c>
      <c r="B576" s="7" t="s">
        <v>5528</v>
      </c>
      <c r="C576" s="7" t="s">
        <v>5529</v>
      </c>
      <c r="D576" s="7" t="s">
        <v>5530</v>
      </c>
      <c r="E576" s="7" t="n">
        <v>2176</v>
      </c>
      <c r="F576" s="7" t="s">
        <v>50</v>
      </c>
      <c r="G576" s="7" t="s">
        <v>3439</v>
      </c>
      <c r="H576" s="7" t="s">
        <v>5531</v>
      </c>
      <c r="I576" s="7" t="s">
        <v>4662</v>
      </c>
      <c r="J576" s="7"/>
      <c r="K576" s="7" t="s">
        <v>2772</v>
      </c>
      <c r="L576" s="7" t="s">
        <v>2705</v>
      </c>
      <c r="M576" s="10" t="b">
        <f aca="false">FALSE()</f>
        <v>0</v>
      </c>
      <c r="N576" s="7" t="n">
        <v>-33.85861799</v>
      </c>
      <c r="O576" s="7" t="n">
        <v>150.8968524</v>
      </c>
    </row>
    <row r="577" customFormat="false" ht="15" hidden="false" customHeight="false" outlineLevel="0" collapsed="false">
      <c r="A577" s="7" t="s">
        <v>5532</v>
      </c>
      <c r="B577" s="7" t="s">
        <v>5533</v>
      </c>
      <c r="C577" s="7" t="s">
        <v>5534</v>
      </c>
      <c r="D577" s="7" t="s">
        <v>5535</v>
      </c>
      <c r="E577" s="7" t="n">
        <v>2150</v>
      </c>
      <c r="F577" s="7" t="s">
        <v>50</v>
      </c>
      <c r="G577" s="7" t="s">
        <v>2769</v>
      </c>
      <c r="H577" s="7" t="s">
        <v>3570</v>
      </c>
      <c r="I577" s="7" t="s">
        <v>3019</v>
      </c>
      <c r="J577" s="7"/>
      <c r="K577" s="7" t="s">
        <v>2772</v>
      </c>
      <c r="L577" s="7" t="s">
        <v>2705</v>
      </c>
      <c r="M577" s="10" t="b">
        <f aca="false">FALSE()</f>
        <v>0</v>
      </c>
      <c r="N577" s="7" t="n">
        <v>-33.809071</v>
      </c>
      <c r="O577" s="7" t="n">
        <v>151.005257</v>
      </c>
    </row>
    <row r="578" customFormat="false" ht="15" hidden="false" customHeight="false" outlineLevel="0" collapsed="false">
      <c r="A578" s="7" t="s">
        <v>5536</v>
      </c>
      <c r="B578" s="7" t="s">
        <v>5537</v>
      </c>
      <c r="C578" s="7" t="s">
        <v>5538</v>
      </c>
      <c r="D578" s="7" t="s">
        <v>5539</v>
      </c>
      <c r="E578" s="7" t="n">
        <v>2196</v>
      </c>
      <c r="F578" s="7" t="s">
        <v>50</v>
      </c>
      <c r="G578" s="7" t="s">
        <v>3003</v>
      </c>
      <c r="H578" s="7" t="s">
        <v>4432</v>
      </c>
      <c r="I578" s="7" t="s">
        <v>2885</v>
      </c>
      <c r="J578" s="7" t="s">
        <v>5540</v>
      </c>
      <c r="K578" s="7" t="s">
        <v>2772</v>
      </c>
      <c r="L578" s="7" t="s">
        <v>2705</v>
      </c>
      <c r="M578" s="10" t="b">
        <f aca="false">FALSE()</f>
        <v>0</v>
      </c>
      <c r="N578" s="7" t="n">
        <v>-33.92537752</v>
      </c>
      <c r="O578" s="7" t="n">
        <v>151.055867</v>
      </c>
    </row>
    <row r="579" customFormat="false" ht="15" hidden="false" customHeight="false" outlineLevel="0" collapsed="false">
      <c r="A579" s="7" t="s">
        <v>5541</v>
      </c>
      <c r="B579" s="7" t="s">
        <v>5542</v>
      </c>
      <c r="C579" s="7" t="s">
        <v>5543</v>
      </c>
      <c r="D579" s="7" t="s">
        <v>5544</v>
      </c>
      <c r="E579" s="7" t="n">
        <v>2073</v>
      </c>
      <c r="F579" s="7" t="s">
        <v>50</v>
      </c>
      <c r="G579" s="7" t="s">
        <v>2786</v>
      </c>
      <c r="H579" s="7" t="s">
        <v>5545</v>
      </c>
      <c r="I579" s="7" t="s">
        <v>2747</v>
      </c>
      <c r="J579" s="7" t="s">
        <v>5546</v>
      </c>
      <c r="K579" s="7" t="s">
        <v>2772</v>
      </c>
      <c r="L579" s="7" t="s">
        <v>2705</v>
      </c>
      <c r="M579" s="10" t="b">
        <f aca="false">FALSE()</f>
        <v>0</v>
      </c>
      <c r="N579" s="7" t="n">
        <v>-33.74472888</v>
      </c>
      <c r="O579" s="7" t="n">
        <v>151.142138</v>
      </c>
    </row>
    <row r="580" customFormat="false" ht="15" hidden="false" customHeight="false" outlineLevel="0" collapsed="false">
      <c r="A580" s="7" t="s">
        <v>5547</v>
      </c>
      <c r="B580" s="7" t="s">
        <v>5548</v>
      </c>
      <c r="C580" s="7" t="s">
        <v>5549</v>
      </c>
      <c r="D580" s="7" t="s">
        <v>5550</v>
      </c>
      <c r="E580" s="7" t="n">
        <v>2009</v>
      </c>
      <c r="F580" s="7" t="s">
        <v>50</v>
      </c>
      <c r="G580" s="7" t="s">
        <v>2769</v>
      </c>
      <c r="H580" s="7" t="s">
        <v>3582</v>
      </c>
      <c r="I580" s="7" t="s">
        <v>2873</v>
      </c>
      <c r="J580" s="7"/>
      <c r="K580" s="7" t="s">
        <v>2772</v>
      </c>
      <c r="L580" s="7" t="s">
        <v>2705</v>
      </c>
      <c r="M580" s="10" t="b">
        <f aca="false">FALSE()</f>
        <v>0</v>
      </c>
      <c r="N580" s="7" t="n">
        <v>-33.86920237</v>
      </c>
      <c r="O580" s="7" t="n">
        <v>151.19755</v>
      </c>
    </row>
    <row r="581" customFormat="false" ht="15" hidden="false" customHeight="false" outlineLevel="0" collapsed="false">
      <c r="A581" s="7" t="s">
        <v>5551</v>
      </c>
      <c r="B581" s="7" t="s">
        <v>5552</v>
      </c>
      <c r="C581" s="7" t="s">
        <v>5553</v>
      </c>
      <c r="D581" s="7" t="s">
        <v>5550</v>
      </c>
      <c r="E581" s="7" t="n">
        <v>2009</v>
      </c>
      <c r="F581" s="7" t="s">
        <v>50</v>
      </c>
      <c r="G581" s="7" t="s">
        <v>2852</v>
      </c>
      <c r="H581" s="7" t="s">
        <v>5554</v>
      </c>
      <c r="I581" s="7" t="s">
        <v>2695</v>
      </c>
      <c r="J581" s="7"/>
      <c r="K581" s="7"/>
      <c r="L581" s="7"/>
      <c r="M581" s="10" t="b">
        <f aca="false">FALSE()</f>
        <v>0</v>
      </c>
      <c r="N581" s="7" t="n">
        <v>-33.86844161</v>
      </c>
      <c r="O581" s="7" t="n">
        <v>151.1987285</v>
      </c>
    </row>
    <row r="582" customFormat="false" ht="15" hidden="false" customHeight="false" outlineLevel="0" collapsed="false">
      <c r="A582" s="7" t="s">
        <v>5555</v>
      </c>
      <c r="B582" s="7" t="s">
        <v>5556</v>
      </c>
      <c r="C582" s="7" t="s">
        <v>5557</v>
      </c>
      <c r="D582" s="7" t="s">
        <v>5558</v>
      </c>
      <c r="E582" s="7" t="n">
        <v>2763</v>
      </c>
      <c r="F582" s="7" t="s">
        <v>50</v>
      </c>
      <c r="G582" s="7" t="s">
        <v>2786</v>
      </c>
      <c r="H582" s="7" t="s">
        <v>5559</v>
      </c>
      <c r="I582" s="7" t="s">
        <v>2747</v>
      </c>
      <c r="J582" s="7" t="s">
        <v>5560</v>
      </c>
      <c r="K582" s="7" t="s">
        <v>2772</v>
      </c>
      <c r="L582" s="7" t="s">
        <v>2705</v>
      </c>
      <c r="M582" s="10" t="b">
        <f aca="false">FALSE()</f>
        <v>0</v>
      </c>
      <c r="N582" s="7" t="n">
        <v>-33.72802483</v>
      </c>
      <c r="O582" s="7" t="n">
        <v>150.886725</v>
      </c>
    </row>
    <row r="583" customFormat="false" ht="15" hidden="false" customHeight="false" outlineLevel="0" collapsed="false">
      <c r="A583" s="7" t="s">
        <v>5561</v>
      </c>
      <c r="B583" s="7" t="s">
        <v>5562</v>
      </c>
      <c r="C583" s="7" t="s">
        <v>5563</v>
      </c>
      <c r="D583" s="7" t="s">
        <v>5564</v>
      </c>
      <c r="E583" s="7" t="n">
        <v>2620</v>
      </c>
      <c r="F583" s="7" t="s">
        <v>50</v>
      </c>
      <c r="G583" s="7" t="s">
        <v>2837</v>
      </c>
      <c r="H583" s="7"/>
      <c r="I583" s="7" t="s">
        <v>2719</v>
      </c>
      <c r="J583" s="7"/>
      <c r="K583" s="7" t="s">
        <v>2772</v>
      </c>
      <c r="L583" s="7" t="s">
        <v>2705</v>
      </c>
      <c r="M583" s="10" t="b">
        <f aca="false">FALSE()</f>
        <v>0</v>
      </c>
      <c r="N583" s="7" t="n">
        <v>-35.34973</v>
      </c>
      <c r="O583" s="7" t="n">
        <v>149.235289</v>
      </c>
    </row>
    <row r="584" customFormat="false" ht="15" hidden="false" customHeight="false" outlineLevel="0" collapsed="false">
      <c r="A584" s="7" t="s">
        <v>5565</v>
      </c>
      <c r="B584" s="7" t="s">
        <v>5566</v>
      </c>
      <c r="C584" s="7" t="s">
        <v>5567</v>
      </c>
      <c r="D584" s="7" t="s">
        <v>5568</v>
      </c>
      <c r="E584" s="7" t="n">
        <v>2620</v>
      </c>
      <c r="F584" s="7" t="s">
        <v>50</v>
      </c>
      <c r="G584" s="7" t="s">
        <v>3269</v>
      </c>
      <c r="H584" s="7" t="s">
        <v>5569</v>
      </c>
      <c r="I584" s="7" t="s">
        <v>4374</v>
      </c>
      <c r="J584" s="7"/>
      <c r="K584" s="7"/>
      <c r="L584" s="7"/>
      <c r="M584" s="10" t="b">
        <f aca="false">FALSE()</f>
        <v>0</v>
      </c>
      <c r="N584" s="7" t="n">
        <v>-35.34289</v>
      </c>
      <c r="O584" s="7" t="n">
        <v>149.227651</v>
      </c>
    </row>
    <row r="585" customFormat="false" ht="15" hidden="false" customHeight="false" outlineLevel="0" collapsed="false">
      <c r="A585" s="7" t="s">
        <v>5570</v>
      </c>
      <c r="B585" s="7" t="s">
        <v>5571</v>
      </c>
      <c r="C585" s="7" t="s">
        <v>5572</v>
      </c>
      <c r="D585" s="7" t="s">
        <v>5573</v>
      </c>
      <c r="E585" s="7" t="n">
        <v>2300</v>
      </c>
      <c r="F585" s="7" t="s">
        <v>50</v>
      </c>
      <c r="G585" s="7" t="s">
        <v>5574</v>
      </c>
      <c r="H585" s="7" t="s">
        <v>5575</v>
      </c>
      <c r="I585" s="7" t="s">
        <v>5576</v>
      </c>
      <c r="J585" s="7"/>
      <c r="K585" s="7"/>
      <c r="L585" s="7"/>
      <c r="M585" s="10" t="b">
        <f aca="false">FALSE()</f>
        <v>0</v>
      </c>
      <c r="N585" s="7" t="n">
        <v>-32.92542</v>
      </c>
      <c r="O585" s="7" t="n">
        <v>151.780789</v>
      </c>
    </row>
    <row r="586" customFormat="false" ht="15" hidden="false" customHeight="false" outlineLevel="0" collapsed="false">
      <c r="A586" s="7" t="s">
        <v>5577</v>
      </c>
      <c r="B586" s="7" t="s">
        <v>5578</v>
      </c>
      <c r="C586" s="7" t="s">
        <v>5579</v>
      </c>
      <c r="D586" s="7" t="s">
        <v>5278</v>
      </c>
      <c r="E586" s="7" t="n">
        <v>2300</v>
      </c>
      <c r="F586" s="7" t="s">
        <v>50</v>
      </c>
      <c r="G586" s="7" t="s">
        <v>2769</v>
      </c>
      <c r="H586" s="7" t="s">
        <v>3582</v>
      </c>
      <c r="I586" s="7" t="s">
        <v>3583</v>
      </c>
      <c r="J586" s="7"/>
      <c r="K586" s="7" t="s">
        <v>2772</v>
      </c>
      <c r="L586" s="7" t="s">
        <v>2705</v>
      </c>
      <c r="M586" s="10" t="b">
        <f aca="false">FALSE()</f>
        <v>0</v>
      </c>
      <c r="N586" s="7" t="n">
        <v>-32.926347</v>
      </c>
      <c r="O586" s="7" t="n">
        <v>151.781564</v>
      </c>
    </row>
    <row r="587" customFormat="false" ht="15" hidden="false" customHeight="false" outlineLevel="0" collapsed="false">
      <c r="A587" s="7" t="s">
        <v>5580</v>
      </c>
      <c r="B587" s="7" t="s">
        <v>5581</v>
      </c>
      <c r="C587" s="7" t="s">
        <v>5582</v>
      </c>
      <c r="D587" s="7" t="s">
        <v>5583</v>
      </c>
      <c r="E587" s="7" t="n">
        <v>2343</v>
      </c>
      <c r="F587" s="7" t="s">
        <v>50</v>
      </c>
      <c r="G587" s="7" t="s">
        <v>2735</v>
      </c>
      <c r="H587" s="7" t="s">
        <v>5584</v>
      </c>
      <c r="I587" s="7" t="s">
        <v>3170</v>
      </c>
      <c r="J587" s="7"/>
      <c r="K587" s="7"/>
      <c r="L587" s="7"/>
      <c r="M587" s="10" t="b">
        <f aca="false">FALSE()</f>
        <v>0</v>
      </c>
      <c r="N587" s="7" t="n">
        <v>-31.505399</v>
      </c>
      <c r="O587" s="7" t="n">
        <v>150.681098</v>
      </c>
    </row>
    <row r="588" customFormat="false" ht="15" hidden="false" customHeight="false" outlineLevel="0" collapsed="false">
      <c r="A588" s="7" t="s">
        <v>5585</v>
      </c>
      <c r="B588" s="7" t="s">
        <v>5586</v>
      </c>
      <c r="C588" s="7" t="s">
        <v>5587</v>
      </c>
      <c r="D588" s="7" t="s">
        <v>5588</v>
      </c>
      <c r="E588" s="7" t="n">
        <v>2000</v>
      </c>
      <c r="F588" s="7" t="s">
        <v>50</v>
      </c>
      <c r="G588" s="7" t="s">
        <v>4351</v>
      </c>
      <c r="H588" s="7" t="s">
        <v>3263</v>
      </c>
      <c r="I588" s="7" t="s">
        <v>3264</v>
      </c>
      <c r="J588" s="7"/>
      <c r="K588" s="7" t="s">
        <v>2772</v>
      </c>
      <c r="L588" s="7" t="s">
        <v>2705</v>
      </c>
      <c r="M588" s="10" t="b">
        <f aca="false">FALSE()</f>
        <v>0</v>
      </c>
      <c r="N588" s="7" t="n">
        <v>-33.871579</v>
      </c>
      <c r="O588" s="7" t="n">
        <v>151.206961</v>
      </c>
    </row>
    <row r="589" customFormat="false" ht="15" hidden="false" customHeight="false" outlineLevel="0" collapsed="false">
      <c r="A589" s="7" t="s">
        <v>5589</v>
      </c>
      <c r="B589" s="7" t="s">
        <v>5590</v>
      </c>
      <c r="C589" s="7" t="s">
        <v>5591</v>
      </c>
      <c r="D589" s="7" t="s">
        <v>5592</v>
      </c>
      <c r="E589" s="7" t="n">
        <v>2795</v>
      </c>
      <c r="F589" s="7" t="s">
        <v>50</v>
      </c>
      <c r="G589" s="7" t="s">
        <v>2718</v>
      </c>
      <c r="H589" s="7"/>
      <c r="I589" s="7" t="s">
        <v>2719</v>
      </c>
      <c r="J589" s="7"/>
      <c r="K589" s="7"/>
      <c r="L589" s="7"/>
      <c r="M589" s="10" t="b">
        <f aca="false">FALSE()</f>
        <v>0</v>
      </c>
      <c r="N589" s="7" t="n">
        <v>-33.422388</v>
      </c>
      <c r="O589" s="7" t="n">
        <v>149.647266</v>
      </c>
    </row>
    <row r="590" customFormat="false" ht="15" hidden="false" customHeight="false" outlineLevel="0" collapsed="false">
      <c r="A590" s="7" t="s">
        <v>5593</v>
      </c>
      <c r="B590" s="7" t="s">
        <v>5594</v>
      </c>
      <c r="C590" s="7" t="s">
        <v>5595</v>
      </c>
      <c r="D590" s="7" t="s">
        <v>5596</v>
      </c>
      <c r="E590" s="7" t="n">
        <v>2008</v>
      </c>
      <c r="F590" s="7" t="s">
        <v>50</v>
      </c>
      <c r="G590" s="7" t="s">
        <v>5283</v>
      </c>
      <c r="H590" s="7" t="s">
        <v>5597</v>
      </c>
      <c r="I590" s="7" t="s">
        <v>5598</v>
      </c>
      <c r="J590" s="7"/>
      <c r="K590" s="7" t="s">
        <v>2772</v>
      </c>
      <c r="L590" s="7" t="s">
        <v>2705</v>
      </c>
      <c r="M590" s="10" t="b">
        <f aca="false">FALSE()</f>
        <v>0</v>
      </c>
      <c r="N590" s="7" t="n">
        <v>-33.88362346</v>
      </c>
      <c r="O590" s="7" t="n">
        <v>151.2034191</v>
      </c>
    </row>
    <row r="591" customFormat="false" ht="15" hidden="false" customHeight="false" outlineLevel="0" collapsed="false">
      <c r="A591" s="7" t="s">
        <v>5599</v>
      </c>
      <c r="B591" s="7" t="s">
        <v>5600</v>
      </c>
      <c r="C591" s="7" t="s">
        <v>5601</v>
      </c>
      <c r="D591" s="7" t="s">
        <v>5602</v>
      </c>
      <c r="E591" s="7" t="n">
        <v>2031</v>
      </c>
      <c r="F591" s="7" t="s">
        <v>50</v>
      </c>
      <c r="G591" s="7" t="s">
        <v>3262</v>
      </c>
      <c r="H591" s="7" t="s">
        <v>3263</v>
      </c>
      <c r="I591" s="7" t="s">
        <v>3264</v>
      </c>
      <c r="J591" s="7"/>
      <c r="K591" s="7" t="s">
        <v>2772</v>
      </c>
      <c r="L591" s="7" t="s">
        <v>2705</v>
      </c>
      <c r="M591" s="10" t="b">
        <f aca="false">FALSE()</f>
        <v>0</v>
      </c>
      <c r="N591" s="7" t="n">
        <v>-33.917128</v>
      </c>
      <c r="O591" s="7" t="n">
        <v>151.240527</v>
      </c>
    </row>
    <row r="592" customFormat="false" ht="15" hidden="false" customHeight="false" outlineLevel="0" collapsed="false">
      <c r="A592" s="7" t="s">
        <v>5603</v>
      </c>
      <c r="B592" s="7" t="s">
        <v>5604</v>
      </c>
      <c r="C592" s="7" t="s">
        <v>5605</v>
      </c>
      <c r="D592" s="7" t="s">
        <v>5606</v>
      </c>
      <c r="E592" s="7" t="n">
        <v>2324</v>
      </c>
      <c r="F592" s="7" t="s">
        <v>50</v>
      </c>
      <c r="G592" s="7" t="s">
        <v>2718</v>
      </c>
      <c r="H592" s="7"/>
      <c r="I592" s="7" t="s">
        <v>2719</v>
      </c>
      <c r="J592" s="7"/>
      <c r="K592" s="7"/>
      <c r="L592" s="7"/>
      <c r="M592" s="10" t="b">
        <f aca="false">FALSE()</f>
        <v>0</v>
      </c>
      <c r="N592" s="7" t="n">
        <v>-32.764244</v>
      </c>
      <c r="O592" s="7" t="n">
        <v>151.744386</v>
      </c>
    </row>
    <row r="593" customFormat="false" ht="15" hidden="false" customHeight="false" outlineLevel="0" collapsed="false">
      <c r="A593" s="7" t="s">
        <v>5607</v>
      </c>
      <c r="B593" s="7" t="s">
        <v>5608</v>
      </c>
      <c r="C593" s="7" t="s">
        <v>5609</v>
      </c>
      <c r="D593" s="7" t="s">
        <v>5610</v>
      </c>
      <c r="E593" s="7" t="n">
        <v>2015</v>
      </c>
      <c r="F593" s="7" t="s">
        <v>50</v>
      </c>
      <c r="G593" s="7" t="s">
        <v>2786</v>
      </c>
      <c r="H593" s="7" t="s">
        <v>5611</v>
      </c>
      <c r="I593" s="7" t="s">
        <v>5612</v>
      </c>
      <c r="J593" s="7" t="s">
        <v>5613</v>
      </c>
      <c r="K593" s="7" t="s">
        <v>2772</v>
      </c>
      <c r="L593" s="7" t="s">
        <v>2705</v>
      </c>
      <c r="M593" s="10" t="b">
        <f aca="false">TRUE()</f>
        <v>1</v>
      </c>
      <c r="N593" s="7" t="n">
        <v>-33.8923699</v>
      </c>
      <c r="O593" s="7" t="n">
        <v>151.1984847</v>
      </c>
    </row>
    <row r="594" customFormat="false" ht="15" hidden="false" customHeight="false" outlineLevel="0" collapsed="false">
      <c r="A594" s="7" t="s">
        <v>5614</v>
      </c>
      <c r="B594" s="7" t="s">
        <v>5615</v>
      </c>
      <c r="C594" s="7" t="s">
        <v>5616</v>
      </c>
      <c r="D594" s="7" t="s">
        <v>5617</v>
      </c>
      <c r="E594" s="7" t="n">
        <v>2143</v>
      </c>
      <c r="F594" s="7" t="s">
        <v>50</v>
      </c>
      <c r="G594" s="7" t="s">
        <v>2786</v>
      </c>
      <c r="H594" s="7" t="s">
        <v>5455</v>
      </c>
      <c r="I594" s="7" t="s">
        <v>2747</v>
      </c>
      <c r="J594" s="7" t="s">
        <v>5618</v>
      </c>
      <c r="K594" s="7" t="s">
        <v>2772</v>
      </c>
      <c r="L594" s="7" t="s">
        <v>2705</v>
      </c>
      <c r="M594" s="10" t="b">
        <f aca="false">FALSE()</f>
        <v>0</v>
      </c>
      <c r="N594" s="7" t="n">
        <v>-33.88298889</v>
      </c>
      <c r="O594" s="7" t="n">
        <v>151.0241875</v>
      </c>
    </row>
    <row r="595" customFormat="false" ht="15" hidden="false" customHeight="false" outlineLevel="0" collapsed="false">
      <c r="A595" s="7" t="s">
        <v>5619</v>
      </c>
      <c r="B595" s="7" t="s">
        <v>5620</v>
      </c>
      <c r="C595" s="7" t="s">
        <v>5621</v>
      </c>
      <c r="D595" s="7" t="s">
        <v>5622</v>
      </c>
      <c r="E595" s="7" t="n">
        <v>2212</v>
      </c>
      <c r="F595" s="7" t="s">
        <v>50</v>
      </c>
      <c r="G595" s="7" t="s">
        <v>2786</v>
      </c>
      <c r="H595" s="7" t="s">
        <v>5623</v>
      </c>
      <c r="I595" s="7" t="s">
        <v>2747</v>
      </c>
      <c r="J595" s="7" t="s">
        <v>5624</v>
      </c>
      <c r="K595" s="7" t="s">
        <v>2772</v>
      </c>
      <c r="L595" s="7" t="s">
        <v>2705</v>
      </c>
      <c r="M595" s="10" t="b">
        <f aca="false">FALSE()</f>
        <v>0</v>
      </c>
      <c r="N595" s="7" t="n">
        <v>-33.95246003</v>
      </c>
      <c r="O595" s="7" t="n">
        <v>151.0148384</v>
      </c>
    </row>
    <row r="596" customFormat="false" ht="15" hidden="false" customHeight="false" outlineLevel="0" collapsed="false">
      <c r="A596" s="7" t="s">
        <v>5625</v>
      </c>
      <c r="B596" s="7" t="s">
        <v>5626</v>
      </c>
      <c r="C596" s="7" t="s">
        <v>5627</v>
      </c>
      <c r="D596" s="7" t="s">
        <v>5628</v>
      </c>
      <c r="E596" s="7" t="n">
        <v>2138</v>
      </c>
      <c r="F596" s="7" t="s">
        <v>50</v>
      </c>
      <c r="G596" s="7" t="s">
        <v>2710</v>
      </c>
      <c r="H596" s="7" t="s">
        <v>5629</v>
      </c>
      <c r="I596" s="7" t="s">
        <v>2747</v>
      </c>
      <c r="J596" s="7" t="s">
        <v>5630</v>
      </c>
      <c r="K596" s="7" t="s">
        <v>2772</v>
      </c>
      <c r="L596" s="7" t="s">
        <v>2705</v>
      </c>
      <c r="M596" s="10" t="b">
        <f aca="false">FALSE()</f>
        <v>0</v>
      </c>
      <c r="N596" s="7" t="n">
        <v>-33.83053036</v>
      </c>
      <c r="O596" s="7" t="n">
        <v>151.0870323</v>
      </c>
    </row>
    <row r="597" customFormat="false" ht="15" hidden="false" customHeight="false" outlineLevel="0" collapsed="false">
      <c r="A597" s="7" t="s">
        <v>5631</v>
      </c>
      <c r="B597" s="7" t="s">
        <v>5632</v>
      </c>
      <c r="C597" s="7" t="s">
        <v>5633</v>
      </c>
      <c r="D597" s="7" t="s">
        <v>5634</v>
      </c>
      <c r="E597" s="7" t="n">
        <v>2753</v>
      </c>
      <c r="F597" s="7" t="s">
        <v>50</v>
      </c>
      <c r="G597" s="7" t="s">
        <v>2786</v>
      </c>
      <c r="H597" s="7" t="s">
        <v>5635</v>
      </c>
      <c r="I597" s="7" t="s">
        <v>2702</v>
      </c>
      <c r="J597" s="7" t="s">
        <v>5636</v>
      </c>
      <c r="K597" s="7" t="s">
        <v>2772</v>
      </c>
      <c r="L597" s="7" t="s">
        <v>2705</v>
      </c>
      <c r="M597" s="10" t="b">
        <f aca="false">FALSE()</f>
        <v>0</v>
      </c>
      <c r="N597" s="7" t="n">
        <v>-33.59911164</v>
      </c>
      <c r="O597" s="7" t="n">
        <v>150.753211</v>
      </c>
    </row>
    <row r="598" customFormat="false" ht="15" hidden="false" customHeight="false" outlineLevel="0" collapsed="false">
      <c r="A598" s="7" t="s">
        <v>5637</v>
      </c>
      <c r="B598" s="7" t="s">
        <v>5638</v>
      </c>
      <c r="C598" s="7" t="s">
        <v>5639</v>
      </c>
      <c r="D598" s="7" t="s">
        <v>5640</v>
      </c>
      <c r="E598" s="7" t="n">
        <v>2765</v>
      </c>
      <c r="F598" s="7" t="s">
        <v>50</v>
      </c>
      <c r="G598" s="7" t="s">
        <v>2786</v>
      </c>
      <c r="H598" s="7" t="s">
        <v>5641</v>
      </c>
      <c r="I598" s="7" t="s">
        <v>3316</v>
      </c>
      <c r="J598" s="7" t="s">
        <v>5642</v>
      </c>
      <c r="K598" s="7" t="s">
        <v>2772</v>
      </c>
      <c r="L598" s="7" t="s">
        <v>2705</v>
      </c>
      <c r="M598" s="10" t="b">
        <f aca="false">FALSE()</f>
        <v>0</v>
      </c>
      <c r="N598" s="7" t="n">
        <v>-33.67904337</v>
      </c>
      <c r="O598" s="7" t="n">
        <v>150.8602679</v>
      </c>
    </row>
    <row r="599" customFormat="false" ht="15" hidden="false" customHeight="false" outlineLevel="0" collapsed="false">
      <c r="A599" s="7" t="s">
        <v>5643</v>
      </c>
      <c r="B599" s="7" t="s">
        <v>5644</v>
      </c>
      <c r="C599" s="7" t="s">
        <v>5645</v>
      </c>
      <c r="D599" s="7" t="s">
        <v>5646</v>
      </c>
      <c r="E599" s="7" t="n">
        <v>2210</v>
      </c>
      <c r="F599" s="7" t="s">
        <v>50</v>
      </c>
      <c r="G599" s="7" t="s">
        <v>2786</v>
      </c>
      <c r="H599" s="7" t="s">
        <v>4308</v>
      </c>
      <c r="I599" s="7" t="s">
        <v>2747</v>
      </c>
      <c r="J599" s="7" t="s">
        <v>5647</v>
      </c>
      <c r="K599" s="7" t="s">
        <v>2772</v>
      </c>
      <c r="L599" s="7" t="s">
        <v>2705</v>
      </c>
      <c r="M599" s="10" t="b">
        <f aca="false">FALSE()</f>
        <v>0</v>
      </c>
      <c r="N599" s="7" t="n">
        <v>-33.95153541</v>
      </c>
      <c r="O599" s="7" t="n">
        <v>151.0520353</v>
      </c>
    </row>
    <row r="600" customFormat="false" ht="15" hidden="false" customHeight="false" outlineLevel="0" collapsed="false">
      <c r="A600" s="7" t="s">
        <v>5648</v>
      </c>
      <c r="B600" s="7" t="s">
        <v>5649</v>
      </c>
      <c r="C600" s="7" t="s">
        <v>5650</v>
      </c>
      <c r="D600" s="7" t="s">
        <v>5651</v>
      </c>
      <c r="E600" s="7" t="n">
        <v>2577</v>
      </c>
      <c r="F600" s="7" t="s">
        <v>50</v>
      </c>
      <c r="G600" s="7" t="s">
        <v>2837</v>
      </c>
      <c r="H600" s="7"/>
      <c r="I600" s="7" t="s">
        <v>2719</v>
      </c>
      <c r="J600" s="7"/>
      <c r="K600" s="7"/>
      <c r="L600" s="7"/>
      <c r="M600" s="10" t="b">
        <f aca="false">FALSE()</f>
        <v>0</v>
      </c>
      <c r="N600" s="7" t="n">
        <v>-34.589383</v>
      </c>
      <c r="O600" s="7" t="n">
        <v>150.598353</v>
      </c>
    </row>
    <row r="601" customFormat="false" ht="15" hidden="false" customHeight="false" outlineLevel="0" collapsed="false">
      <c r="A601" s="7" t="s">
        <v>5652</v>
      </c>
      <c r="B601" s="7" t="s">
        <v>5653</v>
      </c>
      <c r="C601" s="7" t="s">
        <v>5654</v>
      </c>
      <c r="D601" s="7" t="s">
        <v>5655</v>
      </c>
      <c r="E601" s="7" t="n">
        <v>2150</v>
      </c>
      <c r="F601" s="7" t="s">
        <v>50</v>
      </c>
      <c r="G601" s="7" t="s">
        <v>2769</v>
      </c>
      <c r="H601" s="7" t="s">
        <v>3570</v>
      </c>
      <c r="I601" s="7" t="s">
        <v>3019</v>
      </c>
      <c r="J601" s="7"/>
      <c r="K601" s="7" t="s">
        <v>2772</v>
      </c>
      <c r="L601" s="7" t="s">
        <v>2705</v>
      </c>
      <c r="M601" s="10" t="b">
        <f aca="false">FALSE()</f>
        <v>0</v>
      </c>
      <c r="N601" s="7" t="n">
        <v>-33.816922</v>
      </c>
      <c r="O601" s="7" t="n">
        <v>151.011207</v>
      </c>
    </row>
    <row r="602" customFormat="false" ht="15" hidden="false" customHeight="false" outlineLevel="0" collapsed="false">
      <c r="A602" s="7" t="s">
        <v>5656</v>
      </c>
      <c r="B602" s="7" t="s">
        <v>5657</v>
      </c>
      <c r="C602" s="7" t="s">
        <v>5658</v>
      </c>
      <c r="D602" s="7" t="s">
        <v>5659</v>
      </c>
      <c r="E602" s="7" t="n">
        <v>4226</v>
      </c>
      <c r="F602" s="7" t="s">
        <v>50</v>
      </c>
      <c r="G602" s="7" t="s">
        <v>2718</v>
      </c>
      <c r="H602" s="7"/>
      <c r="I602" s="7" t="s">
        <v>2719</v>
      </c>
      <c r="J602" s="7"/>
      <c r="K602" s="7"/>
      <c r="L602" s="7"/>
      <c r="M602" s="10" t="b">
        <f aca="false">FALSE()</f>
        <v>0</v>
      </c>
      <c r="N602" s="7" t="n">
        <v>-28.071</v>
      </c>
      <c r="O602" s="7" t="n">
        <v>153.378187</v>
      </c>
    </row>
    <row r="603" customFormat="false" ht="15" hidden="false" customHeight="false" outlineLevel="0" collapsed="false">
      <c r="A603" s="7" t="s">
        <v>5660</v>
      </c>
      <c r="B603" s="7" t="s">
        <v>5661</v>
      </c>
      <c r="C603" s="7" t="s">
        <v>5662</v>
      </c>
      <c r="D603" s="7" t="s">
        <v>5663</v>
      </c>
      <c r="E603" s="7" t="n">
        <v>3549</v>
      </c>
      <c r="F603" s="7" t="s">
        <v>50</v>
      </c>
      <c r="G603" s="7" t="s">
        <v>2718</v>
      </c>
      <c r="H603" s="7"/>
      <c r="I603" s="7" t="s">
        <v>2719</v>
      </c>
      <c r="J603" s="7"/>
      <c r="K603" s="7"/>
      <c r="L603" s="7"/>
      <c r="M603" s="10" t="b">
        <f aca="false">FALSE()</f>
        <v>0</v>
      </c>
      <c r="N603" s="7" t="n">
        <v>-34.584858</v>
      </c>
      <c r="O603" s="7" t="n">
        <v>142.77043</v>
      </c>
    </row>
    <row r="604" customFormat="false" ht="15" hidden="false" customHeight="false" outlineLevel="0" collapsed="false">
      <c r="A604" s="7" t="s">
        <v>5664</v>
      </c>
      <c r="B604" s="7" t="s">
        <v>5665</v>
      </c>
      <c r="C604" s="7" t="s">
        <v>5666</v>
      </c>
      <c r="D604" s="7" t="s">
        <v>5667</v>
      </c>
      <c r="E604" s="7" t="n">
        <v>2216</v>
      </c>
      <c r="F604" s="7" t="s">
        <v>50</v>
      </c>
      <c r="G604" s="7" t="s">
        <v>2786</v>
      </c>
      <c r="H604" s="7" t="s">
        <v>5668</v>
      </c>
      <c r="I604" s="7" t="s">
        <v>2747</v>
      </c>
      <c r="J604" s="7" t="s">
        <v>5669</v>
      </c>
      <c r="K604" s="7" t="s">
        <v>2772</v>
      </c>
      <c r="L604" s="7" t="s">
        <v>2705</v>
      </c>
      <c r="M604" s="10" t="b">
        <f aca="false">FALSE()</f>
        <v>0</v>
      </c>
      <c r="N604" s="7" t="n">
        <v>-33.95188027</v>
      </c>
      <c r="O604" s="7" t="n">
        <v>151.1368616</v>
      </c>
    </row>
    <row r="605" customFormat="false" ht="15" hidden="false" customHeight="false" outlineLevel="0" collapsed="false">
      <c r="A605" s="7" t="s">
        <v>5670</v>
      </c>
      <c r="B605" s="7" t="s">
        <v>5671</v>
      </c>
      <c r="C605" s="7" t="s">
        <v>5672</v>
      </c>
      <c r="D605" s="7" t="s">
        <v>5673</v>
      </c>
      <c r="E605" s="7" t="n">
        <v>2766</v>
      </c>
      <c r="F605" s="7" t="s">
        <v>50</v>
      </c>
      <c r="G605" s="7" t="s">
        <v>2786</v>
      </c>
      <c r="H605" s="7" t="s">
        <v>5006</v>
      </c>
      <c r="I605" s="7" t="s">
        <v>2747</v>
      </c>
      <c r="J605" s="7" t="s">
        <v>5674</v>
      </c>
      <c r="K605" s="7" t="s">
        <v>2772</v>
      </c>
      <c r="L605" s="7" t="s">
        <v>2705</v>
      </c>
      <c r="M605" s="10" t="b">
        <f aca="false">FALSE()</f>
        <v>0</v>
      </c>
      <c r="N605" s="7" t="n">
        <v>-33.77151173</v>
      </c>
      <c r="O605" s="7" t="n">
        <v>150.8450187</v>
      </c>
    </row>
    <row r="606" customFormat="false" ht="15" hidden="false" customHeight="false" outlineLevel="0" collapsed="false">
      <c r="A606" s="7" t="s">
        <v>5675</v>
      </c>
      <c r="B606" s="7" t="s">
        <v>5676</v>
      </c>
      <c r="C606" s="7" t="s">
        <v>5677</v>
      </c>
      <c r="D606" s="7" t="s">
        <v>5678</v>
      </c>
      <c r="E606" s="7" t="n">
        <v>2029</v>
      </c>
      <c r="F606" s="7" t="s">
        <v>50</v>
      </c>
      <c r="G606" s="7" t="s">
        <v>2852</v>
      </c>
      <c r="H606" s="7" t="s">
        <v>5679</v>
      </c>
      <c r="I606" s="7" t="s">
        <v>2695</v>
      </c>
      <c r="J606" s="7"/>
      <c r="K606" s="7"/>
      <c r="L606" s="7"/>
      <c r="M606" s="10" t="b">
        <f aca="false">FALSE()</f>
        <v>0</v>
      </c>
      <c r="N606" s="7" t="n">
        <v>-33.87094819</v>
      </c>
      <c r="O606" s="7" t="n">
        <v>151.2621217</v>
      </c>
    </row>
    <row r="607" customFormat="false" ht="15" hidden="false" customHeight="false" outlineLevel="0" collapsed="false">
      <c r="A607" s="7" t="s">
        <v>5680</v>
      </c>
      <c r="B607" s="7" t="s">
        <v>5681</v>
      </c>
      <c r="C607" s="7" t="s">
        <v>5682</v>
      </c>
      <c r="D607" s="7" t="s">
        <v>5683</v>
      </c>
      <c r="E607" s="7" t="n">
        <v>2142</v>
      </c>
      <c r="F607" s="7" t="s">
        <v>50</v>
      </c>
      <c r="G607" s="7" t="s">
        <v>2769</v>
      </c>
      <c r="H607" s="7" t="s">
        <v>5684</v>
      </c>
      <c r="I607" s="7" t="s">
        <v>5685</v>
      </c>
      <c r="J607" s="7"/>
      <c r="K607" s="7" t="s">
        <v>2772</v>
      </c>
      <c r="L607" s="7" t="s">
        <v>2705</v>
      </c>
      <c r="M607" s="10" t="b">
        <f aca="false">FALSE()</f>
        <v>0</v>
      </c>
      <c r="N607" s="7" t="n">
        <v>-33.818143</v>
      </c>
      <c r="O607" s="7" t="n">
        <v>151.024491</v>
      </c>
    </row>
    <row r="608" customFormat="false" ht="15" hidden="false" customHeight="false" outlineLevel="0" collapsed="false">
      <c r="A608" s="7" t="s">
        <v>5686</v>
      </c>
      <c r="B608" s="7" t="s">
        <v>5687</v>
      </c>
      <c r="C608" s="7" t="s">
        <v>5688</v>
      </c>
      <c r="D608" s="7" t="s">
        <v>5689</v>
      </c>
      <c r="E608" s="7" t="n">
        <v>2069</v>
      </c>
      <c r="F608" s="7" t="s">
        <v>50</v>
      </c>
      <c r="G608" s="7" t="s">
        <v>2786</v>
      </c>
      <c r="H608" s="7" t="s">
        <v>5690</v>
      </c>
      <c r="I608" s="7" t="s">
        <v>2747</v>
      </c>
      <c r="J608" s="7" t="s">
        <v>5691</v>
      </c>
      <c r="K608" s="7" t="s">
        <v>2772</v>
      </c>
      <c r="L608" s="7" t="s">
        <v>2705</v>
      </c>
      <c r="M608" s="10" t="b">
        <f aca="false">FALSE()</f>
        <v>0</v>
      </c>
      <c r="N608" s="7" t="n">
        <v>-33.78422026</v>
      </c>
      <c r="O608" s="7" t="n">
        <v>151.177266</v>
      </c>
    </row>
    <row r="609" customFormat="false" ht="15" hidden="false" customHeight="false" outlineLevel="0" collapsed="false">
      <c r="A609" s="7" t="s">
        <v>5692</v>
      </c>
      <c r="B609" s="7" t="s">
        <v>5693</v>
      </c>
      <c r="C609" s="7" t="s">
        <v>5694</v>
      </c>
      <c r="D609" s="7" t="s">
        <v>5695</v>
      </c>
      <c r="E609" s="7" t="n">
        <v>2155</v>
      </c>
      <c r="F609" s="7" t="s">
        <v>50</v>
      </c>
      <c r="G609" s="7" t="s">
        <v>2982</v>
      </c>
      <c r="H609" s="7" t="s">
        <v>5696</v>
      </c>
      <c r="I609" s="7" t="s">
        <v>5697</v>
      </c>
      <c r="J609" s="7"/>
      <c r="K609" s="7" t="s">
        <v>2772</v>
      </c>
      <c r="L609" s="7" t="s">
        <v>2705</v>
      </c>
      <c r="M609" s="10" t="b">
        <f aca="false">FALSE()</f>
        <v>0</v>
      </c>
      <c r="N609" s="7" t="n">
        <v>-33.691986</v>
      </c>
      <c r="O609" s="7" t="n">
        <v>150.924306</v>
      </c>
    </row>
    <row r="610" customFormat="false" ht="15" hidden="false" customHeight="false" outlineLevel="0" collapsed="false">
      <c r="A610" s="7" t="s">
        <v>5698</v>
      </c>
      <c r="B610" s="7" t="s">
        <v>5699</v>
      </c>
      <c r="C610" s="7" t="s">
        <v>5700</v>
      </c>
      <c r="D610" s="7" t="s">
        <v>5701</v>
      </c>
      <c r="E610" s="7" t="n">
        <v>5000</v>
      </c>
      <c r="F610" s="7" t="s">
        <v>50</v>
      </c>
      <c r="G610" s="7" t="s">
        <v>2718</v>
      </c>
      <c r="H610" s="7"/>
      <c r="I610" s="7" t="s">
        <v>2719</v>
      </c>
      <c r="J610" s="7"/>
      <c r="K610" s="7"/>
      <c r="L610" s="7"/>
      <c r="M610" s="10" t="b">
        <f aca="false">FALSE()</f>
        <v>0</v>
      </c>
      <c r="N610" s="7" t="n">
        <v>-34.92185</v>
      </c>
      <c r="O610" s="7" t="n">
        <v>138.588369</v>
      </c>
    </row>
    <row r="611" customFormat="false" ht="15" hidden="false" customHeight="false" outlineLevel="0" collapsed="false">
      <c r="A611" s="7" t="s">
        <v>5702</v>
      </c>
      <c r="B611" s="7" t="s">
        <v>5703</v>
      </c>
      <c r="C611" s="7" t="s">
        <v>5704</v>
      </c>
      <c r="D611" s="7" t="s">
        <v>5705</v>
      </c>
      <c r="E611" s="7" t="n">
        <v>2031</v>
      </c>
      <c r="F611" s="7" t="s">
        <v>50</v>
      </c>
      <c r="G611" s="7" t="s">
        <v>3262</v>
      </c>
      <c r="H611" s="7" t="s">
        <v>3263</v>
      </c>
      <c r="I611" s="7" t="s">
        <v>3264</v>
      </c>
      <c r="J611" s="7"/>
      <c r="K611" s="7" t="s">
        <v>2772</v>
      </c>
      <c r="L611" s="7" t="s">
        <v>2705</v>
      </c>
      <c r="M611" s="10" t="b">
        <f aca="false">FALSE()</f>
        <v>0</v>
      </c>
      <c r="N611" s="7" t="n">
        <v>-33.905183</v>
      </c>
      <c r="O611" s="7" t="n">
        <v>151.22883</v>
      </c>
    </row>
    <row r="612" customFormat="false" ht="15" hidden="false" customHeight="false" outlineLevel="0" collapsed="false">
      <c r="A612" s="7" t="s">
        <v>5706</v>
      </c>
      <c r="B612" s="7" t="s">
        <v>5707</v>
      </c>
      <c r="C612" s="7" t="s">
        <v>5708</v>
      </c>
      <c r="D612" s="7" t="s">
        <v>5709</v>
      </c>
      <c r="E612" s="7" t="n">
        <v>2038</v>
      </c>
      <c r="F612" s="7" t="s">
        <v>50</v>
      </c>
      <c r="G612" s="7" t="s">
        <v>2769</v>
      </c>
      <c r="H612" s="7" t="s">
        <v>4501</v>
      </c>
      <c r="I612" s="7" t="s">
        <v>4064</v>
      </c>
      <c r="J612" s="7"/>
      <c r="K612" s="7" t="s">
        <v>2772</v>
      </c>
      <c r="L612" s="7" t="s">
        <v>2705</v>
      </c>
      <c r="M612" s="10" t="b">
        <f aca="false">FALSE()</f>
        <v>0</v>
      </c>
      <c r="N612" s="7" t="n">
        <v>-33.87181104</v>
      </c>
      <c r="O612" s="7" t="n">
        <v>151.1727016</v>
      </c>
    </row>
    <row r="613" customFormat="false" ht="15" hidden="false" customHeight="false" outlineLevel="0" collapsed="false">
      <c r="A613" s="7" t="s">
        <v>5710</v>
      </c>
      <c r="B613" s="7" t="s">
        <v>5711</v>
      </c>
      <c r="C613" s="7" t="s">
        <v>5712</v>
      </c>
      <c r="D613" s="7" t="s">
        <v>5713</v>
      </c>
      <c r="E613" s="7" t="n">
        <v>2850</v>
      </c>
      <c r="F613" s="7" t="s">
        <v>50</v>
      </c>
      <c r="G613" s="7" t="s">
        <v>2718</v>
      </c>
      <c r="H613" s="7"/>
      <c r="I613" s="7" t="s">
        <v>2719</v>
      </c>
      <c r="J613" s="7"/>
      <c r="K613" s="7"/>
      <c r="L613" s="7"/>
      <c r="M613" s="10" t="b">
        <f aca="false">FALSE()</f>
        <v>0</v>
      </c>
      <c r="N613" s="7" t="n">
        <v>-33.031302</v>
      </c>
      <c r="O613" s="7" t="n">
        <v>149.900508</v>
      </c>
    </row>
    <row r="614" customFormat="false" ht="15" hidden="false" customHeight="false" outlineLevel="0" collapsed="false">
      <c r="A614" s="7" t="s">
        <v>5714</v>
      </c>
      <c r="B614" s="7" t="s">
        <v>5715</v>
      </c>
      <c r="C614" s="7" t="s">
        <v>5716</v>
      </c>
      <c r="D614" s="7" t="s">
        <v>5717</v>
      </c>
      <c r="E614" s="7" t="n">
        <v>2790</v>
      </c>
      <c r="F614" s="7" t="s">
        <v>50</v>
      </c>
      <c r="G614" s="7" t="s">
        <v>2806</v>
      </c>
      <c r="H614" s="7"/>
      <c r="I614" s="7" t="s">
        <v>4796</v>
      </c>
      <c r="J614" s="7"/>
      <c r="K614" s="7" t="s">
        <v>2704</v>
      </c>
      <c r="L614" s="7" t="s">
        <v>2705</v>
      </c>
      <c r="M614" s="10" t="b">
        <f aca="false">TRUE()</f>
        <v>1</v>
      </c>
      <c r="N614" s="7" t="n">
        <v>-33.483565</v>
      </c>
      <c r="O614" s="7" t="n">
        <v>150.031812</v>
      </c>
    </row>
    <row r="615" customFormat="false" ht="15" hidden="false" customHeight="false" outlineLevel="0" collapsed="false">
      <c r="A615" s="7" t="s">
        <v>5718</v>
      </c>
      <c r="B615" s="7" t="s">
        <v>5719</v>
      </c>
      <c r="C615" s="7" t="s">
        <v>5720</v>
      </c>
      <c r="D615" s="7" t="s">
        <v>5721</v>
      </c>
      <c r="E615" s="7" t="n">
        <v>2116</v>
      </c>
      <c r="F615" s="7" t="s">
        <v>50</v>
      </c>
      <c r="G615" s="7" t="s">
        <v>2852</v>
      </c>
      <c r="H615" s="7" t="s">
        <v>5722</v>
      </c>
      <c r="I615" s="7" t="s">
        <v>2847</v>
      </c>
      <c r="J615" s="7"/>
      <c r="K615" s="7"/>
      <c r="L615" s="7"/>
      <c r="M615" s="10" t="b">
        <f aca="false">FALSE()</f>
        <v>0</v>
      </c>
      <c r="N615" s="7" t="n">
        <v>-33.81799002</v>
      </c>
      <c r="O615" s="7" t="n">
        <v>151.0437536</v>
      </c>
    </row>
    <row r="616" customFormat="false" ht="15" hidden="false" customHeight="false" outlineLevel="0" collapsed="false">
      <c r="A616" s="7" t="s">
        <v>5723</v>
      </c>
      <c r="B616" s="7" t="s">
        <v>5724</v>
      </c>
      <c r="C616" s="7" t="s">
        <v>5725</v>
      </c>
      <c r="D616" s="7" t="s">
        <v>5726</v>
      </c>
      <c r="E616" s="7" t="n">
        <v>2849</v>
      </c>
      <c r="F616" s="7" t="s">
        <v>50</v>
      </c>
      <c r="G616" s="7" t="s">
        <v>2718</v>
      </c>
      <c r="H616" s="7"/>
      <c r="I616" s="7" t="s">
        <v>2719</v>
      </c>
      <c r="J616" s="7"/>
      <c r="K616" s="7"/>
      <c r="L616" s="7"/>
      <c r="M616" s="10" t="b">
        <f aca="false">FALSE()</f>
        <v>0</v>
      </c>
      <c r="N616" s="7" t="n">
        <v>-32.798463</v>
      </c>
      <c r="O616" s="7" t="n">
        <v>149.970508</v>
      </c>
    </row>
    <row r="617" customFormat="false" ht="15" hidden="false" customHeight="false" outlineLevel="0" collapsed="false">
      <c r="A617" s="7" t="s">
        <v>5727</v>
      </c>
      <c r="B617" s="7" t="s">
        <v>5728</v>
      </c>
      <c r="C617" s="7" t="s">
        <v>5729</v>
      </c>
      <c r="D617" s="7" t="s">
        <v>5730</v>
      </c>
      <c r="E617" s="7" t="n">
        <v>2849</v>
      </c>
      <c r="F617" s="7" t="s">
        <v>50</v>
      </c>
      <c r="G617" s="7" t="s">
        <v>2718</v>
      </c>
      <c r="H617" s="7"/>
      <c r="I617" s="7" t="s">
        <v>2719</v>
      </c>
      <c r="J617" s="7"/>
      <c r="K617" s="7"/>
      <c r="L617" s="7"/>
      <c r="M617" s="10" t="b">
        <f aca="false">FALSE()</f>
        <v>0</v>
      </c>
      <c r="N617" s="7" t="n">
        <v>-32.803779</v>
      </c>
      <c r="O617" s="7" t="n">
        <v>149.974521</v>
      </c>
    </row>
    <row r="618" customFormat="false" ht="15" hidden="false" customHeight="false" outlineLevel="0" collapsed="false">
      <c r="A618" s="7" t="s">
        <v>5731</v>
      </c>
      <c r="B618" s="7" t="s">
        <v>5732</v>
      </c>
      <c r="C618" s="7" t="s">
        <v>5733</v>
      </c>
      <c r="D618" s="7" t="s">
        <v>5734</v>
      </c>
      <c r="E618" s="7" t="n">
        <v>2304</v>
      </c>
      <c r="F618" s="7" t="s">
        <v>50</v>
      </c>
      <c r="G618" s="7" t="s">
        <v>2806</v>
      </c>
      <c r="H618" s="7" t="s">
        <v>2701</v>
      </c>
      <c r="I618" s="7" t="s">
        <v>3633</v>
      </c>
      <c r="J618" s="7" t="s">
        <v>5735</v>
      </c>
      <c r="K618" s="7" t="s">
        <v>2704</v>
      </c>
      <c r="L618" s="7" t="s">
        <v>2705</v>
      </c>
      <c r="M618" s="10" t="b">
        <f aca="false">TRUE()</f>
        <v>1</v>
      </c>
      <c r="N618" s="7" t="n">
        <v>-32.87189652</v>
      </c>
      <c r="O618" s="7" t="n">
        <v>151.7026047</v>
      </c>
    </row>
    <row r="619" customFormat="false" ht="15" hidden="false" customHeight="false" outlineLevel="0" collapsed="false">
      <c r="A619" s="7" t="s">
        <v>5736</v>
      </c>
      <c r="B619" s="7" t="s">
        <v>5737</v>
      </c>
      <c r="C619" s="7" t="s">
        <v>5738</v>
      </c>
      <c r="D619" s="7" t="s">
        <v>5739</v>
      </c>
      <c r="E619" s="7" t="n">
        <v>2452</v>
      </c>
      <c r="F619" s="7" t="s">
        <v>50</v>
      </c>
      <c r="G619" s="7" t="s">
        <v>2806</v>
      </c>
      <c r="H619" s="7" t="s">
        <v>5740</v>
      </c>
      <c r="I619" s="7" t="s">
        <v>3170</v>
      </c>
      <c r="J619" s="7"/>
      <c r="K619" s="7"/>
      <c r="L619" s="7"/>
      <c r="M619" s="10" t="b">
        <f aca="false">FALSE()</f>
        <v>0</v>
      </c>
      <c r="N619" s="7" t="n">
        <v>-30.359429</v>
      </c>
      <c r="O619" s="7" t="n">
        <v>153.097419</v>
      </c>
    </row>
    <row r="620" customFormat="false" ht="15" hidden="false" customHeight="false" outlineLevel="0" collapsed="false">
      <c r="A620" s="7" t="s">
        <v>5741</v>
      </c>
      <c r="B620" s="7" t="s">
        <v>5742</v>
      </c>
      <c r="C620" s="7" t="s">
        <v>5743</v>
      </c>
      <c r="D620" s="7" t="s">
        <v>5744</v>
      </c>
      <c r="E620" s="7" t="n">
        <v>2515</v>
      </c>
      <c r="F620" s="7" t="s">
        <v>50</v>
      </c>
      <c r="G620" s="7" t="s">
        <v>2710</v>
      </c>
      <c r="H620" s="7" t="s">
        <v>3609</v>
      </c>
      <c r="I620" s="7" t="s">
        <v>2831</v>
      </c>
      <c r="J620" s="7" t="s">
        <v>5745</v>
      </c>
      <c r="K620" s="7" t="s">
        <v>2704</v>
      </c>
      <c r="L620" s="7" t="s">
        <v>2705</v>
      </c>
      <c r="M620" s="10" t="b">
        <f aca="false">TRUE()</f>
        <v>1</v>
      </c>
      <c r="N620" s="7" t="n">
        <v>-34.26498655</v>
      </c>
      <c r="O620" s="7" t="n">
        <v>150.9657909</v>
      </c>
    </row>
    <row r="621" customFormat="false" ht="15" hidden="false" customHeight="false" outlineLevel="0" collapsed="false">
      <c r="A621" s="7" t="s">
        <v>5746</v>
      </c>
      <c r="B621" s="7" t="s">
        <v>5747</v>
      </c>
      <c r="C621" s="7" t="s">
        <v>5748</v>
      </c>
      <c r="D621" s="7" t="s">
        <v>5749</v>
      </c>
      <c r="E621" s="7" t="n">
        <v>2762</v>
      </c>
      <c r="F621" s="7" t="s">
        <v>50</v>
      </c>
      <c r="G621" s="7" t="s">
        <v>2710</v>
      </c>
      <c r="H621" s="7" t="s">
        <v>5750</v>
      </c>
      <c r="I621" s="7" t="s">
        <v>2747</v>
      </c>
      <c r="J621" s="7" t="s">
        <v>5751</v>
      </c>
      <c r="K621" s="7" t="s">
        <v>2772</v>
      </c>
      <c r="L621" s="7" t="s">
        <v>2705</v>
      </c>
      <c r="M621" s="10" t="b">
        <f aca="false">FALSE()</f>
        <v>0</v>
      </c>
      <c r="N621" s="7" t="n">
        <v>-33.70447724</v>
      </c>
      <c r="O621" s="7" t="n">
        <v>150.8738169</v>
      </c>
    </row>
    <row r="622" customFormat="false" ht="15" hidden="false" customHeight="false" outlineLevel="0" collapsed="false">
      <c r="A622" s="7" t="s">
        <v>5752</v>
      </c>
      <c r="B622" s="7" t="s">
        <v>5753</v>
      </c>
      <c r="C622" s="7" t="s">
        <v>5754</v>
      </c>
      <c r="D622" s="7" t="s">
        <v>5755</v>
      </c>
      <c r="E622" s="7" t="n">
        <v>2337</v>
      </c>
      <c r="F622" s="7" t="s">
        <v>50</v>
      </c>
      <c r="G622" s="7" t="s">
        <v>2700</v>
      </c>
      <c r="H622" s="7" t="s">
        <v>5756</v>
      </c>
      <c r="I622" s="7" t="s">
        <v>2939</v>
      </c>
      <c r="J622" s="7" t="s">
        <v>2703</v>
      </c>
      <c r="K622" s="7" t="s">
        <v>2704</v>
      </c>
      <c r="L622" s="7" t="s">
        <v>2705</v>
      </c>
      <c r="M622" s="10" t="b">
        <f aca="false">TRUE()</f>
        <v>1</v>
      </c>
      <c r="N622" s="7" t="n">
        <v>-32.04694089</v>
      </c>
      <c r="O622" s="7" t="n">
        <v>150.8669023</v>
      </c>
    </row>
    <row r="623" customFormat="false" ht="15" hidden="false" customHeight="false" outlineLevel="0" collapsed="false">
      <c r="A623" s="7" t="s">
        <v>5757</v>
      </c>
      <c r="B623" s="7" t="s">
        <v>5758</v>
      </c>
      <c r="C623" s="7" t="s">
        <v>5759</v>
      </c>
      <c r="D623" s="7" t="s">
        <v>5760</v>
      </c>
      <c r="E623" s="7" t="n">
        <v>2162</v>
      </c>
      <c r="F623" s="7" t="s">
        <v>50</v>
      </c>
      <c r="G623" s="7" t="s">
        <v>2806</v>
      </c>
      <c r="H623" s="7" t="s">
        <v>5761</v>
      </c>
      <c r="I623" s="7" t="s">
        <v>2747</v>
      </c>
      <c r="J623" s="7" t="s">
        <v>5762</v>
      </c>
      <c r="K623" s="7" t="s">
        <v>2772</v>
      </c>
      <c r="L623" s="7" t="s">
        <v>2705</v>
      </c>
      <c r="M623" s="10" t="b">
        <f aca="false">FALSE()</f>
        <v>0</v>
      </c>
      <c r="N623" s="7" t="n">
        <v>-33.88523616</v>
      </c>
      <c r="O623" s="7" t="n">
        <v>151.0112833</v>
      </c>
    </row>
    <row r="624" customFormat="false" ht="15" hidden="false" customHeight="false" outlineLevel="0" collapsed="false">
      <c r="A624" s="7" t="s">
        <v>5763</v>
      </c>
      <c r="B624" s="7" t="s">
        <v>5764</v>
      </c>
      <c r="C624" s="7" t="s">
        <v>5765</v>
      </c>
      <c r="D624" s="7" t="s">
        <v>5766</v>
      </c>
      <c r="E624" s="7" t="n">
        <v>2147</v>
      </c>
      <c r="F624" s="7" t="s">
        <v>50</v>
      </c>
      <c r="G624" s="7" t="s">
        <v>2786</v>
      </c>
      <c r="H624" s="7" t="s">
        <v>5767</v>
      </c>
      <c r="I624" s="7" t="s">
        <v>2747</v>
      </c>
      <c r="J624" s="7" t="s">
        <v>5768</v>
      </c>
      <c r="K624" s="7" t="s">
        <v>2772</v>
      </c>
      <c r="L624" s="7" t="s">
        <v>2705</v>
      </c>
      <c r="M624" s="10" t="b">
        <f aca="false">FALSE()</f>
        <v>0</v>
      </c>
      <c r="N624" s="7" t="n">
        <v>-33.77443043</v>
      </c>
      <c r="O624" s="7" t="n">
        <v>150.9365134</v>
      </c>
    </row>
    <row r="625" customFormat="false" ht="15" hidden="false" customHeight="false" outlineLevel="0" collapsed="false">
      <c r="A625" s="7" t="s">
        <v>5769</v>
      </c>
      <c r="B625" s="7" t="s">
        <v>5770</v>
      </c>
      <c r="C625" s="7" t="s">
        <v>5771</v>
      </c>
      <c r="D625" s="7" t="s">
        <v>5772</v>
      </c>
      <c r="E625" s="7" t="n">
        <v>2529</v>
      </c>
      <c r="F625" s="7" t="s">
        <v>50</v>
      </c>
      <c r="G625" s="7" t="s">
        <v>2786</v>
      </c>
      <c r="H625" s="7" t="s">
        <v>5773</v>
      </c>
      <c r="I625" s="7" t="s">
        <v>2747</v>
      </c>
      <c r="J625" s="7"/>
      <c r="K625" s="7" t="s">
        <v>2704</v>
      </c>
      <c r="L625" s="7" t="s">
        <v>2705</v>
      </c>
      <c r="M625" s="10" t="b">
        <f aca="false">TRUE()</f>
        <v>1</v>
      </c>
      <c r="N625" s="7" t="n">
        <v>-34.59128255</v>
      </c>
      <c r="O625" s="7" t="n">
        <v>150.8447273</v>
      </c>
    </row>
    <row r="626" customFormat="false" ht="15" hidden="false" customHeight="false" outlineLevel="0" collapsed="false">
      <c r="A626" s="7" t="s">
        <v>5774</v>
      </c>
      <c r="B626" s="7" t="s">
        <v>5775</v>
      </c>
      <c r="C626" s="7" t="s">
        <v>5776</v>
      </c>
      <c r="D626" s="7" t="s">
        <v>5777</v>
      </c>
      <c r="E626" s="7" t="n">
        <v>2330</v>
      </c>
      <c r="F626" s="7" t="s">
        <v>50</v>
      </c>
      <c r="G626" s="7" t="s">
        <v>2710</v>
      </c>
      <c r="H626" s="7" t="s">
        <v>5778</v>
      </c>
      <c r="I626" s="7" t="s">
        <v>2702</v>
      </c>
      <c r="J626" s="7"/>
      <c r="K626" s="7" t="s">
        <v>2704</v>
      </c>
      <c r="L626" s="7" t="s">
        <v>2705</v>
      </c>
      <c r="M626" s="10" t="b">
        <f aca="false">TRUE()</f>
        <v>1</v>
      </c>
      <c r="N626" s="7" t="n">
        <v>-32.57177047</v>
      </c>
      <c r="O626" s="7" t="n">
        <v>151.1651707</v>
      </c>
    </row>
    <row r="627" customFormat="false" ht="15" hidden="false" customHeight="false" outlineLevel="0" collapsed="false">
      <c r="A627" s="7" t="s">
        <v>5779</v>
      </c>
      <c r="B627" s="7" t="s">
        <v>5780</v>
      </c>
      <c r="C627" s="7" t="s">
        <v>5781</v>
      </c>
      <c r="D627" s="7" t="s">
        <v>5782</v>
      </c>
      <c r="E627" s="7" t="n">
        <v>2340</v>
      </c>
      <c r="F627" s="7" t="s">
        <v>50</v>
      </c>
      <c r="G627" s="7" t="s">
        <v>2718</v>
      </c>
      <c r="H627" s="7"/>
      <c r="I627" s="7" t="s">
        <v>2719</v>
      </c>
      <c r="J627" s="7"/>
      <c r="K627" s="7"/>
      <c r="L627" s="7"/>
      <c r="M627" s="10" t="b">
        <f aca="false">FALSE()</f>
        <v>0</v>
      </c>
      <c r="N627" s="7" t="n">
        <v>-30.93779</v>
      </c>
      <c r="O627" s="7" t="n">
        <v>150.63499</v>
      </c>
    </row>
    <row r="628" customFormat="false" ht="15" hidden="false" customHeight="false" outlineLevel="0" collapsed="false">
      <c r="A628" s="7" t="s">
        <v>5783</v>
      </c>
      <c r="B628" s="7" t="s">
        <v>5784</v>
      </c>
      <c r="C628" s="7" t="s">
        <v>5785</v>
      </c>
      <c r="D628" s="7" t="s">
        <v>5786</v>
      </c>
      <c r="E628" s="7" t="n">
        <v>2088</v>
      </c>
      <c r="F628" s="7" t="s">
        <v>50</v>
      </c>
      <c r="G628" s="7" t="s">
        <v>2693</v>
      </c>
      <c r="H628" s="7" t="s">
        <v>5787</v>
      </c>
      <c r="I628" s="7" t="s">
        <v>5788</v>
      </c>
      <c r="J628" s="7"/>
      <c r="K628" s="7"/>
      <c r="L628" s="7"/>
      <c r="M628" s="10" t="b">
        <f aca="false">FALSE()</f>
        <v>0</v>
      </c>
      <c r="N628" s="7" t="n">
        <v>-33.84326831</v>
      </c>
      <c r="O628" s="7" t="n">
        <v>151.2325961</v>
      </c>
    </row>
    <row r="629" customFormat="false" ht="15" hidden="false" customHeight="false" outlineLevel="0" collapsed="false">
      <c r="A629" s="7" t="s">
        <v>5789</v>
      </c>
      <c r="B629" s="7" t="s">
        <v>5790</v>
      </c>
      <c r="C629" s="7" t="s">
        <v>5791</v>
      </c>
      <c r="D629" s="7" t="s">
        <v>5792</v>
      </c>
      <c r="E629" s="7" t="n">
        <v>2486</v>
      </c>
      <c r="F629" s="7" t="s">
        <v>50</v>
      </c>
      <c r="G629" s="7" t="s">
        <v>2837</v>
      </c>
      <c r="H629" s="7"/>
      <c r="I629" s="7" t="s">
        <v>2719</v>
      </c>
      <c r="J629" s="7"/>
      <c r="K629" s="7"/>
      <c r="L629" s="7"/>
      <c r="M629" s="10" t="b">
        <f aca="false">FALSE()</f>
        <v>0</v>
      </c>
      <c r="N629" s="7" t="n">
        <v>-28.195182</v>
      </c>
      <c r="O629" s="7" t="n">
        <v>153.543007</v>
      </c>
    </row>
    <row r="630" customFormat="false" ht="15" hidden="false" customHeight="false" outlineLevel="0" collapsed="false">
      <c r="A630" s="7" t="s">
        <v>5793</v>
      </c>
      <c r="B630" s="7" t="s">
        <v>5794</v>
      </c>
      <c r="C630" s="7" t="s">
        <v>5795</v>
      </c>
      <c r="D630" s="7" t="s">
        <v>5796</v>
      </c>
      <c r="E630" s="7" t="n">
        <v>2088</v>
      </c>
      <c r="F630" s="7" t="s">
        <v>50</v>
      </c>
      <c r="G630" s="7" t="s">
        <v>3439</v>
      </c>
      <c r="H630" s="7" t="s">
        <v>3650</v>
      </c>
      <c r="I630" s="7" t="s">
        <v>3400</v>
      </c>
      <c r="J630" s="7"/>
      <c r="K630" s="7" t="s">
        <v>2772</v>
      </c>
      <c r="L630" s="7" t="s">
        <v>2705</v>
      </c>
      <c r="M630" s="10" t="b">
        <f aca="false">FALSE()</f>
        <v>0</v>
      </c>
      <c r="N630" s="7" t="n">
        <v>-33.824148</v>
      </c>
      <c r="O630" s="7" t="n">
        <v>151.241656</v>
      </c>
    </row>
    <row r="631" customFormat="false" ht="15" hidden="false" customHeight="false" outlineLevel="0" collapsed="false">
      <c r="A631" s="7" t="s">
        <v>5797</v>
      </c>
      <c r="B631" s="7" t="s">
        <v>5798</v>
      </c>
      <c r="C631" s="7" t="s">
        <v>5799</v>
      </c>
      <c r="D631" s="7" t="s">
        <v>5800</v>
      </c>
      <c r="E631" s="7" t="n">
        <v>2800</v>
      </c>
      <c r="F631" s="7" t="s">
        <v>50</v>
      </c>
      <c r="G631" s="7" t="s">
        <v>2718</v>
      </c>
      <c r="H631" s="7"/>
      <c r="I631" s="7" t="s">
        <v>2719</v>
      </c>
      <c r="J631" s="7"/>
      <c r="K631" s="7"/>
      <c r="L631" s="7"/>
      <c r="M631" s="10" t="b">
        <f aca="false">FALSE()</f>
        <v>0</v>
      </c>
      <c r="N631" s="7" t="n">
        <v>-33.398855</v>
      </c>
      <c r="O631" s="7" t="n">
        <v>149.152388</v>
      </c>
    </row>
    <row r="632" customFormat="false" ht="15" hidden="false" customHeight="false" outlineLevel="0" collapsed="false">
      <c r="A632" s="7" t="s">
        <v>5801</v>
      </c>
      <c r="B632" s="7" t="s">
        <v>5802</v>
      </c>
      <c r="C632" s="7" t="s">
        <v>5803</v>
      </c>
      <c r="D632" s="7" t="s">
        <v>5804</v>
      </c>
      <c r="E632" s="7" t="n">
        <v>2777</v>
      </c>
      <c r="F632" s="7" t="s">
        <v>50</v>
      </c>
      <c r="G632" s="7" t="s">
        <v>2786</v>
      </c>
      <c r="H632" s="7" t="s">
        <v>4524</v>
      </c>
      <c r="I632" s="7" t="s">
        <v>2747</v>
      </c>
      <c r="J632" s="7" t="s">
        <v>5805</v>
      </c>
      <c r="K632" s="7" t="s">
        <v>2704</v>
      </c>
      <c r="L632" s="7" t="s">
        <v>2705</v>
      </c>
      <c r="M632" s="10" t="b">
        <f aca="false">TRUE()</f>
        <v>1</v>
      </c>
      <c r="N632" s="7" t="n">
        <v>-33.6988416</v>
      </c>
      <c r="O632" s="7" t="n">
        <v>150.5639799</v>
      </c>
    </row>
    <row r="633" customFormat="false" ht="15" hidden="false" customHeight="false" outlineLevel="0" collapsed="false">
      <c r="A633" s="7" t="s">
        <v>5806</v>
      </c>
      <c r="B633" s="7" t="s">
        <v>5807</v>
      </c>
      <c r="C633" s="7" t="s">
        <v>5808</v>
      </c>
      <c r="D633" s="7" t="s">
        <v>5215</v>
      </c>
      <c r="E633" s="7" t="n">
        <v>2000</v>
      </c>
      <c r="F633" s="7" t="s">
        <v>50</v>
      </c>
      <c r="G633" s="7" t="s">
        <v>2710</v>
      </c>
      <c r="H633" s="7" t="s">
        <v>5809</v>
      </c>
      <c r="I633" s="7" t="s">
        <v>2747</v>
      </c>
      <c r="J633" s="7" t="s">
        <v>5810</v>
      </c>
      <c r="K633" s="7" t="s">
        <v>2772</v>
      </c>
      <c r="L633" s="7" t="s">
        <v>2705</v>
      </c>
      <c r="M633" s="10" t="b">
        <f aca="false">FALSE()</f>
        <v>0</v>
      </c>
      <c r="N633" s="7" t="n">
        <v>-33.87069742</v>
      </c>
      <c r="O633" s="7" t="n">
        <v>151.2118374</v>
      </c>
    </row>
    <row r="634" customFormat="false" ht="15" hidden="false" customHeight="false" outlineLevel="0" collapsed="false">
      <c r="A634" s="7" t="s">
        <v>5811</v>
      </c>
      <c r="B634" s="7" t="s">
        <v>5812</v>
      </c>
      <c r="C634" s="7" t="s">
        <v>5813</v>
      </c>
      <c r="D634" s="7" t="s">
        <v>5814</v>
      </c>
      <c r="E634" s="7" t="n">
        <v>2065</v>
      </c>
      <c r="F634" s="7" t="s">
        <v>50</v>
      </c>
      <c r="G634" s="7" t="s">
        <v>2786</v>
      </c>
      <c r="H634" s="7" t="s">
        <v>5815</v>
      </c>
      <c r="I634" s="7" t="s">
        <v>3514</v>
      </c>
      <c r="J634" s="7" t="s">
        <v>5816</v>
      </c>
      <c r="K634" s="7" t="s">
        <v>2772</v>
      </c>
      <c r="L634" s="7" t="s">
        <v>2705</v>
      </c>
      <c r="M634" s="10" t="b">
        <f aca="false">TRUE()</f>
        <v>1</v>
      </c>
      <c r="N634" s="7" t="n">
        <v>-33.82238888</v>
      </c>
      <c r="O634" s="7" t="n">
        <v>151.1941268</v>
      </c>
    </row>
    <row r="635" customFormat="false" ht="15" hidden="false" customHeight="false" outlineLevel="0" collapsed="false">
      <c r="A635" s="7" t="s">
        <v>5817</v>
      </c>
      <c r="B635" s="7" t="s">
        <v>5818</v>
      </c>
      <c r="C635" s="7" t="s">
        <v>5819</v>
      </c>
      <c r="D635" s="7" t="s">
        <v>5820</v>
      </c>
      <c r="E635" s="7" t="n">
        <v>2760</v>
      </c>
      <c r="F635" s="7" t="s">
        <v>50</v>
      </c>
      <c r="G635" s="7" t="s">
        <v>2786</v>
      </c>
      <c r="H635" s="7" t="s">
        <v>3800</v>
      </c>
      <c r="I635" s="7" t="s">
        <v>2885</v>
      </c>
      <c r="J635" s="7" t="s">
        <v>5821</v>
      </c>
      <c r="K635" s="7" t="s">
        <v>2772</v>
      </c>
      <c r="L635" s="7" t="s">
        <v>2705</v>
      </c>
      <c r="M635" s="10" t="b">
        <f aca="false">FALSE()</f>
        <v>0</v>
      </c>
      <c r="N635" s="7" t="n">
        <v>-33.76225585</v>
      </c>
      <c r="O635" s="7" t="n">
        <v>150.776029</v>
      </c>
    </row>
    <row r="636" customFormat="false" ht="15" hidden="false" customHeight="false" outlineLevel="0" collapsed="false">
      <c r="A636" s="7" t="s">
        <v>5822</v>
      </c>
      <c r="B636" s="7" t="s">
        <v>5823</v>
      </c>
      <c r="C636" s="7" t="s">
        <v>5824</v>
      </c>
      <c r="D636" s="7" t="s">
        <v>5825</v>
      </c>
      <c r="E636" s="7" t="n">
        <v>2044</v>
      </c>
      <c r="F636" s="7" t="s">
        <v>50</v>
      </c>
      <c r="G636" s="7" t="s">
        <v>2710</v>
      </c>
      <c r="H636" s="7" t="s">
        <v>5826</v>
      </c>
      <c r="I636" s="7" t="s">
        <v>2747</v>
      </c>
      <c r="J636" s="7" t="s">
        <v>5827</v>
      </c>
      <c r="K636" s="7" t="s">
        <v>2772</v>
      </c>
      <c r="L636" s="7" t="s">
        <v>2705</v>
      </c>
      <c r="M636" s="10" t="b">
        <f aca="false">FALSE()</f>
        <v>0</v>
      </c>
      <c r="N636" s="7" t="n">
        <v>-33.9073952</v>
      </c>
      <c r="O636" s="7" t="n">
        <v>151.1802675</v>
      </c>
    </row>
    <row r="637" customFormat="false" ht="15" hidden="false" customHeight="false" outlineLevel="0" collapsed="false">
      <c r="A637" s="7" t="s">
        <v>5828</v>
      </c>
      <c r="B637" s="7" t="s">
        <v>5829</v>
      </c>
      <c r="C637" s="7" t="s">
        <v>5830</v>
      </c>
      <c r="D637" s="7" t="s">
        <v>5831</v>
      </c>
      <c r="E637" s="7" t="n">
        <v>2048</v>
      </c>
      <c r="F637" s="7" t="s">
        <v>50</v>
      </c>
      <c r="G637" s="7" t="s">
        <v>2710</v>
      </c>
      <c r="H637" s="7" t="s">
        <v>5832</v>
      </c>
      <c r="I637" s="7" t="s">
        <v>2747</v>
      </c>
      <c r="J637" s="7" t="s">
        <v>5833</v>
      </c>
      <c r="K637" s="7" t="s">
        <v>2772</v>
      </c>
      <c r="L637" s="7" t="s">
        <v>2705</v>
      </c>
      <c r="M637" s="10" t="b">
        <f aca="false">FALSE()</f>
        <v>0</v>
      </c>
      <c r="N637" s="7" t="n">
        <v>-33.89454885</v>
      </c>
      <c r="O637" s="7" t="n">
        <v>151.1640093</v>
      </c>
    </row>
    <row r="638" customFormat="false" ht="15" hidden="false" customHeight="false" outlineLevel="0" collapsed="false">
      <c r="A638" s="7" t="s">
        <v>5834</v>
      </c>
      <c r="B638" s="7" t="s">
        <v>5835</v>
      </c>
      <c r="C638" s="7" t="s">
        <v>5836</v>
      </c>
      <c r="D638" s="7" t="s">
        <v>5837</v>
      </c>
      <c r="E638" s="7" t="n">
        <v>2508</v>
      </c>
      <c r="F638" s="7" t="s">
        <v>50</v>
      </c>
      <c r="G638" s="7" t="s">
        <v>2806</v>
      </c>
      <c r="H638" s="7" t="s">
        <v>5838</v>
      </c>
      <c r="I638" s="7" t="s">
        <v>3202</v>
      </c>
      <c r="J638" s="7" t="s">
        <v>5839</v>
      </c>
      <c r="K638" s="7" t="s">
        <v>2704</v>
      </c>
      <c r="L638" s="7" t="s">
        <v>2705</v>
      </c>
      <c r="M638" s="10" t="b">
        <f aca="false">TRUE()</f>
        <v>1</v>
      </c>
      <c r="N638" s="7" t="n">
        <v>-34.22658642</v>
      </c>
      <c r="O638" s="7" t="n">
        <v>150.980938</v>
      </c>
    </row>
    <row r="639" customFormat="false" ht="15" hidden="false" customHeight="false" outlineLevel="0" collapsed="false">
      <c r="A639" s="7" t="s">
        <v>5840</v>
      </c>
      <c r="B639" s="7" t="s">
        <v>5841</v>
      </c>
      <c r="C639" s="7" t="s">
        <v>5842</v>
      </c>
      <c r="D639" s="7" t="s">
        <v>5843</v>
      </c>
      <c r="E639" s="7" t="n">
        <v>2725</v>
      </c>
      <c r="F639" s="7" t="s">
        <v>50</v>
      </c>
      <c r="G639" s="7" t="s">
        <v>2718</v>
      </c>
      <c r="H639" s="7"/>
      <c r="I639" s="7" t="s">
        <v>2719</v>
      </c>
      <c r="J639" s="7"/>
      <c r="K639" s="7"/>
      <c r="L639" s="7"/>
      <c r="M639" s="10" t="b">
        <f aca="false">FALSE()</f>
        <v>0</v>
      </c>
      <c r="N639" s="7" t="n">
        <v>-34.500339</v>
      </c>
      <c r="O639" s="7" t="n">
        <v>147.880771</v>
      </c>
    </row>
    <row r="640" customFormat="false" ht="15" hidden="false" customHeight="false" outlineLevel="0" collapsed="false">
      <c r="A640" s="7" t="s">
        <v>5844</v>
      </c>
      <c r="B640" s="7" t="s">
        <v>5845</v>
      </c>
      <c r="C640" s="7" t="s">
        <v>5846</v>
      </c>
      <c r="D640" s="7" t="s">
        <v>5847</v>
      </c>
      <c r="E640" s="7" t="n">
        <v>2295</v>
      </c>
      <c r="F640" s="7" t="s">
        <v>50</v>
      </c>
      <c r="G640" s="7" t="s">
        <v>2852</v>
      </c>
      <c r="H640" s="7" t="s">
        <v>5848</v>
      </c>
      <c r="I640" s="7" t="s">
        <v>5576</v>
      </c>
      <c r="J640" s="7"/>
      <c r="K640" s="7"/>
      <c r="L640" s="7"/>
      <c r="M640" s="10" t="b">
        <f aca="false">FALSE()</f>
        <v>0</v>
      </c>
      <c r="N640" s="7" t="n">
        <v>-32.919641</v>
      </c>
      <c r="O640" s="7" t="n">
        <v>151.782514</v>
      </c>
    </row>
    <row r="641" customFormat="false" ht="15" hidden="false" customHeight="false" outlineLevel="0" collapsed="false">
      <c r="A641" s="7" t="s">
        <v>5849</v>
      </c>
      <c r="B641" s="7" t="s">
        <v>5850</v>
      </c>
      <c r="C641" s="7" t="s">
        <v>5851</v>
      </c>
      <c r="D641" s="7" t="s">
        <v>5852</v>
      </c>
      <c r="E641" s="7" t="n">
        <v>2422</v>
      </c>
      <c r="F641" s="7" t="s">
        <v>50</v>
      </c>
      <c r="G641" s="7" t="s">
        <v>2718</v>
      </c>
      <c r="H641" s="7"/>
      <c r="I641" s="7" t="s">
        <v>2719</v>
      </c>
      <c r="J641" s="7"/>
      <c r="K641" s="7"/>
      <c r="L641" s="7"/>
      <c r="M641" s="10" t="b">
        <f aca="false">FALSE()</f>
        <v>0</v>
      </c>
      <c r="N641" s="7" t="n">
        <v>-32.11757</v>
      </c>
      <c r="O641" s="7" t="n">
        <v>151.937879</v>
      </c>
    </row>
    <row r="642" customFormat="false" ht="15" hidden="false" customHeight="false" outlineLevel="0" collapsed="false">
      <c r="A642" s="7" t="s">
        <v>5853</v>
      </c>
      <c r="B642" s="7" t="s">
        <v>5854</v>
      </c>
      <c r="C642" s="7" t="s">
        <v>5855</v>
      </c>
      <c r="D642" s="7" t="s">
        <v>5856</v>
      </c>
      <c r="E642" s="7" t="n">
        <v>2135</v>
      </c>
      <c r="F642" s="7" t="s">
        <v>50</v>
      </c>
      <c r="G642" s="7" t="s">
        <v>2786</v>
      </c>
      <c r="H642" s="7" t="s">
        <v>5857</v>
      </c>
      <c r="I642" s="7" t="s">
        <v>2747</v>
      </c>
      <c r="J642" s="7" t="s">
        <v>5858</v>
      </c>
      <c r="K642" s="7" t="s">
        <v>2772</v>
      </c>
      <c r="L642" s="7" t="s">
        <v>2705</v>
      </c>
      <c r="M642" s="10" t="b">
        <f aca="false">TRUE()</f>
        <v>1</v>
      </c>
      <c r="N642" s="7" t="n">
        <v>-33.8718105</v>
      </c>
      <c r="O642" s="7" t="n">
        <v>151.0944271</v>
      </c>
    </row>
    <row r="643" customFormat="false" ht="15" hidden="false" customHeight="false" outlineLevel="0" collapsed="false">
      <c r="A643" s="7" t="s">
        <v>5859</v>
      </c>
      <c r="B643" s="7" t="s">
        <v>5860</v>
      </c>
      <c r="C643" s="7" t="s">
        <v>5861</v>
      </c>
      <c r="D643" s="7" t="s">
        <v>5862</v>
      </c>
      <c r="E643" s="7" t="n">
        <v>2425</v>
      </c>
      <c r="F643" s="7" t="s">
        <v>50</v>
      </c>
      <c r="G643" s="7" t="s">
        <v>2718</v>
      </c>
      <c r="H643" s="7"/>
      <c r="I643" s="7" t="s">
        <v>2719</v>
      </c>
      <c r="J643" s="7"/>
      <c r="K643" s="7"/>
      <c r="L643" s="7"/>
      <c r="M643" s="10" t="b">
        <f aca="false">FALSE()</f>
        <v>0</v>
      </c>
      <c r="N643" s="7" t="n">
        <v>-32.403962</v>
      </c>
      <c r="O643" s="7" t="n">
        <v>151.967514</v>
      </c>
    </row>
    <row r="644" customFormat="false" ht="15" hidden="false" customHeight="false" outlineLevel="0" collapsed="false">
      <c r="A644" s="7" t="s">
        <v>5863</v>
      </c>
      <c r="B644" s="7" t="s">
        <v>5864</v>
      </c>
      <c r="C644" s="7" t="s">
        <v>5865</v>
      </c>
      <c r="D644" s="7" t="s">
        <v>5866</v>
      </c>
      <c r="E644" s="7" t="n">
        <v>2415</v>
      </c>
      <c r="F644" s="7" t="s">
        <v>50</v>
      </c>
      <c r="G644" s="7" t="s">
        <v>2718</v>
      </c>
      <c r="H644" s="7"/>
      <c r="I644" s="7" t="s">
        <v>2719</v>
      </c>
      <c r="J644" s="7"/>
      <c r="K644" s="7"/>
      <c r="L644" s="7"/>
      <c r="M644" s="10" t="b">
        <f aca="false">FALSE()</f>
        <v>0</v>
      </c>
      <c r="N644" s="7" t="n">
        <v>-32.345307</v>
      </c>
      <c r="O644" s="7" t="n">
        <v>151.930093</v>
      </c>
    </row>
    <row r="645" customFormat="false" ht="15" hidden="false" customHeight="false" outlineLevel="0" collapsed="false">
      <c r="A645" s="7" t="s">
        <v>5867</v>
      </c>
      <c r="B645" s="7" t="s">
        <v>5868</v>
      </c>
      <c r="C645" s="7" t="s">
        <v>5869</v>
      </c>
      <c r="D645" s="7" t="s">
        <v>5870</v>
      </c>
      <c r="E645" s="7" t="n">
        <v>2820</v>
      </c>
      <c r="F645" s="7" t="s">
        <v>50</v>
      </c>
      <c r="G645" s="7" t="s">
        <v>2806</v>
      </c>
      <c r="H645" s="7" t="s">
        <v>5871</v>
      </c>
      <c r="I645" s="7" t="s">
        <v>3170</v>
      </c>
      <c r="J645" s="7"/>
      <c r="K645" s="7"/>
      <c r="L645" s="7"/>
      <c r="M645" s="10" t="b">
        <f aca="false">FALSE()</f>
        <v>0</v>
      </c>
      <c r="N645" s="7" t="n">
        <v>-32.801192</v>
      </c>
      <c r="O645" s="7" t="n">
        <v>149.07832</v>
      </c>
    </row>
    <row r="646" customFormat="false" ht="15" hidden="false" customHeight="false" outlineLevel="0" collapsed="false">
      <c r="A646" s="7" t="s">
        <v>5872</v>
      </c>
      <c r="B646" s="7" t="s">
        <v>5873</v>
      </c>
      <c r="C646" s="7" t="s">
        <v>5874</v>
      </c>
      <c r="D646" s="7" t="s">
        <v>5875</v>
      </c>
      <c r="E646" s="7" t="n">
        <v>2481</v>
      </c>
      <c r="F646" s="7" t="s">
        <v>50</v>
      </c>
      <c r="G646" s="7" t="s">
        <v>2718</v>
      </c>
      <c r="H646" s="7"/>
      <c r="I646" s="7" t="s">
        <v>2719</v>
      </c>
      <c r="J646" s="7"/>
      <c r="K646" s="7"/>
      <c r="L646" s="7"/>
      <c r="M646" s="10" t="b">
        <f aca="false">FALSE()</f>
        <v>0</v>
      </c>
      <c r="N646" s="7" t="n">
        <v>-28.686927</v>
      </c>
      <c r="O646" s="7" t="n">
        <v>153.607927</v>
      </c>
    </row>
    <row r="647" customFormat="false" ht="15" hidden="false" customHeight="false" outlineLevel="0" collapsed="false">
      <c r="A647" s="7" t="s">
        <v>5876</v>
      </c>
      <c r="B647" s="7" t="s">
        <v>5877</v>
      </c>
      <c r="C647" s="7" t="s">
        <v>5878</v>
      </c>
      <c r="D647" s="7" t="s">
        <v>5879</v>
      </c>
      <c r="E647" s="7" t="n">
        <v>2130</v>
      </c>
      <c r="F647" s="7" t="s">
        <v>50</v>
      </c>
      <c r="G647" s="7" t="s">
        <v>2786</v>
      </c>
      <c r="H647" s="7" t="s">
        <v>4406</v>
      </c>
      <c r="I647" s="7" t="s">
        <v>2747</v>
      </c>
      <c r="J647" s="7" t="s">
        <v>5880</v>
      </c>
      <c r="K647" s="7" t="s">
        <v>2772</v>
      </c>
      <c r="L647" s="7" t="s">
        <v>2705</v>
      </c>
      <c r="M647" s="10" t="b">
        <f aca="false">FALSE()</f>
        <v>0</v>
      </c>
      <c r="N647" s="7" t="n">
        <v>-33.89056077</v>
      </c>
      <c r="O647" s="7" t="n">
        <v>151.1394451</v>
      </c>
    </row>
    <row r="648" customFormat="false" ht="15" hidden="false" customHeight="false" outlineLevel="0" collapsed="false">
      <c r="A648" s="7" t="s">
        <v>5881</v>
      </c>
      <c r="B648" s="7" t="s">
        <v>5882</v>
      </c>
      <c r="C648" s="7" t="s">
        <v>5883</v>
      </c>
      <c r="D648" s="7" t="s">
        <v>5884</v>
      </c>
      <c r="E648" s="7" t="n">
        <v>2879</v>
      </c>
      <c r="F648" s="7" t="s">
        <v>50</v>
      </c>
      <c r="G648" s="7" t="s">
        <v>2718</v>
      </c>
      <c r="H648" s="7"/>
      <c r="I648" s="7" t="s">
        <v>2719</v>
      </c>
      <c r="J648" s="7"/>
      <c r="K648" s="7"/>
      <c r="L648" s="7"/>
      <c r="M648" s="10" t="b">
        <f aca="false">FALSE()</f>
        <v>0</v>
      </c>
      <c r="N648" s="7" t="n">
        <v>-32.274668</v>
      </c>
      <c r="O648" s="7" t="n">
        <v>142.322608</v>
      </c>
    </row>
    <row r="649" customFormat="false" ht="15" hidden="false" customHeight="false" outlineLevel="0" collapsed="false">
      <c r="A649" s="7" t="s">
        <v>5885</v>
      </c>
      <c r="B649" s="7" t="s">
        <v>5886</v>
      </c>
      <c r="C649" s="7" t="s">
        <v>5887</v>
      </c>
      <c r="D649" s="7" t="s">
        <v>5888</v>
      </c>
      <c r="E649" s="7" t="n">
        <v>4217</v>
      </c>
      <c r="F649" s="7" t="s">
        <v>50</v>
      </c>
      <c r="G649" s="7" t="s">
        <v>2718</v>
      </c>
      <c r="H649" s="7"/>
      <c r="I649" s="7" t="s">
        <v>2719</v>
      </c>
      <c r="J649" s="7"/>
      <c r="K649" s="7"/>
      <c r="L649" s="7"/>
      <c r="M649" s="10" t="b">
        <f aca="false">FALSE()</f>
        <v>0</v>
      </c>
      <c r="N649" s="7" t="n">
        <v>-28.002535</v>
      </c>
      <c r="O649" s="7" t="n">
        <v>153.427978</v>
      </c>
    </row>
    <row r="650" customFormat="false" ht="15" hidden="false" customHeight="false" outlineLevel="0" collapsed="false">
      <c r="A650" s="7" t="s">
        <v>5889</v>
      </c>
      <c r="B650" s="7" t="s">
        <v>5890</v>
      </c>
      <c r="C650" s="7" t="s">
        <v>5891</v>
      </c>
      <c r="D650" s="7" t="s">
        <v>5892</v>
      </c>
      <c r="E650" s="7" t="n">
        <v>2010</v>
      </c>
      <c r="F650" s="7" t="s">
        <v>50</v>
      </c>
      <c r="G650" s="7" t="s">
        <v>3262</v>
      </c>
      <c r="H650" s="7" t="s">
        <v>3263</v>
      </c>
      <c r="I650" s="7" t="s">
        <v>5893</v>
      </c>
      <c r="J650" s="7"/>
      <c r="K650" s="7" t="s">
        <v>2772</v>
      </c>
      <c r="L650" s="7" t="s">
        <v>2705</v>
      </c>
      <c r="M650" s="10" t="b">
        <f aca="false">FALSE()</f>
        <v>0</v>
      </c>
      <c r="N650" s="7" t="n">
        <v>-33.888102</v>
      </c>
      <c r="O650" s="7" t="n">
        <v>151.211879</v>
      </c>
    </row>
    <row r="651" customFormat="false" ht="15" hidden="false" customHeight="false" outlineLevel="0" collapsed="false">
      <c r="A651" s="7" t="s">
        <v>5894</v>
      </c>
      <c r="B651" s="7" t="s">
        <v>5895</v>
      </c>
      <c r="C651" s="7" t="s">
        <v>5896</v>
      </c>
      <c r="D651" s="7" t="s">
        <v>5897</v>
      </c>
      <c r="E651" s="7" t="n">
        <v>2232</v>
      </c>
      <c r="F651" s="7" t="s">
        <v>50</v>
      </c>
      <c r="G651" s="7" t="s">
        <v>2786</v>
      </c>
      <c r="H651" s="7" t="s">
        <v>5898</v>
      </c>
      <c r="I651" s="7" t="s">
        <v>2747</v>
      </c>
      <c r="J651" s="7" t="s">
        <v>5899</v>
      </c>
      <c r="K651" s="7" t="s">
        <v>2772</v>
      </c>
      <c r="L651" s="7" t="s">
        <v>2705</v>
      </c>
      <c r="M651" s="10" t="b">
        <f aca="false">TRUE()</f>
        <v>1</v>
      </c>
      <c r="N651" s="7" t="n">
        <v>-34.03178692</v>
      </c>
      <c r="O651" s="7" t="n">
        <v>151.0571901</v>
      </c>
    </row>
    <row r="652" customFormat="false" ht="15" hidden="false" customHeight="false" outlineLevel="0" collapsed="false">
      <c r="A652" s="7" t="s">
        <v>5900</v>
      </c>
      <c r="B652" s="7" t="s">
        <v>5901</v>
      </c>
      <c r="C652" s="7" t="s">
        <v>5902</v>
      </c>
      <c r="D652" s="7" t="s">
        <v>5903</v>
      </c>
      <c r="E652" s="7" t="n">
        <v>2044</v>
      </c>
      <c r="F652" s="7" t="s">
        <v>50</v>
      </c>
      <c r="G652" s="7" t="s">
        <v>3524</v>
      </c>
      <c r="H652" s="7" t="s">
        <v>5904</v>
      </c>
      <c r="I652" s="7" t="s">
        <v>2885</v>
      </c>
      <c r="J652" s="7" t="s">
        <v>5905</v>
      </c>
      <c r="K652" s="7" t="s">
        <v>2772</v>
      </c>
      <c r="L652" s="7" t="s">
        <v>2705</v>
      </c>
      <c r="M652" s="10" t="b">
        <f aca="false">TRUE()</f>
        <v>1</v>
      </c>
      <c r="N652" s="7" t="n">
        <v>-33.9143732</v>
      </c>
      <c r="O652" s="7" t="n">
        <v>151.1666456</v>
      </c>
    </row>
    <row r="653" customFormat="false" ht="15" hidden="false" customHeight="false" outlineLevel="0" collapsed="false">
      <c r="A653" s="7" t="s">
        <v>5906</v>
      </c>
      <c r="B653" s="7" t="s">
        <v>5907</v>
      </c>
      <c r="C653" s="7" t="s">
        <v>5908</v>
      </c>
      <c r="D653" s="7" t="s">
        <v>5909</v>
      </c>
      <c r="E653" s="7" t="n">
        <v>2127</v>
      </c>
      <c r="F653" s="7" t="s">
        <v>50</v>
      </c>
      <c r="G653" s="7" t="s">
        <v>2693</v>
      </c>
      <c r="H653" s="7" t="s">
        <v>5910</v>
      </c>
      <c r="I653" s="7" t="s">
        <v>2695</v>
      </c>
      <c r="J653" s="7"/>
      <c r="K653" s="7"/>
      <c r="L653" s="7"/>
      <c r="M653" s="10" t="b">
        <f aca="false">FALSE()</f>
        <v>0</v>
      </c>
      <c r="N653" s="7" t="n">
        <v>-33.82220671</v>
      </c>
      <c r="O653" s="7" t="n">
        <v>151.079094</v>
      </c>
    </row>
    <row r="654" customFormat="false" ht="15" hidden="false" customHeight="false" outlineLevel="0" collapsed="false">
      <c r="A654" s="7" t="s">
        <v>5911</v>
      </c>
      <c r="B654" s="7" t="s">
        <v>5912</v>
      </c>
      <c r="C654" s="7" t="s">
        <v>5913</v>
      </c>
      <c r="D654" s="7" t="s">
        <v>5914</v>
      </c>
      <c r="E654" s="7" t="n">
        <v>2573</v>
      </c>
      <c r="F654" s="7" t="s">
        <v>50</v>
      </c>
      <c r="G654" s="7" t="s">
        <v>2793</v>
      </c>
      <c r="H654" s="7" t="s">
        <v>5838</v>
      </c>
      <c r="I654" s="7" t="s">
        <v>3592</v>
      </c>
      <c r="J654" s="7" t="s">
        <v>5915</v>
      </c>
      <c r="K654" s="7" t="s">
        <v>2704</v>
      </c>
      <c r="L654" s="7" t="s">
        <v>2705</v>
      </c>
      <c r="M654" s="10" t="b">
        <f aca="false">TRUE()</f>
        <v>1</v>
      </c>
      <c r="N654" s="7" t="n">
        <v>-34.22367667</v>
      </c>
      <c r="O654" s="7" t="n">
        <v>150.5899106</v>
      </c>
    </row>
    <row r="655" customFormat="false" ht="15" hidden="false" customHeight="false" outlineLevel="0" collapsed="false">
      <c r="A655" s="7" t="s">
        <v>5916</v>
      </c>
      <c r="B655" s="7" t="s">
        <v>5917</v>
      </c>
      <c r="C655" s="7" t="s">
        <v>5918</v>
      </c>
      <c r="D655" s="7" t="s">
        <v>5919</v>
      </c>
      <c r="E655" s="7" t="n">
        <v>2155</v>
      </c>
      <c r="F655" s="7" t="s">
        <v>50</v>
      </c>
      <c r="G655" s="7" t="s">
        <v>2982</v>
      </c>
      <c r="H655" s="7" t="s">
        <v>5920</v>
      </c>
      <c r="I655" s="7" t="s">
        <v>5921</v>
      </c>
      <c r="J655" s="7"/>
      <c r="K655" s="7" t="s">
        <v>2772</v>
      </c>
      <c r="L655" s="7" t="s">
        <v>2705</v>
      </c>
      <c r="M655" s="10" t="b">
        <f aca="false">FALSE()</f>
        <v>0</v>
      </c>
      <c r="N655" s="7" t="n">
        <v>-33.69163</v>
      </c>
      <c r="O655" s="7" t="n">
        <v>150.906022</v>
      </c>
    </row>
    <row r="656" customFormat="false" ht="15" hidden="false" customHeight="false" outlineLevel="0" collapsed="false">
      <c r="A656" s="7" t="s">
        <v>5922</v>
      </c>
      <c r="B656" s="7" t="s">
        <v>5923</v>
      </c>
      <c r="C656" s="7" t="s">
        <v>5924</v>
      </c>
      <c r="D656" s="7" t="s">
        <v>5925</v>
      </c>
      <c r="E656" s="7" t="n">
        <v>2579</v>
      </c>
      <c r="F656" s="7" t="s">
        <v>50</v>
      </c>
      <c r="G656" s="7" t="s">
        <v>2806</v>
      </c>
      <c r="H656" s="7" t="s">
        <v>4539</v>
      </c>
      <c r="I656" s="7" t="s">
        <v>5926</v>
      </c>
      <c r="J656" s="7" t="s">
        <v>3317</v>
      </c>
      <c r="K656" s="7" t="s">
        <v>2704</v>
      </c>
      <c r="L656" s="7" t="s">
        <v>2705</v>
      </c>
      <c r="M656" s="10" t="b">
        <f aca="false">TRUE()</f>
        <v>1</v>
      </c>
      <c r="N656" s="7" t="n">
        <v>-34.7183306</v>
      </c>
      <c r="O656" s="7" t="n">
        <v>150.0865057</v>
      </c>
    </row>
    <row r="657" customFormat="false" ht="15" hidden="false" customHeight="false" outlineLevel="0" collapsed="false">
      <c r="A657" s="7" t="s">
        <v>5927</v>
      </c>
      <c r="B657" s="7" t="s">
        <v>5928</v>
      </c>
      <c r="C657" s="7" t="s">
        <v>5929</v>
      </c>
      <c r="D657" s="7" t="s">
        <v>5930</v>
      </c>
      <c r="E657" s="7" t="n">
        <v>2340</v>
      </c>
      <c r="F657" s="7" t="s">
        <v>50</v>
      </c>
      <c r="G657" s="7" t="s">
        <v>2735</v>
      </c>
      <c r="H657" s="7" t="s">
        <v>2736</v>
      </c>
      <c r="I657" s="7" t="s">
        <v>2737</v>
      </c>
      <c r="J657" s="7"/>
      <c r="K657" s="7"/>
      <c r="L657" s="7"/>
      <c r="M657" s="10" t="b">
        <f aca="false">FALSE()</f>
        <v>0</v>
      </c>
      <c r="N657" s="7" t="n">
        <v>-31.087262</v>
      </c>
      <c r="O657" s="7" t="n">
        <v>150.930848</v>
      </c>
    </row>
    <row r="658" customFormat="false" ht="15" hidden="false" customHeight="false" outlineLevel="0" collapsed="false">
      <c r="A658" s="7" t="s">
        <v>5931</v>
      </c>
      <c r="B658" s="7" t="s">
        <v>5932</v>
      </c>
      <c r="C658" s="7" t="s">
        <v>5933</v>
      </c>
      <c r="D658" s="7" t="s">
        <v>5934</v>
      </c>
      <c r="E658" s="7" t="n">
        <v>2580</v>
      </c>
      <c r="F658" s="7" t="s">
        <v>50</v>
      </c>
      <c r="G658" s="7" t="s">
        <v>2806</v>
      </c>
      <c r="H658" s="7" t="s">
        <v>3169</v>
      </c>
      <c r="I658" s="7" t="s">
        <v>4139</v>
      </c>
      <c r="J658" s="7"/>
      <c r="K658" s="7"/>
      <c r="L658" s="7"/>
      <c r="M658" s="10" t="b">
        <f aca="false">FALSE()</f>
        <v>0</v>
      </c>
      <c r="N658" s="7" t="n">
        <v>-35.069961</v>
      </c>
      <c r="O658" s="7" t="n">
        <v>149.651365</v>
      </c>
    </row>
    <row r="659" customFormat="false" ht="15" hidden="false" customHeight="false" outlineLevel="0" collapsed="false">
      <c r="A659" s="7" t="s">
        <v>5935</v>
      </c>
      <c r="B659" s="7" t="s">
        <v>5936</v>
      </c>
      <c r="C659" s="7" t="s">
        <v>5937</v>
      </c>
      <c r="D659" s="7" t="s">
        <v>5938</v>
      </c>
      <c r="E659" s="7" t="n">
        <v>2787</v>
      </c>
      <c r="F659" s="7" t="s">
        <v>50</v>
      </c>
      <c r="G659" s="7" t="s">
        <v>2806</v>
      </c>
      <c r="H659" s="7" t="s">
        <v>5939</v>
      </c>
      <c r="I659" s="7" t="s">
        <v>4374</v>
      </c>
      <c r="J659" s="7"/>
      <c r="K659" s="7" t="s">
        <v>2704</v>
      </c>
      <c r="L659" s="7" t="s">
        <v>2705</v>
      </c>
      <c r="M659" s="10" t="b">
        <f aca="false">TRUE()</f>
        <v>1</v>
      </c>
      <c r="N659" s="7" t="n">
        <v>-33.524107</v>
      </c>
      <c r="O659" s="7" t="n">
        <v>149.907594</v>
      </c>
    </row>
    <row r="660" customFormat="false" ht="15" hidden="false" customHeight="false" outlineLevel="0" collapsed="false">
      <c r="A660" s="7" t="s">
        <v>5940</v>
      </c>
      <c r="B660" s="7" t="s">
        <v>5941</v>
      </c>
      <c r="C660" s="7" t="s">
        <v>5942</v>
      </c>
      <c r="D660" s="7" t="s">
        <v>5943</v>
      </c>
      <c r="E660" s="7" t="n">
        <v>2430</v>
      </c>
      <c r="F660" s="7" t="s">
        <v>50</v>
      </c>
      <c r="G660" s="7" t="s">
        <v>2937</v>
      </c>
      <c r="H660" s="7" t="s">
        <v>2777</v>
      </c>
      <c r="I660" s="7" t="s">
        <v>2702</v>
      </c>
      <c r="J660" s="7"/>
      <c r="K660" s="7"/>
      <c r="L660" s="7"/>
      <c r="M660" s="10" t="b">
        <f aca="false">FALSE()</f>
        <v>0</v>
      </c>
      <c r="N660" s="7" t="n">
        <v>-31.906437</v>
      </c>
      <c r="O660" s="7" t="n">
        <v>152.456963</v>
      </c>
    </row>
    <row r="661" customFormat="false" ht="15" hidden="false" customHeight="false" outlineLevel="0" collapsed="false">
      <c r="A661" s="7" t="s">
        <v>5944</v>
      </c>
      <c r="B661" s="7" t="s">
        <v>5945</v>
      </c>
      <c r="C661" s="7" t="s">
        <v>5946</v>
      </c>
      <c r="D661" s="7" t="s">
        <v>5947</v>
      </c>
      <c r="E661" s="7" t="n">
        <v>2430</v>
      </c>
      <c r="F661" s="7" t="s">
        <v>50</v>
      </c>
      <c r="G661" s="7" t="s">
        <v>2718</v>
      </c>
      <c r="H661" s="7"/>
      <c r="I661" s="7" t="s">
        <v>2719</v>
      </c>
      <c r="J661" s="7"/>
      <c r="K661" s="7"/>
      <c r="L661" s="7"/>
      <c r="M661" s="10" t="b">
        <f aca="false">FALSE()</f>
        <v>0</v>
      </c>
      <c r="N661" s="7" t="n">
        <v>-31.910429</v>
      </c>
      <c r="O661" s="7" t="n">
        <v>152.459923</v>
      </c>
    </row>
    <row r="662" customFormat="false" ht="15" hidden="false" customHeight="false" outlineLevel="0" collapsed="false">
      <c r="A662" s="7" t="s">
        <v>5948</v>
      </c>
      <c r="B662" s="7" t="s">
        <v>5949</v>
      </c>
      <c r="C662" s="7" t="s">
        <v>5950</v>
      </c>
      <c r="D662" s="7" t="s">
        <v>5951</v>
      </c>
      <c r="E662" s="7" t="n">
        <v>2088</v>
      </c>
      <c r="F662" s="7" t="s">
        <v>50</v>
      </c>
      <c r="G662" s="7" t="s">
        <v>2693</v>
      </c>
      <c r="H662" s="7" t="s">
        <v>5952</v>
      </c>
      <c r="I662" s="7" t="s">
        <v>2939</v>
      </c>
      <c r="J662" s="7"/>
      <c r="K662" s="7"/>
      <c r="L662" s="7"/>
      <c r="M662" s="10" t="b">
        <f aca="false">FALSE()</f>
        <v>0</v>
      </c>
      <c r="N662" s="7" t="n">
        <v>-33.8463431</v>
      </c>
      <c r="O662" s="7" t="n">
        <v>151.2395142</v>
      </c>
    </row>
    <row r="663" customFormat="false" ht="15" hidden="false" customHeight="false" outlineLevel="0" collapsed="false">
      <c r="A663" s="7" t="s">
        <v>5953</v>
      </c>
      <c r="B663" s="7" t="s">
        <v>5954</v>
      </c>
      <c r="C663" s="7" t="s">
        <v>5955</v>
      </c>
      <c r="D663" s="7" t="s">
        <v>5956</v>
      </c>
      <c r="E663" s="7" t="n">
        <v>2322</v>
      </c>
      <c r="F663" s="7" t="s">
        <v>50</v>
      </c>
      <c r="G663" s="7" t="s">
        <v>2806</v>
      </c>
      <c r="H663" s="7" t="s">
        <v>4063</v>
      </c>
      <c r="I663" s="7" t="s">
        <v>3633</v>
      </c>
      <c r="J663" s="7" t="s">
        <v>3039</v>
      </c>
      <c r="K663" s="7" t="s">
        <v>2704</v>
      </c>
      <c r="L663" s="7" t="s">
        <v>2705</v>
      </c>
      <c r="M663" s="10" t="b">
        <f aca="false">TRUE()</f>
        <v>1</v>
      </c>
      <c r="N663" s="7" t="n">
        <v>-32.80930922</v>
      </c>
      <c r="O663" s="7" t="n">
        <v>151.6699415</v>
      </c>
    </row>
    <row r="664" customFormat="false" ht="15" hidden="false" customHeight="false" outlineLevel="0" collapsed="false">
      <c r="A664" s="7" t="s">
        <v>5957</v>
      </c>
      <c r="B664" s="7" t="s">
        <v>5958</v>
      </c>
      <c r="C664" s="7" t="s">
        <v>5959</v>
      </c>
      <c r="D664" s="7" t="s">
        <v>5960</v>
      </c>
      <c r="E664" s="7" t="n">
        <v>2250</v>
      </c>
      <c r="F664" s="7" t="s">
        <v>50</v>
      </c>
      <c r="G664" s="7" t="s">
        <v>2710</v>
      </c>
      <c r="H664" s="7" t="s">
        <v>3189</v>
      </c>
      <c r="I664" s="7" t="s">
        <v>2831</v>
      </c>
      <c r="J664" s="7" t="s">
        <v>4617</v>
      </c>
      <c r="K664" s="7" t="s">
        <v>2704</v>
      </c>
      <c r="L664" s="7" t="s">
        <v>2705</v>
      </c>
      <c r="M664" s="10" t="b">
        <f aca="false">TRUE()</f>
        <v>1</v>
      </c>
      <c r="N664" s="7" t="n">
        <v>-33.45135695</v>
      </c>
      <c r="O664" s="7" t="n">
        <v>151.318056</v>
      </c>
    </row>
    <row r="665" customFormat="false" ht="15" hidden="false" customHeight="false" outlineLevel="0" collapsed="false">
      <c r="A665" s="7" t="s">
        <v>5961</v>
      </c>
      <c r="B665" s="7" t="s">
        <v>5962</v>
      </c>
      <c r="C665" s="7" t="s">
        <v>5963</v>
      </c>
      <c r="D665" s="7" t="s">
        <v>5964</v>
      </c>
      <c r="E665" s="7" t="n">
        <v>2040</v>
      </c>
      <c r="F665" s="7" t="s">
        <v>50</v>
      </c>
      <c r="G665" s="7" t="s">
        <v>2769</v>
      </c>
      <c r="H665" s="7" t="s">
        <v>4691</v>
      </c>
      <c r="I665" s="7" t="s">
        <v>3911</v>
      </c>
      <c r="J665" s="7"/>
      <c r="K665" s="7" t="s">
        <v>2772</v>
      </c>
      <c r="L665" s="7" t="s">
        <v>2705</v>
      </c>
      <c r="M665" s="10" t="b">
        <f aca="false">FALSE()</f>
        <v>0</v>
      </c>
      <c r="N665" s="7" t="n">
        <v>-33.88930105</v>
      </c>
      <c r="O665" s="7" t="n">
        <v>151.1452209</v>
      </c>
    </row>
    <row r="666" customFormat="false" ht="15" hidden="false" customHeight="false" outlineLevel="0" collapsed="false">
      <c r="A666" s="7" t="s">
        <v>5965</v>
      </c>
      <c r="B666" s="7" t="s">
        <v>5966</v>
      </c>
      <c r="C666" s="7" t="s">
        <v>5967</v>
      </c>
      <c r="D666" s="7" t="s">
        <v>5968</v>
      </c>
      <c r="E666" s="7" t="n">
        <v>2320</v>
      </c>
      <c r="F666" s="7" t="s">
        <v>50</v>
      </c>
      <c r="G666" s="7" t="s">
        <v>2710</v>
      </c>
      <c r="H666" s="7" t="s">
        <v>5969</v>
      </c>
      <c r="I666" s="7" t="s">
        <v>4374</v>
      </c>
      <c r="J666" s="7"/>
      <c r="K666" s="7" t="s">
        <v>2704</v>
      </c>
      <c r="L666" s="7" t="s">
        <v>2705</v>
      </c>
      <c r="M666" s="10" t="b">
        <f aca="false">TRUE()</f>
        <v>1</v>
      </c>
      <c r="N666" s="7" t="n">
        <v>-32.72391026</v>
      </c>
      <c r="O666" s="7" t="n">
        <v>151.5396348</v>
      </c>
    </row>
    <row r="667" customFormat="false" ht="15" hidden="false" customHeight="false" outlineLevel="0" collapsed="false">
      <c r="A667" s="7" t="s">
        <v>5970</v>
      </c>
      <c r="B667" s="7" t="s">
        <v>5971</v>
      </c>
      <c r="C667" s="7" t="s">
        <v>5972</v>
      </c>
      <c r="D667" s="7" t="s">
        <v>5973</v>
      </c>
      <c r="E667" s="7" t="n">
        <v>2117</v>
      </c>
      <c r="F667" s="7" t="s">
        <v>50</v>
      </c>
      <c r="G667" s="7" t="s">
        <v>3922</v>
      </c>
      <c r="H667" s="7" t="s">
        <v>5974</v>
      </c>
      <c r="I667" s="7" t="s">
        <v>5975</v>
      </c>
      <c r="J667" s="7"/>
      <c r="K667" s="7" t="s">
        <v>2772</v>
      </c>
      <c r="L667" s="7" t="s">
        <v>2705</v>
      </c>
      <c r="M667" s="10" t="b">
        <f aca="false">FALSE()</f>
        <v>0</v>
      </c>
      <c r="N667" s="7" t="n">
        <v>-33.794405</v>
      </c>
      <c r="O667" s="7" t="n">
        <v>151.04113</v>
      </c>
    </row>
    <row r="668" customFormat="false" ht="15" hidden="false" customHeight="false" outlineLevel="0" collapsed="false">
      <c r="A668" s="7" t="s">
        <v>5976</v>
      </c>
      <c r="B668" s="7" t="s">
        <v>5977</v>
      </c>
      <c r="C668" s="7" t="s">
        <v>5978</v>
      </c>
      <c r="D668" s="7" t="s">
        <v>5979</v>
      </c>
      <c r="E668" s="7" t="n">
        <v>2666</v>
      </c>
      <c r="F668" s="7" t="s">
        <v>50</v>
      </c>
      <c r="G668" s="7" t="s">
        <v>2718</v>
      </c>
      <c r="H668" s="7"/>
      <c r="I668" s="7" t="s">
        <v>2719</v>
      </c>
      <c r="J668" s="7"/>
      <c r="K668" s="7"/>
      <c r="L668" s="7"/>
      <c r="M668" s="10" t="b">
        <f aca="false">FALSE()</f>
        <v>0</v>
      </c>
      <c r="N668" s="7" t="n">
        <v>-34.446853</v>
      </c>
      <c r="O668" s="7" t="n">
        <v>147.534099</v>
      </c>
    </row>
    <row r="669" customFormat="false" ht="15" hidden="false" customHeight="false" outlineLevel="0" collapsed="false">
      <c r="A669" s="7" t="s">
        <v>5980</v>
      </c>
      <c r="B669" s="7" t="s">
        <v>5981</v>
      </c>
      <c r="C669" s="7" t="s">
        <v>5982</v>
      </c>
      <c r="D669" s="7" t="s">
        <v>5983</v>
      </c>
      <c r="E669" s="7" t="n">
        <v>2044</v>
      </c>
      <c r="F669" s="7" t="s">
        <v>50</v>
      </c>
      <c r="G669" s="7" t="s">
        <v>2806</v>
      </c>
      <c r="H669" s="7" t="s">
        <v>5984</v>
      </c>
      <c r="I669" s="7" t="s">
        <v>3202</v>
      </c>
      <c r="J669" s="7" t="s">
        <v>5985</v>
      </c>
      <c r="K669" s="7" t="s">
        <v>2772</v>
      </c>
      <c r="L669" s="7" t="s">
        <v>2705</v>
      </c>
      <c r="M669" s="10" t="b">
        <f aca="false">FALSE()</f>
        <v>0</v>
      </c>
      <c r="N669" s="7" t="n">
        <v>-33.92450473</v>
      </c>
      <c r="O669" s="7" t="n">
        <v>151.1565073</v>
      </c>
    </row>
    <row r="670" customFormat="false" ht="15" hidden="false" customHeight="false" outlineLevel="0" collapsed="false">
      <c r="A670" s="7" t="s">
        <v>5986</v>
      </c>
      <c r="B670" s="7" t="s">
        <v>5987</v>
      </c>
      <c r="C670" s="7" t="s">
        <v>5988</v>
      </c>
      <c r="D670" s="7" t="s">
        <v>5989</v>
      </c>
      <c r="E670" s="7" t="n">
        <v>2372</v>
      </c>
      <c r="F670" s="7" t="s">
        <v>50</v>
      </c>
      <c r="G670" s="7" t="s">
        <v>2718</v>
      </c>
      <c r="H670" s="7"/>
      <c r="I670" s="7" t="s">
        <v>2719</v>
      </c>
      <c r="J670" s="7"/>
      <c r="K670" s="7"/>
      <c r="L670" s="7"/>
      <c r="M670" s="10" t="b">
        <f aca="false">FALSE()</f>
        <v>0</v>
      </c>
      <c r="N670" s="7" t="n">
        <v>-29.05551</v>
      </c>
      <c r="O670" s="7" t="n">
        <v>152.019563</v>
      </c>
    </row>
    <row r="671" customFormat="false" ht="15" hidden="false" customHeight="false" outlineLevel="0" collapsed="false">
      <c r="A671" s="7" t="s">
        <v>5990</v>
      </c>
      <c r="B671" s="7" t="s">
        <v>5991</v>
      </c>
      <c r="C671" s="7" t="s">
        <v>5992</v>
      </c>
      <c r="D671" s="7" t="s">
        <v>5993</v>
      </c>
      <c r="E671" s="7" t="n">
        <v>2284</v>
      </c>
      <c r="F671" s="7" t="s">
        <v>50</v>
      </c>
      <c r="G671" s="7" t="s">
        <v>2710</v>
      </c>
      <c r="H671" s="7" t="s">
        <v>5756</v>
      </c>
      <c r="I671" s="7" t="s">
        <v>3202</v>
      </c>
      <c r="J671" s="7" t="s">
        <v>3203</v>
      </c>
      <c r="K671" s="7" t="s">
        <v>2704</v>
      </c>
      <c r="L671" s="7" t="s">
        <v>2705</v>
      </c>
      <c r="M671" s="10" t="b">
        <f aca="false">TRUE()</f>
        <v>1</v>
      </c>
      <c r="N671" s="7" t="n">
        <v>-32.96271245</v>
      </c>
      <c r="O671" s="7" t="n">
        <v>151.6034578</v>
      </c>
    </row>
    <row r="672" customFormat="false" ht="15" hidden="false" customHeight="false" outlineLevel="0" collapsed="false">
      <c r="A672" s="7" t="s">
        <v>5994</v>
      </c>
      <c r="B672" s="7" t="s">
        <v>5995</v>
      </c>
      <c r="C672" s="7" t="s">
        <v>5996</v>
      </c>
      <c r="D672" s="7" t="s">
        <v>5997</v>
      </c>
      <c r="E672" s="7" t="n">
        <v>2655</v>
      </c>
      <c r="F672" s="7" t="s">
        <v>50</v>
      </c>
      <c r="G672" s="7" t="s">
        <v>3269</v>
      </c>
      <c r="H672" s="7" t="s">
        <v>3169</v>
      </c>
      <c r="I672" s="7" t="s">
        <v>4139</v>
      </c>
      <c r="J672" s="7"/>
      <c r="K672" s="7"/>
      <c r="L672" s="7"/>
      <c r="M672" s="10" t="b">
        <f aca="false">FALSE()</f>
        <v>0</v>
      </c>
      <c r="N672" s="7" t="n">
        <v>-35.271764</v>
      </c>
      <c r="O672" s="7" t="n">
        <v>147.118301</v>
      </c>
    </row>
    <row r="673" customFormat="false" ht="15" hidden="false" customHeight="false" outlineLevel="0" collapsed="false">
      <c r="A673" s="7" t="s">
        <v>5998</v>
      </c>
      <c r="B673" s="7" t="s">
        <v>5999</v>
      </c>
      <c r="C673" s="7" t="s">
        <v>6000</v>
      </c>
      <c r="D673" s="7" t="s">
        <v>6001</v>
      </c>
      <c r="E673" s="7" t="n">
        <v>2009</v>
      </c>
      <c r="F673" s="7" t="s">
        <v>50</v>
      </c>
      <c r="G673" s="7" t="s">
        <v>2769</v>
      </c>
      <c r="H673" s="7" t="s">
        <v>6002</v>
      </c>
      <c r="I673" s="7" t="s">
        <v>2873</v>
      </c>
      <c r="J673" s="7"/>
      <c r="K673" s="7" t="s">
        <v>2772</v>
      </c>
      <c r="L673" s="7" t="s">
        <v>2705</v>
      </c>
      <c r="M673" s="10" t="b">
        <f aca="false">FALSE()</f>
        <v>0</v>
      </c>
      <c r="N673" s="7" t="n">
        <v>-33.8673489</v>
      </c>
      <c r="O673" s="7" t="n">
        <v>151.1952012</v>
      </c>
    </row>
    <row r="674" customFormat="false" ht="15" hidden="false" customHeight="false" outlineLevel="0" collapsed="false">
      <c r="A674" s="7" t="s">
        <v>6003</v>
      </c>
      <c r="B674" s="7" t="s">
        <v>6004</v>
      </c>
      <c r="C674" s="7" t="s">
        <v>6005</v>
      </c>
      <c r="D674" s="7" t="s">
        <v>6006</v>
      </c>
      <c r="E674" s="7" t="n">
        <v>2515</v>
      </c>
      <c r="F674" s="7" t="s">
        <v>50</v>
      </c>
      <c r="G674" s="7" t="s">
        <v>2786</v>
      </c>
      <c r="H674" s="7" t="s">
        <v>3800</v>
      </c>
      <c r="I674" s="7" t="s">
        <v>2747</v>
      </c>
      <c r="J674" s="7" t="s">
        <v>6007</v>
      </c>
      <c r="K674" s="7" t="s">
        <v>2704</v>
      </c>
      <c r="L674" s="7" t="s">
        <v>2705</v>
      </c>
      <c r="M674" s="10" t="b">
        <f aca="false">TRUE()</f>
        <v>1</v>
      </c>
      <c r="N674" s="7" t="n">
        <v>-34.3184244</v>
      </c>
      <c r="O674" s="7" t="n">
        <v>150.9186524</v>
      </c>
    </row>
    <row r="675" customFormat="false" ht="15" hidden="false" customHeight="false" outlineLevel="0" collapsed="false">
      <c r="A675" s="7" t="s">
        <v>6008</v>
      </c>
      <c r="B675" s="7" t="s">
        <v>6009</v>
      </c>
      <c r="C675" s="7" t="s">
        <v>6010</v>
      </c>
      <c r="D675" s="7" t="s">
        <v>6011</v>
      </c>
      <c r="E675" s="7" t="n">
        <v>2120</v>
      </c>
      <c r="F675" s="7" t="s">
        <v>50</v>
      </c>
      <c r="G675" s="7" t="s">
        <v>2710</v>
      </c>
      <c r="H675" s="7" t="s">
        <v>6012</v>
      </c>
      <c r="I675" s="7" t="s">
        <v>2747</v>
      </c>
      <c r="J675" s="7" t="s">
        <v>6013</v>
      </c>
      <c r="K675" s="7" t="s">
        <v>2772</v>
      </c>
      <c r="L675" s="7" t="s">
        <v>2705</v>
      </c>
      <c r="M675" s="10" t="b">
        <f aca="false">FALSE()</f>
        <v>0</v>
      </c>
      <c r="N675" s="7" t="n">
        <v>-33.7318712</v>
      </c>
      <c r="O675" s="7" t="n">
        <v>151.078281</v>
      </c>
    </row>
    <row r="676" customFormat="false" ht="15" hidden="false" customHeight="false" outlineLevel="0" collapsed="false">
      <c r="A676" s="7" t="s">
        <v>6014</v>
      </c>
      <c r="B676" s="7" t="s">
        <v>6015</v>
      </c>
      <c r="C676" s="7" t="s">
        <v>6016</v>
      </c>
      <c r="D676" s="7" t="s">
        <v>6017</v>
      </c>
      <c r="E676" s="7" t="n">
        <v>2322</v>
      </c>
      <c r="F676" s="7" t="s">
        <v>50</v>
      </c>
      <c r="G676" s="7" t="s">
        <v>2710</v>
      </c>
      <c r="H676" s="7" t="s">
        <v>6018</v>
      </c>
      <c r="I676" s="7" t="s">
        <v>2885</v>
      </c>
      <c r="J676" s="7" t="s">
        <v>6019</v>
      </c>
      <c r="K676" s="7" t="s">
        <v>2704</v>
      </c>
      <c r="L676" s="7" t="s">
        <v>2705</v>
      </c>
      <c r="M676" s="10" t="b">
        <f aca="false">TRUE()</f>
        <v>1</v>
      </c>
      <c r="N676" s="7" t="n">
        <v>-32.78359464</v>
      </c>
      <c r="O676" s="7" t="n">
        <v>151.6398308</v>
      </c>
    </row>
    <row r="677" customFormat="false" ht="15" hidden="false" customHeight="false" outlineLevel="0" collapsed="false">
      <c r="A677" s="7" t="s">
        <v>6020</v>
      </c>
      <c r="B677" s="7" t="s">
        <v>6021</v>
      </c>
      <c r="C677" s="7" t="s">
        <v>6022</v>
      </c>
      <c r="D677" s="7" t="s">
        <v>6023</v>
      </c>
      <c r="E677" s="7" t="n">
        <v>2369</v>
      </c>
      <c r="F677" s="7" t="s">
        <v>50</v>
      </c>
      <c r="G677" s="7" t="s">
        <v>2718</v>
      </c>
      <c r="H677" s="7"/>
      <c r="I677" s="7" t="s">
        <v>2719</v>
      </c>
      <c r="J677" s="7"/>
      <c r="K677" s="7"/>
      <c r="L677" s="7"/>
      <c r="M677" s="10" t="b">
        <f aca="false">FALSE()</f>
        <v>0</v>
      </c>
      <c r="N677" s="7" t="n">
        <v>-29.955875</v>
      </c>
      <c r="O677" s="7" t="n">
        <v>151.21195</v>
      </c>
    </row>
    <row r="678" customFormat="false" ht="15" hidden="false" customHeight="false" outlineLevel="0" collapsed="false">
      <c r="A678" s="7" t="s">
        <v>6024</v>
      </c>
      <c r="B678" s="7" t="s">
        <v>6025</v>
      </c>
      <c r="C678" s="7" t="s">
        <v>6026</v>
      </c>
      <c r="D678" s="7" t="s">
        <v>6027</v>
      </c>
      <c r="E678" s="7" t="n">
        <v>2714</v>
      </c>
      <c r="F678" s="7" t="s">
        <v>50</v>
      </c>
      <c r="G678" s="7" t="s">
        <v>2718</v>
      </c>
      <c r="H678" s="7"/>
      <c r="I678" s="7" t="s">
        <v>2719</v>
      </c>
      <c r="J678" s="7"/>
      <c r="K678" s="7"/>
      <c r="L678" s="7"/>
      <c r="M678" s="10" t="b">
        <f aca="false">FALSE()</f>
        <v>0</v>
      </c>
      <c r="N678" s="7" t="n">
        <v>-35.811915</v>
      </c>
      <c r="O678" s="7" t="n">
        <v>145.567461</v>
      </c>
    </row>
    <row r="679" customFormat="false" ht="15" hidden="false" customHeight="false" outlineLevel="0" collapsed="false">
      <c r="A679" s="7" t="s">
        <v>6028</v>
      </c>
      <c r="B679" s="7" t="s">
        <v>6029</v>
      </c>
      <c r="C679" s="7" t="s">
        <v>6030</v>
      </c>
      <c r="D679" s="7" t="s">
        <v>6031</v>
      </c>
      <c r="E679" s="7" t="n">
        <v>2869</v>
      </c>
      <c r="F679" s="7" t="s">
        <v>50</v>
      </c>
      <c r="G679" s="7" t="s">
        <v>2718</v>
      </c>
      <c r="H679" s="7"/>
      <c r="I679" s="7" t="s">
        <v>2719</v>
      </c>
      <c r="J679" s="7"/>
      <c r="K679" s="7"/>
      <c r="L679" s="7"/>
      <c r="M679" s="10" t="b">
        <f aca="false">FALSE()</f>
        <v>0</v>
      </c>
      <c r="N679" s="7" t="n">
        <v>-32.571325</v>
      </c>
      <c r="O679" s="7" t="n">
        <v>148.221938</v>
      </c>
    </row>
    <row r="680" customFormat="false" ht="15" hidden="false" customHeight="false" outlineLevel="0" collapsed="false">
      <c r="A680" s="7" t="s">
        <v>6032</v>
      </c>
      <c r="B680" s="7" t="s">
        <v>6033</v>
      </c>
      <c r="C680" s="7" t="s">
        <v>6034</v>
      </c>
      <c r="D680" s="7" t="s">
        <v>6035</v>
      </c>
      <c r="E680" s="7" t="n">
        <v>2146</v>
      </c>
      <c r="F680" s="7" t="s">
        <v>50</v>
      </c>
      <c r="G680" s="7" t="s">
        <v>2786</v>
      </c>
      <c r="H680" s="7" t="s">
        <v>4406</v>
      </c>
      <c r="I680" s="7" t="s">
        <v>2747</v>
      </c>
      <c r="J680" s="7" t="s">
        <v>6036</v>
      </c>
      <c r="K680" s="7" t="s">
        <v>2772</v>
      </c>
      <c r="L680" s="7" t="s">
        <v>2705</v>
      </c>
      <c r="M680" s="10" t="b">
        <f aca="false">FALSE()</f>
        <v>0</v>
      </c>
      <c r="N680" s="7" t="n">
        <v>-33.787263</v>
      </c>
      <c r="O680" s="7" t="n">
        <v>150.9514373</v>
      </c>
    </row>
    <row r="681" customFormat="false" ht="15" hidden="false" customHeight="false" outlineLevel="0" collapsed="false">
      <c r="A681" s="7" t="s">
        <v>6037</v>
      </c>
      <c r="B681" s="7" t="s">
        <v>6038</v>
      </c>
      <c r="C681" s="7" t="s">
        <v>6039</v>
      </c>
      <c r="D681" s="7" t="s">
        <v>3261</v>
      </c>
      <c r="E681" s="7" t="n">
        <v>2000</v>
      </c>
      <c r="F681" s="7" t="s">
        <v>50</v>
      </c>
      <c r="G681" s="7" t="s">
        <v>5283</v>
      </c>
      <c r="H681" s="7" t="s">
        <v>6040</v>
      </c>
      <c r="I681" s="7" t="s">
        <v>4937</v>
      </c>
      <c r="J681" s="7" t="s">
        <v>6041</v>
      </c>
      <c r="K681" s="7" t="s">
        <v>2772</v>
      </c>
      <c r="L681" s="7" t="s">
        <v>2705</v>
      </c>
      <c r="M681" s="10" t="b">
        <f aca="false">TRUE()</f>
        <v>1</v>
      </c>
      <c r="N681" s="7" t="n">
        <v>-33.87359633</v>
      </c>
      <c r="O681" s="7" t="n">
        <v>151.2068993</v>
      </c>
    </row>
    <row r="682" customFormat="false" ht="15" hidden="false" customHeight="false" outlineLevel="0" collapsed="false">
      <c r="A682" s="7" t="s">
        <v>6042</v>
      </c>
      <c r="B682" s="7" t="s">
        <v>6043</v>
      </c>
      <c r="C682" s="7" t="s">
        <v>6044</v>
      </c>
      <c r="D682" s="7" t="s">
        <v>6045</v>
      </c>
      <c r="E682" s="7" t="n">
        <v>2518</v>
      </c>
      <c r="F682" s="7" t="s">
        <v>50</v>
      </c>
      <c r="G682" s="7" t="s">
        <v>2710</v>
      </c>
      <c r="H682" s="7" t="s">
        <v>6046</v>
      </c>
      <c r="I682" s="7" t="s">
        <v>2747</v>
      </c>
      <c r="J682" s="7" t="s">
        <v>6047</v>
      </c>
      <c r="K682" s="7" t="s">
        <v>2704</v>
      </c>
      <c r="L682" s="7" t="s">
        <v>2705</v>
      </c>
      <c r="M682" s="10" t="b">
        <f aca="false">TRUE()</f>
        <v>1</v>
      </c>
      <c r="N682" s="7" t="n">
        <v>-34.38468632</v>
      </c>
      <c r="O682" s="7" t="n">
        <v>150.9012389</v>
      </c>
    </row>
    <row r="683" customFormat="false" ht="15" hidden="false" customHeight="false" outlineLevel="0" collapsed="false">
      <c r="A683" s="7" t="s">
        <v>6048</v>
      </c>
      <c r="B683" s="7" t="s">
        <v>6049</v>
      </c>
      <c r="C683" s="7" t="s">
        <v>6050</v>
      </c>
      <c r="D683" s="7" t="s">
        <v>6051</v>
      </c>
      <c r="E683" s="7" t="n">
        <v>2150</v>
      </c>
      <c r="F683" s="7" t="s">
        <v>50</v>
      </c>
      <c r="G683" s="7" t="s">
        <v>2769</v>
      </c>
      <c r="H683" s="7" t="s">
        <v>3018</v>
      </c>
      <c r="I683" s="7" t="s">
        <v>3019</v>
      </c>
      <c r="J683" s="7"/>
      <c r="K683" s="7" t="s">
        <v>2772</v>
      </c>
      <c r="L683" s="7" t="s">
        <v>2705</v>
      </c>
      <c r="M683" s="10" t="b">
        <f aca="false">FALSE()</f>
        <v>0</v>
      </c>
      <c r="N683" s="7" t="n">
        <v>-33.817206</v>
      </c>
      <c r="O683" s="7" t="n">
        <v>151.018511</v>
      </c>
    </row>
    <row r="684" customFormat="false" ht="15" hidden="false" customHeight="false" outlineLevel="0" collapsed="false">
      <c r="A684" s="7" t="s">
        <v>6052</v>
      </c>
      <c r="B684" s="7" t="s">
        <v>6053</v>
      </c>
      <c r="C684" s="7" t="s">
        <v>6054</v>
      </c>
      <c r="D684" s="7" t="s">
        <v>6055</v>
      </c>
      <c r="E684" s="7" t="n">
        <v>2823</v>
      </c>
      <c r="F684" s="7" t="s">
        <v>50</v>
      </c>
      <c r="G684" s="7" t="s">
        <v>2718</v>
      </c>
      <c r="H684" s="7"/>
      <c r="I684" s="7" t="s">
        <v>2719</v>
      </c>
      <c r="J684" s="7"/>
      <c r="K684" s="7"/>
      <c r="L684" s="7"/>
      <c r="M684" s="10" t="b">
        <f aca="false">FALSE()</f>
        <v>0</v>
      </c>
      <c r="N684" s="7" t="n">
        <v>-32.031474</v>
      </c>
      <c r="O684" s="7" t="n">
        <v>147.984789</v>
      </c>
    </row>
    <row r="685" customFormat="false" ht="15" hidden="false" customHeight="false" outlineLevel="0" collapsed="false">
      <c r="A685" s="7" t="s">
        <v>6056</v>
      </c>
      <c r="B685" s="7" t="s">
        <v>6057</v>
      </c>
      <c r="C685" s="7" t="s">
        <v>6058</v>
      </c>
      <c r="D685" s="7" t="s">
        <v>6059</v>
      </c>
      <c r="E685" s="7" t="n">
        <v>2259</v>
      </c>
      <c r="F685" s="7" t="s">
        <v>50</v>
      </c>
      <c r="G685" s="7" t="s">
        <v>2786</v>
      </c>
      <c r="H685" s="7" t="s">
        <v>6060</v>
      </c>
      <c r="I685" s="7" t="s">
        <v>2747</v>
      </c>
      <c r="J685" s="7" t="s">
        <v>4767</v>
      </c>
      <c r="K685" s="7" t="s">
        <v>2704</v>
      </c>
      <c r="L685" s="7" t="s">
        <v>2705</v>
      </c>
      <c r="M685" s="10" t="b">
        <f aca="false">TRUE()</f>
        <v>1</v>
      </c>
      <c r="N685" s="7" t="n">
        <v>-33.30808648</v>
      </c>
      <c r="O685" s="7" t="n">
        <v>151.4201526</v>
      </c>
    </row>
    <row r="686" customFormat="false" ht="15" hidden="false" customHeight="false" outlineLevel="0" collapsed="false">
      <c r="A686" s="7" t="s">
        <v>6061</v>
      </c>
      <c r="B686" s="7" t="s">
        <v>6062</v>
      </c>
      <c r="C686" s="7" t="s">
        <v>6063</v>
      </c>
      <c r="D686" s="7" t="s">
        <v>6064</v>
      </c>
      <c r="E686" s="7" t="n">
        <v>2669</v>
      </c>
      <c r="F686" s="7" t="s">
        <v>50</v>
      </c>
      <c r="G686" s="7" t="s">
        <v>2718</v>
      </c>
      <c r="H686" s="7"/>
      <c r="I686" s="7" t="s">
        <v>2719</v>
      </c>
      <c r="J686" s="7"/>
      <c r="K686" s="7"/>
      <c r="L686" s="7"/>
      <c r="M686" s="10" t="b">
        <f aca="false">FALSE()</f>
        <v>0</v>
      </c>
      <c r="N686" s="7" t="n">
        <v>-33.421526</v>
      </c>
      <c r="O686" s="7" t="n">
        <v>146.72815</v>
      </c>
    </row>
    <row r="687" customFormat="false" ht="15" hidden="false" customHeight="false" outlineLevel="0" collapsed="false">
      <c r="A687" s="7" t="s">
        <v>6065</v>
      </c>
      <c r="B687" s="7" t="s">
        <v>6066</v>
      </c>
      <c r="C687" s="7" t="s">
        <v>6067</v>
      </c>
      <c r="D687" s="7" t="s">
        <v>6068</v>
      </c>
      <c r="E687" s="7" t="n">
        <v>2653</v>
      </c>
      <c r="F687" s="7" t="s">
        <v>50</v>
      </c>
      <c r="G687" s="7" t="s">
        <v>2718</v>
      </c>
      <c r="H687" s="7"/>
      <c r="I687" s="7" t="s">
        <v>2719</v>
      </c>
      <c r="J687" s="7"/>
      <c r="K687" s="7"/>
      <c r="L687" s="7"/>
      <c r="M687" s="10" t="b">
        <f aca="false">FALSE()</f>
        <v>0</v>
      </c>
      <c r="N687" s="7" t="n">
        <v>-35.775782</v>
      </c>
      <c r="O687" s="7" t="n">
        <v>148.009214</v>
      </c>
    </row>
    <row r="688" customFormat="false" ht="15" hidden="false" customHeight="false" outlineLevel="0" collapsed="false">
      <c r="A688" s="7" t="s">
        <v>6069</v>
      </c>
      <c r="B688" s="7" t="s">
        <v>6070</v>
      </c>
      <c r="C688" s="7" t="s">
        <v>6071</v>
      </c>
      <c r="D688" s="7" t="s">
        <v>6072</v>
      </c>
      <c r="E688" s="7" t="n">
        <v>2729</v>
      </c>
      <c r="F688" s="7" t="s">
        <v>50</v>
      </c>
      <c r="G688" s="7" t="s">
        <v>2718</v>
      </c>
      <c r="H688" s="7"/>
      <c r="I688" s="7" t="s">
        <v>2719</v>
      </c>
      <c r="J688" s="7"/>
      <c r="K688" s="7"/>
      <c r="L688" s="7"/>
      <c r="M688" s="10" t="b">
        <f aca="false">FALSE()</f>
        <v>0</v>
      </c>
      <c r="N688" s="7" t="n">
        <v>-35.136066</v>
      </c>
      <c r="O688" s="7" t="n">
        <v>148.009754</v>
      </c>
    </row>
    <row r="689" customFormat="false" ht="15" hidden="false" customHeight="false" outlineLevel="0" collapsed="false">
      <c r="A689" s="7" t="s">
        <v>6073</v>
      </c>
      <c r="B689" s="7" t="s">
        <v>6074</v>
      </c>
      <c r="C689" s="7" t="s">
        <v>6075</v>
      </c>
      <c r="D689" s="7" t="s">
        <v>6076</v>
      </c>
      <c r="E689" s="7" t="n">
        <v>2720</v>
      </c>
      <c r="F689" s="7" t="s">
        <v>50</v>
      </c>
      <c r="G689" s="7" t="s">
        <v>2718</v>
      </c>
      <c r="H689" s="7"/>
      <c r="I689" s="7" t="s">
        <v>2719</v>
      </c>
      <c r="J689" s="7"/>
      <c r="K689" s="7"/>
      <c r="L689" s="7"/>
      <c r="M689" s="10" t="b">
        <f aca="false">FALSE()</f>
        <v>0</v>
      </c>
      <c r="N689" s="7" t="n">
        <v>-35.301369</v>
      </c>
      <c r="O689" s="7" t="n">
        <v>148.222665</v>
      </c>
    </row>
    <row r="690" customFormat="false" ht="15" hidden="false" customHeight="false" outlineLevel="0" collapsed="false">
      <c r="A690" s="7" t="s">
        <v>6077</v>
      </c>
      <c r="B690" s="7" t="s">
        <v>6078</v>
      </c>
      <c r="C690" s="7" t="s">
        <v>6079</v>
      </c>
      <c r="D690" s="7" t="s">
        <v>6080</v>
      </c>
      <c r="E690" s="7" t="n">
        <v>2074</v>
      </c>
      <c r="F690" s="7" t="s">
        <v>50</v>
      </c>
      <c r="G690" s="7" t="s">
        <v>2786</v>
      </c>
      <c r="H690" s="7" t="s">
        <v>3382</v>
      </c>
      <c r="I690" s="7" t="s">
        <v>2747</v>
      </c>
      <c r="J690" s="7" t="s">
        <v>6081</v>
      </c>
      <c r="K690" s="7" t="s">
        <v>2772</v>
      </c>
      <c r="L690" s="7" t="s">
        <v>2705</v>
      </c>
      <c r="M690" s="10" t="b">
        <f aca="false">FALSE()</f>
        <v>0</v>
      </c>
      <c r="N690" s="7" t="n">
        <v>-33.73218221</v>
      </c>
      <c r="O690" s="7" t="n">
        <v>151.1282818</v>
      </c>
    </row>
    <row r="691" customFormat="false" ht="15" hidden="false" customHeight="false" outlineLevel="0" collapsed="false">
      <c r="A691" s="7" t="s">
        <v>6082</v>
      </c>
      <c r="B691" s="7" t="s">
        <v>6083</v>
      </c>
      <c r="C691" s="7" t="s">
        <v>6084</v>
      </c>
      <c r="D691" s="7" t="s">
        <v>6085</v>
      </c>
      <c r="E691" s="7" t="n">
        <v>2205</v>
      </c>
      <c r="F691" s="7" t="s">
        <v>50</v>
      </c>
      <c r="G691" s="7" t="s">
        <v>2710</v>
      </c>
      <c r="H691" s="7" t="s">
        <v>6086</v>
      </c>
      <c r="I691" s="7" t="s">
        <v>2747</v>
      </c>
      <c r="J691" s="7" t="s">
        <v>6087</v>
      </c>
      <c r="K691" s="7" t="s">
        <v>2772</v>
      </c>
      <c r="L691" s="7" t="s">
        <v>2705</v>
      </c>
      <c r="M691" s="10" t="b">
        <f aca="false">FALSE()</f>
        <v>0</v>
      </c>
      <c r="N691" s="7" t="n">
        <v>-33.92995296</v>
      </c>
      <c r="O691" s="7" t="n">
        <v>151.139909</v>
      </c>
    </row>
    <row r="692" customFormat="false" ht="15" hidden="false" customHeight="false" outlineLevel="0" collapsed="false">
      <c r="A692" s="7" t="s">
        <v>6088</v>
      </c>
      <c r="B692" s="7" t="s">
        <v>6089</v>
      </c>
      <c r="C692" s="7" t="s">
        <v>6090</v>
      </c>
      <c r="D692" s="7" t="s">
        <v>6091</v>
      </c>
      <c r="E692" s="7" t="n">
        <v>2486</v>
      </c>
      <c r="F692" s="7" t="s">
        <v>50</v>
      </c>
      <c r="G692" s="7" t="s">
        <v>2837</v>
      </c>
      <c r="H692" s="7"/>
      <c r="I692" s="7" t="s">
        <v>2719</v>
      </c>
      <c r="J692" s="7"/>
      <c r="K692" s="7"/>
      <c r="L692" s="7"/>
      <c r="M692" s="10" t="b">
        <f aca="false">FALSE()</f>
        <v>0</v>
      </c>
      <c r="N692" s="7" t="n">
        <v>-28.200727</v>
      </c>
      <c r="O692" s="7" t="n">
        <v>153.543988</v>
      </c>
    </row>
    <row r="693" customFormat="false" ht="15" hidden="false" customHeight="false" outlineLevel="0" collapsed="false">
      <c r="A693" s="7" t="s">
        <v>6092</v>
      </c>
      <c r="B693" s="7" t="s">
        <v>6093</v>
      </c>
      <c r="C693" s="7" t="s">
        <v>6094</v>
      </c>
      <c r="D693" s="7" t="s">
        <v>6095</v>
      </c>
      <c r="E693" s="7" t="n">
        <v>2485</v>
      </c>
      <c r="F693" s="7" t="s">
        <v>50</v>
      </c>
      <c r="G693" s="7" t="s">
        <v>2837</v>
      </c>
      <c r="H693" s="7"/>
      <c r="I693" s="7" t="s">
        <v>2719</v>
      </c>
      <c r="J693" s="7"/>
      <c r="K693" s="7"/>
      <c r="L693" s="7"/>
      <c r="M693" s="10" t="b">
        <f aca="false">FALSE()</f>
        <v>0</v>
      </c>
      <c r="N693" s="7" t="n">
        <v>-28.17216</v>
      </c>
      <c r="O693" s="7" t="n">
        <v>153.543383</v>
      </c>
    </row>
    <row r="694" customFormat="false" ht="15" hidden="false" customHeight="false" outlineLevel="0" collapsed="false">
      <c r="A694" s="7" t="s">
        <v>6096</v>
      </c>
      <c r="B694" s="7" t="s">
        <v>6097</v>
      </c>
      <c r="C694" s="7" t="s">
        <v>6098</v>
      </c>
      <c r="D694" s="7" t="s">
        <v>6099</v>
      </c>
      <c r="E694" s="7" t="n">
        <v>2460</v>
      </c>
      <c r="F694" s="7" t="s">
        <v>50</v>
      </c>
      <c r="G694" s="7" t="s">
        <v>2718</v>
      </c>
      <c r="H694" s="7"/>
      <c r="I694" s="7" t="s">
        <v>2719</v>
      </c>
      <c r="J694" s="7"/>
      <c r="K694" s="7"/>
      <c r="L694" s="7"/>
      <c r="M694" s="10" t="b">
        <f aca="false">FALSE()</f>
        <v>0</v>
      </c>
      <c r="N694" s="7" t="n">
        <v>-29.564928</v>
      </c>
      <c r="O694" s="7" t="n">
        <v>153.143181</v>
      </c>
    </row>
    <row r="695" customFormat="false" ht="15" hidden="false" customHeight="false" outlineLevel="0" collapsed="false">
      <c r="A695" s="7" t="s">
        <v>6100</v>
      </c>
      <c r="B695" s="7" t="s">
        <v>6101</v>
      </c>
      <c r="C695" s="7" t="s">
        <v>6102</v>
      </c>
      <c r="D695" s="7" t="s">
        <v>6103</v>
      </c>
      <c r="E695" s="7" t="n">
        <v>2462</v>
      </c>
      <c r="F695" s="7" t="s">
        <v>50</v>
      </c>
      <c r="G695" s="7" t="s">
        <v>2718</v>
      </c>
      <c r="H695" s="7"/>
      <c r="I695" s="7" t="s">
        <v>2719</v>
      </c>
      <c r="J695" s="7"/>
      <c r="K695" s="7"/>
      <c r="L695" s="7"/>
      <c r="M695" s="10" t="b">
        <f aca="false">FALSE()</f>
        <v>0</v>
      </c>
      <c r="N695" s="7" t="n">
        <v>-29.631215</v>
      </c>
      <c r="O695" s="7" t="n">
        <v>153.027982</v>
      </c>
    </row>
    <row r="696" customFormat="false" ht="15" hidden="false" customHeight="false" outlineLevel="0" collapsed="false">
      <c r="A696" s="7" t="s">
        <v>6104</v>
      </c>
      <c r="B696" s="7" t="s">
        <v>6105</v>
      </c>
      <c r="C696" s="7" t="s">
        <v>6106</v>
      </c>
      <c r="D696" s="7" t="s">
        <v>6107</v>
      </c>
      <c r="E696" s="7" t="n">
        <v>2526</v>
      </c>
      <c r="F696" s="7" t="s">
        <v>50</v>
      </c>
      <c r="G696" s="7" t="s">
        <v>2786</v>
      </c>
      <c r="H696" s="7" t="s">
        <v>6108</v>
      </c>
      <c r="I696" s="7" t="s">
        <v>2747</v>
      </c>
      <c r="J696" s="7" t="s">
        <v>6109</v>
      </c>
      <c r="K696" s="7" t="s">
        <v>2704</v>
      </c>
      <c r="L696" s="7" t="s">
        <v>2705</v>
      </c>
      <c r="M696" s="10" t="b">
        <f aca="false">TRUE()</f>
        <v>1</v>
      </c>
      <c r="N696" s="7" t="n">
        <v>-34.45442878</v>
      </c>
      <c r="O696" s="7" t="n">
        <v>150.8462629</v>
      </c>
    </row>
    <row r="697" customFormat="false" ht="15" hidden="false" customHeight="false" outlineLevel="0" collapsed="false">
      <c r="A697" s="7" t="s">
        <v>6110</v>
      </c>
      <c r="B697" s="7" t="s">
        <v>6111</v>
      </c>
      <c r="C697" s="7" t="s">
        <v>6112</v>
      </c>
      <c r="D697" s="7" t="s">
        <v>6113</v>
      </c>
      <c r="E697" s="7" t="n">
        <v>2669</v>
      </c>
      <c r="F697" s="7" t="s">
        <v>50</v>
      </c>
      <c r="G697" s="7" t="s">
        <v>2718</v>
      </c>
      <c r="H697" s="7"/>
      <c r="I697" s="7" t="s">
        <v>2719</v>
      </c>
      <c r="J697" s="7"/>
      <c r="K697" s="7"/>
      <c r="L697" s="7"/>
      <c r="M697" s="10" t="b">
        <f aca="false">FALSE()</f>
        <v>0</v>
      </c>
      <c r="N697" s="7" t="n">
        <v>-33.639366</v>
      </c>
      <c r="O697" s="7" t="n">
        <v>146.973846</v>
      </c>
    </row>
    <row r="698" customFormat="false" ht="15" hidden="false" customHeight="false" outlineLevel="0" collapsed="false">
      <c r="A698" s="7" t="s">
        <v>6114</v>
      </c>
      <c r="B698" s="7" t="s">
        <v>6115</v>
      </c>
      <c r="C698" s="7" t="s">
        <v>6116</v>
      </c>
      <c r="D698" s="7" t="s">
        <v>4554</v>
      </c>
      <c r="E698" s="7" t="n">
        <v>2033</v>
      </c>
      <c r="F698" s="7" t="s">
        <v>50</v>
      </c>
      <c r="G698" s="7" t="s">
        <v>2769</v>
      </c>
      <c r="H698" s="7" t="s">
        <v>3263</v>
      </c>
      <c r="I698" s="7" t="s">
        <v>3264</v>
      </c>
      <c r="J698" s="7"/>
      <c r="K698" s="7" t="s">
        <v>2772</v>
      </c>
      <c r="L698" s="7" t="s">
        <v>2705</v>
      </c>
      <c r="M698" s="10" t="b">
        <f aca="false">FALSE()</f>
        <v>0</v>
      </c>
      <c r="N698" s="7" t="n">
        <v>-33.916652</v>
      </c>
      <c r="O698" s="7" t="n">
        <v>151.225903</v>
      </c>
    </row>
    <row r="699" customFormat="false" ht="15" hidden="false" customHeight="false" outlineLevel="0" collapsed="false">
      <c r="A699" s="7" t="s">
        <v>6117</v>
      </c>
      <c r="B699" s="7" t="s">
        <v>6118</v>
      </c>
      <c r="C699" s="7" t="s">
        <v>6119</v>
      </c>
      <c r="D699" s="7" t="s">
        <v>6120</v>
      </c>
      <c r="E699" s="7" t="n">
        <v>2052</v>
      </c>
      <c r="F699" s="7" t="s">
        <v>50</v>
      </c>
      <c r="G699" s="7" t="s">
        <v>3262</v>
      </c>
      <c r="H699" s="7" t="s">
        <v>3263</v>
      </c>
      <c r="I699" s="7" t="s">
        <v>5893</v>
      </c>
      <c r="J699" s="7"/>
      <c r="K699" s="7" t="s">
        <v>2772</v>
      </c>
      <c r="L699" s="7" t="s">
        <v>2705</v>
      </c>
      <c r="M699" s="10" t="b">
        <f aca="false">FALSE()</f>
        <v>0</v>
      </c>
      <c r="N699" s="7" t="n">
        <v>-33.91637</v>
      </c>
      <c r="O699" s="7" t="n">
        <v>151.235534</v>
      </c>
    </row>
    <row r="700" customFormat="false" ht="15" hidden="false" customHeight="false" outlineLevel="0" collapsed="false">
      <c r="A700" s="7" t="s">
        <v>6121</v>
      </c>
      <c r="B700" s="7" t="s">
        <v>6122</v>
      </c>
      <c r="C700" s="7" t="s">
        <v>6123</v>
      </c>
      <c r="D700" s="7" t="s">
        <v>6124</v>
      </c>
      <c r="E700" s="7" t="n">
        <v>2346</v>
      </c>
      <c r="F700" s="7" t="s">
        <v>50</v>
      </c>
      <c r="G700" s="7" t="s">
        <v>2718</v>
      </c>
      <c r="H700" s="7"/>
      <c r="I700" s="7" t="s">
        <v>2719</v>
      </c>
      <c r="J700" s="7"/>
      <c r="K700" s="7"/>
      <c r="L700" s="7"/>
      <c r="M700" s="10" t="b">
        <f aca="false">FALSE()</f>
        <v>0</v>
      </c>
      <c r="N700" s="7" t="n">
        <v>-30.63252</v>
      </c>
      <c r="O700" s="7" t="n">
        <v>150.671911</v>
      </c>
    </row>
    <row r="701" customFormat="false" ht="15" hidden="false" customHeight="false" outlineLevel="0" collapsed="false">
      <c r="A701" s="7" t="s">
        <v>6125</v>
      </c>
      <c r="B701" s="7" t="s">
        <v>6126</v>
      </c>
      <c r="C701" s="7" t="s">
        <v>6127</v>
      </c>
      <c r="D701" s="7" t="s">
        <v>6128</v>
      </c>
      <c r="E701" s="7" t="n">
        <v>2358</v>
      </c>
      <c r="F701" s="7" t="s">
        <v>50</v>
      </c>
      <c r="G701" s="7" t="s">
        <v>3269</v>
      </c>
      <c r="H701" s="7" t="s">
        <v>6129</v>
      </c>
      <c r="I701" s="7" t="s">
        <v>3170</v>
      </c>
      <c r="J701" s="7"/>
      <c r="K701" s="7"/>
      <c r="L701" s="7"/>
      <c r="M701" s="10" t="b">
        <f aca="false">FALSE()</f>
        <v>0</v>
      </c>
      <c r="N701" s="7" t="n">
        <v>-30.644076</v>
      </c>
      <c r="O701" s="7" t="n">
        <v>151.505202</v>
      </c>
    </row>
    <row r="702" customFormat="false" ht="15" hidden="false" customHeight="false" outlineLevel="0" collapsed="false">
      <c r="A702" s="7" t="s">
        <v>6130</v>
      </c>
      <c r="B702" s="7" t="s">
        <v>6131</v>
      </c>
      <c r="C702" s="7" t="s">
        <v>6132</v>
      </c>
      <c r="D702" s="7" t="s">
        <v>6133</v>
      </c>
      <c r="E702" s="7" t="n">
        <v>2358</v>
      </c>
      <c r="F702" s="7" t="s">
        <v>50</v>
      </c>
      <c r="G702" s="7" t="s">
        <v>2718</v>
      </c>
      <c r="H702" s="7"/>
      <c r="I702" s="7" t="s">
        <v>2719</v>
      </c>
      <c r="J702" s="7"/>
      <c r="K702" s="7"/>
      <c r="L702" s="7"/>
      <c r="M702" s="10" t="b">
        <f aca="false">FALSE()</f>
        <v>0</v>
      </c>
      <c r="N702" s="7" t="n">
        <v>-30.642602</v>
      </c>
      <c r="O702" s="7" t="n">
        <v>151.498976</v>
      </c>
    </row>
    <row r="703" customFormat="false" ht="15" hidden="false" customHeight="false" outlineLevel="0" collapsed="false">
      <c r="A703" s="7" t="s">
        <v>6134</v>
      </c>
      <c r="B703" s="7" t="s">
        <v>6135</v>
      </c>
      <c r="C703" s="7" t="s">
        <v>6136</v>
      </c>
      <c r="D703" s="7" t="s">
        <v>6137</v>
      </c>
      <c r="E703" s="7" t="n">
        <v>2645</v>
      </c>
      <c r="F703" s="7" t="s">
        <v>50</v>
      </c>
      <c r="G703" s="7" t="s">
        <v>2718</v>
      </c>
      <c r="H703" s="7"/>
      <c r="I703" s="7" t="s">
        <v>2719</v>
      </c>
      <c r="J703" s="7"/>
      <c r="K703" s="7"/>
      <c r="L703" s="7"/>
      <c r="M703" s="10" t="b">
        <f aca="false">FALSE()</f>
        <v>0</v>
      </c>
      <c r="N703" s="7" t="n">
        <v>-35.330458</v>
      </c>
      <c r="O703" s="7" t="n">
        <v>146.265767</v>
      </c>
    </row>
    <row r="704" customFormat="false" ht="15" hidden="false" customHeight="false" outlineLevel="0" collapsed="false">
      <c r="A704" s="7" t="s">
        <v>6138</v>
      </c>
      <c r="B704" s="7" t="s">
        <v>6139</v>
      </c>
      <c r="C704" s="7" t="s">
        <v>6140</v>
      </c>
      <c r="D704" s="7" t="s">
        <v>6141</v>
      </c>
      <c r="E704" s="7" t="n">
        <v>2455</v>
      </c>
      <c r="F704" s="7" t="s">
        <v>50</v>
      </c>
      <c r="G704" s="7" t="s">
        <v>2806</v>
      </c>
      <c r="H704" s="7" t="s">
        <v>6142</v>
      </c>
      <c r="I704" s="7" t="s">
        <v>3170</v>
      </c>
      <c r="J704" s="7"/>
      <c r="K704" s="7"/>
      <c r="L704" s="7"/>
      <c r="M704" s="10" t="b">
        <f aca="false">FALSE()</f>
        <v>0</v>
      </c>
      <c r="N704" s="7" t="n">
        <v>-30.499656</v>
      </c>
      <c r="O704" s="7" t="n">
        <v>153.018678</v>
      </c>
    </row>
    <row r="705" customFormat="false" ht="15" hidden="false" customHeight="false" outlineLevel="0" collapsed="false">
      <c r="A705" s="7" t="s">
        <v>6143</v>
      </c>
      <c r="B705" s="7" t="s">
        <v>6144</v>
      </c>
      <c r="C705" s="7" t="s">
        <v>6145</v>
      </c>
      <c r="D705" s="7" t="s">
        <v>6146</v>
      </c>
      <c r="E705" s="7" t="n">
        <v>2777</v>
      </c>
      <c r="F705" s="7" t="s">
        <v>50</v>
      </c>
      <c r="G705" s="7" t="s">
        <v>2710</v>
      </c>
      <c r="H705" s="7" t="s">
        <v>3758</v>
      </c>
      <c r="I705" s="7" t="s">
        <v>2831</v>
      </c>
      <c r="J705" s="7" t="s">
        <v>6147</v>
      </c>
      <c r="K705" s="7" t="s">
        <v>2704</v>
      </c>
      <c r="L705" s="7" t="s">
        <v>2705</v>
      </c>
      <c r="M705" s="10" t="b">
        <f aca="false">TRUE()</f>
        <v>1</v>
      </c>
      <c r="N705" s="7" t="n">
        <v>-33.70446573</v>
      </c>
      <c r="O705" s="7" t="n">
        <v>150.583813</v>
      </c>
    </row>
    <row r="706" customFormat="false" ht="15" hidden="false" customHeight="false" outlineLevel="0" collapsed="false">
      <c r="A706" s="7" t="s">
        <v>6148</v>
      </c>
      <c r="B706" s="7" t="s">
        <v>6149</v>
      </c>
      <c r="C706" s="7" t="s">
        <v>6150</v>
      </c>
      <c r="D706" s="7" t="s">
        <v>6151</v>
      </c>
      <c r="E706" s="7" t="n">
        <v>2060</v>
      </c>
      <c r="F706" s="7" t="s">
        <v>50</v>
      </c>
      <c r="G706" s="7" t="s">
        <v>2982</v>
      </c>
      <c r="H706" s="7"/>
      <c r="I706" s="7" t="s">
        <v>2897</v>
      </c>
      <c r="J706" s="7"/>
      <c r="K706" s="7" t="s">
        <v>2772</v>
      </c>
      <c r="L706" s="7" t="s">
        <v>2898</v>
      </c>
      <c r="M706" s="10" t="b">
        <f aca="false">FALSE()</f>
        <v>0</v>
      </c>
      <c r="N706" s="7" t="n">
        <v>-33.836431</v>
      </c>
      <c r="O706" s="7" t="n">
        <v>151.207364</v>
      </c>
    </row>
    <row r="707" customFormat="false" ht="15" hidden="false" customHeight="false" outlineLevel="0" collapsed="false">
      <c r="A707" s="7" t="s">
        <v>6152</v>
      </c>
      <c r="B707" s="7" t="s">
        <v>6153</v>
      </c>
      <c r="C707" s="7" t="s">
        <v>6154</v>
      </c>
      <c r="D707" s="7" t="s">
        <v>6155</v>
      </c>
      <c r="E707" s="7" t="n">
        <v>2323</v>
      </c>
      <c r="F707" s="7" t="s">
        <v>50</v>
      </c>
      <c r="G707" s="7" t="s">
        <v>2786</v>
      </c>
      <c r="H707" s="7" t="s">
        <v>4308</v>
      </c>
      <c r="I707" s="7" t="s">
        <v>2885</v>
      </c>
      <c r="J707" s="7"/>
      <c r="K707" s="7" t="s">
        <v>2704</v>
      </c>
      <c r="L707" s="7" t="s">
        <v>2705</v>
      </c>
      <c r="M707" s="10" t="b">
        <f aca="false">TRUE()</f>
        <v>1</v>
      </c>
      <c r="N707" s="7" t="n">
        <v>-32.75095775</v>
      </c>
      <c r="O707" s="7" t="n">
        <v>151.5938259</v>
      </c>
    </row>
    <row r="708" customFormat="false" ht="15" hidden="false" customHeight="false" outlineLevel="0" collapsed="false">
      <c r="A708" s="7" t="s">
        <v>6156</v>
      </c>
      <c r="B708" s="7" t="s">
        <v>6157</v>
      </c>
      <c r="C708" s="7" t="s">
        <v>6158</v>
      </c>
      <c r="D708" s="7" t="s">
        <v>6159</v>
      </c>
      <c r="E708" s="7" t="n">
        <v>2163</v>
      </c>
      <c r="F708" s="7" t="s">
        <v>50</v>
      </c>
      <c r="G708" s="7" t="s">
        <v>2806</v>
      </c>
      <c r="H708" s="7" t="s">
        <v>5984</v>
      </c>
      <c r="I708" s="7" t="s">
        <v>2831</v>
      </c>
      <c r="J708" s="7" t="s">
        <v>6160</v>
      </c>
      <c r="K708" s="7" t="s">
        <v>2772</v>
      </c>
      <c r="L708" s="7" t="s">
        <v>2705</v>
      </c>
      <c r="M708" s="10" t="b">
        <f aca="false">FALSE()</f>
        <v>0</v>
      </c>
      <c r="N708" s="7" t="n">
        <v>-33.88090168</v>
      </c>
      <c r="O708" s="7" t="n">
        <v>150.9760479</v>
      </c>
    </row>
    <row r="709" customFormat="false" ht="15" hidden="false" customHeight="false" outlineLevel="0" collapsed="false">
      <c r="A709" s="7" t="s">
        <v>6161</v>
      </c>
      <c r="B709" s="7" t="s">
        <v>6162</v>
      </c>
      <c r="C709" s="7" t="s">
        <v>6163</v>
      </c>
      <c r="D709" s="7" t="s">
        <v>6164</v>
      </c>
      <c r="E709" s="7" t="n">
        <v>2765</v>
      </c>
      <c r="F709" s="7" t="s">
        <v>50</v>
      </c>
      <c r="G709" s="7" t="s">
        <v>2806</v>
      </c>
      <c r="H709" s="7" t="s">
        <v>6165</v>
      </c>
      <c r="I709" s="7" t="s">
        <v>3889</v>
      </c>
      <c r="J709" s="7" t="s">
        <v>5642</v>
      </c>
      <c r="K709" s="7" t="s">
        <v>2772</v>
      </c>
      <c r="L709" s="7" t="s">
        <v>2705</v>
      </c>
      <c r="M709" s="10" t="b">
        <f aca="false">FALSE()</f>
        <v>0</v>
      </c>
      <c r="N709" s="7" t="n">
        <v>-33.65050415</v>
      </c>
      <c r="O709" s="7" t="n">
        <v>150.8512458</v>
      </c>
    </row>
    <row r="710" customFormat="false" ht="15" hidden="false" customHeight="false" outlineLevel="0" collapsed="false">
      <c r="A710" s="7" t="s">
        <v>6166</v>
      </c>
      <c r="B710" s="7" t="s">
        <v>6167</v>
      </c>
      <c r="C710" s="7" t="s">
        <v>6168</v>
      </c>
      <c r="D710" s="7" t="s">
        <v>6169</v>
      </c>
      <c r="E710" s="7" t="n">
        <v>2650</v>
      </c>
      <c r="F710" s="7" t="s">
        <v>50</v>
      </c>
      <c r="G710" s="7" t="s">
        <v>2735</v>
      </c>
      <c r="H710" s="7" t="s">
        <v>2736</v>
      </c>
      <c r="I710" s="7" t="s">
        <v>3059</v>
      </c>
      <c r="J710" s="7"/>
      <c r="K710" s="7"/>
      <c r="L710" s="7"/>
      <c r="M710" s="10" t="b">
        <f aca="false">FALSE()</f>
        <v>0</v>
      </c>
      <c r="N710" s="7" t="n">
        <v>-35.120418</v>
      </c>
      <c r="O710" s="7" t="n">
        <v>147.36845</v>
      </c>
    </row>
    <row r="711" customFormat="false" ht="15" hidden="false" customHeight="false" outlineLevel="0" collapsed="false">
      <c r="A711" s="7" t="s">
        <v>6170</v>
      </c>
      <c r="B711" s="7" t="s">
        <v>6171</v>
      </c>
      <c r="C711" s="7" t="s">
        <v>6172</v>
      </c>
      <c r="D711" s="7" t="s">
        <v>6173</v>
      </c>
      <c r="E711" s="7" t="n">
        <v>2076</v>
      </c>
      <c r="F711" s="7" t="s">
        <v>50</v>
      </c>
      <c r="G711" s="7" t="s">
        <v>2786</v>
      </c>
      <c r="H711" s="7" t="s">
        <v>2787</v>
      </c>
      <c r="I711" s="7" t="s">
        <v>2747</v>
      </c>
      <c r="J711" s="7" t="s">
        <v>6174</v>
      </c>
      <c r="K711" s="7" t="s">
        <v>2772</v>
      </c>
      <c r="L711" s="7" t="s">
        <v>2705</v>
      </c>
      <c r="M711" s="10" t="b">
        <f aca="false">FALSE()</f>
        <v>0</v>
      </c>
      <c r="N711" s="7" t="n">
        <v>-33.7174292</v>
      </c>
      <c r="O711" s="7" t="n">
        <v>151.1168923</v>
      </c>
    </row>
    <row r="712" customFormat="false" ht="15" hidden="false" customHeight="false" outlineLevel="0" collapsed="false">
      <c r="A712" s="7" t="s">
        <v>6175</v>
      </c>
      <c r="B712" s="7" t="s">
        <v>6176</v>
      </c>
      <c r="C712" s="7" t="s">
        <v>6177</v>
      </c>
      <c r="D712" s="7" t="s">
        <v>6178</v>
      </c>
      <c r="E712" s="7" t="n">
        <v>2077</v>
      </c>
      <c r="F712" s="7" t="s">
        <v>50</v>
      </c>
      <c r="G712" s="7" t="s">
        <v>2710</v>
      </c>
      <c r="H712" s="7" t="s">
        <v>6179</v>
      </c>
      <c r="I712" s="7" t="s">
        <v>6180</v>
      </c>
      <c r="J712" s="7" t="s">
        <v>6181</v>
      </c>
      <c r="K712" s="7" t="s">
        <v>2772</v>
      </c>
      <c r="L712" s="7" t="s">
        <v>2705</v>
      </c>
      <c r="M712" s="10" t="b">
        <f aca="false">FALSE()</f>
        <v>0</v>
      </c>
      <c r="N712" s="7" t="n">
        <v>-33.70999326</v>
      </c>
      <c r="O712" s="7" t="n">
        <v>151.1043411</v>
      </c>
    </row>
    <row r="713" customFormat="false" ht="15" hidden="false" customHeight="false" outlineLevel="0" collapsed="false">
      <c r="A713" s="7" t="s">
        <v>6182</v>
      </c>
      <c r="B713" s="7" t="s">
        <v>6183</v>
      </c>
      <c r="C713" s="7" t="s">
        <v>6184</v>
      </c>
      <c r="D713" s="7" t="s">
        <v>6185</v>
      </c>
      <c r="E713" s="7" t="n">
        <v>2354</v>
      </c>
      <c r="F713" s="7" t="s">
        <v>50</v>
      </c>
      <c r="G713" s="7" t="s">
        <v>2718</v>
      </c>
      <c r="H713" s="7"/>
      <c r="I713" s="7" t="s">
        <v>2719</v>
      </c>
      <c r="J713" s="7"/>
      <c r="K713" s="7"/>
      <c r="L713" s="7"/>
      <c r="M713" s="10" t="b">
        <f aca="false">FALSE()</f>
        <v>0</v>
      </c>
      <c r="N713" s="7" t="n">
        <v>-30.98538</v>
      </c>
      <c r="O713" s="7" t="n">
        <v>151.591012</v>
      </c>
    </row>
    <row r="714" customFormat="false" ht="15" hidden="false" customHeight="false" outlineLevel="0" collapsed="false">
      <c r="A714" s="7" t="s">
        <v>6186</v>
      </c>
      <c r="B714" s="7" t="s">
        <v>6187</v>
      </c>
      <c r="C714" s="7" t="s">
        <v>6188</v>
      </c>
      <c r="D714" s="7" t="s">
        <v>6189</v>
      </c>
      <c r="E714" s="7" t="n">
        <v>2354</v>
      </c>
      <c r="F714" s="7" t="s">
        <v>50</v>
      </c>
      <c r="G714" s="7" t="s">
        <v>3269</v>
      </c>
      <c r="H714" s="7" t="s">
        <v>4138</v>
      </c>
      <c r="I714" s="7" t="s">
        <v>4299</v>
      </c>
      <c r="J714" s="7"/>
      <c r="K714" s="7"/>
      <c r="L714" s="7"/>
      <c r="M714" s="10" t="b">
        <f aca="false">FALSE()</f>
        <v>0</v>
      </c>
      <c r="N714" s="7" t="n">
        <v>-30.940998</v>
      </c>
      <c r="O714" s="7" t="n">
        <v>151.40217</v>
      </c>
    </row>
    <row r="715" customFormat="false" ht="15" hidden="false" customHeight="false" outlineLevel="0" collapsed="false">
      <c r="A715" s="7" t="s">
        <v>6190</v>
      </c>
      <c r="B715" s="7" t="s">
        <v>6191</v>
      </c>
      <c r="C715" s="7" t="s">
        <v>6192</v>
      </c>
      <c r="D715" s="7" t="s">
        <v>6193</v>
      </c>
      <c r="E715" s="7" t="n">
        <v>2832</v>
      </c>
      <c r="F715" s="7" t="s">
        <v>50</v>
      </c>
      <c r="G715" s="7" t="s">
        <v>2718</v>
      </c>
      <c r="H715" s="7"/>
      <c r="I715" s="7" t="s">
        <v>2719</v>
      </c>
      <c r="J715" s="7"/>
      <c r="K715" s="7"/>
      <c r="L715" s="7"/>
      <c r="M715" s="10" t="b">
        <f aca="false">FALSE()</f>
        <v>0</v>
      </c>
      <c r="N715" s="7" t="n">
        <v>-30.023677</v>
      </c>
      <c r="O715" s="7" t="n">
        <v>148.117659</v>
      </c>
    </row>
    <row r="716" customFormat="false" ht="15" hidden="false" customHeight="false" outlineLevel="0" collapsed="false">
      <c r="A716" s="7" t="s">
        <v>6194</v>
      </c>
      <c r="B716" s="7" t="s">
        <v>6195</v>
      </c>
      <c r="C716" s="7" t="s">
        <v>6196</v>
      </c>
      <c r="D716" s="7" t="s">
        <v>6197</v>
      </c>
      <c r="E716" s="7" t="n">
        <v>2420</v>
      </c>
      <c r="F716" s="7" t="s">
        <v>50</v>
      </c>
      <c r="G716" s="7" t="s">
        <v>2806</v>
      </c>
      <c r="H716" s="7" t="s">
        <v>4262</v>
      </c>
      <c r="I716" s="7" t="s">
        <v>2939</v>
      </c>
      <c r="J716" s="7" t="s">
        <v>4927</v>
      </c>
      <c r="K716" s="7" t="s">
        <v>2704</v>
      </c>
      <c r="L716" s="7" t="s">
        <v>2705</v>
      </c>
      <c r="M716" s="10" t="b">
        <f aca="false">TRUE()</f>
        <v>1</v>
      </c>
      <c r="N716" s="7" t="n">
        <v>-32.49613996</v>
      </c>
      <c r="O716" s="7" t="n">
        <v>151.6956798</v>
      </c>
    </row>
    <row r="717" customFormat="false" ht="15" hidden="false" customHeight="false" outlineLevel="0" collapsed="false">
      <c r="A717" s="7" t="s">
        <v>6198</v>
      </c>
      <c r="B717" s="7" t="s">
        <v>6199</v>
      </c>
      <c r="C717" s="7" t="s">
        <v>6200</v>
      </c>
      <c r="D717" s="7" t="s">
        <v>6201</v>
      </c>
      <c r="E717" s="7" t="n">
        <v>2588</v>
      </c>
      <c r="F717" s="7" t="s">
        <v>50</v>
      </c>
      <c r="G717" s="7" t="s">
        <v>2718</v>
      </c>
      <c r="H717" s="7"/>
      <c r="I717" s="7" t="s">
        <v>2719</v>
      </c>
      <c r="J717" s="7"/>
      <c r="K717" s="7"/>
      <c r="L717" s="7"/>
      <c r="M717" s="10" t="b">
        <f aca="false">FALSE()</f>
        <v>0</v>
      </c>
      <c r="N717" s="7" t="n">
        <v>-34.529114</v>
      </c>
      <c r="O717" s="7" t="n">
        <v>148.162677</v>
      </c>
    </row>
    <row r="718" customFormat="false" ht="15" hidden="false" customHeight="false" outlineLevel="0" collapsed="false">
      <c r="A718" s="7" t="s">
        <v>6202</v>
      </c>
      <c r="B718" s="7" t="s">
        <v>6203</v>
      </c>
      <c r="C718" s="7" t="s">
        <v>6204</v>
      </c>
      <c r="D718" s="7" t="s">
        <v>6205</v>
      </c>
      <c r="E718" s="7" t="n">
        <v>2845</v>
      </c>
      <c r="F718" s="7" t="s">
        <v>50</v>
      </c>
      <c r="G718" s="7" t="s">
        <v>2837</v>
      </c>
      <c r="H718" s="7"/>
      <c r="I718" s="7" t="s">
        <v>2719</v>
      </c>
      <c r="J718" s="7"/>
      <c r="K718" s="7"/>
      <c r="L718" s="7"/>
      <c r="M718" s="10" t="b">
        <f aca="false">FALSE()</f>
        <v>0</v>
      </c>
      <c r="N718" s="7" t="n">
        <v>-33.411304</v>
      </c>
      <c r="O718" s="7" t="n">
        <v>150.065125</v>
      </c>
    </row>
    <row r="719" customFormat="false" ht="15" hidden="false" customHeight="false" outlineLevel="0" collapsed="false">
      <c r="A719" s="7" t="s">
        <v>6206</v>
      </c>
      <c r="B719" s="7" t="s">
        <v>6207</v>
      </c>
      <c r="C719" s="7" t="s">
        <v>6208</v>
      </c>
      <c r="D719" s="7" t="s">
        <v>6209</v>
      </c>
      <c r="E719" s="7" t="n">
        <v>2845</v>
      </c>
      <c r="F719" s="7" t="s">
        <v>50</v>
      </c>
      <c r="G719" s="7" t="s">
        <v>6210</v>
      </c>
      <c r="H719" s="7" t="s">
        <v>6211</v>
      </c>
      <c r="I719" s="7" t="s">
        <v>3059</v>
      </c>
      <c r="J719" s="7"/>
      <c r="K719" s="7"/>
      <c r="L719" s="7"/>
      <c r="M719" s="10" t="b">
        <f aca="false">FALSE()</f>
        <v>0</v>
      </c>
      <c r="N719" s="7" t="n">
        <v>-33.407534</v>
      </c>
      <c r="O719" s="7" t="n">
        <v>150.06811</v>
      </c>
    </row>
    <row r="720" customFormat="false" ht="15" hidden="false" customHeight="false" outlineLevel="0" collapsed="false">
      <c r="A720" s="7" t="s">
        <v>6212</v>
      </c>
      <c r="B720" s="7" t="s">
        <v>6213</v>
      </c>
      <c r="C720" s="7" t="s">
        <v>6214</v>
      </c>
      <c r="D720" s="7" t="s">
        <v>6215</v>
      </c>
      <c r="E720" s="7" t="n">
        <v>2031</v>
      </c>
      <c r="F720" s="7" t="s">
        <v>50</v>
      </c>
      <c r="G720" s="7" t="s">
        <v>3262</v>
      </c>
      <c r="H720" s="7" t="s">
        <v>3263</v>
      </c>
      <c r="I720" s="7" t="s">
        <v>3264</v>
      </c>
      <c r="J720" s="7"/>
      <c r="K720" s="7" t="s">
        <v>2772</v>
      </c>
      <c r="L720" s="7" t="s">
        <v>2705</v>
      </c>
      <c r="M720" s="10" t="b">
        <f aca="false">FALSE()</f>
        <v>0</v>
      </c>
      <c r="N720" s="7" t="n">
        <v>-33.910519</v>
      </c>
      <c r="O720" s="7" t="n">
        <v>151.235208</v>
      </c>
    </row>
    <row r="721" customFormat="false" ht="15" hidden="false" customHeight="false" outlineLevel="0" collapsed="false">
      <c r="A721" s="7" t="s">
        <v>6216</v>
      </c>
      <c r="B721" s="7" t="s">
        <v>6217</v>
      </c>
      <c r="C721" s="7" t="s">
        <v>6218</v>
      </c>
      <c r="D721" s="7" t="s">
        <v>6219</v>
      </c>
      <c r="E721" s="7" t="n">
        <v>2304</v>
      </c>
      <c r="F721" s="7" t="s">
        <v>50</v>
      </c>
      <c r="G721" s="7" t="s">
        <v>2806</v>
      </c>
      <c r="H721" s="7" t="s">
        <v>6220</v>
      </c>
      <c r="I721" s="7" t="s">
        <v>6221</v>
      </c>
      <c r="J721" s="7" t="s">
        <v>6222</v>
      </c>
      <c r="K721" s="7" t="s">
        <v>2704</v>
      </c>
      <c r="L721" s="7" t="s">
        <v>2705</v>
      </c>
      <c r="M721" s="10" t="b">
        <f aca="false">TRUE()</f>
        <v>1</v>
      </c>
      <c r="N721" s="7" t="n">
        <v>-32.88705464</v>
      </c>
      <c r="O721" s="7" t="n">
        <v>151.7098902</v>
      </c>
    </row>
    <row r="722" customFormat="false" ht="15" hidden="false" customHeight="false" outlineLevel="0" collapsed="false">
      <c r="A722" s="7" t="s">
        <v>6223</v>
      </c>
      <c r="B722" s="7" t="s">
        <v>6224</v>
      </c>
      <c r="C722" s="7" t="s">
        <v>6225</v>
      </c>
      <c r="D722" s="7" t="s">
        <v>6226</v>
      </c>
      <c r="E722" s="7" t="n">
        <v>2203</v>
      </c>
      <c r="F722" s="7" t="s">
        <v>50</v>
      </c>
      <c r="G722" s="7" t="s">
        <v>2769</v>
      </c>
      <c r="H722" s="7" t="s">
        <v>4730</v>
      </c>
      <c r="I722" s="7" t="s">
        <v>3583</v>
      </c>
      <c r="J722" s="7"/>
      <c r="K722" s="7" t="s">
        <v>2772</v>
      </c>
      <c r="L722" s="7" t="s">
        <v>2705</v>
      </c>
      <c r="M722" s="10" t="b">
        <f aca="false">FALSE()</f>
        <v>0</v>
      </c>
      <c r="N722" s="7" t="n">
        <v>-33.89877075</v>
      </c>
      <c r="O722" s="7" t="n">
        <v>151.1401223</v>
      </c>
    </row>
    <row r="723" customFormat="false" ht="15" hidden="false" customHeight="false" outlineLevel="0" collapsed="false">
      <c r="A723" s="7" t="s">
        <v>6227</v>
      </c>
      <c r="B723" s="7" t="s">
        <v>6228</v>
      </c>
      <c r="C723" s="7" t="s">
        <v>6229</v>
      </c>
      <c r="D723" s="7" t="s">
        <v>6230</v>
      </c>
      <c r="E723" s="7" t="n">
        <v>2304</v>
      </c>
      <c r="F723" s="7" t="s">
        <v>50</v>
      </c>
      <c r="G723" s="7" t="s">
        <v>2786</v>
      </c>
      <c r="H723" s="7" t="s">
        <v>6231</v>
      </c>
      <c r="I723" s="7" t="s">
        <v>2747</v>
      </c>
      <c r="J723" s="7" t="s">
        <v>5735</v>
      </c>
      <c r="K723" s="7" t="s">
        <v>2704</v>
      </c>
      <c r="L723" s="7" t="s">
        <v>2705</v>
      </c>
      <c r="M723" s="10" t="b">
        <f aca="false">TRUE()</f>
        <v>1</v>
      </c>
      <c r="N723" s="7" t="n">
        <v>-32.90276555</v>
      </c>
      <c r="O723" s="7" t="n">
        <v>151.7316708</v>
      </c>
    </row>
    <row r="724" customFormat="false" ht="15" hidden="false" customHeight="false" outlineLevel="0" collapsed="false">
      <c r="A724" s="7" t="s">
        <v>6232</v>
      </c>
      <c r="B724" s="7" t="s">
        <v>6233</v>
      </c>
      <c r="C724" s="7" t="s">
        <v>6234</v>
      </c>
      <c r="D724" s="7" t="s">
        <v>6235</v>
      </c>
      <c r="E724" s="7" t="n">
        <v>2477</v>
      </c>
      <c r="F724" s="7" t="s">
        <v>50</v>
      </c>
      <c r="G724" s="7" t="s">
        <v>2837</v>
      </c>
      <c r="H724" s="7"/>
      <c r="I724" s="7" t="s">
        <v>2719</v>
      </c>
      <c r="J724" s="7"/>
      <c r="K724" s="7"/>
      <c r="L724" s="7"/>
      <c r="M724" s="10" t="b">
        <f aca="false">FALSE()</f>
        <v>0</v>
      </c>
      <c r="N724" s="7" t="n">
        <v>-28.950207</v>
      </c>
      <c r="O724" s="7" t="n">
        <v>153.465201</v>
      </c>
    </row>
    <row r="725" customFormat="false" ht="15" hidden="false" customHeight="false" outlineLevel="0" collapsed="false">
      <c r="A725" s="7" t="s">
        <v>6236</v>
      </c>
      <c r="B725" s="7" t="s">
        <v>6237</v>
      </c>
      <c r="C725" s="7" t="s">
        <v>6238</v>
      </c>
      <c r="D725" s="7" t="s">
        <v>6239</v>
      </c>
      <c r="E725" s="7" t="n">
        <v>2422</v>
      </c>
      <c r="F725" s="7" t="s">
        <v>50</v>
      </c>
      <c r="G725" s="7" t="s">
        <v>2718</v>
      </c>
      <c r="H725" s="7"/>
      <c r="I725" s="7" t="s">
        <v>2719</v>
      </c>
      <c r="J725" s="7"/>
      <c r="K725" s="7"/>
      <c r="L725" s="7"/>
      <c r="M725" s="10" t="b">
        <f aca="false">FALSE()</f>
        <v>0</v>
      </c>
      <c r="N725" s="7" t="n">
        <v>-32.220766</v>
      </c>
      <c r="O725" s="7" t="n">
        <v>151.937109</v>
      </c>
    </row>
    <row r="726" customFormat="false" ht="15" hidden="false" customHeight="false" outlineLevel="0" collapsed="false">
      <c r="A726" s="7" t="s">
        <v>6240</v>
      </c>
      <c r="B726" s="7" t="s">
        <v>6241</v>
      </c>
      <c r="C726" s="7" t="s">
        <v>6242</v>
      </c>
      <c r="D726" s="7" t="s">
        <v>6243</v>
      </c>
      <c r="E726" s="7" t="n">
        <v>2402</v>
      </c>
      <c r="F726" s="7" t="s">
        <v>50</v>
      </c>
      <c r="G726" s="7" t="s">
        <v>2718</v>
      </c>
      <c r="H726" s="7"/>
      <c r="I726" s="7" t="s">
        <v>2719</v>
      </c>
      <c r="J726" s="7"/>
      <c r="K726" s="7"/>
      <c r="L726" s="7"/>
      <c r="M726" s="10" t="b">
        <f aca="false">FALSE()</f>
        <v>0</v>
      </c>
      <c r="N726" s="7" t="n">
        <v>-29.542141</v>
      </c>
      <c r="O726" s="7" t="n">
        <v>150.570258</v>
      </c>
    </row>
    <row r="727" customFormat="false" ht="15" hidden="false" customHeight="false" outlineLevel="0" collapsed="false">
      <c r="A727" s="7" t="s">
        <v>6244</v>
      </c>
      <c r="B727" s="7" t="s">
        <v>6245</v>
      </c>
      <c r="C727" s="7" t="s">
        <v>6246</v>
      </c>
      <c r="D727" s="7" t="s">
        <v>6247</v>
      </c>
      <c r="E727" s="7" t="n">
        <v>2402</v>
      </c>
      <c r="F727" s="7" t="s">
        <v>50</v>
      </c>
      <c r="G727" s="7" t="s">
        <v>2718</v>
      </c>
      <c r="H727" s="7"/>
      <c r="I727" s="7" t="s">
        <v>2719</v>
      </c>
      <c r="J727" s="7"/>
      <c r="K727" s="7"/>
      <c r="L727" s="7"/>
      <c r="M727" s="10" t="b">
        <f aca="false">FALSE()</f>
        <v>0</v>
      </c>
      <c r="N727" s="7" t="n">
        <v>-29.581643</v>
      </c>
      <c r="O727" s="7" t="n">
        <v>150.537189</v>
      </c>
    </row>
    <row r="728" customFormat="false" ht="15" hidden="false" customHeight="false" outlineLevel="0" collapsed="false">
      <c r="A728" s="7" t="s">
        <v>6248</v>
      </c>
      <c r="B728" s="7" t="s">
        <v>6249</v>
      </c>
      <c r="C728" s="7" t="s">
        <v>6250</v>
      </c>
      <c r="D728" s="7" t="s">
        <v>6251</v>
      </c>
      <c r="E728" s="7" t="n">
        <v>2259</v>
      </c>
      <c r="F728" s="7" t="s">
        <v>50</v>
      </c>
      <c r="G728" s="7" t="s">
        <v>2710</v>
      </c>
      <c r="H728" s="7" t="s">
        <v>6252</v>
      </c>
      <c r="I728" s="7" t="s">
        <v>4299</v>
      </c>
      <c r="J728" s="7" t="s">
        <v>6253</v>
      </c>
      <c r="K728" s="7" t="s">
        <v>2704</v>
      </c>
      <c r="L728" s="7" t="s">
        <v>2705</v>
      </c>
      <c r="M728" s="10" t="b">
        <f aca="false">TRUE()</f>
        <v>1</v>
      </c>
      <c r="N728" s="7" t="n">
        <v>-33.24755931</v>
      </c>
      <c r="O728" s="7" t="n">
        <v>151.4485623</v>
      </c>
    </row>
    <row r="729" customFormat="false" ht="15" hidden="false" customHeight="false" outlineLevel="0" collapsed="false">
      <c r="A729" s="7" t="s">
        <v>6254</v>
      </c>
      <c r="B729" s="7" t="s">
        <v>6255</v>
      </c>
      <c r="C729" s="7" t="s">
        <v>6256</v>
      </c>
      <c r="D729" s="7" t="s">
        <v>6257</v>
      </c>
      <c r="E729" s="7" t="n">
        <v>2074</v>
      </c>
      <c r="F729" s="7" t="s">
        <v>50</v>
      </c>
      <c r="G729" s="7" t="s">
        <v>2710</v>
      </c>
      <c r="H729" s="7" t="s">
        <v>3065</v>
      </c>
      <c r="I729" s="7" t="s">
        <v>2747</v>
      </c>
      <c r="J729" s="7" t="s">
        <v>6258</v>
      </c>
      <c r="K729" s="7" t="s">
        <v>2772</v>
      </c>
      <c r="L729" s="7" t="s">
        <v>2705</v>
      </c>
      <c r="M729" s="10" t="b">
        <f aca="false">FALSE()</f>
        <v>0</v>
      </c>
      <c r="N729" s="7" t="n">
        <v>-33.72428546</v>
      </c>
      <c r="O729" s="7" t="n">
        <v>151.1217568</v>
      </c>
    </row>
    <row r="730" customFormat="false" ht="15" hidden="false" customHeight="false" outlineLevel="0" collapsed="false">
      <c r="A730" s="7" t="s">
        <v>6259</v>
      </c>
      <c r="B730" s="7" t="s">
        <v>6260</v>
      </c>
      <c r="C730" s="7" t="s">
        <v>6261</v>
      </c>
      <c r="D730" s="7" t="s">
        <v>6262</v>
      </c>
      <c r="E730" s="7" t="n">
        <v>2824</v>
      </c>
      <c r="F730" s="7" t="s">
        <v>50</v>
      </c>
      <c r="G730" s="7" t="s">
        <v>2718</v>
      </c>
      <c r="H730" s="7"/>
      <c r="I730" s="7" t="s">
        <v>2719</v>
      </c>
      <c r="J730" s="7"/>
      <c r="K730" s="7"/>
      <c r="L730" s="7"/>
      <c r="M730" s="10" t="b">
        <f aca="false">FALSE()</f>
        <v>0</v>
      </c>
      <c r="N730" s="7" t="n">
        <v>-31.701</v>
      </c>
      <c r="O730" s="7" t="n">
        <v>147.835</v>
      </c>
    </row>
    <row r="731" customFormat="false" ht="15" hidden="false" customHeight="false" outlineLevel="0" collapsed="false">
      <c r="A731" s="7" t="s">
        <v>6263</v>
      </c>
      <c r="B731" s="7" t="s">
        <v>6264</v>
      </c>
      <c r="C731" s="7" t="s">
        <v>6265</v>
      </c>
      <c r="D731" s="7" t="s">
        <v>6266</v>
      </c>
      <c r="E731" s="7" t="n">
        <v>2101</v>
      </c>
      <c r="F731" s="7" t="s">
        <v>50</v>
      </c>
      <c r="G731" s="7" t="s">
        <v>3439</v>
      </c>
      <c r="H731" s="7" t="s">
        <v>6267</v>
      </c>
      <c r="I731" s="7" t="s">
        <v>3400</v>
      </c>
      <c r="J731" s="7"/>
      <c r="K731" s="7" t="s">
        <v>2772</v>
      </c>
      <c r="L731" s="7" t="s">
        <v>2705</v>
      </c>
      <c r="M731" s="10" t="b">
        <f aca="false">FALSE()</f>
        <v>0</v>
      </c>
      <c r="N731" s="7" t="n">
        <v>-33.696788</v>
      </c>
      <c r="O731" s="7" t="n">
        <v>151.301419</v>
      </c>
    </row>
    <row r="732" customFormat="false" ht="15" hidden="false" customHeight="false" outlineLevel="0" collapsed="false">
      <c r="A732" s="7" t="s">
        <v>6268</v>
      </c>
      <c r="B732" s="7" t="s">
        <v>6269</v>
      </c>
      <c r="C732" s="7" t="s">
        <v>6270</v>
      </c>
      <c r="D732" s="7" t="s">
        <v>6271</v>
      </c>
      <c r="E732" s="7" t="n">
        <v>2774</v>
      </c>
      <c r="F732" s="7" t="s">
        <v>50</v>
      </c>
      <c r="G732" s="7" t="s">
        <v>2710</v>
      </c>
      <c r="H732" s="7" t="s">
        <v>6272</v>
      </c>
      <c r="I732" s="7" t="s">
        <v>3202</v>
      </c>
      <c r="J732" s="7" t="s">
        <v>6273</v>
      </c>
      <c r="K732" s="7" t="s">
        <v>2704</v>
      </c>
      <c r="L732" s="7" t="s">
        <v>2705</v>
      </c>
      <c r="M732" s="10" t="b">
        <f aca="false">TRUE()</f>
        <v>1</v>
      </c>
      <c r="N732" s="7" t="n">
        <v>-33.72119644</v>
      </c>
      <c r="O732" s="7" t="n">
        <v>150.6019792</v>
      </c>
    </row>
    <row r="733" customFormat="false" ht="15" hidden="false" customHeight="false" outlineLevel="0" collapsed="false">
      <c r="A733" s="7" t="s">
        <v>6274</v>
      </c>
      <c r="B733" s="7" t="s">
        <v>6275</v>
      </c>
      <c r="C733" s="7" t="s">
        <v>6276</v>
      </c>
      <c r="D733" s="7" t="s">
        <v>6277</v>
      </c>
      <c r="E733" s="7" t="n">
        <v>2100</v>
      </c>
      <c r="F733" s="7" t="s">
        <v>50</v>
      </c>
      <c r="G733" s="7" t="s">
        <v>3003</v>
      </c>
      <c r="H733" s="7" t="s">
        <v>6278</v>
      </c>
      <c r="I733" s="7" t="s">
        <v>3400</v>
      </c>
      <c r="J733" s="7"/>
      <c r="K733" s="7" t="s">
        <v>2772</v>
      </c>
      <c r="L733" s="7" t="s">
        <v>2705</v>
      </c>
      <c r="M733" s="10" t="b">
        <f aca="false">FALSE()</f>
        <v>0</v>
      </c>
      <c r="N733" s="7" t="n">
        <v>-33.767001</v>
      </c>
      <c r="O733" s="7" t="n">
        <v>151.269114</v>
      </c>
    </row>
    <row r="734" customFormat="false" ht="15" hidden="false" customHeight="false" outlineLevel="0" collapsed="false">
      <c r="A734" s="7" t="s">
        <v>6279</v>
      </c>
      <c r="B734" s="7" t="s">
        <v>6280</v>
      </c>
      <c r="C734" s="7" t="s">
        <v>6281</v>
      </c>
      <c r="D734" s="7" t="s">
        <v>6282</v>
      </c>
      <c r="E734" s="7" t="n">
        <v>2170</v>
      </c>
      <c r="F734" s="7" t="s">
        <v>50</v>
      </c>
      <c r="G734" s="7" t="s">
        <v>2786</v>
      </c>
      <c r="H734" s="7" t="s">
        <v>6283</v>
      </c>
      <c r="I734" s="7" t="s">
        <v>2747</v>
      </c>
      <c r="J734" s="7" t="s">
        <v>6284</v>
      </c>
      <c r="K734" s="7" t="s">
        <v>2772</v>
      </c>
      <c r="L734" s="7" t="s">
        <v>2705</v>
      </c>
      <c r="M734" s="10" t="b">
        <f aca="false">FALSE()</f>
        <v>0</v>
      </c>
      <c r="N734" s="7" t="n">
        <v>-33.91344996</v>
      </c>
      <c r="O734" s="7" t="n">
        <v>150.9350364</v>
      </c>
    </row>
    <row r="735" customFormat="false" ht="15" hidden="false" customHeight="false" outlineLevel="0" collapsed="false">
      <c r="A735" s="7" t="s">
        <v>6285</v>
      </c>
      <c r="B735" s="7" t="s">
        <v>6286</v>
      </c>
      <c r="C735" s="7" t="s">
        <v>6287</v>
      </c>
      <c r="D735" s="7" t="s">
        <v>6288</v>
      </c>
      <c r="E735" s="7" t="n">
        <v>2233</v>
      </c>
      <c r="F735" s="7" t="s">
        <v>50</v>
      </c>
      <c r="G735" s="7" t="s">
        <v>2710</v>
      </c>
      <c r="H735" s="7" t="s">
        <v>4329</v>
      </c>
      <c r="I735" s="7" t="s">
        <v>2747</v>
      </c>
      <c r="J735" s="7" t="s">
        <v>6289</v>
      </c>
      <c r="K735" s="7" t="s">
        <v>2772</v>
      </c>
      <c r="L735" s="7" t="s">
        <v>2705</v>
      </c>
      <c r="M735" s="10" t="b">
        <f aca="false">TRUE()</f>
        <v>1</v>
      </c>
      <c r="N735" s="7" t="n">
        <v>-34.13438522</v>
      </c>
      <c r="O735" s="7" t="n">
        <v>150.9945115</v>
      </c>
    </row>
    <row r="736" customFormat="false" ht="15" hidden="false" customHeight="false" outlineLevel="0" collapsed="false">
      <c r="A736" s="7" t="s">
        <v>6290</v>
      </c>
      <c r="B736" s="7" t="s">
        <v>6291</v>
      </c>
      <c r="C736" s="7" t="s">
        <v>6292</v>
      </c>
      <c r="D736" s="7" t="s">
        <v>6293</v>
      </c>
      <c r="E736" s="7" t="n">
        <v>2017</v>
      </c>
      <c r="F736" s="7" t="s">
        <v>50</v>
      </c>
      <c r="G736" s="7" t="s">
        <v>2982</v>
      </c>
      <c r="H736" s="7"/>
      <c r="I736" s="7" t="s">
        <v>2897</v>
      </c>
      <c r="J736" s="7"/>
      <c r="K736" s="7" t="s">
        <v>2772</v>
      </c>
      <c r="L736" s="7" t="s">
        <v>2898</v>
      </c>
      <c r="M736" s="10" t="b">
        <f aca="false">FALSE()</f>
        <v>0</v>
      </c>
      <c r="N736" s="7" t="n">
        <v>-33.897477</v>
      </c>
      <c r="O736" s="7" t="n">
        <v>151.200173</v>
      </c>
    </row>
    <row r="737" customFormat="false" ht="15" hidden="false" customHeight="false" outlineLevel="0" collapsed="false">
      <c r="A737" s="7" t="s">
        <v>6294</v>
      </c>
      <c r="B737" s="7" t="s">
        <v>6295</v>
      </c>
      <c r="C737" s="7" t="s">
        <v>6296</v>
      </c>
      <c r="D737" s="7" t="s">
        <v>6297</v>
      </c>
      <c r="E737" s="7" t="n">
        <v>2030</v>
      </c>
      <c r="F737" s="7" t="s">
        <v>50</v>
      </c>
      <c r="G737" s="7" t="s">
        <v>2693</v>
      </c>
      <c r="H737" s="7" t="s">
        <v>6298</v>
      </c>
      <c r="I737" s="7" t="s">
        <v>6299</v>
      </c>
      <c r="J737" s="7"/>
      <c r="K737" s="7"/>
      <c r="L737" s="7"/>
      <c r="M737" s="10" t="b">
        <f aca="false">FALSE()</f>
        <v>0</v>
      </c>
      <c r="N737" s="7" t="n">
        <v>-33.84343945</v>
      </c>
      <c r="O737" s="7" t="n">
        <v>151.28104</v>
      </c>
    </row>
    <row r="738" customFormat="false" ht="15" hidden="false" customHeight="false" outlineLevel="0" collapsed="false">
      <c r="A738" s="7" t="s">
        <v>6300</v>
      </c>
      <c r="B738" s="7" t="s">
        <v>6301</v>
      </c>
      <c r="C738" s="7" t="s">
        <v>6302</v>
      </c>
      <c r="D738" s="7" t="s">
        <v>6303</v>
      </c>
      <c r="E738" s="7" t="n">
        <v>2446</v>
      </c>
      <c r="F738" s="7" t="s">
        <v>50</v>
      </c>
      <c r="G738" s="7" t="s">
        <v>2937</v>
      </c>
      <c r="H738" s="7" t="s">
        <v>6304</v>
      </c>
      <c r="I738" s="7" t="s">
        <v>2737</v>
      </c>
      <c r="J738" s="7"/>
      <c r="K738" s="7"/>
      <c r="L738" s="7"/>
      <c r="M738" s="10" t="b">
        <f aca="false">FALSE()</f>
        <v>0</v>
      </c>
      <c r="N738" s="7" t="n">
        <v>-31.455909</v>
      </c>
      <c r="O738" s="7" t="n">
        <v>152.736526</v>
      </c>
    </row>
    <row r="739" customFormat="false" ht="15" hidden="false" customHeight="false" outlineLevel="0" collapsed="false">
      <c r="A739" s="7" t="s">
        <v>6305</v>
      </c>
      <c r="B739" s="7" t="s">
        <v>6306</v>
      </c>
      <c r="C739" s="7" t="s">
        <v>6307</v>
      </c>
      <c r="D739" s="7" t="s">
        <v>6308</v>
      </c>
      <c r="E739" s="7" t="n">
        <v>2060</v>
      </c>
      <c r="F739" s="7" t="s">
        <v>50</v>
      </c>
      <c r="G739" s="7" t="s">
        <v>2710</v>
      </c>
      <c r="H739" s="7" t="s">
        <v>6309</v>
      </c>
      <c r="I739" s="7" t="s">
        <v>2747</v>
      </c>
      <c r="J739" s="7" t="s">
        <v>6310</v>
      </c>
      <c r="K739" s="7" t="s">
        <v>2772</v>
      </c>
      <c r="L739" s="7" t="s">
        <v>2705</v>
      </c>
      <c r="M739" s="10" t="b">
        <f aca="false">TRUE()</f>
        <v>1</v>
      </c>
      <c r="N739" s="7" t="n">
        <v>-33.83824525</v>
      </c>
      <c r="O739" s="7" t="n">
        <v>151.1978555</v>
      </c>
    </row>
    <row r="740" customFormat="false" ht="15" hidden="false" customHeight="false" outlineLevel="0" collapsed="false">
      <c r="A740" s="7" t="s">
        <v>6311</v>
      </c>
      <c r="B740" s="7" t="s">
        <v>6312</v>
      </c>
      <c r="C740" s="7" t="s">
        <v>6313</v>
      </c>
      <c r="D740" s="7" t="s">
        <v>6314</v>
      </c>
      <c r="E740" s="7" t="n">
        <v>2388</v>
      </c>
      <c r="F740" s="7" t="s">
        <v>50</v>
      </c>
      <c r="G740" s="7" t="s">
        <v>2718</v>
      </c>
      <c r="H740" s="7"/>
      <c r="I740" s="7" t="s">
        <v>2719</v>
      </c>
      <c r="J740" s="7"/>
      <c r="K740" s="7"/>
      <c r="L740" s="7"/>
      <c r="M740" s="10" t="b">
        <f aca="false">FALSE()</f>
        <v>0</v>
      </c>
      <c r="N740" s="7" t="n">
        <v>-30.224656</v>
      </c>
      <c r="O740" s="7" t="n">
        <v>149.444831</v>
      </c>
    </row>
    <row r="741" customFormat="false" ht="15" hidden="false" customHeight="false" outlineLevel="0" collapsed="false">
      <c r="A741" s="7" t="s">
        <v>6315</v>
      </c>
      <c r="B741" s="7" t="s">
        <v>6316</v>
      </c>
      <c r="C741" s="7" t="s">
        <v>6317</v>
      </c>
      <c r="D741" s="7" t="s">
        <v>6318</v>
      </c>
      <c r="E741" s="7" t="n">
        <v>2820</v>
      </c>
      <c r="F741" s="7" t="s">
        <v>50</v>
      </c>
      <c r="G741" s="7" t="s">
        <v>3269</v>
      </c>
      <c r="H741" s="7" t="s">
        <v>6319</v>
      </c>
      <c r="I741" s="7" t="s">
        <v>3285</v>
      </c>
      <c r="J741" s="7"/>
      <c r="K741" s="7"/>
      <c r="L741" s="7"/>
      <c r="M741" s="10" t="b">
        <f aca="false">FALSE()</f>
        <v>0</v>
      </c>
      <c r="N741" s="7" t="n">
        <v>-32.554036</v>
      </c>
      <c r="O741" s="7" t="n">
        <v>148.946832</v>
      </c>
    </row>
    <row r="742" customFormat="false" ht="15" hidden="false" customHeight="false" outlineLevel="0" collapsed="false">
      <c r="A742" s="7" t="s">
        <v>6320</v>
      </c>
      <c r="B742" s="7" t="s">
        <v>6321</v>
      </c>
      <c r="C742" s="7" t="s">
        <v>6322</v>
      </c>
      <c r="D742" s="7" t="s">
        <v>6323</v>
      </c>
      <c r="E742" s="7" t="n">
        <v>2648</v>
      </c>
      <c r="F742" s="7" t="s">
        <v>50</v>
      </c>
      <c r="G742" s="7" t="s">
        <v>2718</v>
      </c>
      <c r="H742" s="7"/>
      <c r="I742" s="7" t="s">
        <v>2719</v>
      </c>
      <c r="J742" s="7"/>
      <c r="K742" s="7"/>
      <c r="L742" s="7"/>
      <c r="M742" s="10" t="b">
        <f aca="false">FALSE()</f>
        <v>0</v>
      </c>
      <c r="N742" s="7" t="n">
        <v>-34.106135</v>
      </c>
      <c r="O742" s="7" t="n">
        <v>141.919144</v>
      </c>
    </row>
    <row r="743" customFormat="false" ht="15" hidden="false" customHeight="false" outlineLevel="0" collapsed="false">
      <c r="A743" s="7" t="s">
        <v>6324</v>
      </c>
      <c r="B743" s="7" t="s">
        <v>6325</v>
      </c>
      <c r="C743" s="7" t="s">
        <v>6326</v>
      </c>
      <c r="D743" s="7" t="s">
        <v>6327</v>
      </c>
      <c r="E743" s="7" t="n">
        <v>2782</v>
      </c>
      <c r="F743" s="7" t="s">
        <v>50</v>
      </c>
      <c r="G743" s="7" t="s">
        <v>2786</v>
      </c>
      <c r="H743" s="7" t="s">
        <v>3145</v>
      </c>
      <c r="I743" s="7" t="s">
        <v>2747</v>
      </c>
      <c r="J743" s="7" t="s">
        <v>6328</v>
      </c>
      <c r="K743" s="7" t="s">
        <v>2704</v>
      </c>
      <c r="L743" s="7" t="s">
        <v>2705</v>
      </c>
      <c r="M743" s="10" t="b">
        <f aca="false">TRUE()</f>
        <v>1</v>
      </c>
      <c r="N743" s="7" t="n">
        <v>-33.70947192</v>
      </c>
      <c r="O743" s="7" t="n">
        <v>150.3763114</v>
      </c>
    </row>
    <row r="744" customFormat="false" ht="15" hidden="false" customHeight="false" outlineLevel="0" collapsed="false">
      <c r="A744" s="7" t="s">
        <v>6329</v>
      </c>
      <c r="B744" s="7" t="s">
        <v>6330</v>
      </c>
      <c r="C744" s="7" t="s">
        <v>6331</v>
      </c>
      <c r="D744" s="7" t="s">
        <v>6332</v>
      </c>
      <c r="E744" s="7" t="n">
        <v>2009</v>
      </c>
      <c r="F744" s="7" t="s">
        <v>50</v>
      </c>
      <c r="G744" s="7" t="s">
        <v>2769</v>
      </c>
      <c r="H744" s="7" t="s">
        <v>4063</v>
      </c>
      <c r="I744" s="7" t="s">
        <v>4064</v>
      </c>
      <c r="J744" s="7"/>
      <c r="K744" s="7" t="s">
        <v>2772</v>
      </c>
      <c r="L744" s="7" t="s">
        <v>2705</v>
      </c>
      <c r="M744" s="10" t="b">
        <f aca="false">FALSE()</f>
        <v>0</v>
      </c>
      <c r="N744" s="7" t="n">
        <v>-33.87436029</v>
      </c>
      <c r="O744" s="7" t="n">
        <v>151.1939664</v>
      </c>
    </row>
    <row r="745" customFormat="false" ht="15" hidden="false" customHeight="false" outlineLevel="0" collapsed="false">
      <c r="A745" s="7" t="s">
        <v>6333</v>
      </c>
      <c r="B745" s="7" t="s">
        <v>6334</v>
      </c>
      <c r="C745" s="7" t="s">
        <v>6335</v>
      </c>
      <c r="D745" s="7" t="s">
        <v>6336</v>
      </c>
      <c r="E745" s="7" t="n">
        <v>2145</v>
      </c>
      <c r="F745" s="7" t="s">
        <v>50</v>
      </c>
      <c r="G745" s="7" t="s">
        <v>2786</v>
      </c>
      <c r="H745" s="7" t="s">
        <v>2787</v>
      </c>
      <c r="I745" s="7" t="s">
        <v>2747</v>
      </c>
      <c r="J745" s="7" t="s">
        <v>6337</v>
      </c>
      <c r="K745" s="7" t="s">
        <v>2772</v>
      </c>
      <c r="L745" s="7" t="s">
        <v>2705</v>
      </c>
      <c r="M745" s="10" t="b">
        <f aca="false">FALSE()</f>
        <v>0</v>
      </c>
      <c r="N745" s="7" t="n">
        <v>-33.80719295</v>
      </c>
      <c r="O745" s="7" t="n">
        <v>150.9726376</v>
      </c>
    </row>
    <row r="746" customFormat="false" ht="15" hidden="false" customHeight="false" outlineLevel="0" collapsed="false">
      <c r="A746" s="7" t="s">
        <v>6338</v>
      </c>
      <c r="B746" s="7" t="s">
        <v>6339</v>
      </c>
      <c r="C746" s="7" t="s">
        <v>6340</v>
      </c>
      <c r="D746" s="7" t="s">
        <v>6341</v>
      </c>
      <c r="E746" s="7" t="n">
        <v>2747</v>
      </c>
      <c r="F746" s="7" t="s">
        <v>50</v>
      </c>
      <c r="G746" s="7" t="s">
        <v>2710</v>
      </c>
      <c r="H746" s="7" t="s">
        <v>2953</v>
      </c>
      <c r="I746" s="7" t="s">
        <v>2747</v>
      </c>
      <c r="J746" s="7" t="s">
        <v>6342</v>
      </c>
      <c r="K746" s="7" t="s">
        <v>2772</v>
      </c>
      <c r="L746" s="7" t="s">
        <v>2705</v>
      </c>
      <c r="M746" s="10" t="b">
        <f aca="false">FALSE()</f>
        <v>0</v>
      </c>
      <c r="N746" s="7" t="n">
        <v>-33.7592923</v>
      </c>
      <c r="O746" s="7" t="n">
        <v>150.7583397</v>
      </c>
    </row>
    <row r="747" customFormat="false" ht="15" hidden="false" customHeight="false" outlineLevel="0" collapsed="false">
      <c r="A747" s="7" t="s">
        <v>6343</v>
      </c>
      <c r="B747" s="7" t="s">
        <v>6344</v>
      </c>
      <c r="C747" s="7" t="s">
        <v>6345</v>
      </c>
      <c r="D747" s="7" t="s">
        <v>6346</v>
      </c>
      <c r="E747" s="7" t="n">
        <v>2341</v>
      </c>
      <c r="F747" s="7" t="s">
        <v>50</v>
      </c>
      <c r="G747" s="7" t="s">
        <v>2786</v>
      </c>
      <c r="H747" s="7" t="s">
        <v>5584</v>
      </c>
      <c r="I747" s="7" t="s">
        <v>3170</v>
      </c>
      <c r="J747" s="7"/>
      <c r="K747" s="7"/>
      <c r="L747" s="7"/>
      <c r="M747" s="10" t="b">
        <f aca="false">FALSE()</f>
        <v>0</v>
      </c>
      <c r="N747" s="7" t="n">
        <v>-31.350139</v>
      </c>
      <c r="O747" s="7" t="n">
        <v>150.646464</v>
      </c>
    </row>
    <row r="748" customFormat="false" ht="15" hidden="false" customHeight="false" outlineLevel="0" collapsed="false">
      <c r="A748" s="7" t="s">
        <v>6347</v>
      </c>
      <c r="B748" s="7" t="s">
        <v>6348</v>
      </c>
      <c r="C748" s="7" t="s">
        <v>6349</v>
      </c>
      <c r="D748" s="7" t="s">
        <v>6350</v>
      </c>
      <c r="E748" s="7" t="n">
        <v>2341</v>
      </c>
      <c r="F748" s="7" t="s">
        <v>50</v>
      </c>
      <c r="G748" s="7" t="s">
        <v>2718</v>
      </c>
      <c r="H748" s="7"/>
      <c r="I748" s="7" t="s">
        <v>2719</v>
      </c>
      <c r="J748" s="7"/>
      <c r="K748" s="7"/>
      <c r="L748" s="7"/>
      <c r="M748" s="10" t="b">
        <f aca="false">FALSE()</f>
        <v>0</v>
      </c>
      <c r="N748" s="7" t="n">
        <v>-31.356568</v>
      </c>
      <c r="O748" s="7" t="n">
        <v>150.646129</v>
      </c>
    </row>
    <row r="749" customFormat="false" ht="15" hidden="false" customHeight="false" outlineLevel="0" collapsed="false">
      <c r="A749" s="7" t="s">
        <v>6351</v>
      </c>
      <c r="B749" s="7" t="s">
        <v>6352</v>
      </c>
      <c r="C749" s="7" t="s">
        <v>6353</v>
      </c>
      <c r="D749" s="7" t="s">
        <v>6354</v>
      </c>
      <c r="E749" s="7" t="n">
        <v>2114</v>
      </c>
      <c r="F749" s="7" t="s">
        <v>50</v>
      </c>
      <c r="G749" s="7" t="s">
        <v>2786</v>
      </c>
      <c r="H749" s="7" t="s">
        <v>6355</v>
      </c>
      <c r="I749" s="7" t="s">
        <v>2747</v>
      </c>
      <c r="J749" s="7" t="s">
        <v>6356</v>
      </c>
      <c r="K749" s="7" t="s">
        <v>2772</v>
      </c>
      <c r="L749" s="7" t="s">
        <v>2705</v>
      </c>
      <c r="M749" s="10" t="b">
        <f aca="false">FALSE()</f>
        <v>0</v>
      </c>
      <c r="N749" s="7" t="n">
        <v>-33.80717213</v>
      </c>
      <c r="O749" s="7" t="n">
        <v>151.0902289</v>
      </c>
    </row>
    <row r="750" customFormat="false" ht="15" hidden="false" customHeight="false" outlineLevel="0" collapsed="false">
      <c r="A750" s="7" t="s">
        <v>6357</v>
      </c>
      <c r="B750" s="7" t="s">
        <v>6358</v>
      </c>
      <c r="C750" s="7" t="s">
        <v>6359</v>
      </c>
      <c r="D750" s="7" t="s">
        <v>6360</v>
      </c>
      <c r="E750" s="7" t="n">
        <v>2671</v>
      </c>
      <c r="F750" s="7" t="s">
        <v>50</v>
      </c>
      <c r="G750" s="7" t="s">
        <v>2718</v>
      </c>
      <c r="H750" s="7"/>
      <c r="I750" s="7" t="s">
        <v>2719</v>
      </c>
      <c r="J750" s="7"/>
      <c r="K750" s="7"/>
      <c r="L750" s="7"/>
      <c r="M750" s="10" t="b">
        <f aca="false">FALSE()</f>
        <v>0</v>
      </c>
      <c r="N750" s="7" t="n">
        <v>-33.923826</v>
      </c>
      <c r="O750" s="7" t="n">
        <v>147.205261</v>
      </c>
    </row>
    <row r="751" customFormat="false" ht="15" hidden="false" customHeight="false" outlineLevel="0" collapsed="false">
      <c r="A751" s="7" t="s">
        <v>6361</v>
      </c>
      <c r="B751" s="7" t="s">
        <v>6362</v>
      </c>
      <c r="C751" s="7" t="s">
        <v>6363</v>
      </c>
      <c r="D751" s="7" t="s">
        <v>6364</v>
      </c>
      <c r="E751" s="7" t="n">
        <v>2145</v>
      </c>
      <c r="F751" s="7" t="s">
        <v>50</v>
      </c>
      <c r="G751" s="7" t="s">
        <v>2769</v>
      </c>
      <c r="H751" s="7" t="s">
        <v>5294</v>
      </c>
      <c r="I751" s="7" t="s">
        <v>3019</v>
      </c>
      <c r="J751" s="7"/>
      <c r="K751" s="7" t="s">
        <v>2772</v>
      </c>
      <c r="L751" s="7" t="s">
        <v>2705</v>
      </c>
      <c r="M751" s="10" t="b">
        <f aca="false">FALSE()</f>
        <v>0</v>
      </c>
      <c r="N751" s="7" t="n">
        <v>-33.804709</v>
      </c>
      <c r="O751" s="7" t="n">
        <v>150.990075</v>
      </c>
    </row>
    <row r="752" customFormat="false" ht="15" hidden="false" customHeight="false" outlineLevel="0" collapsed="false">
      <c r="A752" s="7" t="s">
        <v>6365</v>
      </c>
      <c r="B752" s="7" t="s">
        <v>6366</v>
      </c>
      <c r="C752" s="7" t="s">
        <v>6367</v>
      </c>
      <c r="D752" s="7" t="s">
        <v>6368</v>
      </c>
      <c r="E752" s="7" t="n">
        <v>2145</v>
      </c>
      <c r="F752" s="7" t="s">
        <v>50</v>
      </c>
      <c r="G752" s="7" t="s">
        <v>5283</v>
      </c>
      <c r="H752" s="7" t="s">
        <v>3800</v>
      </c>
      <c r="I752" s="7" t="s">
        <v>2747</v>
      </c>
      <c r="J752" s="7" t="s">
        <v>6369</v>
      </c>
      <c r="K752" s="7" t="s">
        <v>2772</v>
      </c>
      <c r="L752" s="7" t="s">
        <v>2705</v>
      </c>
      <c r="M752" s="10" t="b">
        <f aca="false">TRUE()</f>
        <v>1</v>
      </c>
      <c r="N752" s="7" t="n">
        <v>-33.80852937</v>
      </c>
      <c r="O752" s="7" t="n">
        <v>150.9880115</v>
      </c>
    </row>
    <row r="753" customFormat="false" ht="15" hidden="false" customHeight="false" outlineLevel="0" collapsed="false">
      <c r="A753" s="7" t="s">
        <v>6370</v>
      </c>
      <c r="B753" s="7" t="s">
        <v>6371</v>
      </c>
      <c r="C753" s="7" t="s">
        <v>6372</v>
      </c>
      <c r="D753" s="7" t="s">
        <v>6373</v>
      </c>
      <c r="E753" s="7" t="n">
        <v>2705</v>
      </c>
      <c r="F753" s="7" t="s">
        <v>50</v>
      </c>
      <c r="G753" s="7" t="s">
        <v>2718</v>
      </c>
      <c r="H753" s="7"/>
      <c r="I753" s="7" t="s">
        <v>2719</v>
      </c>
      <c r="J753" s="7"/>
      <c r="K753" s="7"/>
      <c r="L753" s="7"/>
      <c r="M753" s="10" t="b">
        <f aca="false">FALSE()</f>
        <v>0</v>
      </c>
      <c r="N753" s="7" t="n">
        <v>-34.51791</v>
      </c>
      <c r="O753" s="7" t="n">
        <v>146.183194</v>
      </c>
    </row>
    <row r="754" customFormat="false" ht="15" hidden="false" customHeight="false" outlineLevel="0" collapsed="false">
      <c r="A754" s="7" t="s">
        <v>6374</v>
      </c>
      <c r="B754" s="7" t="s">
        <v>6375</v>
      </c>
      <c r="C754" s="7" t="s">
        <v>6376</v>
      </c>
      <c r="D754" s="7" t="s">
        <v>6377</v>
      </c>
      <c r="E754" s="7" t="n">
        <v>2836</v>
      </c>
      <c r="F754" s="7" t="s">
        <v>50</v>
      </c>
      <c r="G754" s="7" t="s">
        <v>2718</v>
      </c>
      <c r="H754" s="7"/>
      <c r="I754" s="7" t="s">
        <v>2719</v>
      </c>
      <c r="J754" s="7"/>
      <c r="K754" s="7"/>
      <c r="L754" s="7"/>
      <c r="M754" s="10" t="b">
        <f aca="false">FALSE()</f>
        <v>0</v>
      </c>
      <c r="N754" s="7" t="n">
        <v>-31.558417</v>
      </c>
      <c r="O754" s="7" t="n">
        <v>143.37759</v>
      </c>
    </row>
    <row r="755" customFormat="false" ht="15" hidden="false" customHeight="false" outlineLevel="0" collapsed="false">
      <c r="A755" s="7" t="s">
        <v>6378</v>
      </c>
      <c r="B755" s="7" t="s">
        <v>6379</v>
      </c>
      <c r="C755" s="7" t="s">
        <v>6380</v>
      </c>
      <c r="D755" s="7" t="s">
        <v>6381</v>
      </c>
      <c r="E755" s="7" t="n">
        <v>2195</v>
      </c>
      <c r="F755" s="7" t="s">
        <v>50</v>
      </c>
      <c r="G755" s="7" t="s">
        <v>3003</v>
      </c>
      <c r="H755" s="7" t="s">
        <v>6382</v>
      </c>
      <c r="I755" s="7" t="s">
        <v>6383</v>
      </c>
      <c r="J755" s="7" t="s">
        <v>6384</v>
      </c>
      <c r="K755" s="7" t="s">
        <v>2772</v>
      </c>
      <c r="L755" s="7" t="s">
        <v>2705</v>
      </c>
      <c r="M755" s="10" t="b">
        <f aca="false">FALSE()</f>
        <v>0</v>
      </c>
      <c r="N755" s="7" t="n">
        <v>-33.92300854</v>
      </c>
      <c r="O755" s="7" t="n">
        <v>151.0672762</v>
      </c>
    </row>
    <row r="756" customFormat="false" ht="15" hidden="false" customHeight="false" outlineLevel="0" collapsed="false">
      <c r="A756" s="7" t="s">
        <v>6385</v>
      </c>
      <c r="B756" s="7" t="s">
        <v>6386</v>
      </c>
      <c r="C756" s="7" t="s">
        <v>6387</v>
      </c>
      <c r="D756" s="7" t="s">
        <v>6388</v>
      </c>
      <c r="E756" s="7" t="n">
        <v>2339</v>
      </c>
      <c r="F756" s="7" t="s">
        <v>50</v>
      </c>
      <c r="G756" s="7" t="s">
        <v>2806</v>
      </c>
      <c r="H756" s="7" t="s">
        <v>3169</v>
      </c>
      <c r="I756" s="7" t="s">
        <v>3808</v>
      </c>
      <c r="J756" s="7"/>
      <c r="K756" s="7"/>
      <c r="L756" s="7"/>
      <c r="M756" s="10" t="b">
        <f aca="false">FALSE()</f>
        <v>0</v>
      </c>
      <c r="N756" s="7" t="n">
        <v>-31.650065</v>
      </c>
      <c r="O756" s="7" t="n">
        <v>150.726123</v>
      </c>
    </row>
    <row r="757" customFormat="false" ht="15" hidden="false" customHeight="false" outlineLevel="0" collapsed="false">
      <c r="A757" s="7" t="s">
        <v>6389</v>
      </c>
      <c r="B757" s="7" t="s">
        <v>6390</v>
      </c>
      <c r="C757" s="7" t="s">
        <v>6391</v>
      </c>
      <c r="D757" s="7" t="s">
        <v>6392</v>
      </c>
      <c r="E757" s="7" t="n">
        <v>2339</v>
      </c>
      <c r="F757" s="7" t="s">
        <v>50</v>
      </c>
      <c r="G757" s="7" t="s">
        <v>2718</v>
      </c>
      <c r="H757" s="7"/>
      <c r="I757" s="7" t="s">
        <v>2719</v>
      </c>
      <c r="J757" s="7"/>
      <c r="K757" s="7"/>
      <c r="L757" s="7"/>
      <c r="M757" s="10" t="b">
        <f aca="false">FALSE()</f>
        <v>0</v>
      </c>
      <c r="N757" s="7" t="n">
        <v>-31.649233</v>
      </c>
      <c r="O757" s="7" t="n">
        <v>150.726537</v>
      </c>
    </row>
    <row r="758" customFormat="false" ht="15" hidden="false" customHeight="false" outlineLevel="0" collapsed="false">
      <c r="A758" s="7" t="s">
        <v>6393</v>
      </c>
      <c r="B758" s="7" t="s">
        <v>6394</v>
      </c>
      <c r="C758" s="7" t="s">
        <v>6395</v>
      </c>
      <c r="D758" s="7" t="s">
        <v>6396</v>
      </c>
      <c r="E758" s="7" t="n">
        <v>2756</v>
      </c>
      <c r="F758" s="7" t="s">
        <v>50</v>
      </c>
      <c r="G758" s="7" t="s">
        <v>2786</v>
      </c>
      <c r="H758" s="7" t="s">
        <v>6397</v>
      </c>
      <c r="I758" s="7" t="s">
        <v>2702</v>
      </c>
      <c r="J758" s="7" t="s">
        <v>6398</v>
      </c>
      <c r="K758" s="7" t="s">
        <v>2772</v>
      </c>
      <c r="L758" s="7" t="s">
        <v>2705</v>
      </c>
      <c r="M758" s="10" t="b">
        <f aca="false">FALSE()</f>
        <v>0</v>
      </c>
      <c r="N758" s="7" t="n">
        <v>-33.61392767</v>
      </c>
      <c r="O758" s="7" t="n">
        <v>150.811408</v>
      </c>
    </row>
    <row r="759" customFormat="false" ht="15" hidden="false" customHeight="false" outlineLevel="0" collapsed="false">
      <c r="A759" s="7" t="s">
        <v>6399</v>
      </c>
      <c r="B759" s="7" t="s">
        <v>6400</v>
      </c>
      <c r="C759" s="7" t="s">
        <v>6401</v>
      </c>
      <c r="D759" s="7" t="s">
        <v>6402</v>
      </c>
      <c r="E759" s="7" t="n">
        <v>2579</v>
      </c>
      <c r="F759" s="7" t="s">
        <v>50</v>
      </c>
      <c r="G759" s="7" t="s">
        <v>2806</v>
      </c>
      <c r="H759" s="7" t="s">
        <v>6403</v>
      </c>
      <c r="I759" s="7" t="s">
        <v>3889</v>
      </c>
      <c r="J759" s="7" t="s">
        <v>3317</v>
      </c>
      <c r="K759" s="7" t="s">
        <v>2704</v>
      </c>
      <c r="L759" s="7" t="s">
        <v>2705</v>
      </c>
      <c r="M759" s="10" t="b">
        <f aca="false">TRUE()</f>
        <v>1</v>
      </c>
      <c r="N759" s="7" t="n">
        <v>-34.69218018</v>
      </c>
      <c r="O759" s="7" t="n">
        <v>150.1583854</v>
      </c>
    </row>
    <row r="760" customFormat="false" ht="15" hidden="false" customHeight="false" outlineLevel="0" collapsed="false">
      <c r="A760" s="7" t="s">
        <v>6404</v>
      </c>
      <c r="B760" s="7" t="s">
        <v>6405</v>
      </c>
      <c r="C760" s="7" t="s">
        <v>6406</v>
      </c>
      <c r="D760" s="7" t="s">
        <v>6407</v>
      </c>
      <c r="E760" s="7" t="n">
        <v>2429</v>
      </c>
      <c r="F760" s="7" t="s">
        <v>50</v>
      </c>
      <c r="G760" s="7" t="s">
        <v>2806</v>
      </c>
      <c r="H760" s="7" t="s">
        <v>6408</v>
      </c>
      <c r="I760" s="7" t="s">
        <v>3170</v>
      </c>
      <c r="J760" s="7"/>
      <c r="K760" s="7"/>
      <c r="L760" s="7"/>
      <c r="M760" s="10" t="b">
        <f aca="false">FALSE()</f>
        <v>0</v>
      </c>
      <c r="N760" s="7" t="n">
        <v>-31.86809</v>
      </c>
      <c r="O760" s="7" t="n">
        <v>152.367636</v>
      </c>
    </row>
    <row r="761" customFormat="false" ht="15" hidden="false" customHeight="false" outlineLevel="0" collapsed="false">
      <c r="A761" s="7" t="s">
        <v>6409</v>
      </c>
      <c r="B761" s="7" t="s">
        <v>6410</v>
      </c>
      <c r="C761" s="7" t="s">
        <v>6411</v>
      </c>
      <c r="D761" s="7" t="s">
        <v>6412</v>
      </c>
      <c r="E761" s="7" t="n">
        <v>2429</v>
      </c>
      <c r="F761" s="7" t="s">
        <v>50</v>
      </c>
      <c r="G761" s="7" t="s">
        <v>2837</v>
      </c>
      <c r="H761" s="7"/>
      <c r="I761" s="7" t="s">
        <v>2719</v>
      </c>
      <c r="J761" s="7"/>
      <c r="K761" s="7"/>
      <c r="L761" s="7"/>
      <c r="M761" s="10" t="b">
        <f aca="false">FALSE()</f>
        <v>0</v>
      </c>
      <c r="N761" s="7" t="n">
        <v>-31.869226</v>
      </c>
      <c r="O761" s="7" t="n">
        <v>152.374623</v>
      </c>
    </row>
    <row r="762" customFormat="false" ht="15" hidden="false" customHeight="false" outlineLevel="0" collapsed="false">
      <c r="A762" s="7" t="s">
        <v>6413</v>
      </c>
      <c r="B762" s="7" t="s">
        <v>6414</v>
      </c>
      <c r="C762" s="7" t="s">
        <v>6415</v>
      </c>
      <c r="D762" s="7" t="s">
        <v>6416</v>
      </c>
      <c r="E762" s="7" t="n">
        <v>2420</v>
      </c>
      <c r="F762" s="7" t="s">
        <v>50</v>
      </c>
      <c r="G762" s="7" t="s">
        <v>2806</v>
      </c>
      <c r="H762" s="7" t="s">
        <v>2701</v>
      </c>
      <c r="I762" s="7" t="s">
        <v>2919</v>
      </c>
      <c r="J762" s="7" t="s">
        <v>4927</v>
      </c>
      <c r="K762" s="7" t="s">
        <v>2704</v>
      </c>
      <c r="L762" s="7" t="s">
        <v>2705</v>
      </c>
      <c r="M762" s="10" t="b">
        <f aca="false">TRUE()</f>
        <v>1</v>
      </c>
      <c r="N762" s="7" t="n">
        <v>-32.4617735</v>
      </c>
      <c r="O762" s="7" t="n">
        <v>151.743457</v>
      </c>
    </row>
    <row r="763" customFormat="false" ht="15" hidden="false" customHeight="false" outlineLevel="0" collapsed="false">
      <c r="A763" s="7" t="s">
        <v>6417</v>
      </c>
      <c r="B763" s="7" t="s">
        <v>6418</v>
      </c>
      <c r="C763" s="7" t="s">
        <v>6419</v>
      </c>
      <c r="D763" s="7" t="s">
        <v>6420</v>
      </c>
      <c r="E763" s="7" t="n">
        <v>2205</v>
      </c>
      <c r="F763" s="7" t="s">
        <v>50</v>
      </c>
      <c r="G763" s="7" t="s">
        <v>2710</v>
      </c>
      <c r="H763" s="7" t="s">
        <v>6421</v>
      </c>
      <c r="I763" s="7" t="s">
        <v>2747</v>
      </c>
      <c r="J763" s="7" t="s">
        <v>6422</v>
      </c>
      <c r="K763" s="7" t="s">
        <v>2772</v>
      </c>
      <c r="L763" s="7" t="s">
        <v>2705</v>
      </c>
      <c r="M763" s="10" t="b">
        <f aca="false">TRUE()</f>
        <v>1</v>
      </c>
      <c r="N763" s="7" t="n">
        <v>-33.92854683</v>
      </c>
      <c r="O763" s="7" t="n">
        <v>151.1541132</v>
      </c>
    </row>
    <row r="764" customFormat="false" ht="15" hidden="false" customHeight="false" outlineLevel="0" collapsed="false">
      <c r="A764" s="7" t="s">
        <v>6423</v>
      </c>
      <c r="B764" s="7" t="s">
        <v>6424</v>
      </c>
      <c r="C764" s="7" t="s">
        <v>6425</v>
      </c>
      <c r="D764" s="7" t="s">
        <v>6426</v>
      </c>
      <c r="E764" s="7" t="n">
        <v>2477</v>
      </c>
      <c r="F764" s="7" t="s">
        <v>50</v>
      </c>
      <c r="G764" s="7" t="s">
        <v>2718</v>
      </c>
      <c r="H764" s="7"/>
      <c r="I764" s="7" t="s">
        <v>2719</v>
      </c>
      <c r="J764" s="7"/>
      <c r="K764" s="7"/>
      <c r="L764" s="7"/>
      <c r="M764" s="10" t="b">
        <f aca="false">FALSE()</f>
        <v>0</v>
      </c>
      <c r="N764" s="7" t="n">
        <v>-28.825911</v>
      </c>
      <c r="O764" s="7" t="n">
        <v>153.415019</v>
      </c>
    </row>
    <row r="765" customFormat="false" ht="15" hidden="false" customHeight="false" outlineLevel="0" collapsed="false">
      <c r="A765" s="7" t="s">
        <v>6427</v>
      </c>
      <c r="B765" s="7" t="s">
        <v>6428</v>
      </c>
      <c r="C765" s="7" t="s">
        <v>6429</v>
      </c>
      <c r="D765" s="7" t="s">
        <v>6430</v>
      </c>
      <c r="E765" s="7" t="n">
        <v>2500</v>
      </c>
      <c r="F765" s="7" t="s">
        <v>50</v>
      </c>
      <c r="G765" s="7" t="s">
        <v>2937</v>
      </c>
      <c r="H765" s="7" t="s">
        <v>6431</v>
      </c>
      <c r="I765" s="7" t="s">
        <v>2747</v>
      </c>
      <c r="J765" s="7" t="s">
        <v>6432</v>
      </c>
      <c r="K765" s="7" t="s">
        <v>2704</v>
      </c>
      <c r="L765" s="7" t="s">
        <v>2705</v>
      </c>
      <c r="M765" s="10" t="b">
        <f aca="false">TRUE()</f>
        <v>1</v>
      </c>
      <c r="N765" s="7" t="n">
        <v>-34.42701617</v>
      </c>
      <c r="O765" s="7" t="n">
        <v>150.8882431</v>
      </c>
    </row>
    <row r="766" customFormat="false" ht="15" hidden="false" customHeight="false" outlineLevel="0" collapsed="false">
      <c r="A766" s="7" t="s">
        <v>6433</v>
      </c>
      <c r="B766" s="7" t="s">
        <v>6434</v>
      </c>
      <c r="C766" s="7" t="s">
        <v>6435</v>
      </c>
      <c r="D766" s="7" t="s">
        <v>6436</v>
      </c>
      <c r="E766" s="7" t="n">
        <v>2065</v>
      </c>
      <c r="F766" s="7" t="s">
        <v>50</v>
      </c>
      <c r="G766" s="7" t="s">
        <v>2710</v>
      </c>
      <c r="H766" s="7" t="s">
        <v>3075</v>
      </c>
      <c r="I766" s="7" t="s">
        <v>3305</v>
      </c>
      <c r="J766" s="7" t="s">
        <v>6437</v>
      </c>
      <c r="K766" s="7" t="s">
        <v>2772</v>
      </c>
      <c r="L766" s="7" t="s">
        <v>2705</v>
      </c>
      <c r="M766" s="10" t="b">
        <f aca="false">TRUE()</f>
        <v>1</v>
      </c>
      <c r="N766" s="7" t="n">
        <v>-33.83179487</v>
      </c>
      <c r="O766" s="7" t="n">
        <v>151.191895</v>
      </c>
    </row>
    <row r="767" customFormat="false" ht="15" hidden="false" customHeight="false" outlineLevel="0" collapsed="false">
      <c r="A767" s="7" t="s">
        <v>6438</v>
      </c>
      <c r="B767" s="7" t="s">
        <v>6439</v>
      </c>
      <c r="C767" s="7" t="s">
        <v>6440</v>
      </c>
      <c r="D767" s="7" t="s">
        <v>6441</v>
      </c>
      <c r="E767" s="7" t="n">
        <v>2550</v>
      </c>
      <c r="F767" s="7" t="s">
        <v>50</v>
      </c>
      <c r="G767" s="7" t="s">
        <v>2718</v>
      </c>
      <c r="H767" s="7"/>
      <c r="I767" s="7" t="s">
        <v>2719</v>
      </c>
      <c r="J767" s="7"/>
      <c r="K767" s="7"/>
      <c r="L767" s="7"/>
      <c r="M767" s="10" t="b">
        <f aca="false">FALSE()</f>
        <v>0</v>
      </c>
      <c r="N767" s="7" t="n">
        <v>-36.829958</v>
      </c>
      <c r="O767" s="7" t="n">
        <v>149.813349</v>
      </c>
    </row>
    <row r="768" customFormat="false" ht="15" hidden="false" customHeight="false" outlineLevel="0" collapsed="false">
      <c r="A768" s="7" t="s">
        <v>6442</v>
      </c>
      <c r="B768" s="7" t="s">
        <v>6443</v>
      </c>
      <c r="C768" s="7" t="s">
        <v>6444</v>
      </c>
      <c r="D768" s="7" t="s">
        <v>6445</v>
      </c>
      <c r="E768" s="7" t="n">
        <v>2515</v>
      </c>
      <c r="F768" s="7" t="s">
        <v>50</v>
      </c>
      <c r="G768" s="7" t="s">
        <v>2806</v>
      </c>
      <c r="H768" s="7" t="s">
        <v>3888</v>
      </c>
      <c r="I768" s="7" t="s">
        <v>2831</v>
      </c>
      <c r="J768" s="7" t="s">
        <v>2825</v>
      </c>
      <c r="K768" s="7" t="s">
        <v>2704</v>
      </c>
      <c r="L768" s="7" t="s">
        <v>2705</v>
      </c>
      <c r="M768" s="10" t="b">
        <f aca="false">TRUE()</f>
        <v>1</v>
      </c>
      <c r="N768" s="7" t="n">
        <v>-34.27593294</v>
      </c>
      <c r="O768" s="7" t="n">
        <v>150.953145</v>
      </c>
    </row>
    <row r="769" customFormat="false" ht="15" hidden="false" customHeight="false" outlineLevel="0" collapsed="false">
      <c r="A769" s="7" t="s">
        <v>6446</v>
      </c>
      <c r="B769" s="7" t="s">
        <v>6447</v>
      </c>
      <c r="C769" s="7" t="s">
        <v>6448</v>
      </c>
      <c r="D769" s="7" t="s">
        <v>6449</v>
      </c>
      <c r="E769" s="7" t="n">
        <v>2256</v>
      </c>
      <c r="F769" s="7" t="s">
        <v>50</v>
      </c>
      <c r="G769" s="7" t="s">
        <v>2806</v>
      </c>
      <c r="H769" s="7" t="s">
        <v>2975</v>
      </c>
      <c r="I769" s="7" t="s">
        <v>6450</v>
      </c>
      <c r="J769" s="7" t="s">
        <v>4617</v>
      </c>
      <c r="K769" s="7" t="s">
        <v>2704</v>
      </c>
      <c r="L769" s="7" t="s">
        <v>2705</v>
      </c>
      <c r="M769" s="10" t="b">
        <f aca="false">TRUE()</f>
        <v>1</v>
      </c>
      <c r="N769" s="7" t="n">
        <v>-33.49213536</v>
      </c>
      <c r="O769" s="7" t="n">
        <v>151.2570108</v>
      </c>
    </row>
    <row r="770" customFormat="false" ht="15" hidden="false" customHeight="false" outlineLevel="0" collapsed="false">
      <c r="A770" s="7" t="s">
        <v>6451</v>
      </c>
      <c r="B770" s="7" t="s">
        <v>6452</v>
      </c>
      <c r="C770" s="7" t="s">
        <v>6453</v>
      </c>
      <c r="D770" s="7" t="s">
        <v>6454</v>
      </c>
      <c r="E770" s="7" t="n">
        <v>2729</v>
      </c>
      <c r="F770" s="7" t="s">
        <v>50</v>
      </c>
      <c r="G770" s="7" t="s">
        <v>2718</v>
      </c>
      <c r="H770" s="7"/>
      <c r="I770" s="7" t="s">
        <v>2719</v>
      </c>
      <c r="J770" s="7"/>
      <c r="K770" s="7"/>
      <c r="L770" s="7"/>
      <c r="M770" s="10" t="b">
        <f aca="false">FALSE()</f>
        <v>0</v>
      </c>
      <c r="N770" s="7" t="n">
        <v>-35.408567</v>
      </c>
      <c r="O770" s="7" t="n">
        <v>148.121105</v>
      </c>
    </row>
    <row r="771" customFormat="false" ht="15" hidden="false" customHeight="false" outlineLevel="0" collapsed="false">
      <c r="A771" s="7" t="s">
        <v>6455</v>
      </c>
      <c r="B771" s="7" t="s">
        <v>6456</v>
      </c>
      <c r="C771" s="7" t="s">
        <v>6457</v>
      </c>
      <c r="D771" s="7" t="s">
        <v>6458</v>
      </c>
      <c r="E771" s="7" t="n">
        <v>2472</v>
      </c>
      <c r="F771" s="7" t="s">
        <v>50</v>
      </c>
      <c r="G771" s="7" t="s">
        <v>2837</v>
      </c>
      <c r="H771" s="7"/>
      <c r="I771" s="7" t="s">
        <v>2719</v>
      </c>
      <c r="J771" s="7"/>
      <c r="K771" s="7"/>
      <c r="L771" s="7"/>
      <c r="M771" s="10" t="b">
        <f aca="false">FALSE()</f>
        <v>0</v>
      </c>
      <c r="N771" s="7" t="n">
        <v>-29.071317</v>
      </c>
      <c r="O771" s="7" t="n">
        <v>153.343813</v>
      </c>
    </row>
    <row r="772" customFormat="false" ht="15" hidden="false" customHeight="false" outlineLevel="0" collapsed="false">
      <c r="A772" s="7" t="s">
        <v>6459</v>
      </c>
      <c r="B772" s="7" t="s">
        <v>6460</v>
      </c>
      <c r="C772" s="7" t="s">
        <v>6461</v>
      </c>
      <c r="D772" s="7" t="s">
        <v>6462</v>
      </c>
      <c r="E772" s="7" t="n">
        <v>2778</v>
      </c>
      <c r="F772" s="7" t="s">
        <v>50</v>
      </c>
      <c r="G772" s="7" t="s">
        <v>2710</v>
      </c>
      <c r="H772" s="7" t="s">
        <v>4132</v>
      </c>
      <c r="I772" s="7" t="s">
        <v>3202</v>
      </c>
      <c r="J772" s="7" t="s">
        <v>6463</v>
      </c>
      <c r="K772" s="7" t="s">
        <v>2704</v>
      </c>
      <c r="L772" s="7" t="s">
        <v>2705</v>
      </c>
      <c r="M772" s="10" t="b">
        <f aca="false">TRUE()</f>
        <v>1</v>
      </c>
      <c r="N772" s="7" t="n">
        <v>-33.73544928</v>
      </c>
      <c r="O772" s="7" t="n">
        <v>150.4819174</v>
      </c>
    </row>
    <row r="773" customFormat="false" ht="15" hidden="false" customHeight="false" outlineLevel="0" collapsed="false">
      <c r="A773" s="7" t="s">
        <v>6464</v>
      </c>
      <c r="B773" s="7" t="s">
        <v>6465</v>
      </c>
      <c r="C773" s="7" t="s">
        <v>6466</v>
      </c>
      <c r="D773" s="7" t="s">
        <v>6467</v>
      </c>
      <c r="E773" s="7" t="n">
        <v>2793</v>
      </c>
      <c r="F773" s="7" t="s">
        <v>50</v>
      </c>
      <c r="G773" s="7" t="s">
        <v>2718</v>
      </c>
      <c r="H773" s="7"/>
      <c r="I773" s="7" t="s">
        <v>2719</v>
      </c>
      <c r="J773" s="7"/>
      <c r="K773" s="7"/>
      <c r="L773" s="7"/>
      <c r="M773" s="10" t="b">
        <f aca="false">FALSE()</f>
        <v>0</v>
      </c>
      <c r="N773" s="7" t="n">
        <v>-33.743846</v>
      </c>
      <c r="O773" s="7" t="n">
        <v>148.84842</v>
      </c>
    </row>
    <row r="774" customFormat="false" ht="15" hidden="false" customHeight="false" outlineLevel="0" collapsed="false">
      <c r="A774" s="7" t="s">
        <v>6468</v>
      </c>
      <c r="B774" s="7" t="s">
        <v>6469</v>
      </c>
      <c r="C774" s="7" t="s">
        <v>6470</v>
      </c>
      <c r="D774" s="7" t="s">
        <v>6471</v>
      </c>
      <c r="E774" s="7" t="n">
        <v>2230</v>
      </c>
      <c r="F774" s="7" t="s">
        <v>50</v>
      </c>
      <c r="G774" s="7" t="s">
        <v>2710</v>
      </c>
      <c r="H774" s="7" t="s">
        <v>6472</v>
      </c>
      <c r="I774" s="7" t="s">
        <v>2747</v>
      </c>
      <c r="J774" s="7" t="s">
        <v>6473</v>
      </c>
      <c r="K774" s="7" t="s">
        <v>2772</v>
      </c>
      <c r="L774" s="7" t="s">
        <v>2705</v>
      </c>
      <c r="M774" s="10" t="b">
        <f aca="false">FALSE()</f>
        <v>0</v>
      </c>
      <c r="N774" s="7" t="n">
        <v>-34.04771809</v>
      </c>
      <c r="O774" s="7" t="n">
        <v>151.1439953</v>
      </c>
    </row>
    <row r="775" customFormat="false" ht="15" hidden="false" customHeight="false" outlineLevel="0" collapsed="false">
      <c r="A775" s="7" t="s">
        <v>6474</v>
      </c>
      <c r="B775" s="7" t="s">
        <v>6475</v>
      </c>
      <c r="C775" s="7" t="s">
        <v>6476</v>
      </c>
      <c r="D775" s="7" t="s">
        <v>6477</v>
      </c>
      <c r="E775" s="7" t="n">
        <v>2110</v>
      </c>
      <c r="F775" s="7" t="s">
        <v>50</v>
      </c>
      <c r="G775" s="7" t="s">
        <v>2693</v>
      </c>
      <c r="H775" s="7" t="s">
        <v>6478</v>
      </c>
      <c r="I775" s="7" t="s">
        <v>2695</v>
      </c>
      <c r="J775" s="7"/>
      <c r="K775" s="7"/>
      <c r="L775" s="7"/>
      <c r="M775" s="10" t="b">
        <f aca="false">FALSE()</f>
        <v>0</v>
      </c>
      <c r="N775" s="7" t="n">
        <v>-33.83875627</v>
      </c>
      <c r="O775" s="7" t="n">
        <v>151.1760428</v>
      </c>
    </row>
    <row r="776" customFormat="false" ht="15" hidden="false" customHeight="false" outlineLevel="0" collapsed="false">
      <c r="A776" s="7" t="s">
        <v>6479</v>
      </c>
      <c r="B776" s="7" t="s">
        <v>6480</v>
      </c>
      <c r="C776" s="7" t="s">
        <v>6481</v>
      </c>
      <c r="D776" s="7" t="s">
        <v>6482</v>
      </c>
      <c r="E776" s="7" t="n">
        <v>2469</v>
      </c>
      <c r="F776" s="7" t="s">
        <v>50</v>
      </c>
      <c r="G776" s="7" t="s">
        <v>2718</v>
      </c>
      <c r="H776" s="7"/>
      <c r="I776" s="7" t="s">
        <v>2719</v>
      </c>
      <c r="J776" s="7"/>
      <c r="K776" s="7"/>
      <c r="L776" s="7"/>
      <c r="M776" s="10" t="b">
        <f aca="false">FALSE()</f>
        <v>0</v>
      </c>
      <c r="N776" s="7" t="n">
        <v>-29.360244</v>
      </c>
      <c r="O776" s="7" t="n">
        <v>153.282359</v>
      </c>
    </row>
    <row r="777" customFormat="false" ht="15" hidden="false" customHeight="false" outlineLevel="0" collapsed="false">
      <c r="A777" s="7" t="s">
        <v>6483</v>
      </c>
      <c r="B777" s="7" t="s">
        <v>6484</v>
      </c>
      <c r="C777" s="7" t="s">
        <v>6485</v>
      </c>
      <c r="D777" s="7" t="s">
        <v>6486</v>
      </c>
      <c r="E777" s="7" t="n">
        <v>2517</v>
      </c>
      <c r="F777" s="7" t="s">
        <v>50</v>
      </c>
      <c r="G777" s="7" t="s">
        <v>2786</v>
      </c>
      <c r="H777" s="7" t="s">
        <v>6487</v>
      </c>
      <c r="I777" s="7" t="s">
        <v>3592</v>
      </c>
      <c r="J777" s="7" t="s">
        <v>6488</v>
      </c>
      <c r="K777" s="7" t="s">
        <v>2704</v>
      </c>
      <c r="L777" s="7" t="s">
        <v>2705</v>
      </c>
      <c r="M777" s="10" t="b">
        <f aca="false">TRUE()</f>
        <v>1</v>
      </c>
      <c r="N777" s="7" t="n">
        <v>-34.35023047</v>
      </c>
      <c r="O777" s="7" t="n">
        <v>150.9149538</v>
      </c>
    </row>
    <row r="778" customFormat="false" ht="15" hidden="false" customHeight="false" outlineLevel="0" collapsed="false">
      <c r="A778" s="7" t="s">
        <v>6489</v>
      </c>
      <c r="B778" s="7" t="s">
        <v>6490</v>
      </c>
      <c r="C778" s="7" t="s">
        <v>6491</v>
      </c>
      <c r="D778" s="7" t="s">
        <v>6492</v>
      </c>
      <c r="E778" s="7" t="n">
        <v>2256</v>
      </c>
      <c r="F778" s="7" t="s">
        <v>50</v>
      </c>
      <c r="G778" s="7" t="s">
        <v>3764</v>
      </c>
      <c r="H778" s="7" t="s">
        <v>4206</v>
      </c>
      <c r="I778" s="7" t="s">
        <v>2747</v>
      </c>
      <c r="J778" s="7" t="s">
        <v>6493</v>
      </c>
      <c r="K778" s="7" t="s">
        <v>2704</v>
      </c>
      <c r="L778" s="7" t="s">
        <v>2705</v>
      </c>
      <c r="M778" s="10" t="b">
        <f aca="false">TRUE()</f>
        <v>1</v>
      </c>
      <c r="N778" s="7" t="n">
        <v>-33.48511249</v>
      </c>
      <c r="O778" s="7" t="n">
        <v>151.3236239</v>
      </c>
    </row>
    <row r="779" customFormat="false" ht="15" hidden="false" customHeight="false" outlineLevel="0" collapsed="false">
      <c r="A779" s="7" t="s">
        <v>6494</v>
      </c>
      <c r="B779" s="7" t="s">
        <v>6495</v>
      </c>
      <c r="C779" s="7" t="s">
        <v>6496</v>
      </c>
      <c r="D779" s="7" t="s">
        <v>6497</v>
      </c>
      <c r="E779" s="7" t="n">
        <v>2671</v>
      </c>
      <c r="F779" s="7" t="s">
        <v>50</v>
      </c>
      <c r="G779" s="7" t="s">
        <v>2718</v>
      </c>
      <c r="H779" s="7"/>
      <c r="I779" s="7" t="s">
        <v>2719</v>
      </c>
      <c r="J779" s="7"/>
      <c r="K779" s="7"/>
      <c r="L779" s="7"/>
      <c r="M779" s="10" t="b">
        <f aca="false">FALSE()</f>
        <v>0</v>
      </c>
      <c r="N779" s="7" t="n">
        <v>-33.925711</v>
      </c>
      <c r="O779" s="7" t="n">
        <v>147.242402</v>
      </c>
    </row>
    <row r="780" customFormat="false" ht="15" hidden="false" customHeight="false" outlineLevel="0" collapsed="false">
      <c r="A780" s="7" t="s">
        <v>6498</v>
      </c>
      <c r="B780" s="7" t="s">
        <v>6499</v>
      </c>
      <c r="C780" s="7" t="s">
        <v>6500</v>
      </c>
      <c r="D780" s="7" t="s">
        <v>6501</v>
      </c>
      <c r="E780" s="7" t="n">
        <v>2259</v>
      </c>
      <c r="F780" s="7" t="s">
        <v>50</v>
      </c>
      <c r="G780" s="7" t="s">
        <v>2710</v>
      </c>
      <c r="H780" s="7" t="s">
        <v>6502</v>
      </c>
      <c r="I780" s="7" t="s">
        <v>2747</v>
      </c>
      <c r="J780" s="7" t="s">
        <v>6503</v>
      </c>
      <c r="K780" s="7" t="s">
        <v>2704</v>
      </c>
      <c r="L780" s="7" t="s">
        <v>2705</v>
      </c>
      <c r="M780" s="10" t="b">
        <f aca="false">TRUE()</f>
        <v>1</v>
      </c>
      <c r="N780" s="7" t="n">
        <v>-33.18044789</v>
      </c>
      <c r="O780" s="7" t="n">
        <v>151.4871198</v>
      </c>
    </row>
    <row r="781" customFormat="false" ht="15" hidden="false" customHeight="false" outlineLevel="0" collapsed="false">
      <c r="A781" s="7" t="s">
        <v>6504</v>
      </c>
      <c r="B781" s="7" t="s">
        <v>6505</v>
      </c>
      <c r="C781" s="7" t="s">
        <v>6506</v>
      </c>
      <c r="D781" s="7" t="s">
        <v>3261</v>
      </c>
      <c r="E781" s="7" t="n">
        <v>2000</v>
      </c>
      <c r="F781" s="7" t="s">
        <v>50</v>
      </c>
      <c r="G781" s="7" t="s">
        <v>5283</v>
      </c>
      <c r="H781" s="7" t="s">
        <v>6507</v>
      </c>
      <c r="I781" s="7" t="s">
        <v>4937</v>
      </c>
      <c r="J781" s="7" t="s">
        <v>6508</v>
      </c>
      <c r="K781" s="7" t="s">
        <v>2772</v>
      </c>
      <c r="L781" s="7" t="s">
        <v>2705</v>
      </c>
      <c r="M781" s="10" t="b">
        <f aca="false">TRUE()</f>
        <v>1</v>
      </c>
      <c r="N781" s="7" t="n">
        <v>-33.86589799</v>
      </c>
      <c r="O781" s="7" t="n">
        <v>151.2057893</v>
      </c>
    </row>
    <row r="782" customFormat="false" ht="15" hidden="false" customHeight="false" outlineLevel="0" collapsed="false">
      <c r="A782" s="7" t="s">
        <v>6509</v>
      </c>
      <c r="B782" s="7" t="s">
        <v>6510</v>
      </c>
      <c r="C782" s="7" t="s">
        <v>6511</v>
      </c>
      <c r="D782" s="7" t="s">
        <v>6512</v>
      </c>
      <c r="E782" s="7" t="n">
        <v>2259</v>
      </c>
      <c r="F782" s="7" t="s">
        <v>50</v>
      </c>
      <c r="G782" s="7" t="s">
        <v>2786</v>
      </c>
      <c r="H782" s="7" t="s">
        <v>3800</v>
      </c>
      <c r="I782" s="7" t="s">
        <v>2747</v>
      </c>
      <c r="J782" s="7" t="s">
        <v>6513</v>
      </c>
      <c r="K782" s="7" t="s">
        <v>2704</v>
      </c>
      <c r="L782" s="7" t="s">
        <v>2705</v>
      </c>
      <c r="M782" s="10" t="b">
        <f aca="false">TRUE()</f>
        <v>1</v>
      </c>
      <c r="N782" s="7" t="n">
        <v>-33.28547923</v>
      </c>
      <c r="O782" s="7" t="n">
        <v>151.4252562</v>
      </c>
    </row>
    <row r="783" customFormat="false" ht="15" hidden="false" customHeight="false" outlineLevel="0" collapsed="false">
      <c r="A783" s="7" t="s">
        <v>6514</v>
      </c>
      <c r="B783" s="7" t="s">
        <v>6515</v>
      </c>
      <c r="C783" s="7" t="s">
        <v>6516</v>
      </c>
      <c r="D783" s="7" t="s">
        <v>6517</v>
      </c>
      <c r="E783" s="7" t="n">
        <v>2199</v>
      </c>
      <c r="F783" s="7" t="s">
        <v>50</v>
      </c>
      <c r="G783" s="7" t="s">
        <v>2786</v>
      </c>
      <c r="H783" s="7" t="s">
        <v>2746</v>
      </c>
      <c r="I783" s="7" t="s">
        <v>2747</v>
      </c>
      <c r="J783" s="7" t="s">
        <v>6518</v>
      </c>
      <c r="K783" s="7" t="s">
        <v>2772</v>
      </c>
      <c r="L783" s="7" t="s">
        <v>2705</v>
      </c>
      <c r="M783" s="10" t="b">
        <f aca="false">FALSE()</f>
        <v>0</v>
      </c>
      <c r="N783" s="7" t="n">
        <v>-33.90655337</v>
      </c>
      <c r="O783" s="7" t="n">
        <v>151.0241519</v>
      </c>
    </row>
    <row r="784" customFormat="false" ht="15" hidden="false" customHeight="false" outlineLevel="0" collapsed="false">
      <c r="A784" s="7" t="s">
        <v>6519</v>
      </c>
      <c r="B784" s="7" t="s">
        <v>6520</v>
      </c>
      <c r="C784" s="7" t="s">
        <v>6521</v>
      </c>
      <c r="D784" s="7" t="s">
        <v>6522</v>
      </c>
      <c r="E784" s="7" t="n">
        <v>2116</v>
      </c>
      <c r="F784" s="7" t="s">
        <v>50</v>
      </c>
      <c r="G784" s="7" t="s">
        <v>2769</v>
      </c>
      <c r="H784" s="7" t="s">
        <v>6523</v>
      </c>
      <c r="I784" s="7" t="s">
        <v>6524</v>
      </c>
      <c r="J784" s="7"/>
      <c r="K784" s="7" t="s">
        <v>2772</v>
      </c>
      <c r="L784" s="7" t="s">
        <v>2705</v>
      </c>
      <c r="M784" s="10" t="b">
        <f aca="false">FALSE()</f>
        <v>0</v>
      </c>
      <c r="N784" s="7" t="n">
        <v>-33.809963</v>
      </c>
      <c r="O784" s="7" t="n">
        <v>151.029271</v>
      </c>
    </row>
    <row r="785" customFormat="false" ht="15" hidden="false" customHeight="false" outlineLevel="0" collapsed="false">
      <c r="A785" s="7" t="s">
        <v>6525</v>
      </c>
      <c r="B785" s="7" t="s">
        <v>6526</v>
      </c>
      <c r="C785" s="7" t="s">
        <v>6527</v>
      </c>
      <c r="D785" s="7" t="s">
        <v>6528</v>
      </c>
      <c r="E785" s="7" t="n">
        <v>2464</v>
      </c>
      <c r="F785" s="7" t="s">
        <v>50</v>
      </c>
      <c r="G785" s="7" t="s">
        <v>2718</v>
      </c>
      <c r="H785" s="7"/>
      <c r="I785" s="7" t="s">
        <v>2719</v>
      </c>
      <c r="J785" s="7"/>
      <c r="K785" s="7"/>
      <c r="L785" s="7"/>
      <c r="M785" s="10" t="b">
        <f aca="false">FALSE()</f>
        <v>0</v>
      </c>
      <c r="N785" s="7" t="n">
        <v>-29.438237</v>
      </c>
      <c r="O785" s="7" t="n">
        <v>153.35663</v>
      </c>
    </row>
    <row r="786" customFormat="false" ht="15" hidden="false" customHeight="false" outlineLevel="0" collapsed="false">
      <c r="A786" s="7" t="s">
        <v>6529</v>
      </c>
      <c r="B786" s="7" t="s">
        <v>6530</v>
      </c>
      <c r="C786" s="7" t="s">
        <v>6531</v>
      </c>
      <c r="D786" s="7" t="s">
        <v>6532</v>
      </c>
      <c r="E786" s="7" t="n">
        <v>2464</v>
      </c>
      <c r="F786" s="7" t="s">
        <v>50</v>
      </c>
      <c r="G786" s="7" t="s">
        <v>2837</v>
      </c>
      <c r="H786" s="7"/>
      <c r="I786" s="7" t="s">
        <v>2719</v>
      </c>
      <c r="J786" s="7"/>
      <c r="K786" s="7"/>
      <c r="L786" s="7"/>
      <c r="M786" s="10" t="b">
        <f aca="false">FALSE()</f>
        <v>0</v>
      </c>
      <c r="N786" s="7" t="n">
        <v>-29.429468</v>
      </c>
      <c r="O786" s="7" t="n">
        <v>153.326484</v>
      </c>
    </row>
    <row r="787" customFormat="false" ht="15" hidden="false" customHeight="false" outlineLevel="0" collapsed="false">
      <c r="A787" s="7" t="s">
        <v>6533</v>
      </c>
      <c r="B787" s="7" t="s">
        <v>6534</v>
      </c>
      <c r="C787" s="7" t="s">
        <v>6535</v>
      </c>
      <c r="D787" s="7" t="s">
        <v>6536</v>
      </c>
      <c r="E787" s="7" t="n">
        <v>2703</v>
      </c>
      <c r="F787" s="7" t="s">
        <v>50</v>
      </c>
      <c r="G787" s="7" t="s">
        <v>2718</v>
      </c>
      <c r="H787" s="7"/>
      <c r="I787" s="7" t="s">
        <v>2719</v>
      </c>
      <c r="J787" s="7"/>
      <c r="K787" s="7"/>
      <c r="L787" s="7"/>
      <c r="M787" s="10" t="b">
        <f aca="false">FALSE()</f>
        <v>0</v>
      </c>
      <c r="N787" s="7" t="n">
        <v>-34.60399</v>
      </c>
      <c r="O787" s="7" t="n">
        <v>146.409827</v>
      </c>
    </row>
    <row r="788" customFormat="false" ht="15" hidden="false" customHeight="false" outlineLevel="0" collapsed="false">
      <c r="A788" s="7" t="s">
        <v>6537</v>
      </c>
      <c r="B788" s="7" t="s">
        <v>6538</v>
      </c>
      <c r="C788" s="7" t="s">
        <v>6539</v>
      </c>
      <c r="D788" s="7" t="s">
        <v>6540</v>
      </c>
      <c r="E788" s="7" t="n">
        <v>2875</v>
      </c>
      <c r="F788" s="7" t="s">
        <v>50</v>
      </c>
      <c r="G788" s="7" t="s">
        <v>2718</v>
      </c>
      <c r="H788" s="7"/>
      <c r="I788" s="7" t="s">
        <v>2719</v>
      </c>
      <c r="J788" s="7"/>
      <c r="K788" s="7"/>
      <c r="L788" s="7"/>
      <c r="M788" s="10" t="b">
        <f aca="false">FALSE()</f>
        <v>0</v>
      </c>
      <c r="N788" s="7" t="n">
        <v>-33.128795</v>
      </c>
      <c r="O788" s="7" t="n">
        <v>147.576893</v>
      </c>
    </row>
    <row r="789" customFormat="false" ht="15" hidden="false" customHeight="false" outlineLevel="0" collapsed="false">
      <c r="A789" s="7" t="s">
        <v>6541</v>
      </c>
      <c r="B789" s="7" t="s">
        <v>6542</v>
      </c>
      <c r="C789" s="7" t="s">
        <v>6543</v>
      </c>
      <c r="D789" s="7" t="s">
        <v>6544</v>
      </c>
      <c r="E789" s="7" t="n">
        <v>3730</v>
      </c>
      <c r="F789" s="7" t="s">
        <v>50</v>
      </c>
      <c r="G789" s="7" t="s">
        <v>2718</v>
      </c>
      <c r="H789" s="7"/>
      <c r="I789" s="7" t="s">
        <v>2719</v>
      </c>
      <c r="J789" s="7"/>
      <c r="K789" s="7"/>
      <c r="L789" s="7"/>
      <c r="M789" s="10" t="b">
        <f aca="false">FALSE()</f>
        <v>0</v>
      </c>
      <c r="N789" s="7" t="n">
        <v>-30.475743</v>
      </c>
      <c r="O789" s="7" t="n">
        <v>151.376383</v>
      </c>
    </row>
    <row r="790" customFormat="false" ht="15" hidden="false" customHeight="false" outlineLevel="0" collapsed="false">
      <c r="A790" s="7" t="s">
        <v>6545</v>
      </c>
      <c r="B790" s="7" t="s">
        <v>6546</v>
      </c>
      <c r="C790" s="7" t="s">
        <v>6547</v>
      </c>
      <c r="D790" s="7" t="s">
        <v>6548</v>
      </c>
      <c r="E790" s="7" t="n">
        <v>2358</v>
      </c>
      <c r="F790" s="7" t="s">
        <v>50</v>
      </c>
      <c r="G790" s="7" t="s">
        <v>2718</v>
      </c>
      <c r="H790" s="7"/>
      <c r="I790" s="7" t="s">
        <v>2719</v>
      </c>
      <c r="J790" s="7"/>
      <c r="K790" s="7"/>
      <c r="L790" s="7"/>
      <c r="M790" s="10" t="b">
        <f aca="false">FALSE()</f>
        <v>0</v>
      </c>
      <c r="N790" s="7" t="n">
        <v>-30.475743</v>
      </c>
      <c r="O790" s="7" t="n">
        <v>151.376383</v>
      </c>
    </row>
    <row r="791" customFormat="false" ht="15" hidden="false" customHeight="false" outlineLevel="0" collapsed="false">
      <c r="A791" s="7" t="s">
        <v>6549</v>
      </c>
      <c r="B791" s="7" t="s">
        <v>6550</v>
      </c>
      <c r="C791" s="7" t="s">
        <v>6551</v>
      </c>
      <c r="D791" s="7" t="s">
        <v>6552</v>
      </c>
      <c r="E791" s="7" t="n">
        <v>2582</v>
      </c>
      <c r="F791" s="7" t="s">
        <v>50</v>
      </c>
      <c r="G791" s="7" t="s">
        <v>2735</v>
      </c>
      <c r="H791" s="7" t="s">
        <v>6553</v>
      </c>
      <c r="I791" s="7" t="s">
        <v>6554</v>
      </c>
      <c r="J791" s="7"/>
      <c r="K791" s="7"/>
      <c r="L791" s="7"/>
      <c r="M791" s="10" t="b">
        <f aca="false">FALSE()</f>
        <v>0</v>
      </c>
      <c r="N791" s="7" t="n">
        <v>-34.808995</v>
      </c>
      <c r="O791" s="7" t="n">
        <v>148.915387</v>
      </c>
    </row>
    <row r="792" customFormat="false" ht="15" hidden="false" customHeight="false" outlineLevel="0" collapsed="false">
      <c r="A792" s="7" t="s">
        <v>6555</v>
      </c>
      <c r="B792" s="7" t="s">
        <v>6556</v>
      </c>
      <c r="C792" s="7" t="s">
        <v>6557</v>
      </c>
      <c r="D792" s="7" t="s">
        <v>6558</v>
      </c>
      <c r="E792" s="7" t="n">
        <v>2582</v>
      </c>
      <c r="F792" s="7" t="s">
        <v>50</v>
      </c>
      <c r="G792" s="7" t="s">
        <v>2837</v>
      </c>
      <c r="H792" s="7"/>
      <c r="I792" s="7" t="s">
        <v>2719</v>
      </c>
      <c r="J792" s="7"/>
      <c r="K792" s="7"/>
      <c r="L792" s="7"/>
      <c r="M792" s="10" t="b">
        <f aca="false">FALSE()</f>
        <v>0</v>
      </c>
      <c r="N792" s="7" t="n">
        <v>-34.839966</v>
      </c>
      <c r="O792" s="7" t="n">
        <v>148.910809</v>
      </c>
    </row>
    <row r="793" customFormat="false" ht="15" hidden="false" customHeight="false" outlineLevel="0" collapsed="false">
      <c r="A793" s="7" t="s">
        <v>6559</v>
      </c>
      <c r="B793" s="7" t="s">
        <v>6560</v>
      </c>
      <c r="C793" s="7" t="s">
        <v>6561</v>
      </c>
      <c r="D793" s="7" t="s">
        <v>6562</v>
      </c>
      <c r="E793" s="7" t="n">
        <v>2681</v>
      </c>
      <c r="F793" s="7" t="s">
        <v>50</v>
      </c>
      <c r="G793" s="7" t="s">
        <v>2718</v>
      </c>
      <c r="H793" s="7"/>
      <c r="I793" s="7" t="s">
        <v>2719</v>
      </c>
      <c r="J793" s="7"/>
      <c r="K793" s="7"/>
      <c r="L793" s="7"/>
      <c r="M793" s="10" t="b">
        <f aca="false">FALSE()</f>
        <v>0</v>
      </c>
      <c r="N793" s="7" t="n">
        <v>-34.250153</v>
      </c>
      <c r="O793" s="7" t="n">
        <v>146.195033</v>
      </c>
    </row>
    <row r="794" customFormat="false" ht="15" hidden="false" customHeight="false" outlineLevel="0" collapsed="false">
      <c r="A794" s="7" t="s">
        <v>6563</v>
      </c>
      <c r="B794" s="7" t="s">
        <v>6564</v>
      </c>
      <c r="C794" s="7" t="s">
        <v>6565</v>
      </c>
      <c r="D794" s="7" t="s">
        <v>6566</v>
      </c>
      <c r="E794" s="7" t="n">
        <v>2161</v>
      </c>
      <c r="F794" s="7" t="s">
        <v>50</v>
      </c>
      <c r="G794" s="7" t="s">
        <v>2806</v>
      </c>
      <c r="H794" s="7" t="s">
        <v>5984</v>
      </c>
      <c r="I794" s="7" t="s">
        <v>3202</v>
      </c>
      <c r="J794" s="7" t="s">
        <v>6567</v>
      </c>
      <c r="K794" s="7" t="s">
        <v>2772</v>
      </c>
      <c r="L794" s="7" t="s">
        <v>2705</v>
      </c>
      <c r="M794" s="10" t="b">
        <f aca="false">FALSE()</f>
        <v>0</v>
      </c>
      <c r="N794" s="7" t="n">
        <v>-33.8647184</v>
      </c>
      <c r="O794" s="7" t="n">
        <v>150.9710073</v>
      </c>
    </row>
    <row r="795" customFormat="false" ht="15" hidden="false" customHeight="false" outlineLevel="0" collapsed="false">
      <c r="A795" s="7" t="s">
        <v>6568</v>
      </c>
      <c r="B795" s="7" t="s">
        <v>6569</v>
      </c>
      <c r="C795" s="7" t="s">
        <v>6570</v>
      </c>
      <c r="D795" s="7" t="s">
        <v>6571</v>
      </c>
      <c r="E795" s="7" t="n">
        <v>2575</v>
      </c>
      <c r="F795" s="7" t="s">
        <v>50</v>
      </c>
      <c r="G795" s="7" t="s">
        <v>2806</v>
      </c>
      <c r="H795" s="7" t="s">
        <v>4766</v>
      </c>
      <c r="I795" s="7" t="s">
        <v>2976</v>
      </c>
      <c r="J795" s="7" t="s">
        <v>5078</v>
      </c>
      <c r="K795" s="7" t="s">
        <v>2704</v>
      </c>
      <c r="L795" s="7" t="s">
        <v>2705</v>
      </c>
      <c r="M795" s="10" t="b">
        <f aca="false">TRUE()</f>
        <v>1</v>
      </c>
      <c r="N795" s="7" t="n">
        <v>-34.37174006</v>
      </c>
      <c r="O795" s="7" t="n">
        <v>150.5434957</v>
      </c>
    </row>
    <row r="796" customFormat="false" ht="15" hidden="false" customHeight="false" outlineLevel="0" collapsed="false">
      <c r="A796" s="7" t="s">
        <v>6572</v>
      </c>
      <c r="B796" s="7" t="s">
        <v>6573</v>
      </c>
      <c r="C796" s="7" t="s">
        <v>6574</v>
      </c>
      <c r="D796" s="7" t="s">
        <v>6575</v>
      </c>
      <c r="E796" s="7" t="n">
        <v>2795</v>
      </c>
      <c r="F796" s="7" t="s">
        <v>50</v>
      </c>
      <c r="G796" s="7" t="s">
        <v>2718</v>
      </c>
      <c r="H796" s="7"/>
      <c r="I796" s="7" t="s">
        <v>2719</v>
      </c>
      <c r="J796" s="7"/>
      <c r="K796" s="7"/>
      <c r="L796" s="7"/>
      <c r="M796" s="10" t="b">
        <f aca="false">FALSE()</f>
        <v>0</v>
      </c>
      <c r="N796" s="7" t="n">
        <v>-33.446496</v>
      </c>
      <c r="O796" s="7" t="n">
        <v>149.829108</v>
      </c>
    </row>
    <row r="797" customFormat="false" ht="15" hidden="false" customHeight="false" outlineLevel="0" collapsed="false">
      <c r="A797" s="7" t="s">
        <v>6576</v>
      </c>
      <c r="B797" s="7" t="s">
        <v>6577</v>
      </c>
      <c r="C797" s="7" t="s">
        <v>6578</v>
      </c>
      <c r="D797" s="7" t="s">
        <v>6579</v>
      </c>
      <c r="E797" s="7" t="n">
        <v>2594</v>
      </c>
      <c r="F797" s="7" t="s">
        <v>50</v>
      </c>
      <c r="G797" s="7" t="s">
        <v>2837</v>
      </c>
      <c r="H797" s="7"/>
      <c r="I797" s="7" t="s">
        <v>2719</v>
      </c>
      <c r="J797" s="7"/>
      <c r="K797" s="7"/>
      <c r="L797" s="7"/>
      <c r="M797" s="10" t="b">
        <f aca="false">FALSE()</f>
        <v>0</v>
      </c>
      <c r="N797" s="7" t="n">
        <v>-34.311437</v>
      </c>
      <c r="O797" s="7" t="n">
        <v>148.297143</v>
      </c>
    </row>
    <row r="798" customFormat="false" ht="15" hidden="false" customHeight="false" outlineLevel="0" collapsed="false">
      <c r="A798" s="7" t="s">
        <v>6580</v>
      </c>
      <c r="B798" s="7" t="s">
        <v>6581</v>
      </c>
      <c r="C798" s="7" t="s">
        <v>6582</v>
      </c>
      <c r="D798" s="7" t="s">
        <v>6583</v>
      </c>
      <c r="E798" s="7" t="n">
        <v>2790</v>
      </c>
      <c r="F798" s="7" t="s">
        <v>50</v>
      </c>
      <c r="G798" s="7" t="s">
        <v>2806</v>
      </c>
      <c r="H798" s="7" t="s">
        <v>2975</v>
      </c>
      <c r="I798" s="7" t="s">
        <v>4754</v>
      </c>
      <c r="J798" s="7" t="s">
        <v>6584</v>
      </c>
      <c r="K798" s="7" t="s">
        <v>2704</v>
      </c>
      <c r="L798" s="7" t="s">
        <v>2705</v>
      </c>
      <c r="M798" s="10" t="b">
        <f aca="false">TRUE()</f>
        <v>1</v>
      </c>
      <c r="N798" s="7" t="n">
        <v>-33.4718103</v>
      </c>
      <c r="O798" s="7" t="n">
        <v>150.202088</v>
      </c>
    </row>
  </sheetData>
  <autoFilter ref="A1:O7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31"/>
    <col collapsed="false" customWidth="true" hidden="false" outlineLevel="0" max="6" min="6" style="0" width="20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9" t="s">
        <v>6585</v>
      </c>
      <c r="B1" s="9" t="s">
        <v>6586</v>
      </c>
      <c r="C1" s="9" t="s">
        <v>25</v>
      </c>
      <c r="D1" s="9" t="s">
        <v>6587</v>
      </c>
      <c r="E1" s="9" t="s">
        <v>6588</v>
      </c>
      <c r="F1" s="9" t="s">
        <v>6589</v>
      </c>
      <c r="G1" s="9" t="s">
        <v>6590</v>
      </c>
    </row>
    <row r="2" customFormat="false" ht="15" hidden="false" customHeight="false" outlineLevel="0" collapsed="false">
      <c r="A2" s="7" t="s">
        <v>6591</v>
      </c>
      <c r="B2" s="7" t="s">
        <v>6592</v>
      </c>
      <c r="C2" s="7" t="n">
        <v>2015</v>
      </c>
      <c r="D2" s="7" t="s">
        <v>6593</v>
      </c>
      <c r="E2" s="7" t="s">
        <v>6594</v>
      </c>
      <c r="F2" s="7" t="s">
        <v>6595</v>
      </c>
      <c r="G2" s="7" t="s">
        <v>6596</v>
      </c>
    </row>
    <row r="3" customFormat="false" ht="15" hidden="false" customHeight="false" outlineLevel="0" collapsed="false">
      <c r="A3" s="7" t="s">
        <v>6597</v>
      </c>
      <c r="B3" s="7" t="s">
        <v>6592</v>
      </c>
      <c r="C3" s="7" t="n">
        <v>2015</v>
      </c>
      <c r="D3" s="7" t="s">
        <v>6598</v>
      </c>
      <c r="E3" s="7" t="s">
        <v>6594</v>
      </c>
      <c r="F3" s="7" t="s">
        <v>6595</v>
      </c>
      <c r="G3" s="7" t="s">
        <v>6599</v>
      </c>
    </row>
    <row r="4" customFormat="false" ht="15" hidden="false" customHeight="false" outlineLevel="0" collapsed="false">
      <c r="A4" s="7" t="s">
        <v>6600</v>
      </c>
      <c r="B4" s="7" t="s">
        <v>6601</v>
      </c>
      <c r="C4" s="7" t="n">
        <v>2000</v>
      </c>
      <c r="D4" s="7" t="s">
        <v>6602</v>
      </c>
      <c r="E4" s="7" t="s">
        <v>6603</v>
      </c>
      <c r="F4" s="7" t="s">
        <v>6595</v>
      </c>
      <c r="G4" s="7" t="s">
        <v>6602</v>
      </c>
    </row>
    <row r="5" customFormat="false" ht="15" hidden="false" customHeight="false" outlineLevel="0" collapsed="false">
      <c r="A5" s="7" t="s">
        <v>6604</v>
      </c>
      <c r="B5" s="7" t="s">
        <v>6605</v>
      </c>
      <c r="C5" s="7" t="n">
        <v>2015</v>
      </c>
      <c r="D5" s="7" t="s">
        <v>6606</v>
      </c>
      <c r="E5" s="7" t="s">
        <v>6594</v>
      </c>
      <c r="F5" s="7" t="s">
        <v>6595</v>
      </c>
      <c r="G5" s="7" t="s">
        <v>6607</v>
      </c>
    </row>
    <row r="6" customFormat="false" ht="15" hidden="false" customHeight="false" outlineLevel="0" collapsed="false">
      <c r="A6" s="7" t="s">
        <v>6608</v>
      </c>
      <c r="B6" s="7" t="s">
        <v>6609</v>
      </c>
      <c r="C6" s="7" t="n">
        <v>2011</v>
      </c>
      <c r="D6" s="7" t="s">
        <v>6610</v>
      </c>
      <c r="E6" s="7" t="s">
        <v>6594</v>
      </c>
      <c r="F6" s="7" t="s">
        <v>6595</v>
      </c>
      <c r="G6" s="7" t="s">
        <v>6611</v>
      </c>
    </row>
    <row r="7" customFormat="false" ht="15" hidden="false" customHeight="false" outlineLevel="0" collapsed="false">
      <c r="A7" s="7" t="s">
        <v>6612</v>
      </c>
      <c r="B7" s="7" t="s">
        <v>6613</v>
      </c>
      <c r="C7" s="7" t="n">
        <v>2021</v>
      </c>
      <c r="D7" s="7" t="s">
        <v>6610</v>
      </c>
      <c r="E7" s="7" t="s">
        <v>6614</v>
      </c>
      <c r="F7" s="7" t="s">
        <v>6615</v>
      </c>
      <c r="G7" s="7" t="s">
        <v>6616</v>
      </c>
    </row>
    <row r="8" customFormat="false" ht="15" hidden="false" customHeight="false" outlineLevel="0" collapsed="false">
      <c r="A8" s="7" t="s">
        <v>6617</v>
      </c>
      <c r="B8" s="7" t="s">
        <v>6618</v>
      </c>
      <c r="C8" s="7" t="n">
        <v>2021</v>
      </c>
      <c r="D8" s="7" t="s">
        <v>6610</v>
      </c>
      <c r="E8" s="7" t="s">
        <v>6614</v>
      </c>
      <c r="F8" s="7" t="s">
        <v>6615</v>
      </c>
      <c r="G8" s="7" t="s">
        <v>6619</v>
      </c>
    </row>
    <row r="9" customFormat="false" ht="15" hidden="false" customHeight="false" outlineLevel="0" collapsed="false">
      <c r="A9" s="7" t="s">
        <v>6620</v>
      </c>
      <c r="B9" s="7" t="s">
        <v>6592</v>
      </c>
      <c r="C9" s="7" t="n">
        <v>2015</v>
      </c>
      <c r="D9" s="7" t="s">
        <v>6621</v>
      </c>
      <c r="E9" s="7" t="s">
        <v>6594</v>
      </c>
      <c r="F9" s="7" t="s">
        <v>6595</v>
      </c>
      <c r="G9" s="7" t="s">
        <v>6622</v>
      </c>
    </row>
    <row r="10" customFormat="false" ht="15" hidden="false" customHeight="false" outlineLevel="0" collapsed="false">
      <c r="A10" s="7" t="s">
        <v>6623</v>
      </c>
      <c r="B10" s="7" t="s">
        <v>6601</v>
      </c>
      <c r="C10" s="7" t="n">
        <v>2000</v>
      </c>
      <c r="D10" s="7" t="s">
        <v>6610</v>
      </c>
      <c r="E10" s="7" t="s">
        <v>6594</v>
      </c>
      <c r="F10" s="7" t="s">
        <v>6595</v>
      </c>
      <c r="G10" s="7" t="s">
        <v>6624</v>
      </c>
    </row>
    <row r="11" customFormat="false" ht="15" hidden="false" customHeight="false" outlineLevel="0" collapsed="false">
      <c r="A11" s="7" t="s">
        <v>6625</v>
      </c>
      <c r="B11" s="7" t="s">
        <v>6601</v>
      </c>
      <c r="C11" s="7" t="n">
        <v>2000</v>
      </c>
      <c r="D11" s="7" t="s">
        <v>6602</v>
      </c>
      <c r="E11" s="7" t="s">
        <v>6594</v>
      </c>
      <c r="F11" s="7" t="s">
        <v>6595</v>
      </c>
      <c r="G11" s="7" t="s">
        <v>6626</v>
      </c>
    </row>
    <row r="12" customFormat="false" ht="15" hidden="false" customHeight="false" outlineLevel="0" collapsed="false">
      <c r="A12" s="7" t="s">
        <v>6627</v>
      </c>
      <c r="B12" s="7" t="s">
        <v>6628</v>
      </c>
      <c r="C12" s="7" t="n">
        <v>2010</v>
      </c>
      <c r="D12" s="7" t="s">
        <v>6610</v>
      </c>
      <c r="E12" s="7" t="s">
        <v>6594</v>
      </c>
      <c r="F12" s="7" t="s">
        <v>6595</v>
      </c>
      <c r="G12" s="7" t="s">
        <v>6629</v>
      </c>
    </row>
    <row r="13" customFormat="false" ht="15" hidden="false" customHeight="false" outlineLevel="0" collapsed="false">
      <c r="A13" s="7" t="s">
        <v>6630</v>
      </c>
      <c r="B13" s="7" t="s">
        <v>6631</v>
      </c>
      <c r="C13" s="7" t="n">
        <v>2043</v>
      </c>
      <c r="D13" s="7" t="s">
        <v>6593</v>
      </c>
      <c r="E13" s="7" t="s">
        <v>6594</v>
      </c>
      <c r="F13" s="7" t="s">
        <v>6595</v>
      </c>
      <c r="G13" s="7" t="s">
        <v>6632</v>
      </c>
    </row>
    <row r="14" customFormat="false" ht="15" hidden="false" customHeight="false" outlineLevel="0" collapsed="false">
      <c r="A14" s="7" t="s">
        <v>6633</v>
      </c>
      <c r="B14" s="7" t="s">
        <v>6634</v>
      </c>
      <c r="C14" s="7" t="n">
        <v>2038</v>
      </c>
      <c r="D14" s="7" t="s">
        <v>6593</v>
      </c>
      <c r="E14" s="7" t="s">
        <v>6594</v>
      </c>
      <c r="F14" s="7" t="s">
        <v>6595</v>
      </c>
      <c r="G14" s="7" t="s">
        <v>6635</v>
      </c>
    </row>
    <row r="15" customFormat="false" ht="15" hidden="false" customHeight="false" outlineLevel="0" collapsed="false">
      <c r="A15" s="7" t="s">
        <v>6636</v>
      </c>
      <c r="B15" s="7" t="s">
        <v>6637</v>
      </c>
      <c r="C15" s="7" t="n">
        <v>2018</v>
      </c>
      <c r="D15" s="7" t="s">
        <v>6610</v>
      </c>
      <c r="E15" s="7" t="s">
        <v>6594</v>
      </c>
      <c r="F15" s="7" t="s">
        <v>6595</v>
      </c>
      <c r="G15" s="7" t="s">
        <v>6611</v>
      </c>
    </row>
    <row r="16" customFormat="false" ht="15" hidden="false" customHeight="false" outlineLevel="0" collapsed="false">
      <c r="A16" s="7" t="s">
        <v>6638</v>
      </c>
      <c r="B16" s="7" t="s">
        <v>6592</v>
      </c>
      <c r="C16" s="7" t="n">
        <v>2015</v>
      </c>
      <c r="D16" s="7" t="s">
        <v>6593</v>
      </c>
      <c r="E16" s="7" t="s">
        <v>6594</v>
      </c>
      <c r="F16" s="7" t="s">
        <v>6595</v>
      </c>
      <c r="G16" s="7" t="s">
        <v>6639</v>
      </c>
    </row>
    <row r="17" customFormat="false" ht="15" hidden="false" customHeight="false" outlineLevel="0" collapsed="false">
      <c r="A17" s="7" t="s">
        <v>6640</v>
      </c>
      <c r="B17" s="7" t="s">
        <v>6631</v>
      </c>
      <c r="C17" s="7" t="n">
        <v>2043</v>
      </c>
      <c r="D17" s="7" t="s">
        <v>6610</v>
      </c>
      <c r="E17" s="7" t="s">
        <v>6594</v>
      </c>
      <c r="F17" s="7" t="s">
        <v>6595</v>
      </c>
      <c r="G17" s="7" t="s">
        <v>6641</v>
      </c>
    </row>
    <row r="18" customFormat="false" ht="15" hidden="false" customHeight="false" outlineLevel="0" collapsed="false">
      <c r="A18" s="7" t="s">
        <v>6642</v>
      </c>
      <c r="B18" s="7" t="s">
        <v>6643</v>
      </c>
      <c r="C18" s="7" t="n">
        <v>2017</v>
      </c>
      <c r="D18" s="7" t="s">
        <v>6593</v>
      </c>
      <c r="E18" s="7" t="s">
        <v>6594</v>
      </c>
      <c r="F18" s="7" t="s">
        <v>6595</v>
      </c>
      <c r="G18" s="7" t="s">
        <v>6644</v>
      </c>
    </row>
    <row r="19" customFormat="false" ht="15" hidden="false" customHeight="false" outlineLevel="0" collapsed="false">
      <c r="A19" s="7" t="s">
        <v>6645</v>
      </c>
      <c r="B19" s="7" t="s">
        <v>6643</v>
      </c>
      <c r="C19" s="7" t="n">
        <v>2017</v>
      </c>
      <c r="D19" s="7" t="s">
        <v>6602</v>
      </c>
      <c r="E19" s="7" t="s">
        <v>6594</v>
      </c>
      <c r="F19" s="7" t="s">
        <v>6595</v>
      </c>
      <c r="G19" s="7" t="s">
        <v>6646</v>
      </c>
    </row>
    <row r="20" customFormat="false" ht="15" hidden="false" customHeight="false" outlineLevel="0" collapsed="false">
      <c r="A20" s="7" t="s">
        <v>6647</v>
      </c>
      <c r="B20" s="7" t="s">
        <v>6648</v>
      </c>
      <c r="C20" s="7" t="n">
        <v>2000</v>
      </c>
      <c r="D20" s="7" t="s">
        <v>6610</v>
      </c>
      <c r="E20" s="7" t="s">
        <v>6614</v>
      </c>
      <c r="F20" s="7" t="s">
        <v>6649</v>
      </c>
      <c r="G20" s="7" t="s">
        <v>6611</v>
      </c>
    </row>
    <row r="21" customFormat="false" ht="15" hidden="false" customHeight="false" outlineLevel="0" collapsed="false">
      <c r="A21" s="7" t="s">
        <v>6650</v>
      </c>
      <c r="B21" s="7" t="s">
        <v>6631</v>
      </c>
      <c r="C21" s="7" t="n">
        <v>2043</v>
      </c>
      <c r="D21" s="7" t="s">
        <v>6610</v>
      </c>
      <c r="E21" s="7" t="s">
        <v>6594</v>
      </c>
      <c r="F21" s="7" t="s">
        <v>6595</v>
      </c>
      <c r="G21" s="7" t="s">
        <v>6651</v>
      </c>
    </row>
    <row r="22" customFormat="false" ht="15" hidden="false" customHeight="false" outlineLevel="0" collapsed="false">
      <c r="A22" s="7" t="s">
        <v>6652</v>
      </c>
      <c r="B22" s="7" t="s">
        <v>6653</v>
      </c>
      <c r="C22" s="7" t="n">
        <v>2016</v>
      </c>
      <c r="D22" s="7" t="s">
        <v>6610</v>
      </c>
      <c r="E22" s="7" t="s">
        <v>6594</v>
      </c>
      <c r="F22" s="7" t="s">
        <v>6595</v>
      </c>
      <c r="G22" s="7" t="s">
        <v>6624</v>
      </c>
    </row>
    <row r="23" customFormat="false" ht="15" hidden="false" customHeight="false" outlineLevel="0" collapsed="false">
      <c r="A23" s="7" t="s">
        <v>6654</v>
      </c>
      <c r="B23" s="7" t="s">
        <v>6655</v>
      </c>
      <c r="C23" s="7" t="n">
        <v>2007</v>
      </c>
      <c r="D23" s="7" t="s">
        <v>6602</v>
      </c>
      <c r="E23" s="7" t="s">
        <v>6594</v>
      </c>
      <c r="F23" s="7" t="s">
        <v>6595</v>
      </c>
      <c r="G23" s="7" t="s">
        <v>6646</v>
      </c>
    </row>
    <row r="24" customFormat="false" ht="15" hidden="false" customHeight="false" outlineLevel="0" collapsed="false">
      <c r="A24" s="7" t="s">
        <v>6656</v>
      </c>
      <c r="B24" s="7" t="s">
        <v>6628</v>
      </c>
      <c r="C24" s="7" t="n">
        <v>2010</v>
      </c>
      <c r="D24" s="7" t="s">
        <v>6610</v>
      </c>
      <c r="E24" s="7" t="s">
        <v>6594</v>
      </c>
      <c r="F24" s="7" t="s">
        <v>6595</v>
      </c>
      <c r="G24" s="7" t="s">
        <v>6611</v>
      </c>
    </row>
    <row r="25" customFormat="false" ht="15" hidden="false" customHeight="false" outlineLevel="0" collapsed="false">
      <c r="A25" s="7" t="s">
        <v>6657</v>
      </c>
      <c r="B25" s="7" t="s">
        <v>6631</v>
      </c>
      <c r="C25" s="7" t="n">
        <v>2043</v>
      </c>
      <c r="D25" s="7" t="s">
        <v>6658</v>
      </c>
      <c r="E25" s="7" t="s">
        <v>6594</v>
      </c>
      <c r="F25" s="7" t="s">
        <v>6595</v>
      </c>
      <c r="G25" s="7" t="s">
        <v>6624</v>
      </c>
    </row>
    <row r="26" customFormat="false" ht="15" hidden="false" customHeight="false" outlineLevel="0" collapsed="false">
      <c r="A26" s="7" t="s">
        <v>6659</v>
      </c>
      <c r="B26" s="7" t="s">
        <v>6643</v>
      </c>
      <c r="C26" s="7" t="n">
        <v>2017</v>
      </c>
      <c r="D26" s="7" t="s">
        <v>6610</v>
      </c>
      <c r="E26" s="7" t="s">
        <v>6594</v>
      </c>
      <c r="F26" s="7" t="s">
        <v>6595</v>
      </c>
      <c r="G26" s="7" t="s">
        <v>6660</v>
      </c>
    </row>
    <row r="27" customFormat="false" ht="15" hidden="false" customHeight="false" outlineLevel="0" collapsed="false">
      <c r="A27" s="7" t="s">
        <v>6661</v>
      </c>
      <c r="B27" s="7" t="s">
        <v>6609</v>
      </c>
      <c r="C27" s="7" t="n">
        <v>2011</v>
      </c>
      <c r="D27" s="7" t="s">
        <v>6621</v>
      </c>
      <c r="E27" s="7" t="s">
        <v>6594</v>
      </c>
      <c r="F27" s="7" t="s">
        <v>6595</v>
      </c>
      <c r="G27" s="7" t="s">
        <v>6662</v>
      </c>
    </row>
    <row r="28" customFormat="false" ht="15" hidden="false" customHeight="false" outlineLevel="0" collapsed="false">
      <c r="A28" s="7" t="s">
        <v>6663</v>
      </c>
      <c r="B28" s="7" t="s">
        <v>6664</v>
      </c>
      <c r="C28" s="7" t="n">
        <v>2037</v>
      </c>
      <c r="D28" s="7" t="s">
        <v>6593</v>
      </c>
      <c r="E28" s="7" t="s">
        <v>6594</v>
      </c>
      <c r="F28" s="7" t="s">
        <v>6595</v>
      </c>
      <c r="G28" s="7" t="s">
        <v>6665</v>
      </c>
    </row>
    <row r="29" customFormat="false" ht="15" hidden="false" customHeight="false" outlineLevel="0" collapsed="false">
      <c r="A29" s="7" t="s">
        <v>6666</v>
      </c>
      <c r="B29" s="7" t="s">
        <v>6667</v>
      </c>
      <c r="C29" s="7" t="n">
        <v>2000</v>
      </c>
      <c r="D29" s="7" t="s">
        <v>6621</v>
      </c>
      <c r="E29" s="7" t="s">
        <v>6594</v>
      </c>
      <c r="F29" s="7" t="s">
        <v>6595</v>
      </c>
      <c r="G29" s="7" t="s">
        <v>6668</v>
      </c>
    </row>
    <row r="30" customFormat="false" ht="15" hidden="false" customHeight="false" outlineLevel="0" collapsed="false">
      <c r="A30" s="7" t="s">
        <v>6669</v>
      </c>
      <c r="B30" s="7" t="s">
        <v>6670</v>
      </c>
      <c r="C30" s="7" t="n">
        <v>2042</v>
      </c>
      <c r="D30" s="7" t="s">
        <v>6610</v>
      </c>
      <c r="E30" s="7" t="s">
        <v>6594</v>
      </c>
      <c r="F30" s="7" t="s">
        <v>6595</v>
      </c>
      <c r="G30" s="7" t="s">
        <v>6651</v>
      </c>
    </row>
    <row r="31" customFormat="false" ht="15" hidden="false" customHeight="false" outlineLevel="0" collapsed="false">
      <c r="A31" s="7" t="s">
        <v>6671</v>
      </c>
      <c r="B31" s="7" t="s">
        <v>6672</v>
      </c>
      <c r="C31" s="7" t="n">
        <v>2050</v>
      </c>
      <c r="D31" s="7" t="s">
        <v>6610</v>
      </c>
      <c r="E31" s="7" t="s">
        <v>6594</v>
      </c>
      <c r="F31" s="7" t="s">
        <v>6595</v>
      </c>
      <c r="G31" s="7" t="s">
        <v>6611</v>
      </c>
    </row>
    <row r="32" customFormat="false" ht="15" hidden="false" customHeight="false" outlineLevel="0" collapsed="false">
      <c r="A32" s="7" t="s">
        <v>6673</v>
      </c>
      <c r="B32" s="7" t="s">
        <v>6674</v>
      </c>
      <c r="C32" s="7" t="n">
        <v>2000</v>
      </c>
      <c r="D32" s="7" t="s">
        <v>6675</v>
      </c>
      <c r="E32" s="7" t="s">
        <v>6614</v>
      </c>
      <c r="F32" s="7" t="s">
        <v>6649</v>
      </c>
      <c r="G32" s="7" t="s">
        <v>6602</v>
      </c>
    </row>
    <row r="33" customFormat="false" ht="15" hidden="false" customHeight="false" outlineLevel="0" collapsed="false">
      <c r="A33" s="7" t="s">
        <v>6676</v>
      </c>
      <c r="B33" s="7" t="s">
        <v>6643</v>
      </c>
      <c r="C33" s="7" t="n">
        <v>2017</v>
      </c>
      <c r="D33" s="7" t="s">
        <v>6610</v>
      </c>
      <c r="E33" s="7" t="s">
        <v>6594</v>
      </c>
      <c r="F33" s="7" t="s">
        <v>6595</v>
      </c>
      <c r="G33" s="7" t="s">
        <v>6677</v>
      </c>
    </row>
    <row r="34" customFormat="false" ht="15" hidden="false" customHeight="false" outlineLevel="0" collapsed="false">
      <c r="A34" s="7" t="s">
        <v>6678</v>
      </c>
      <c r="B34" s="7" t="s">
        <v>6679</v>
      </c>
      <c r="C34" s="7" t="n">
        <v>2009</v>
      </c>
      <c r="D34" s="7" t="s">
        <v>6621</v>
      </c>
      <c r="E34" s="7" t="s">
        <v>6594</v>
      </c>
      <c r="F34" s="7" t="s">
        <v>6595</v>
      </c>
      <c r="G34" s="7" t="s">
        <v>6680</v>
      </c>
    </row>
    <row r="35" customFormat="false" ht="15" hidden="false" customHeight="false" outlineLevel="0" collapsed="false">
      <c r="A35" s="7" t="s">
        <v>6681</v>
      </c>
      <c r="B35" s="7" t="s">
        <v>6664</v>
      </c>
      <c r="C35" s="7" t="n">
        <v>2037</v>
      </c>
      <c r="D35" s="7" t="s">
        <v>6610</v>
      </c>
      <c r="E35" s="7" t="s">
        <v>6594</v>
      </c>
      <c r="F35" s="7" t="s">
        <v>6595</v>
      </c>
      <c r="G35" s="7" t="s">
        <v>6651</v>
      </c>
    </row>
    <row r="36" customFormat="false" ht="15" hidden="false" customHeight="false" outlineLevel="0" collapsed="false">
      <c r="A36" s="7" t="s">
        <v>6618</v>
      </c>
      <c r="B36" s="7" t="s">
        <v>6618</v>
      </c>
      <c r="C36" s="7" t="n">
        <v>2021</v>
      </c>
      <c r="D36" s="7" t="s">
        <v>6610</v>
      </c>
      <c r="E36" s="7" t="s">
        <v>6614</v>
      </c>
      <c r="F36" s="7" t="s">
        <v>6615</v>
      </c>
      <c r="G36" s="7" t="s">
        <v>6665</v>
      </c>
    </row>
    <row r="37" customFormat="false" ht="15" hidden="false" customHeight="false" outlineLevel="0" collapsed="false">
      <c r="A37" s="7" t="s">
        <v>6682</v>
      </c>
      <c r="B37" s="7" t="s">
        <v>6618</v>
      </c>
      <c r="C37" s="7" t="n">
        <v>2021</v>
      </c>
      <c r="D37" s="7" t="s">
        <v>6610</v>
      </c>
      <c r="E37" s="7" t="s">
        <v>6614</v>
      </c>
      <c r="F37" s="7" t="s">
        <v>6615</v>
      </c>
      <c r="G37" s="7" t="s">
        <v>6611</v>
      </c>
    </row>
    <row r="38" customFormat="false" ht="15" hidden="false" customHeight="false" outlineLevel="0" collapsed="false">
      <c r="A38" s="7" t="s">
        <v>6683</v>
      </c>
      <c r="B38" s="7" t="s">
        <v>6643</v>
      </c>
      <c r="C38" s="7" t="n">
        <v>2017</v>
      </c>
      <c r="D38" s="7" t="s">
        <v>6610</v>
      </c>
      <c r="E38" s="7" t="s">
        <v>6594</v>
      </c>
      <c r="F38" s="7" t="s">
        <v>6595</v>
      </c>
      <c r="G38" s="7" t="s">
        <v>6624</v>
      </c>
    </row>
    <row r="39" customFormat="false" ht="15" hidden="false" customHeight="false" outlineLevel="0" collapsed="false">
      <c r="A39" s="7" t="s">
        <v>6684</v>
      </c>
      <c r="B39" s="7" t="s">
        <v>6648</v>
      </c>
      <c r="C39" s="7" t="n">
        <v>2000</v>
      </c>
      <c r="D39" s="7" t="s">
        <v>6610</v>
      </c>
      <c r="E39" s="7" t="s">
        <v>6594</v>
      </c>
      <c r="F39" s="7" t="s">
        <v>6595</v>
      </c>
      <c r="G39" s="7" t="s">
        <v>6611</v>
      </c>
    </row>
    <row r="40" customFormat="false" ht="15" hidden="false" customHeight="false" outlineLevel="0" collapsed="false">
      <c r="A40" s="7" t="s">
        <v>6685</v>
      </c>
      <c r="B40" s="7" t="s">
        <v>6592</v>
      </c>
      <c r="C40" s="7" t="n">
        <v>2015</v>
      </c>
      <c r="D40" s="7" t="s">
        <v>6686</v>
      </c>
      <c r="E40" s="7" t="s">
        <v>6594</v>
      </c>
      <c r="F40" s="7" t="s">
        <v>6595</v>
      </c>
      <c r="G40" s="7" t="s">
        <v>6687</v>
      </c>
    </row>
    <row r="41" customFormat="false" ht="15" hidden="false" customHeight="false" outlineLevel="0" collapsed="false">
      <c r="A41" s="7" t="s">
        <v>6688</v>
      </c>
      <c r="B41" s="7" t="s">
        <v>6664</v>
      </c>
      <c r="C41" s="7" t="n">
        <v>2037</v>
      </c>
      <c r="D41" s="7" t="s">
        <v>6658</v>
      </c>
      <c r="E41" s="7" t="s">
        <v>6594</v>
      </c>
      <c r="F41" s="7" t="s">
        <v>6595</v>
      </c>
      <c r="G41" s="7" t="s">
        <v>6689</v>
      </c>
    </row>
    <row r="42" customFormat="false" ht="15" hidden="false" customHeight="false" outlineLevel="0" collapsed="false">
      <c r="A42" s="7" t="s">
        <v>6690</v>
      </c>
      <c r="B42" s="7" t="s">
        <v>6679</v>
      </c>
      <c r="C42" s="7" t="n">
        <v>2009</v>
      </c>
      <c r="D42" s="7" t="s">
        <v>6610</v>
      </c>
      <c r="E42" s="7" t="s">
        <v>6594</v>
      </c>
      <c r="F42" s="7" t="s">
        <v>6595</v>
      </c>
      <c r="G42" s="7" t="s">
        <v>6611</v>
      </c>
    </row>
    <row r="43" customFormat="false" ht="15" hidden="false" customHeight="false" outlineLevel="0" collapsed="false">
      <c r="A43" s="7" t="s">
        <v>6691</v>
      </c>
      <c r="B43" s="7" t="s">
        <v>6628</v>
      </c>
      <c r="C43" s="7" t="n">
        <v>2010</v>
      </c>
      <c r="D43" s="7" t="s">
        <v>6610</v>
      </c>
      <c r="E43" s="7" t="s">
        <v>6594</v>
      </c>
      <c r="F43" s="7" t="s">
        <v>6595</v>
      </c>
      <c r="G43" s="7" t="s">
        <v>6692</v>
      </c>
    </row>
    <row r="44" customFormat="false" ht="15" hidden="false" customHeight="false" outlineLevel="0" collapsed="false">
      <c r="A44" s="7" t="s">
        <v>6693</v>
      </c>
      <c r="B44" s="7" t="s">
        <v>6628</v>
      </c>
      <c r="C44" s="7" t="n">
        <v>2010</v>
      </c>
      <c r="D44" s="7" t="s">
        <v>6602</v>
      </c>
      <c r="E44" s="7" t="s">
        <v>6594</v>
      </c>
      <c r="F44" s="7" t="s">
        <v>6595</v>
      </c>
      <c r="G44" s="7" t="s">
        <v>6602</v>
      </c>
    </row>
    <row r="45" customFormat="false" ht="15" hidden="false" customHeight="false" outlineLevel="0" collapsed="false">
      <c r="A45" s="7" t="s">
        <v>6694</v>
      </c>
      <c r="B45" s="7" t="s">
        <v>6628</v>
      </c>
      <c r="C45" s="7" t="n">
        <v>2010</v>
      </c>
      <c r="D45" s="7" t="s">
        <v>6606</v>
      </c>
      <c r="E45" s="7" t="s">
        <v>6594</v>
      </c>
      <c r="F45" s="7" t="s">
        <v>6595</v>
      </c>
      <c r="G45" s="7" t="s">
        <v>6695</v>
      </c>
    </row>
    <row r="46" customFormat="false" ht="15" hidden="false" customHeight="false" outlineLevel="0" collapsed="false">
      <c r="A46" s="7" t="s">
        <v>6696</v>
      </c>
      <c r="B46" s="7" t="s">
        <v>6679</v>
      </c>
      <c r="C46" s="7" t="n">
        <v>2009</v>
      </c>
      <c r="D46" s="7" t="s">
        <v>6621</v>
      </c>
      <c r="E46" s="7" t="s">
        <v>6594</v>
      </c>
      <c r="F46" s="7" t="s">
        <v>6595</v>
      </c>
      <c r="G46" s="7" t="s">
        <v>6662</v>
      </c>
    </row>
    <row r="47" customFormat="false" ht="15" hidden="false" customHeight="false" outlineLevel="0" collapsed="false">
      <c r="A47" s="7" t="s">
        <v>6697</v>
      </c>
      <c r="B47" s="7" t="s">
        <v>6653</v>
      </c>
      <c r="C47" s="7" t="n">
        <v>2016</v>
      </c>
      <c r="D47" s="7" t="s">
        <v>6621</v>
      </c>
      <c r="E47" s="7" t="s">
        <v>6594</v>
      </c>
      <c r="F47" s="7" t="s">
        <v>6595</v>
      </c>
      <c r="G47" s="7" t="s">
        <v>6698</v>
      </c>
    </row>
    <row r="48" customFormat="false" ht="15" hidden="false" customHeight="false" outlineLevel="0" collapsed="false">
      <c r="A48" s="7" t="s">
        <v>6699</v>
      </c>
      <c r="B48" s="7" t="s">
        <v>6653</v>
      </c>
      <c r="C48" s="7" t="n">
        <v>2016</v>
      </c>
      <c r="D48" s="7" t="s">
        <v>6593</v>
      </c>
      <c r="E48" s="7" t="s">
        <v>6594</v>
      </c>
      <c r="F48" s="7" t="s">
        <v>6595</v>
      </c>
      <c r="G48" s="7" t="s">
        <v>6700</v>
      </c>
    </row>
    <row r="49" customFormat="false" ht="15" hidden="false" customHeight="false" outlineLevel="0" collapsed="false">
      <c r="A49" s="7" t="s">
        <v>6701</v>
      </c>
      <c r="B49" s="7" t="s">
        <v>6653</v>
      </c>
      <c r="C49" s="7" t="n">
        <v>2016</v>
      </c>
      <c r="D49" s="7" t="s">
        <v>6610</v>
      </c>
      <c r="E49" s="7" t="s">
        <v>6594</v>
      </c>
      <c r="F49" s="7" t="s">
        <v>6595</v>
      </c>
      <c r="G49" s="7" t="s">
        <v>6702</v>
      </c>
    </row>
    <row r="50" customFormat="false" ht="15" hidden="false" customHeight="false" outlineLevel="0" collapsed="false">
      <c r="A50" s="7" t="s">
        <v>6703</v>
      </c>
      <c r="B50" s="7" t="s">
        <v>6704</v>
      </c>
      <c r="C50" s="7" t="n">
        <v>2011</v>
      </c>
      <c r="D50" s="7" t="s">
        <v>6593</v>
      </c>
      <c r="E50" s="7" t="s">
        <v>6594</v>
      </c>
      <c r="F50" s="7" t="s">
        <v>6595</v>
      </c>
      <c r="G50" s="7" t="s">
        <v>6705</v>
      </c>
    </row>
    <row r="51" customFormat="false" ht="15" hidden="false" customHeight="false" outlineLevel="0" collapsed="false">
      <c r="A51" s="7" t="s">
        <v>6706</v>
      </c>
      <c r="B51" s="7" t="s">
        <v>6707</v>
      </c>
      <c r="C51" s="7" t="n">
        <v>2011</v>
      </c>
      <c r="D51" s="7" t="s">
        <v>6621</v>
      </c>
      <c r="E51" s="7" t="s">
        <v>6594</v>
      </c>
      <c r="F51" s="7" t="s">
        <v>6595</v>
      </c>
      <c r="G51" s="7" t="s">
        <v>6622</v>
      </c>
    </row>
    <row r="52" customFormat="false" ht="15" hidden="false" customHeight="false" outlineLevel="0" collapsed="false">
      <c r="A52" s="7" t="s">
        <v>6708</v>
      </c>
      <c r="B52" s="7" t="s">
        <v>6653</v>
      </c>
      <c r="C52" s="7" t="n">
        <v>2016</v>
      </c>
      <c r="D52" s="7" t="s">
        <v>6621</v>
      </c>
      <c r="E52" s="7" t="s">
        <v>6594</v>
      </c>
      <c r="F52" s="7" t="s">
        <v>6595</v>
      </c>
      <c r="G52" s="7" t="s">
        <v>6622</v>
      </c>
    </row>
    <row r="53" customFormat="false" ht="15" hidden="false" customHeight="false" outlineLevel="0" collapsed="false">
      <c r="A53" s="7" t="s">
        <v>6709</v>
      </c>
      <c r="B53" s="7" t="s">
        <v>6704</v>
      </c>
      <c r="C53" s="7" t="n">
        <v>2011</v>
      </c>
      <c r="D53" s="7" t="s">
        <v>6606</v>
      </c>
      <c r="E53" s="7" t="s">
        <v>6594</v>
      </c>
      <c r="F53" s="7" t="s">
        <v>6595</v>
      </c>
      <c r="G53" s="7" t="s">
        <v>6710</v>
      </c>
    </row>
    <row r="54" customFormat="false" ht="15" hidden="false" customHeight="false" outlineLevel="0" collapsed="false">
      <c r="A54" s="7" t="s">
        <v>6711</v>
      </c>
      <c r="B54" s="7" t="s">
        <v>6664</v>
      </c>
      <c r="C54" s="7" t="n">
        <v>2037</v>
      </c>
      <c r="D54" s="7" t="s">
        <v>6621</v>
      </c>
      <c r="E54" s="7" t="s">
        <v>6594</v>
      </c>
      <c r="F54" s="7" t="s">
        <v>6595</v>
      </c>
      <c r="G54" s="7" t="s">
        <v>6622</v>
      </c>
    </row>
    <row r="55" customFormat="false" ht="15" hidden="false" customHeight="false" outlineLevel="0" collapsed="false">
      <c r="A55" s="7" t="s">
        <v>6712</v>
      </c>
      <c r="B55" s="7" t="s">
        <v>6664</v>
      </c>
      <c r="C55" s="7" t="n">
        <v>2037</v>
      </c>
      <c r="D55" s="7" t="s">
        <v>6606</v>
      </c>
      <c r="E55" s="7" t="s">
        <v>6594</v>
      </c>
      <c r="F55" s="7" t="s">
        <v>6595</v>
      </c>
      <c r="G55" s="7" t="s">
        <v>6695</v>
      </c>
    </row>
    <row r="56" customFormat="false" ht="15" hidden="false" customHeight="false" outlineLevel="0" collapsed="false">
      <c r="A56" s="7" t="s">
        <v>6713</v>
      </c>
      <c r="B56" s="7" t="s">
        <v>6592</v>
      </c>
      <c r="C56" s="7" t="n">
        <v>2015</v>
      </c>
      <c r="D56" s="7" t="s">
        <v>6610</v>
      </c>
      <c r="E56" s="7" t="s">
        <v>6594</v>
      </c>
      <c r="F56" s="7" t="s">
        <v>6595</v>
      </c>
      <c r="G56" s="7" t="s">
        <v>6714</v>
      </c>
    </row>
    <row r="57" customFormat="false" ht="15" hidden="false" customHeight="false" outlineLevel="0" collapsed="false">
      <c r="A57" s="7" t="s">
        <v>6715</v>
      </c>
      <c r="B57" s="7" t="s">
        <v>6634</v>
      </c>
      <c r="C57" s="7" t="n">
        <v>2038</v>
      </c>
      <c r="D57" s="7" t="s">
        <v>6593</v>
      </c>
      <c r="E57" s="7" t="s">
        <v>6594</v>
      </c>
      <c r="F57" s="7" t="s">
        <v>6595</v>
      </c>
      <c r="G57" s="7" t="s">
        <v>6716</v>
      </c>
    </row>
    <row r="58" customFormat="false" ht="15" hidden="false" customHeight="false" outlineLevel="0" collapsed="false">
      <c r="A58" s="7" t="s">
        <v>6717</v>
      </c>
      <c r="B58" s="7" t="s">
        <v>6601</v>
      </c>
      <c r="C58" s="7" t="n">
        <v>2000</v>
      </c>
      <c r="D58" s="7" t="s">
        <v>6610</v>
      </c>
      <c r="E58" s="7" t="s">
        <v>6614</v>
      </c>
      <c r="F58" s="7" t="s">
        <v>6718</v>
      </c>
      <c r="G58" s="7" t="s">
        <v>6719</v>
      </c>
    </row>
    <row r="59" customFormat="false" ht="15" hidden="false" customHeight="false" outlineLevel="0" collapsed="false">
      <c r="A59" s="7" t="s">
        <v>6720</v>
      </c>
      <c r="B59" s="7" t="s">
        <v>6601</v>
      </c>
      <c r="C59" s="7" t="n">
        <v>2000</v>
      </c>
      <c r="D59" s="7" t="s">
        <v>6610</v>
      </c>
      <c r="E59" s="7" t="s">
        <v>6614</v>
      </c>
      <c r="F59" s="7" t="s">
        <v>6721</v>
      </c>
      <c r="G59" s="7" t="s">
        <v>6722</v>
      </c>
    </row>
    <row r="60" customFormat="false" ht="15" hidden="false" customHeight="false" outlineLevel="0" collapsed="false">
      <c r="A60" s="7" t="s">
        <v>6723</v>
      </c>
      <c r="B60" s="7" t="s">
        <v>6637</v>
      </c>
      <c r="C60" s="7" t="n">
        <v>2018</v>
      </c>
      <c r="D60" s="7" t="s">
        <v>6606</v>
      </c>
      <c r="E60" s="7" t="s">
        <v>6594</v>
      </c>
      <c r="F60" s="7" t="s">
        <v>6595</v>
      </c>
      <c r="G60" s="7" t="s">
        <v>6724</v>
      </c>
    </row>
    <row r="61" customFormat="false" ht="15" hidden="false" customHeight="false" outlineLevel="0" collapsed="false">
      <c r="A61" s="7" t="s">
        <v>6725</v>
      </c>
      <c r="B61" s="7" t="s">
        <v>6637</v>
      </c>
      <c r="C61" s="7" t="n">
        <v>2018</v>
      </c>
      <c r="D61" s="7" t="s">
        <v>6593</v>
      </c>
      <c r="E61" s="7" t="s">
        <v>6594</v>
      </c>
      <c r="F61" s="7" t="s">
        <v>6595</v>
      </c>
      <c r="G61" s="7" t="s">
        <v>6705</v>
      </c>
    </row>
    <row r="62" customFormat="false" ht="15" hidden="false" customHeight="false" outlineLevel="0" collapsed="false">
      <c r="A62" s="7" t="s">
        <v>6726</v>
      </c>
      <c r="B62" s="7" t="s">
        <v>6655</v>
      </c>
      <c r="C62" s="7" t="n">
        <v>2007</v>
      </c>
      <c r="D62" s="7" t="s">
        <v>6621</v>
      </c>
      <c r="E62" s="7" t="s">
        <v>6594</v>
      </c>
      <c r="F62" s="7" t="s">
        <v>6595</v>
      </c>
      <c r="G62" s="7" t="s">
        <v>6727</v>
      </c>
    </row>
    <row r="63" customFormat="false" ht="15" hidden="false" customHeight="false" outlineLevel="0" collapsed="false">
      <c r="A63" s="7" t="s">
        <v>6728</v>
      </c>
      <c r="B63" s="7" t="s">
        <v>6729</v>
      </c>
      <c r="C63" s="7" t="n">
        <v>2008</v>
      </c>
      <c r="D63" s="7" t="s">
        <v>6610</v>
      </c>
      <c r="E63" s="7" t="s">
        <v>6594</v>
      </c>
      <c r="F63" s="7" t="s">
        <v>6595</v>
      </c>
      <c r="G63" s="7" t="s">
        <v>6677</v>
      </c>
    </row>
    <row r="64" customFormat="false" ht="15" hidden="false" customHeight="false" outlineLevel="0" collapsed="false">
      <c r="A64" s="7" t="s">
        <v>6730</v>
      </c>
      <c r="B64" s="7" t="s">
        <v>6729</v>
      </c>
      <c r="C64" s="7" t="n">
        <v>2008</v>
      </c>
      <c r="D64" s="7" t="s">
        <v>6602</v>
      </c>
      <c r="E64" s="7" t="s">
        <v>6594</v>
      </c>
      <c r="F64" s="7" t="s">
        <v>6595</v>
      </c>
      <c r="G64" s="7" t="s">
        <v>6646</v>
      </c>
    </row>
    <row r="65" customFormat="false" ht="15" hidden="false" customHeight="false" outlineLevel="0" collapsed="false">
      <c r="A65" s="7" t="s">
        <v>6731</v>
      </c>
      <c r="B65" s="7" t="s">
        <v>6732</v>
      </c>
      <c r="C65" s="7" t="n">
        <v>2017</v>
      </c>
      <c r="D65" s="7" t="s">
        <v>6610</v>
      </c>
      <c r="E65" s="7" t="s">
        <v>6594</v>
      </c>
      <c r="F65" s="7" t="s">
        <v>6595</v>
      </c>
      <c r="G65" s="7" t="s">
        <v>6692</v>
      </c>
    </row>
    <row r="66" customFormat="false" ht="15" hidden="false" customHeight="false" outlineLevel="0" collapsed="false">
      <c r="A66" s="7" t="s">
        <v>6733</v>
      </c>
      <c r="B66" s="7" t="s">
        <v>6732</v>
      </c>
      <c r="C66" s="7" t="n">
        <v>2017</v>
      </c>
      <c r="D66" s="7" t="s">
        <v>6593</v>
      </c>
      <c r="E66" s="7" t="s">
        <v>6594</v>
      </c>
      <c r="F66" s="7" t="s">
        <v>6595</v>
      </c>
      <c r="G66" s="7" t="s">
        <v>6734</v>
      </c>
    </row>
    <row r="67" customFormat="false" ht="15" hidden="false" customHeight="false" outlineLevel="0" collapsed="false">
      <c r="A67" s="7" t="s">
        <v>6735</v>
      </c>
      <c r="B67" s="7" t="s">
        <v>6732</v>
      </c>
      <c r="C67" s="7" t="n">
        <v>2017</v>
      </c>
      <c r="D67" s="7" t="s">
        <v>6610</v>
      </c>
      <c r="E67" s="7" t="s">
        <v>6594</v>
      </c>
      <c r="F67" s="7" t="s">
        <v>6595</v>
      </c>
      <c r="G67" s="7" t="s">
        <v>6692</v>
      </c>
    </row>
    <row r="68" customFormat="false" ht="15" hidden="false" customHeight="false" outlineLevel="0" collapsed="false">
      <c r="A68" s="7" t="s">
        <v>6736</v>
      </c>
      <c r="B68" s="7" t="s">
        <v>6664</v>
      </c>
      <c r="C68" s="7" t="n">
        <v>2037</v>
      </c>
      <c r="D68" s="7" t="s">
        <v>6610</v>
      </c>
      <c r="E68" s="7" t="s">
        <v>6594</v>
      </c>
      <c r="F68" s="7" t="s">
        <v>6595</v>
      </c>
      <c r="G68" s="7" t="s">
        <v>6737</v>
      </c>
    </row>
    <row r="69" customFormat="false" ht="15" hidden="false" customHeight="false" outlineLevel="0" collapsed="false">
      <c r="A69" s="7" t="s">
        <v>6738</v>
      </c>
      <c r="B69" s="7" t="s">
        <v>6664</v>
      </c>
      <c r="C69" s="7" t="n">
        <v>2037</v>
      </c>
      <c r="D69" s="7" t="s">
        <v>6593</v>
      </c>
      <c r="E69" s="7" t="s">
        <v>6594</v>
      </c>
      <c r="F69" s="7" t="s">
        <v>6595</v>
      </c>
      <c r="G69" s="7" t="s">
        <v>6705</v>
      </c>
    </row>
    <row r="70" customFormat="false" ht="15" hidden="false" customHeight="false" outlineLevel="0" collapsed="false">
      <c r="A70" s="7" t="s">
        <v>6739</v>
      </c>
      <c r="B70" s="7" t="s">
        <v>6609</v>
      </c>
      <c r="C70" s="7" t="n">
        <v>2011</v>
      </c>
      <c r="D70" s="7" t="s">
        <v>6610</v>
      </c>
      <c r="E70" s="7" t="s">
        <v>6594</v>
      </c>
      <c r="F70" s="7" t="s">
        <v>6595</v>
      </c>
      <c r="G70" s="7" t="s">
        <v>6607</v>
      </c>
    </row>
    <row r="71" customFormat="false" ht="15" hidden="false" customHeight="false" outlineLevel="0" collapsed="false">
      <c r="A71" s="7" t="s">
        <v>6740</v>
      </c>
      <c r="B71" s="7" t="s">
        <v>6732</v>
      </c>
      <c r="C71" s="7" t="n">
        <v>2017</v>
      </c>
      <c r="D71" s="7" t="s">
        <v>6610</v>
      </c>
      <c r="E71" s="7" t="s">
        <v>6594</v>
      </c>
      <c r="F71" s="7" t="s">
        <v>6595</v>
      </c>
      <c r="G71" s="7" t="s">
        <v>6660</v>
      </c>
    </row>
  </sheetData>
  <autoFilter ref="A1:G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7" min="6" style="0" width="13"/>
  </cols>
  <sheetData>
    <row r="1" customFormat="false" ht="15" hidden="false" customHeight="false" outlineLevel="0" collapsed="false">
      <c r="A1" s="9" t="s">
        <v>6741</v>
      </c>
      <c r="B1" s="9" t="s">
        <v>25</v>
      </c>
      <c r="C1" s="9" t="s">
        <v>37</v>
      </c>
      <c r="D1" s="9" t="s">
        <v>6742</v>
      </c>
      <c r="E1" s="9" t="s">
        <v>6743</v>
      </c>
      <c r="F1" s="9" t="s">
        <v>47</v>
      </c>
      <c r="G1" s="9" t="s">
        <v>48</v>
      </c>
    </row>
    <row r="2" customFormat="false" ht="15" hidden="false" customHeight="false" outlineLevel="0" collapsed="false">
      <c r="A2" s="7" t="s">
        <v>6744</v>
      </c>
      <c r="B2" s="7" t="n">
        <v>2100</v>
      </c>
      <c r="C2" s="7" t="s">
        <v>1333</v>
      </c>
      <c r="D2" s="7" t="s">
        <v>6745</v>
      </c>
      <c r="E2" s="7" t="n">
        <v>112</v>
      </c>
      <c r="F2" s="7" t="n">
        <v>-33.765369</v>
      </c>
      <c r="G2" s="7" t="n">
        <v>151.249993</v>
      </c>
    </row>
    <row r="3" customFormat="false" ht="15" hidden="false" customHeight="false" outlineLevel="0" collapsed="false">
      <c r="A3" s="7" t="s">
        <v>6746</v>
      </c>
      <c r="B3" s="7" t="n">
        <v>2205</v>
      </c>
      <c r="C3" s="7" t="s">
        <v>1333</v>
      </c>
      <c r="D3" s="7" t="s">
        <v>6745</v>
      </c>
      <c r="E3" s="7" t="n">
        <v>43</v>
      </c>
      <c r="F3" s="7" t="n">
        <v>-33.936614</v>
      </c>
      <c r="G3" s="7" t="n">
        <v>151.146872</v>
      </c>
    </row>
    <row r="4" customFormat="false" ht="15" hidden="false" customHeight="false" outlineLevel="0" collapsed="false">
      <c r="A4" s="7" t="s">
        <v>6747</v>
      </c>
      <c r="B4" s="7" t="n">
        <v>2064</v>
      </c>
      <c r="C4" s="7" t="s">
        <v>1333</v>
      </c>
      <c r="D4" s="7" t="s">
        <v>6745</v>
      </c>
      <c r="E4" s="7" t="n">
        <v>72</v>
      </c>
      <c r="F4" s="7" t="n">
        <v>-33.808261</v>
      </c>
      <c r="G4" s="7" t="n">
        <v>151.185398</v>
      </c>
    </row>
    <row r="5" customFormat="false" ht="15" hidden="false" customHeight="false" outlineLevel="0" collapsed="false">
      <c r="A5" s="7" t="s">
        <v>6748</v>
      </c>
      <c r="B5" s="7" t="n">
        <v>2131</v>
      </c>
      <c r="C5" s="7" t="s">
        <v>1333</v>
      </c>
      <c r="D5" s="7" t="s">
        <v>6745</v>
      </c>
      <c r="E5" s="7" t="n">
        <v>66</v>
      </c>
      <c r="F5" s="7" t="n">
        <v>-33.888146</v>
      </c>
      <c r="G5" s="7" t="n">
        <v>151.125513</v>
      </c>
    </row>
    <row r="6" customFormat="false" ht="15" hidden="false" customHeight="false" outlineLevel="0" collapsed="false">
      <c r="A6" s="7" t="s">
        <v>6749</v>
      </c>
      <c r="B6" s="7" t="n">
        <v>2144</v>
      </c>
      <c r="C6" s="7" t="s">
        <v>1333</v>
      </c>
      <c r="D6" s="7" t="s">
        <v>6745</v>
      </c>
      <c r="E6" s="7" t="n">
        <v>44</v>
      </c>
      <c r="F6" s="7" t="n">
        <v>-33.849239</v>
      </c>
      <c r="G6" s="7" t="n">
        <v>151.032397</v>
      </c>
    </row>
    <row r="7" customFormat="false" ht="15" hidden="false" customHeight="false" outlineLevel="0" collapsed="false">
      <c r="A7" s="7" t="s">
        <v>6750</v>
      </c>
      <c r="B7" s="7" t="n">
        <v>2106</v>
      </c>
      <c r="C7" s="7" t="s">
        <v>1333</v>
      </c>
      <c r="D7" s="7" t="s">
        <v>6751</v>
      </c>
      <c r="E7" s="7" t="n">
        <v>2711</v>
      </c>
      <c r="F7" s="7" t="n">
        <v>-33.635878</v>
      </c>
      <c r="G7" s="7" t="n">
        <v>151.32961</v>
      </c>
    </row>
    <row r="8" customFormat="false" ht="15" hidden="false" customHeight="false" outlineLevel="0" collapsed="false">
      <c r="A8" s="7" t="s">
        <v>6752</v>
      </c>
      <c r="B8" s="7" t="n">
        <v>2093</v>
      </c>
      <c r="C8" s="7" t="s">
        <v>1333</v>
      </c>
      <c r="D8" s="7" t="s">
        <v>6745</v>
      </c>
      <c r="E8" s="7" t="n">
        <v>168</v>
      </c>
      <c r="F8" s="7" t="n">
        <v>-33.794565</v>
      </c>
      <c r="G8" s="7" t="n">
        <v>151.26477</v>
      </c>
    </row>
    <row r="9" customFormat="false" ht="15" hidden="false" customHeight="false" outlineLevel="0" collapsed="false">
      <c r="A9" s="7" t="s">
        <v>6753</v>
      </c>
      <c r="B9" s="7" t="n">
        <v>2093</v>
      </c>
      <c r="C9" s="7" t="s">
        <v>1333</v>
      </c>
      <c r="D9" s="7" t="s">
        <v>6745</v>
      </c>
      <c r="E9" s="7" t="n">
        <v>87</v>
      </c>
      <c r="F9" s="7" t="n">
        <v>-33.793587</v>
      </c>
      <c r="G9" s="7" t="n">
        <v>151.265011</v>
      </c>
    </row>
    <row r="10" customFormat="false" ht="15" hidden="false" customHeight="false" outlineLevel="0" collapsed="false">
      <c r="A10" s="7" t="s">
        <v>6754</v>
      </c>
      <c r="B10" s="7" t="n">
        <v>2041</v>
      </c>
      <c r="C10" s="7" t="s">
        <v>1333</v>
      </c>
      <c r="D10" s="7" t="s">
        <v>6745</v>
      </c>
      <c r="E10" s="7" t="n">
        <v>70</v>
      </c>
      <c r="F10" s="7" t="n">
        <v>-33.857399</v>
      </c>
      <c r="G10" s="7" t="n">
        <v>151.180707</v>
      </c>
    </row>
    <row r="11" customFormat="false" ht="15" hidden="false" customHeight="false" outlineLevel="0" collapsed="false">
      <c r="A11" s="7" t="s">
        <v>6755</v>
      </c>
      <c r="B11" s="7" t="n">
        <v>2200</v>
      </c>
      <c r="C11" s="7" t="s">
        <v>1333</v>
      </c>
      <c r="D11" s="7" t="s">
        <v>6745</v>
      </c>
      <c r="E11" s="7" t="n">
        <v>58</v>
      </c>
      <c r="F11" s="7" t="n">
        <v>-33.917361</v>
      </c>
      <c r="G11" s="7" t="n">
        <v>151.034524</v>
      </c>
    </row>
    <row r="12" customFormat="false" ht="15" hidden="false" customHeight="false" outlineLevel="0" collapsed="false">
      <c r="A12" s="7" t="s">
        <v>6756</v>
      </c>
      <c r="B12" s="7" t="n">
        <v>2153</v>
      </c>
      <c r="C12" s="7" t="s">
        <v>1333</v>
      </c>
      <c r="D12" s="7" t="s">
        <v>6745</v>
      </c>
      <c r="E12" s="7" t="n">
        <v>110</v>
      </c>
      <c r="F12" s="7" t="n">
        <v>-33.7599</v>
      </c>
      <c r="G12" s="7" t="n">
        <v>150.991972</v>
      </c>
    </row>
    <row r="13" customFormat="false" ht="15" hidden="false" customHeight="false" outlineLevel="0" collapsed="false">
      <c r="A13" s="7" t="s">
        <v>6757</v>
      </c>
      <c r="B13" s="7" t="n">
        <v>2119</v>
      </c>
      <c r="C13" s="7" t="s">
        <v>1333</v>
      </c>
      <c r="D13" s="7" t="s">
        <v>6745</v>
      </c>
      <c r="E13" s="7" t="n">
        <v>93</v>
      </c>
      <c r="F13" s="7" t="n">
        <v>-33.749355</v>
      </c>
      <c r="G13" s="7" t="n">
        <v>151.065602</v>
      </c>
    </row>
    <row r="14" customFormat="false" ht="15" hidden="false" customHeight="false" outlineLevel="0" collapsed="false">
      <c r="A14" s="7" t="s">
        <v>6758</v>
      </c>
      <c r="B14" s="7" t="n">
        <v>2153</v>
      </c>
      <c r="C14" s="7" t="s">
        <v>1333</v>
      </c>
      <c r="D14" s="7" t="s">
        <v>6745</v>
      </c>
      <c r="E14" s="7" t="n">
        <v>99</v>
      </c>
      <c r="F14" s="7" t="n">
        <v>-33.736692</v>
      </c>
      <c r="G14" s="7" t="n">
        <v>150.949254</v>
      </c>
    </row>
    <row r="15" customFormat="false" ht="15" hidden="false" customHeight="false" outlineLevel="0" collapsed="false">
      <c r="A15" s="7" t="s">
        <v>6759</v>
      </c>
      <c r="B15" s="7" t="n">
        <v>2192</v>
      </c>
      <c r="C15" s="7" t="s">
        <v>1333</v>
      </c>
      <c r="D15" s="7" t="s">
        <v>6745</v>
      </c>
      <c r="E15" s="7" t="n">
        <v>87</v>
      </c>
      <c r="F15" s="7" t="n">
        <v>-33.917715</v>
      </c>
      <c r="G15" s="7" t="n">
        <v>151.088004</v>
      </c>
    </row>
    <row r="16" customFormat="false" ht="15" hidden="false" customHeight="false" outlineLevel="0" collapsed="false">
      <c r="A16" s="7" t="s">
        <v>6760</v>
      </c>
      <c r="B16" s="7" t="n">
        <v>2192</v>
      </c>
      <c r="C16" s="7" t="s">
        <v>1333</v>
      </c>
      <c r="D16" s="7" t="s">
        <v>6745</v>
      </c>
      <c r="E16" s="7" t="n">
        <v>219</v>
      </c>
      <c r="F16" s="7" t="n">
        <v>-33.919135</v>
      </c>
      <c r="G16" s="7" t="n">
        <v>151.089284</v>
      </c>
    </row>
    <row r="17" customFormat="false" ht="15" hidden="false" customHeight="false" outlineLevel="0" collapsed="false">
      <c r="A17" s="7" t="s">
        <v>6761</v>
      </c>
      <c r="B17" s="7" t="n">
        <v>2209</v>
      </c>
      <c r="C17" s="7" t="s">
        <v>1333</v>
      </c>
      <c r="D17" s="7" t="s">
        <v>6745</v>
      </c>
      <c r="E17" s="7" t="n">
        <v>25</v>
      </c>
      <c r="F17" s="7" t="n">
        <v>-33.949191</v>
      </c>
      <c r="G17" s="7" t="n">
        <v>151.081514</v>
      </c>
    </row>
    <row r="18" customFormat="false" ht="15" hidden="false" customHeight="false" outlineLevel="0" collapsed="false">
      <c r="A18" s="7" t="s">
        <v>6762</v>
      </c>
      <c r="B18" s="7" t="n">
        <v>2207</v>
      </c>
      <c r="C18" s="7" t="s">
        <v>1333</v>
      </c>
      <c r="D18" s="7" t="s">
        <v>6763</v>
      </c>
      <c r="E18" s="7" t="n">
        <v>925</v>
      </c>
      <c r="F18" s="7" t="n">
        <v>-33.949718</v>
      </c>
      <c r="G18" s="7" t="n">
        <v>151.126352</v>
      </c>
    </row>
    <row r="19" customFormat="false" ht="15" hidden="false" customHeight="false" outlineLevel="0" collapsed="false">
      <c r="A19" s="7" t="s">
        <v>6764</v>
      </c>
      <c r="B19" s="7" t="n">
        <v>2148</v>
      </c>
      <c r="C19" s="7" t="s">
        <v>1333</v>
      </c>
      <c r="D19" s="7" t="s">
        <v>6745</v>
      </c>
      <c r="E19" s="7" t="n">
        <v>103</v>
      </c>
      <c r="F19" s="7" t="n">
        <v>-33.769018</v>
      </c>
      <c r="G19" s="7" t="n">
        <v>150.906936</v>
      </c>
    </row>
    <row r="20" customFormat="false" ht="15" hidden="false" customHeight="false" outlineLevel="0" collapsed="false">
      <c r="A20" s="7" t="s">
        <v>6765</v>
      </c>
      <c r="B20" s="7" t="n">
        <v>2022</v>
      </c>
      <c r="C20" s="7" t="s">
        <v>1333</v>
      </c>
      <c r="D20" s="7" t="s">
        <v>6745</v>
      </c>
      <c r="E20" s="7" t="n">
        <v>121</v>
      </c>
      <c r="F20" s="7" t="n">
        <v>-33.891842</v>
      </c>
      <c r="G20" s="7" t="n">
        <v>151.249856</v>
      </c>
    </row>
    <row r="21" customFormat="false" ht="15" hidden="false" customHeight="false" outlineLevel="0" collapsed="false">
      <c r="A21" s="7" t="s">
        <v>6766</v>
      </c>
      <c r="B21" s="7" t="n">
        <v>2216</v>
      </c>
      <c r="C21" s="7" t="s">
        <v>1333</v>
      </c>
      <c r="D21" s="7" t="s">
        <v>6745</v>
      </c>
      <c r="E21" s="7" t="n">
        <v>190</v>
      </c>
      <c r="F21" s="7" t="n">
        <v>-33.959919</v>
      </c>
      <c r="G21" s="7" t="n">
        <v>151.15625</v>
      </c>
    </row>
    <row r="22" customFormat="false" ht="15" hidden="false" customHeight="false" outlineLevel="0" collapsed="false">
      <c r="A22" s="7" t="s">
        <v>6767</v>
      </c>
      <c r="B22" s="7" t="n">
        <v>2100</v>
      </c>
      <c r="C22" s="7" t="s">
        <v>1333</v>
      </c>
      <c r="D22" s="7" t="s">
        <v>6745</v>
      </c>
      <c r="E22" s="7" t="n">
        <v>125</v>
      </c>
      <c r="F22" s="7" t="n">
        <v>-33.763105</v>
      </c>
      <c r="G22" s="7" t="n">
        <v>151.271898</v>
      </c>
    </row>
    <row r="23" customFormat="false" ht="15" hidden="false" customHeight="false" outlineLevel="0" collapsed="false">
      <c r="A23" s="7" t="s">
        <v>6768</v>
      </c>
      <c r="B23" s="7" t="n">
        <v>2100</v>
      </c>
      <c r="C23" s="7" t="s">
        <v>1333</v>
      </c>
      <c r="D23" s="7" t="s">
        <v>6745</v>
      </c>
      <c r="E23" s="7" t="n">
        <v>116</v>
      </c>
      <c r="F23" s="7" t="n">
        <v>-33.766256</v>
      </c>
      <c r="G23" s="7" t="n">
        <v>151.26564</v>
      </c>
    </row>
    <row r="24" customFormat="false" ht="15" hidden="false" customHeight="false" outlineLevel="0" collapsed="false">
      <c r="A24" s="7" t="s">
        <v>6769</v>
      </c>
      <c r="B24" s="7" t="n">
        <v>2134</v>
      </c>
      <c r="C24" s="7" t="s">
        <v>1333</v>
      </c>
      <c r="D24" s="7" t="s">
        <v>6745</v>
      </c>
      <c r="E24" s="7" t="n">
        <v>61</v>
      </c>
      <c r="F24" s="7" t="n">
        <v>-33.876842</v>
      </c>
      <c r="G24" s="7" t="n">
        <v>151.104424</v>
      </c>
    </row>
    <row r="25" customFormat="false" ht="15" hidden="false" customHeight="false" outlineLevel="0" collapsed="false">
      <c r="A25" s="7" t="s">
        <v>6770</v>
      </c>
      <c r="B25" s="7" t="n">
        <v>2166</v>
      </c>
      <c r="C25" s="7" t="s">
        <v>1333</v>
      </c>
      <c r="D25" s="7" t="s">
        <v>6745</v>
      </c>
      <c r="E25" s="7" t="n">
        <v>58</v>
      </c>
      <c r="F25" s="7" t="n">
        <v>-33.894585</v>
      </c>
      <c r="G25" s="7" t="n">
        <v>150.938291</v>
      </c>
    </row>
    <row r="26" customFormat="false" ht="15" hidden="false" customHeight="false" outlineLevel="0" collapsed="false">
      <c r="A26" s="7" t="s">
        <v>6771</v>
      </c>
      <c r="B26" s="7" t="n">
        <v>2570</v>
      </c>
      <c r="C26" s="7" t="s">
        <v>1333</v>
      </c>
      <c r="D26" s="7" t="s">
        <v>6745</v>
      </c>
      <c r="E26" s="7" t="n">
        <v>122</v>
      </c>
      <c r="F26" s="7" t="n">
        <v>-34.054795</v>
      </c>
      <c r="G26" s="7" t="n">
        <v>150.69582</v>
      </c>
    </row>
    <row r="27" customFormat="false" ht="15" hidden="false" customHeight="false" outlineLevel="0" collapsed="false">
      <c r="A27" s="7" t="s">
        <v>6772</v>
      </c>
      <c r="B27" s="7" t="n">
        <v>2560</v>
      </c>
      <c r="C27" s="7" t="s">
        <v>1333</v>
      </c>
      <c r="D27" s="7" t="s">
        <v>6745</v>
      </c>
      <c r="E27" s="7" t="n">
        <v>219</v>
      </c>
      <c r="F27" s="7" t="n">
        <v>-34.075177</v>
      </c>
      <c r="G27" s="7" t="n">
        <v>150.799086</v>
      </c>
    </row>
    <row r="28" customFormat="false" ht="15" hidden="false" customHeight="false" outlineLevel="0" collapsed="false">
      <c r="A28" s="7" t="s">
        <v>6773</v>
      </c>
      <c r="B28" s="7" t="n">
        <v>2560</v>
      </c>
      <c r="C28" s="7" t="s">
        <v>1333</v>
      </c>
      <c r="D28" s="7" t="s">
        <v>6745</v>
      </c>
      <c r="E28" s="7" t="n">
        <v>95</v>
      </c>
      <c r="F28" s="7" t="n">
        <v>-34.072234</v>
      </c>
      <c r="G28" s="7" t="n">
        <v>150.797745</v>
      </c>
    </row>
    <row r="29" customFormat="false" ht="15" hidden="false" customHeight="false" outlineLevel="0" collapsed="false">
      <c r="A29" s="7" t="s">
        <v>6774</v>
      </c>
      <c r="B29" s="7" t="n">
        <v>2560</v>
      </c>
      <c r="C29" s="7" t="s">
        <v>1333</v>
      </c>
      <c r="D29" s="7" t="s">
        <v>6763</v>
      </c>
      <c r="E29" s="7" t="n">
        <v>530</v>
      </c>
      <c r="F29" s="7" t="n">
        <v>-34.069235</v>
      </c>
      <c r="G29" s="7" t="n">
        <v>150.811961</v>
      </c>
    </row>
    <row r="30" customFormat="false" ht="15" hidden="false" customHeight="false" outlineLevel="0" collapsed="false">
      <c r="A30" s="7" t="s">
        <v>6775</v>
      </c>
      <c r="B30" s="7" t="n">
        <v>2560</v>
      </c>
      <c r="C30" s="7" t="s">
        <v>1333</v>
      </c>
      <c r="D30" s="7" t="s">
        <v>6745</v>
      </c>
      <c r="E30" s="7" t="n">
        <v>109</v>
      </c>
      <c r="F30" s="7" t="n">
        <v>-34.064772</v>
      </c>
      <c r="G30" s="7" t="n">
        <v>150.814278</v>
      </c>
    </row>
    <row r="31" customFormat="false" ht="15" hidden="false" customHeight="false" outlineLevel="0" collapsed="false">
      <c r="A31" s="7" t="s">
        <v>6776</v>
      </c>
      <c r="B31" s="7" t="n">
        <v>2050</v>
      </c>
      <c r="C31" s="7" t="s">
        <v>1333</v>
      </c>
      <c r="D31" s="7" t="s">
        <v>6763</v>
      </c>
      <c r="E31" s="7" t="n">
        <v>369</v>
      </c>
      <c r="F31" s="7" t="n">
        <v>-33.888815</v>
      </c>
      <c r="G31" s="7" t="n">
        <v>151.181835</v>
      </c>
    </row>
    <row r="32" customFormat="false" ht="15" hidden="false" customHeight="false" outlineLevel="0" collapsed="false">
      <c r="A32" s="7" t="s">
        <v>6777</v>
      </c>
      <c r="B32" s="7" t="n">
        <v>2194</v>
      </c>
      <c r="C32" s="7" t="s">
        <v>1333</v>
      </c>
      <c r="D32" s="7" t="s">
        <v>6745</v>
      </c>
      <c r="E32" s="7" t="n">
        <v>127</v>
      </c>
      <c r="F32" s="7" t="n">
        <v>-33.9100186</v>
      </c>
      <c r="G32" s="7" t="n">
        <v>151.103884</v>
      </c>
    </row>
    <row r="33" customFormat="false" ht="15" hidden="false" customHeight="false" outlineLevel="0" collapsed="false">
      <c r="A33" s="7" t="s">
        <v>6778</v>
      </c>
      <c r="B33" s="7" t="n">
        <v>2166</v>
      </c>
      <c r="C33" s="7" t="s">
        <v>1333</v>
      </c>
      <c r="D33" s="7" t="s">
        <v>6745</v>
      </c>
      <c r="E33" s="7" t="n">
        <v>136</v>
      </c>
      <c r="F33" s="7" t="n">
        <v>-33.887675</v>
      </c>
      <c r="G33" s="7" t="n">
        <v>150.942956</v>
      </c>
    </row>
    <row r="34" customFormat="false" ht="15" hidden="false" customHeight="false" outlineLevel="0" collapsed="false">
      <c r="A34" s="7" t="s">
        <v>6779</v>
      </c>
      <c r="B34" s="7" t="n">
        <v>2229</v>
      </c>
      <c r="C34" s="7" t="s">
        <v>1333</v>
      </c>
      <c r="D34" s="7" t="s">
        <v>6745</v>
      </c>
      <c r="E34" s="7" t="n">
        <v>59</v>
      </c>
      <c r="F34" s="7" t="n">
        <v>-34.0421237</v>
      </c>
      <c r="G34" s="7" t="n">
        <v>151.122587</v>
      </c>
    </row>
    <row r="35" customFormat="false" ht="15" hidden="false" customHeight="false" outlineLevel="0" collapsed="false">
      <c r="A35" s="7" t="s">
        <v>6780</v>
      </c>
      <c r="B35" s="7" t="n">
        <v>2218</v>
      </c>
      <c r="C35" s="7" t="s">
        <v>1333</v>
      </c>
      <c r="D35" s="7" t="s">
        <v>6745</v>
      </c>
      <c r="E35" s="7" t="n">
        <v>66</v>
      </c>
      <c r="F35" s="7" t="n">
        <v>-33.9687049</v>
      </c>
      <c r="G35" s="7" t="n">
        <v>151.1238518</v>
      </c>
    </row>
    <row r="36" customFormat="false" ht="15" hidden="false" customHeight="false" outlineLevel="0" collapsed="false">
      <c r="A36" s="7" t="s">
        <v>6781</v>
      </c>
      <c r="B36" s="7" t="n">
        <v>2154</v>
      </c>
      <c r="C36" s="7" t="s">
        <v>1333</v>
      </c>
      <c r="D36" s="7" t="s">
        <v>6745</v>
      </c>
      <c r="E36" s="7" t="n">
        <v>149</v>
      </c>
      <c r="F36" s="7" t="n">
        <v>-33.731874</v>
      </c>
      <c r="G36" s="7" t="n">
        <v>151.006248</v>
      </c>
    </row>
    <row r="37" customFormat="false" ht="15" hidden="false" customHeight="false" outlineLevel="0" collapsed="false">
      <c r="A37" s="7" t="s">
        <v>6782</v>
      </c>
      <c r="B37" s="7" t="n">
        <v>2000</v>
      </c>
      <c r="C37" s="7" t="s">
        <v>1333</v>
      </c>
      <c r="D37" s="7" t="s">
        <v>6745</v>
      </c>
      <c r="E37" s="7" t="n">
        <v>106</v>
      </c>
      <c r="F37" s="7" t="n">
        <v>-33.882302</v>
      </c>
      <c r="G37" s="7" t="n">
        <v>151.205833</v>
      </c>
    </row>
    <row r="38" customFormat="false" ht="15" hidden="false" customHeight="false" outlineLevel="0" collapsed="false">
      <c r="A38" s="7" t="s">
        <v>6783</v>
      </c>
      <c r="B38" s="7" t="n">
        <v>2162</v>
      </c>
      <c r="C38" s="7" t="s">
        <v>1333</v>
      </c>
      <c r="D38" s="7" t="s">
        <v>6745</v>
      </c>
      <c r="E38" s="7" t="n">
        <v>102</v>
      </c>
      <c r="F38" s="7" t="n">
        <v>-33.884019</v>
      </c>
      <c r="G38" s="7" t="n">
        <v>151.00039</v>
      </c>
    </row>
    <row r="39" customFormat="false" ht="15" hidden="false" customHeight="false" outlineLevel="0" collapsed="false">
      <c r="A39" s="7" t="s">
        <v>6784</v>
      </c>
      <c r="B39" s="7" t="n">
        <v>2067</v>
      </c>
      <c r="C39" s="7" t="s">
        <v>1333</v>
      </c>
      <c r="D39" s="7" t="s">
        <v>6745</v>
      </c>
      <c r="E39" s="7" t="n">
        <v>60</v>
      </c>
      <c r="F39" s="7" t="n">
        <v>-33.797092</v>
      </c>
      <c r="G39" s="7" t="n">
        <v>151.180175</v>
      </c>
    </row>
    <row r="40" customFormat="false" ht="15" hidden="false" customHeight="false" outlineLevel="0" collapsed="false">
      <c r="A40" s="7" t="s">
        <v>6785</v>
      </c>
      <c r="B40" s="7" t="n">
        <v>2000</v>
      </c>
      <c r="C40" s="7" t="s">
        <v>1333</v>
      </c>
      <c r="D40" s="7" t="s">
        <v>6745</v>
      </c>
      <c r="E40" s="7" t="n">
        <v>96</v>
      </c>
      <c r="F40" s="7" t="n">
        <v>-33.874334</v>
      </c>
      <c r="G40" s="7" t="n">
        <v>151.206352</v>
      </c>
    </row>
    <row r="41" customFormat="false" ht="15" hidden="false" customHeight="false" outlineLevel="0" collapsed="false">
      <c r="A41" s="7" t="s">
        <v>6786</v>
      </c>
      <c r="B41" s="7" t="n">
        <v>2000</v>
      </c>
      <c r="C41" s="7" t="s">
        <v>1333</v>
      </c>
      <c r="D41" s="7" t="s">
        <v>6745</v>
      </c>
      <c r="E41" s="7" t="n">
        <v>215</v>
      </c>
      <c r="F41" s="7" t="n">
        <v>-33.864411</v>
      </c>
      <c r="G41" s="7" t="n">
        <v>151.210725</v>
      </c>
    </row>
    <row r="42" customFormat="false" ht="15" hidden="false" customHeight="false" outlineLevel="0" collapsed="false">
      <c r="A42" s="7" t="s">
        <v>6787</v>
      </c>
      <c r="B42" s="7" t="n">
        <v>2000</v>
      </c>
      <c r="C42" s="7" t="s">
        <v>1333</v>
      </c>
      <c r="D42" s="7" t="s">
        <v>6745</v>
      </c>
      <c r="E42" s="7" t="n">
        <v>57</v>
      </c>
      <c r="F42" s="7" t="n">
        <v>-33.866116</v>
      </c>
      <c r="G42" s="7" t="n">
        <v>151.206347</v>
      </c>
    </row>
    <row r="43" customFormat="false" ht="15" hidden="false" customHeight="false" outlineLevel="0" collapsed="false">
      <c r="A43" s="7" t="s">
        <v>6788</v>
      </c>
      <c r="B43" s="7" t="n">
        <v>2010</v>
      </c>
      <c r="C43" s="7" t="s">
        <v>1333</v>
      </c>
      <c r="D43" s="7" t="s">
        <v>6745</v>
      </c>
      <c r="E43" s="7" t="n">
        <v>43</v>
      </c>
      <c r="F43" s="7" t="n">
        <v>-33.876283</v>
      </c>
      <c r="G43" s="7" t="n">
        <v>151.212393</v>
      </c>
    </row>
    <row r="44" customFormat="false" ht="15" hidden="false" customHeight="false" outlineLevel="0" collapsed="false">
      <c r="A44" s="7" t="s">
        <v>6789</v>
      </c>
      <c r="B44" s="7" t="n">
        <v>2000</v>
      </c>
      <c r="C44" s="7" t="s">
        <v>1333</v>
      </c>
      <c r="D44" s="7" t="s">
        <v>6745</v>
      </c>
      <c r="E44" s="7" t="n">
        <v>168</v>
      </c>
      <c r="F44" s="7" t="n">
        <v>-33.860812</v>
      </c>
      <c r="G44" s="7" t="n">
        <v>151.206432</v>
      </c>
    </row>
    <row r="45" customFormat="false" ht="15" hidden="false" customHeight="false" outlineLevel="0" collapsed="false">
      <c r="A45" s="7" t="s">
        <v>6790</v>
      </c>
      <c r="B45" s="7" t="n">
        <v>2000</v>
      </c>
      <c r="C45" s="7" t="s">
        <v>1333</v>
      </c>
      <c r="D45" s="7" t="s">
        <v>6745</v>
      </c>
      <c r="E45" s="7" t="n">
        <v>39</v>
      </c>
      <c r="F45" s="7" t="n">
        <v>-33.871787</v>
      </c>
      <c r="G45" s="7" t="n">
        <v>151.21011</v>
      </c>
    </row>
    <row r="46" customFormat="false" ht="15" hidden="false" customHeight="false" outlineLevel="0" collapsed="false">
      <c r="A46" s="7" t="s">
        <v>6791</v>
      </c>
      <c r="B46" s="7" t="n">
        <v>2000</v>
      </c>
      <c r="C46" s="7" t="s">
        <v>1333</v>
      </c>
      <c r="D46" s="7" t="s">
        <v>6745</v>
      </c>
      <c r="E46" s="7" t="n">
        <v>240</v>
      </c>
      <c r="F46" s="7" t="n">
        <v>-33.8580709</v>
      </c>
      <c r="G46" s="7" t="n">
        <v>151.2090423</v>
      </c>
    </row>
    <row r="47" customFormat="false" ht="15" hidden="false" customHeight="false" outlineLevel="0" collapsed="false">
      <c r="A47" s="7" t="s">
        <v>6792</v>
      </c>
      <c r="B47" s="7" t="n">
        <v>2000</v>
      </c>
      <c r="C47" s="7" t="s">
        <v>1333</v>
      </c>
      <c r="D47" s="7" t="s">
        <v>6745</v>
      </c>
      <c r="E47" s="7" t="n">
        <v>17</v>
      </c>
      <c r="F47" s="7" t="n">
        <v>-33.8544134</v>
      </c>
      <c r="G47" s="7" t="n">
        <v>151.2082389</v>
      </c>
    </row>
    <row r="48" customFormat="false" ht="15" hidden="false" customHeight="false" outlineLevel="0" collapsed="false">
      <c r="A48" s="7" t="s">
        <v>6793</v>
      </c>
      <c r="B48" s="7" t="n">
        <v>2000</v>
      </c>
      <c r="C48" s="7" t="s">
        <v>1333</v>
      </c>
      <c r="D48" s="7" t="s">
        <v>6745</v>
      </c>
      <c r="E48" s="7" t="n">
        <v>60</v>
      </c>
      <c r="F48" s="7" t="n">
        <v>-33.864313</v>
      </c>
      <c r="G48" s="7" t="n">
        <v>151.2068523</v>
      </c>
    </row>
    <row r="49" customFormat="false" ht="15" hidden="false" customHeight="false" outlineLevel="0" collapsed="false">
      <c r="A49" s="7" t="s">
        <v>6794</v>
      </c>
      <c r="B49" s="7" t="n">
        <v>2000</v>
      </c>
      <c r="C49" s="7" t="s">
        <v>1333</v>
      </c>
      <c r="D49" s="7" t="s">
        <v>6745</v>
      </c>
      <c r="E49" s="7" t="n">
        <v>185</v>
      </c>
      <c r="F49" s="7" t="n">
        <v>-33.8641691</v>
      </c>
      <c r="G49" s="7" t="n">
        <v>151.204075</v>
      </c>
    </row>
    <row r="50" customFormat="false" ht="15" hidden="false" customHeight="false" outlineLevel="0" collapsed="false">
      <c r="A50" s="7" t="s">
        <v>6795</v>
      </c>
      <c r="B50" s="7" t="n">
        <v>2000</v>
      </c>
      <c r="C50" s="7" t="s">
        <v>1333</v>
      </c>
      <c r="D50" s="7" t="s">
        <v>6745</v>
      </c>
      <c r="E50" s="7" t="n">
        <v>19</v>
      </c>
      <c r="F50" s="7" t="n">
        <v>-33.8606623</v>
      </c>
      <c r="G50" s="7" t="n">
        <v>151.2036817</v>
      </c>
    </row>
    <row r="51" customFormat="false" ht="15" hidden="false" customHeight="false" outlineLevel="0" collapsed="false">
      <c r="A51" s="7" t="s">
        <v>6796</v>
      </c>
      <c r="B51" s="7" t="n">
        <v>2000</v>
      </c>
      <c r="C51" s="7" t="s">
        <v>1333</v>
      </c>
      <c r="D51" s="7" t="s">
        <v>6745</v>
      </c>
      <c r="E51" s="7" t="n">
        <v>171</v>
      </c>
      <c r="F51" s="7" t="n">
        <v>-33.8683429</v>
      </c>
      <c r="G51" s="7" t="n">
        <v>151.2019863</v>
      </c>
    </row>
    <row r="52" customFormat="false" ht="15" hidden="false" customHeight="false" outlineLevel="0" collapsed="false">
      <c r="A52" s="7" t="s">
        <v>6797</v>
      </c>
      <c r="B52" s="7" t="n">
        <v>2000</v>
      </c>
      <c r="C52" s="7" t="s">
        <v>1333</v>
      </c>
      <c r="D52" s="7" t="s">
        <v>6745</v>
      </c>
      <c r="E52" s="7" t="n">
        <v>50</v>
      </c>
      <c r="F52" s="7" t="n">
        <v>-33.8765288</v>
      </c>
      <c r="G52" s="7" t="n">
        <v>151.2073556</v>
      </c>
    </row>
    <row r="53" customFormat="false" ht="15" hidden="false" customHeight="false" outlineLevel="0" collapsed="false">
      <c r="A53" s="7" t="s">
        <v>6798</v>
      </c>
      <c r="B53" s="7" t="n">
        <v>2000</v>
      </c>
      <c r="C53" s="7" t="s">
        <v>1333</v>
      </c>
      <c r="D53" s="7" t="s">
        <v>6745</v>
      </c>
      <c r="E53" s="7" t="n">
        <v>44</v>
      </c>
      <c r="F53" s="7" t="n">
        <v>-33.8597135</v>
      </c>
      <c r="G53" s="7" t="n">
        <v>151.2133691</v>
      </c>
    </row>
    <row r="54" customFormat="false" ht="15" hidden="false" customHeight="false" outlineLevel="0" collapsed="false">
      <c r="A54" s="7" t="s">
        <v>6799</v>
      </c>
      <c r="B54" s="7" t="n">
        <v>2000</v>
      </c>
      <c r="C54" s="7" t="s">
        <v>1333</v>
      </c>
      <c r="D54" s="7" t="s">
        <v>6745</v>
      </c>
      <c r="E54" s="7" t="n">
        <v>138</v>
      </c>
      <c r="F54" s="7" t="n">
        <v>-33.8707353</v>
      </c>
      <c r="G54" s="7" t="n">
        <v>151.2086762</v>
      </c>
    </row>
    <row r="55" customFormat="false" ht="15" hidden="false" customHeight="false" outlineLevel="0" collapsed="false">
      <c r="A55" s="7" t="s">
        <v>6800</v>
      </c>
      <c r="B55" s="7" t="n">
        <v>2000</v>
      </c>
      <c r="C55" s="7" t="s">
        <v>1333</v>
      </c>
      <c r="D55" s="7" t="s">
        <v>6745</v>
      </c>
      <c r="E55" s="7" t="n">
        <v>215</v>
      </c>
      <c r="F55" s="7" t="n">
        <v>-33.865429</v>
      </c>
      <c r="G55" s="7" t="n">
        <v>151.209192</v>
      </c>
    </row>
    <row r="56" customFormat="false" ht="15" hidden="false" customHeight="false" outlineLevel="0" collapsed="false">
      <c r="A56" s="7" t="s">
        <v>6801</v>
      </c>
      <c r="B56" s="7" t="n">
        <v>2000</v>
      </c>
      <c r="C56" s="7" t="s">
        <v>1333</v>
      </c>
      <c r="D56" s="7" t="s">
        <v>6745</v>
      </c>
      <c r="E56" s="7" t="n">
        <v>231</v>
      </c>
      <c r="F56" s="7" t="n">
        <v>-33.8657218</v>
      </c>
      <c r="G56" s="7" t="n">
        <v>151.2112174</v>
      </c>
    </row>
    <row r="57" customFormat="false" ht="15" hidden="false" customHeight="false" outlineLevel="0" collapsed="false">
      <c r="A57" s="7" t="s">
        <v>6802</v>
      </c>
      <c r="B57" s="7" t="n">
        <v>2000</v>
      </c>
      <c r="C57" s="7" t="s">
        <v>1333</v>
      </c>
      <c r="D57" s="7" t="s">
        <v>6745</v>
      </c>
      <c r="E57" s="7" t="n">
        <v>30</v>
      </c>
      <c r="F57" s="7" t="n">
        <v>-33.862911</v>
      </c>
      <c r="G57" s="7" t="n">
        <v>151.211994</v>
      </c>
    </row>
    <row r="58" customFormat="false" ht="15" hidden="false" customHeight="false" outlineLevel="0" collapsed="false">
      <c r="A58" s="7" t="s">
        <v>6803</v>
      </c>
      <c r="B58" s="7" t="n">
        <v>2000</v>
      </c>
      <c r="C58" s="7" t="s">
        <v>1333</v>
      </c>
      <c r="D58" s="7" t="s">
        <v>6745</v>
      </c>
      <c r="E58" s="7" t="n">
        <v>217</v>
      </c>
      <c r="F58" s="7" t="n">
        <v>-33.86583</v>
      </c>
      <c r="G58" s="7" t="n">
        <v>151.211103</v>
      </c>
    </row>
    <row r="59" customFormat="false" ht="15" hidden="false" customHeight="false" outlineLevel="0" collapsed="false">
      <c r="A59" s="7" t="s">
        <v>6804</v>
      </c>
      <c r="B59" s="7" t="n">
        <v>2000</v>
      </c>
      <c r="C59" s="7" t="s">
        <v>1333</v>
      </c>
      <c r="D59" s="7" t="s">
        <v>6745</v>
      </c>
      <c r="E59" s="7" t="n">
        <v>128</v>
      </c>
      <c r="F59" s="7" t="n">
        <v>-33.8663235</v>
      </c>
      <c r="G59" s="7" t="n">
        <v>151.2025547</v>
      </c>
    </row>
    <row r="60" customFormat="false" ht="15" hidden="false" customHeight="false" outlineLevel="0" collapsed="false">
      <c r="A60" s="7" t="s">
        <v>6805</v>
      </c>
      <c r="B60" s="7" t="n">
        <v>2000</v>
      </c>
      <c r="C60" s="7" t="s">
        <v>1333</v>
      </c>
      <c r="D60" s="7" t="s">
        <v>6745</v>
      </c>
      <c r="E60" s="7" t="n">
        <v>38</v>
      </c>
      <c r="F60" s="7" t="n">
        <v>-33.8716268</v>
      </c>
      <c r="G60" s="7" t="n">
        <v>151.2039853</v>
      </c>
    </row>
    <row r="61" customFormat="false" ht="15" hidden="false" customHeight="false" outlineLevel="0" collapsed="false">
      <c r="A61" s="7" t="s">
        <v>6806</v>
      </c>
      <c r="B61" s="7" t="n">
        <v>2000</v>
      </c>
      <c r="C61" s="7" t="s">
        <v>1333</v>
      </c>
      <c r="D61" s="7" t="s">
        <v>6745</v>
      </c>
      <c r="E61" s="7" t="n">
        <v>62</v>
      </c>
      <c r="F61" s="7" t="n">
        <v>-33.869984</v>
      </c>
      <c r="G61" s="7" t="n">
        <v>151.203694</v>
      </c>
    </row>
    <row r="62" customFormat="false" ht="15" hidden="false" customHeight="false" outlineLevel="0" collapsed="false">
      <c r="A62" s="7" t="s">
        <v>6807</v>
      </c>
      <c r="B62" s="7" t="n">
        <v>2000</v>
      </c>
      <c r="C62" s="7" t="s">
        <v>1333</v>
      </c>
      <c r="D62" s="7" t="s">
        <v>6745</v>
      </c>
      <c r="E62" s="7" t="n">
        <v>38</v>
      </c>
      <c r="F62" s="7" t="n">
        <v>-33.881679</v>
      </c>
      <c r="G62" s="7" t="n">
        <v>151.202773</v>
      </c>
    </row>
    <row r="63" customFormat="false" ht="15" hidden="false" customHeight="false" outlineLevel="0" collapsed="false">
      <c r="A63" s="7" t="s">
        <v>6808</v>
      </c>
      <c r="B63" s="7" t="n">
        <v>2000</v>
      </c>
      <c r="C63" s="7" t="s">
        <v>1333</v>
      </c>
      <c r="D63" s="7" t="s">
        <v>6745</v>
      </c>
      <c r="E63" s="7" t="n">
        <v>206</v>
      </c>
      <c r="F63" s="7" t="n">
        <v>-33.869012</v>
      </c>
      <c r="G63" s="7" t="n">
        <v>151.206058</v>
      </c>
    </row>
    <row r="64" customFormat="false" ht="15" hidden="false" customHeight="false" outlineLevel="0" collapsed="false">
      <c r="A64" s="7" t="s">
        <v>6809</v>
      </c>
      <c r="B64" s="7" t="n">
        <v>2000</v>
      </c>
      <c r="C64" s="7" t="s">
        <v>1333</v>
      </c>
      <c r="D64" s="7" t="s">
        <v>6745</v>
      </c>
      <c r="E64" s="7" t="n">
        <v>24</v>
      </c>
      <c r="F64" s="7" t="n">
        <v>-33.866102</v>
      </c>
      <c r="G64" s="7" t="n">
        <v>151.2057183</v>
      </c>
    </row>
    <row r="65" customFormat="false" ht="15" hidden="false" customHeight="false" outlineLevel="0" collapsed="false">
      <c r="A65" s="7" t="s">
        <v>6810</v>
      </c>
      <c r="B65" s="7" t="n">
        <v>2097</v>
      </c>
      <c r="C65" s="7" t="s">
        <v>1333</v>
      </c>
      <c r="D65" s="7" t="s">
        <v>6745</v>
      </c>
      <c r="E65" s="7" t="n">
        <v>52</v>
      </c>
      <c r="F65" s="7" t="n">
        <v>-33.7320237</v>
      </c>
      <c r="G65" s="7" t="n">
        <v>151.30074</v>
      </c>
    </row>
    <row r="66" customFormat="false" ht="15" hidden="false" customHeight="false" outlineLevel="0" collapsed="false">
      <c r="A66" s="7" t="s">
        <v>6811</v>
      </c>
      <c r="B66" s="7" t="n">
        <v>2101</v>
      </c>
      <c r="C66" s="7" t="s">
        <v>1333</v>
      </c>
      <c r="D66" s="7" t="s">
        <v>6763</v>
      </c>
      <c r="E66" s="7" t="n">
        <v>915</v>
      </c>
      <c r="F66" s="7" t="n">
        <v>-33.727539</v>
      </c>
      <c r="G66" s="7" t="n">
        <v>151.286566</v>
      </c>
    </row>
    <row r="67" customFormat="false" ht="15" hidden="false" customHeight="false" outlineLevel="0" collapsed="false">
      <c r="A67" s="7" t="s">
        <v>6812</v>
      </c>
      <c r="B67" s="7" t="n">
        <v>2138</v>
      </c>
      <c r="C67" s="7" t="s">
        <v>1333</v>
      </c>
      <c r="D67" s="7" t="s">
        <v>6763</v>
      </c>
      <c r="E67" s="7" t="n">
        <v>732</v>
      </c>
      <c r="F67" s="7" t="n">
        <v>-33.836949</v>
      </c>
      <c r="G67" s="7" t="n">
        <v>151.092104</v>
      </c>
    </row>
    <row r="68" customFormat="false" ht="15" hidden="false" customHeight="false" outlineLevel="0" collapsed="false">
      <c r="A68" s="7" t="s">
        <v>6813</v>
      </c>
      <c r="B68" s="7" t="n">
        <v>2034</v>
      </c>
      <c r="C68" s="7" t="s">
        <v>1333</v>
      </c>
      <c r="D68" s="7" t="s">
        <v>6745</v>
      </c>
      <c r="E68" s="7" t="n">
        <v>164</v>
      </c>
      <c r="F68" s="7" t="n">
        <v>-33.918934</v>
      </c>
      <c r="G68" s="7" t="n">
        <v>151.257509</v>
      </c>
    </row>
    <row r="69" customFormat="false" ht="15" hidden="false" customHeight="false" outlineLevel="0" collapsed="false">
      <c r="A69" s="7" t="s">
        <v>6814</v>
      </c>
      <c r="B69" s="7" t="n">
        <v>2090</v>
      </c>
      <c r="C69" s="7" t="s">
        <v>1333</v>
      </c>
      <c r="D69" s="7" t="s">
        <v>6745</v>
      </c>
      <c r="E69" s="7" t="n">
        <v>200</v>
      </c>
      <c r="F69" s="7" t="n">
        <v>-33.8289209</v>
      </c>
      <c r="G69" s="7" t="n">
        <v>151.22927</v>
      </c>
    </row>
    <row r="70" customFormat="false" ht="15" hidden="false" customHeight="false" outlineLevel="0" collapsed="false">
      <c r="A70" s="7" t="s">
        <v>6815</v>
      </c>
      <c r="B70" s="7" t="n">
        <v>2230</v>
      </c>
      <c r="C70" s="7" t="s">
        <v>1333</v>
      </c>
      <c r="D70" s="7" t="s">
        <v>6745</v>
      </c>
      <c r="E70" s="7" t="n">
        <v>30</v>
      </c>
      <c r="F70" s="7" t="n">
        <v>-34.0561605</v>
      </c>
      <c r="G70" s="7" t="n">
        <v>151.1518522</v>
      </c>
    </row>
    <row r="71" customFormat="false" ht="15" hidden="false" customHeight="false" outlineLevel="0" collapsed="false">
      <c r="A71" s="7" t="s">
        <v>6816</v>
      </c>
      <c r="B71" s="7" t="n">
        <v>2065</v>
      </c>
      <c r="C71" s="7" t="s">
        <v>1333</v>
      </c>
      <c r="D71" s="7" t="s">
        <v>6745</v>
      </c>
      <c r="E71" s="7" t="n">
        <v>155</v>
      </c>
      <c r="F71" s="7" t="n">
        <v>-33.826864</v>
      </c>
      <c r="G71" s="7" t="n">
        <v>151.202324</v>
      </c>
    </row>
    <row r="72" customFormat="false" ht="15" hidden="false" customHeight="false" outlineLevel="0" collapsed="false">
      <c r="A72" s="7" t="s">
        <v>6817</v>
      </c>
      <c r="B72" s="7" t="n">
        <v>2009</v>
      </c>
      <c r="C72" s="7" t="s">
        <v>1333</v>
      </c>
      <c r="D72" s="7" t="s">
        <v>6745</v>
      </c>
      <c r="E72" s="7" t="n">
        <v>58</v>
      </c>
      <c r="F72" s="7" t="n">
        <v>-33.869162</v>
      </c>
      <c r="G72" s="7" t="n">
        <v>151.198175</v>
      </c>
    </row>
    <row r="73" customFormat="false" ht="15" hidden="false" customHeight="false" outlineLevel="0" collapsed="false">
      <c r="A73" s="7" t="s">
        <v>6818</v>
      </c>
      <c r="B73" s="7" t="n">
        <v>2000</v>
      </c>
      <c r="C73" s="7" t="s">
        <v>1333</v>
      </c>
      <c r="D73" s="7" t="s">
        <v>6745</v>
      </c>
      <c r="E73" s="7" t="n">
        <v>68</v>
      </c>
      <c r="F73" s="7" t="n">
        <v>-33.873048</v>
      </c>
      <c r="G73" s="7" t="n">
        <v>151.198661</v>
      </c>
    </row>
    <row r="74" customFormat="false" ht="15" hidden="false" customHeight="false" outlineLevel="0" collapsed="false">
      <c r="A74" s="7" t="s">
        <v>6819</v>
      </c>
      <c r="B74" s="7" t="n">
        <v>2009</v>
      </c>
      <c r="C74" s="7" t="s">
        <v>1333</v>
      </c>
      <c r="D74" s="7" t="s">
        <v>6745</v>
      </c>
      <c r="E74" s="7" t="n">
        <v>91</v>
      </c>
      <c r="F74" s="7" t="n">
        <v>-33.871172</v>
      </c>
      <c r="G74" s="7" t="n">
        <v>151.197583</v>
      </c>
    </row>
    <row r="75" customFormat="false" ht="15" hidden="false" customHeight="false" outlineLevel="0" collapsed="false">
      <c r="A75" s="7" t="s">
        <v>6820</v>
      </c>
      <c r="B75" s="7" t="n">
        <v>2099</v>
      </c>
      <c r="C75" s="7" t="s">
        <v>1333</v>
      </c>
      <c r="D75" s="7" t="s">
        <v>6745</v>
      </c>
      <c r="E75" s="7" t="n">
        <v>184</v>
      </c>
      <c r="F75" s="7" t="n">
        <v>-33.754521</v>
      </c>
      <c r="G75" s="7" t="n">
        <v>151.285275</v>
      </c>
    </row>
    <row r="76" customFormat="false" ht="15" hidden="false" customHeight="false" outlineLevel="0" collapsed="false">
      <c r="A76" s="7" t="s">
        <v>6821</v>
      </c>
      <c r="B76" s="7" t="n">
        <v>2099</v>
      </c>
      <c r="C76" s="7" t="s">
        <v>1333</v>
      </c>
      <c r="D76" s="7" t="s">
        <v>6745</v>
      </c>
      <c r="E76" s="7" t="n">
        <v>137</v>
      </c>
      <c r="F76" s="7" t="n">
        <v>-33.7528204</v>
      </c>
      <c r="G76" s="7" t="n">
        <v>151.28877</v>
      </c>
    </row>
    <row r="77" customFormat="false" ht="15" hidden="false" customHeight="false" outlineLevel="0" collapsed="false">
      <c r="A77" s="7" t="s">
        <v>6822</v>
      </c>
      <c r="B77" s="7" t="n">
        <v>2028</v>
      </c>
      <c r="C77" s="7" t="s">
        <v>1333</v>
      </c>
      <c r="D77" s="7" t="s">
        <v>6745</v>
      </c>
      <c r="E77" s="7" t="n">
        <v>234</v>
      </c>
      <c r="F77" s="7" t="n">
        <v>-33.8772746</v>
      </c>
      <c r="G77" s="7" t="n">
        <v>151.2412465</v>
      </c>
    </row>
    <row r="78" customFormat="false" ht="15" hidden="false" customHeight="false" outlineLevel="0" collapsed="false">
      <c r="A78" s="7" t="s">
        <v>6823</v>
      </c>
      <c r="B78" s="7" t="n">
        <v>2207</v>
      </c>
      <c r="C78" s="7" t="s">
        <v>1333</v>
      </c>
      <c r="D78" s="7" t="s">
        <v>6763</v>
      </c>
      <c r="E78" s="7" t="n">
        <v>598</v>
      </c>
      <c r="F78" s="7" t="n">
        <v>-33.9262495</v>
      </c>
      <c r="G78" s="7" t="n">
        <v>151.1252358</v>
      </c>
    </row>
    <row r="79" customFormat="false" ht="15" hidden="false" customHeight="false" outlineLevel="0" collapsed="false">
      <c r="A79" s="7" t="s">
        <v>6824</v>
      </c>
      <c r="B79" s="7" t="n">
        <v>2036</v>
      </c>
      <c r="C79" s="7" t="s">
        <v>1333</v>
      </c>
      <c r="D79" s="7" t="s">
        <v>6745</v>
      </c>
      <c r="E79" s="7" t="n">
        <v>169</v>
      </c>
      <c r="F79" s="7" t="n">
        <v>-33.9442013</v>
      </c>
      <c r="G79" s="7" t="n">
        <v>151.2265951</v>
      </c>
    </row>
    <row r="80" customFormat="false" ht="15" hidden="false" customHeight="false" outlineLevel="0" collapsed="false">
      <c r="A80" s="7" t="s">
        <v>6825</v>
      </c>
      <c r="B80" s="7" t="n">
        <v>2122</v>
      </c>
      <c r="C80" s="7" t="s">
        <v>1333</v>
      </c>
      <c r="D80" s="7" t="s">
        <v>6745</v>
      </c>
      <c r="E80" s="7" t="n">
        <v>47</v>
      </c>
      <c r="F80" s="7" t="n">
        <v>-33.789995</v>
      </c>
      <c r="G80" s="7" t="n">
        <v>151.082744</v>
      </c>
    </row>
    <row r="81" customFormat="false" ht="15" hidden="false" customHeight="false" outlineLevel="0" collapsed="false">
      <c r="A81" s="7" t="s">
        <v>6826</v>
      </c>
      <c r="B81" s="7" t="n">
        <v>2122</v>
      </c>
      <c r="C81" s="7" t="s">
        <v>1333</v>
      </c>
      <c r="D81" s="7" t="s">
        <v>6745</v>
      </c>
      <c r="E81" s="7" t="n">
        <v>30</v>
      </c>
      <c r="F81" s="7" t="n">
        <v>-33.790001</v>
      </c>
      <c r="G81" s="7" t="n">
        <v>151.081907</v>
      </c>
    </row>
    <row r="82" customFormat="false" ht="15" hidden="false" customHeight="false" outlineLevel="0" collapsed="false">
      <c r="A82" s="7" t="s">
        <v>6827</v>
      </c>
      <c r="B82" s="7" t="n">
        <v>2027</v>
      </c>
      <c r="C82" s="7" t="s">
        <v>1333</v>
      </c>
      <c r="D82" s="7" t="s">
        <v>6745</v>
      </c>
      <c r="E82" s="7" t="n">
        <v>77</v>
      </c>
      <c r="F82" s="7" t="n">
        <v>-33.87881</v>
      </c>
      <c r="G82" s="7" t="n">
        <v>151.235522</v>
      </c>
    </row>
    <row r="83" customFormat="false" ht="15" hidden="false" customHeight="false" outlineLevel="0" collapsed="false">
      <c r="A83" s="7" t="s">
        <v>6828</v>
      </c>
      <c r="B83" s="7" t="n">
        <v>2233</v>
      </c>
      <c r="C83" s="7" t="s">
        <v>1333</v>
      </c>
      <c r="D83" s="7" t="s">
        <v>6745</v>
      </c>
      <c r="E83" s="7" t="n">
        <v>195</v>
      </c>
      <c r="F83" s="7" t="n">
        <v>-34.066371</v>
      </c>
      <c r="G83" s="7" t="n">
        <v>151.0136187</v>
      </c>
    </row>
    <row r="84" customFormat="false" ht="15" hidden="false" customHeight="false" outlineLevel="0" collapsed="false">
      <c r="A84" s="7" t="s">
        <v>6829</v>
      </c>
      <c r="B84" s="7" t="n">
        <v>2121</v>
      </c>
      <c r="C84" s="7" t="s">
        <v>1333</v>
      </c>
      <c r="D84" s="7" t="s">
        <v>6745</v>
      </c>
      <c r="E84" s="7" t="n">
        <v>76</v>
      </c>
      <c r="F84" s="7" t="n">
        <v>-33.773372</v>
      </c>
      <c r="G84" s="7" t="n">
        <v>151.082693</v>
      </c>
    </row>
    <row r="85" customFormat="false" ht="15" hidden="false" customHeight="false" outlineLevel="0" collapsed="false">
      <c r="A85" s="7" t="s">
        <v>6830</v>
      </c>
      <c r="B85" s="7" t="n">
        <v>2116</v>
      </c>
      <c r="C85" s="7" t="s">
        <v>1333</v>
      </c>
      <c r="D85" s="7" t="s">
        <v>6751</v>
      </c>
      <c r="E85" s="7" t="n">
        <v>1139</v>
      </c>
      <c r="F85" s="7" t="n">
        <v>-33.814436</v>
      </c>
      <c r="G85" s="7" t="n">
        <v>151.055313</v>
      </c>
    </row>
    <row r="86" customFormat="false" ht="15" hidden="false" customHeight="false" outlineLevel="0" collapsed="false">
      <c r="A86" s="7" t="s">
        <v>6831</v>
      </c>
      <c r="B86" s="7" t="n">
        <v>2164</v>
      </c>
      <c r="C86" s="7" t="s">
        <v>1333</v>
      </c>
      <c r="D86" s="7" t="s">
        <v>6763</v>
      </c>
      <c r="E86" s="7" t="n">
        <v>996</v>
      </c>
      <c r="F86" s="7" t="n">
        <v>-33.86457</v>
      </c>
      <c r="G86" s="7" t="n">
        <v>150.938485</v>
      </c>
    </row>
    <row r="87" customFormat="false" ht="15" hidden="false" customHeight="false" outlineLevel="0" collapsed="false">
      <c r="A87" s="7" t="s">
        <v>6832</v>
      </c>
      <c r="B87" s="7" t="n">
        <v>2165</v>
      </c>
      <c r="C87" s="7" t="s">
        <v>1333</v>
      </c>
      <c r="D87" s="7" t="s">
        <v>6745</v>
      </c>
      <c r="E87" s="7" t="n">
        <v>116</v>
      </c>
      <c r="F87" s="7" t="n">
        <v>-33.872601</v>
      </c>
      <c r="G87" s="7" t="n">
        <v>150.955857</v>
      </c>
    </row>
    <row r="88" customFormat="false" ht="15" hidden="false" customHeight="false" outlineLevel="0" collapsed="false">
      <c r="A88" s="7" t="s">
        <v>6833</v>
      </c>
      <c r="B88" s="7" t="n">
        <v>2046</v>
      </c>
      <c r="C88" s="7" t="s">
        <v>1333</v>
      </c>
      <c r="D88" s="7" t="s">
        <v>6763</v>
      </c>
      <c r="E88" s="7" t="n">
        <v>627</v>
      </c>
      <c r="F88" s="7" t="n">
        <v>-33.86837</v>
      </c>
      <c r="G88" s="7" t="n">
        <v>151.128991</v>
      </c>
    </row>
    <row r="89" customFormat="false" ht="15" hidden="false" customHeight="false" outlineLevel="0" collapsed="false">
      <c r="A89" s="7" t="s">
        <v>6834</v>
      </c>
      <c r="B89" s="7" t="n">
        <v>2087</v>
      </c>
      <c r="C89" s="7" t="s">
        <v>1333</v>
      </c>
      <c r="D89" s="7" t="s">
        <v>6745</v>
      </c>
      <c r="E89" s="7" t="n">
        <v>226</v>
      </c>
      <c r="F89" s="7" t="n">
        <v>-33.7623167</v>
      </c>
      <c r="G89" s="7" t="n">
        <v>151.21663</v>
      </c>
    </row>
    <row r="90" customFormat="false" ht="15" hidden="false" customHeight="false" outlineLevel="0" collapsed="false">
      <c r="A90" s="7" t="s">
        <v>6835</v>
      </c>
      <c r="B90" s="7" t="n">
        <v>2086</v>
      </c>
      <c r="C90" s="7" t="s">
        <v>1333</v>
      </c>
      <c r="D90" s="7" t="s">
        <v>6751</v>
      </c>
      <c r="E90" s="7" t="n">
        <v>1096</v>
      </c>
      <c r="F90" s="7" t="n">
        <v>-33.750522</v>
      </c>
      <c r="G90" s="7" t="n">
        <v>151.225059</v>
      </c>
    </row>
    <row r="91" customFormat="false" ht="15" hidden="false" customHeight="false" outlineLevel="0" collapsed="false">
      <c r="A91" s="7" t="s">
        <v>6836</v>
      </c>
      <c r="B91" s="7" t="n">
        <v>2096</v>
      </c>
      <c r="C91" s="7" t="s">
        <v>1333</v>
      </c>
      <c r="D91" s="7" t="s">
        <v>6745</v>
      </c>
      <c r="E91" s="7" t="n">
        <v>129</v>
      </c>
      <c r="F91" s="7" t="n">
        <v>-33.7789001</v>
      </c>
      <c r="G91" s="7" t="n">
        <v>151.28528</v>
      </c>
    </row>
    <row r="92" customFormat="false" ht="15" hidden="false" customHeight="false" outlineLevel="0" collapsed="false">
      <c r="A92" s="7" t="s">
        <v>6837</v>
      </c>
      <c r="B92" s="7" t="n">
        <v>2111</v>
      </c>
      <c r="C92" s="7" t="s">
        <v>1333</v>
      </c>
      <c r="D92" s="7" t="s">
        <v>6745</v>
      </c>
      <c r="E92" s="7" t="n">
        <v>294</v>
      </c>
      <c r="F92" s="7" t="n">
        <v>-33.8304</v>
      </c>
      <c r="G92" s="7" t="n">
        <v>151.126228</v>
      </c>
    </row>
    <row r="93" customFormat="false" ht="15" hidden="false" customHeight="false" outlineLevel="0" collapsed="false">
      <c r="A93" s="7" t="s">
        <v>6838</v>
      </c>
      <c r="B93" s="7" t="n">
        <v>2167</v>
      </c>
      <c r="C93" s="7" t="s">
        <v>1333</v>
      </c>
      <c r="D93" s="7" t="s">
        <v>6745</v>
      </c>
      <c r="E93" s="7" t="n">
        <v>108</v>
      </c>
      <c r="F93" s="7" t="n">
        <v>-33.971963</v>
      </c>
      <c r="G93" s="7" t="n">
        <v>150.893875</v>
      </c>
    </row>
    <row r="94" customFormat="false" ht="15" hidden="false" customHeight="false" outlineLevel="0" collapsed="false">
      <c r="A94" s="7" t="s">
        <v>6839</v>
      </c>
      <c r="B94" s="7" t="n">
        <v>2072</v>
      </c>
      <c r="C94" s="7" t="s">
        <v>1333</v>
      </c>
      <c r="D94" s="7" t="s">
        <v>6745</v>
      </c>
      <c r="E94" s="7" t="n">
        <v>56</v>
      </c>
      <c r="F94" s="7" t="n">
        <v>-33.756332</v>
      </c>
      <c r="G94" s="7" t="n">
        <v>151.154069</v>
      </c>
    </row>
    <row r="95" customFormat="false" ht="15" hidden="false" customHeight="false" outlineLevel="0" collapsed="false">
      <c r="A95" s="7" t="s">
        <v>6840</v>
      </c>
      <c r="B95" s="7" t="n">
        <v>2161</v>
      </c>
      <c r="C95" s="7" t="s">
        <v>1333</v>
      </c>
      <c r="D95" s="7" t="s">
        <v>6751</v>
      </c>
      <c r="E95" s="7" t="n">
        <v>1181</v>
      </c>
      <c r="F95" s="7" t="n">
        <v>-33.853363</v>
      </c>
      <c r="G95" s="7" t="n">
        <v>151.008286</v>
      </c>
    </row>
    <row r="96" customFormat="false" ht="15" hidden="false" customHeight="false" outlineLevel="0" collapsed="false">
      <c r="A96" s="7" t="s">
        <v>6841</v>
      </c>
      <c r="B96" s="7" t="n">
        <v>2142</v>
      </c>
      <c r="C96" s="7" t="s">
        <v>1333</v>
      </c>
      <c r="D96" s="7" t="s">
        <v>6745</v>
      </c>
      <c r="E96" s="7" t="n">
        <v>136</v>
      </c>
      <c r="F96" s="7" t="n">
        <v>-33.833065</v>
      </c>
      <c r="G96" s="7" t="n">
        <v>151.01103</v>
      </c>
    </row>
    <row r="97" customFormat="false" ht="15" hidden="false" customHeight="false" outlineLevel="0" collapsed="false">
      <c r="A97" s="7" t="s">
        <v>6842</v>
      </c>
      <c r="B97" s="7" t="n">
        <v>2161</v>
      </c>
      <c r="C97" s="7" t="s">
        <v>1333</v>
      </c>
      <c r="D97" s="7" t="s">
        <v>6745</v>
      </c>
      <c r="E97" s="7" t="n">
        <v>99</v>
      </c>
      <c r="F97" s="7" t="n">
        <v>-33.853647</v>
      </c>
      <c r="G97" s="7" t="n">
        <v>150.984633</v>
      </c>
    </row>
    <row r="98" customFormat="false" ht="15" hidden="false" customHeight="false" outlineLevel="0" collapsed="false">
      <c r="A98" s="7" t="s">
        <v>6843</v>
      </c>
      <c r="B98" s="7" t="n">
        <v>2227</v>
      </c>
      <c r="C98" s="7" t="s">
        <v>1333</v>
      </c>
      <c r="D98" s="7" t="s">
        <v>6745</v>
      </c>
      <c r="E98" s="7" t="n">
        <v>29</v>
      </c>
      <c r="F98" s="7" t="n">
        <v>-34.034649</v>
      </c>
      <c r="G98" s="7" t="n">
        <v>151.085378</v>
      </c>
    </row>
    <row r="99" customFormat="false" ht="15" hidden="false" customHeight="false" outlineLevel="0" collapsed="false">
      <c r="A99" s="7" t="s">
        <v>6844</v>
      </c>
      <c r="B99" s="7" t="n">
        <v>2127</v>
      </c>
      <c r="C99" s="7" t="s">
        <v>1333</v>
      </c>
      <c r="D99" s="7" t="s">
        <v>6745</v>
      </c>
      <c r="E99" s="7" t="n">
        <v>238</v>
      </c>
      <c r="F99" s="7" t="n">
        <v>-33.848403</v>
      </c>
      <c r="G99" s="7" t="n">
        <v>151.068312</v>
      </c>
    </row>
    <row r="100" customFormat="false" ht="15" hidden="false" customHeight="false" outlineLevel="0" collapsed="false">
      <c r="A100" s="7" t="s">
        <v>6845</v>
      </c>
      <c r="B100" s="7" t="n">
        <v>2077</v>
      </c>
      <c r="C100" s="7" t="s">
        <v>1333</v>
      </c>
      <c r="D100" s="7" t="s">
        <v>6745</v>
      </c>
      <c r="E100" s="7" t="n">
        <v>218</v>
      </c>
      <c r="F100" s="7" t="n">
        <v>-33.702937</v>
      </c>
      <c r="G100" s="7" t="n">
        <v>151.100849</v>
      </c>
    </row>
    <row r="101" customFormat="false" ht="15" hidden="false" customHeight="false" outlineLevel="0" collapsed="false">
      <c r="A101" s="7" t="s">
        <v>6846</v>
      </c>
      <c r="B101" s="7" t="n">
        <v>2077</v>
      </c>
      <c r="C101" s="7" t="s">
        <v>1333</v>
      </c>
      <c r="D101" s="7" t="s">
        <v>6745</v>
      </c>
      <c r="E101" s="7" t="n">
        <v>77</v>
      </c>
      <c r="F101" s="7" t="n">
        <v>-33.7032515</v>
      </c>
      <c r="G101" s="7" t="n">
        <v>151.09786</v>
      </c>
    </row>
    <row r="102" customFormat="false" ht="15" hidden="false" customHeight="false" outlineLevel="0" collapsed="false">
      <c r="A102" s="7" t="s">
        <v>6847</v>
      </c>
      <c r="B102" s="7" t="n">
        <v>2220</v>
      </c>
      <c r="C102" s="7" t="s">
        <v>1333</v>
      </c>
      <c r="D102" s="7" t="s">
        <v>6745</v>
      </c>
      <c r="E102" s="7" t="n">
        <v>112</v>
      </c>
      <c r="F102" s="7" t="n">
        <v>-33.9665576</v>
      </c>
      <c r="G102" s="7" t="n">
        <v>151.1021966</v>
      </c>
    </row>
    <row r="103" customFormat="false" ht="15" hidden="false" customHeight="false" outlineLevel="0" collapsed="false">
      <c r="A103" s="7" t="s">
        <v>6848</v>
      </c>
      <c r="B103" s="7" t="n">
        <v>2220</v>
      </c>
      <c r="C103" s="7" t="s">
        <v>1333</v>
      </c>
      <c r="D103" s="7" t="s">
        <v>6745</v>
      </c>
      <c r="E103" s="7" t="n">
        <v>95</v>
      </c>
      <c r="F103" s="7" t="n">
        <v>-33.9679993</v>
      </c>
      <c r="G103" s="7" t="n">
        <v>151.1019645</v>
      </c>
    </row>
    <row r="104" customFormat="false" ht="15" hidden="false" customHeight="false" outlineLevel="0" collapsed="false">
      <c r="A104" s="7" t="s">
        <v>6849</v>
      </c>
      <c r="B104" s="7" t="n">
        <v>2565</v>
      </c>
      <c r="C104" s="7" t="s">
        <v>1333</v>
      </c>
      <c r="D104" s="7" t="s">
        <v>6745</v>
      </c>
      <c r="E104" s="7" t="n">
        <v>28</v>
      </c>
      <c r="F104" s="7" t="n">
        <v>-33.997307</v>
      </c>
      <c r="G104" s="7" t="n">
        <v>150.865061</v>
      </c>
    </row>
    <row r="105" customFormat="false" ht="15" hidden="false" customHeight="false" outlineLevel="0" collapsed="false">
      <c r="A105" s="7" t="s">
        <v>6850</v>
      </c>
      <c r="B105" s="7" t="n">
        <v>2226</v>
      </c>
      <c r="C105" s="7" t="s">
        <v>1333</v>
      </c>
      <c r="D105" s="7" t="s">
        <v>6745</v>
      </c>
      <c r="E105" s="7" t="n">
        <v>65</v>
      </c>
      <c r="F105" s="7" t="n">
        <v>-34.0155629</v>
      </c>
      <c r="G105" s="7" t="n">
        <v>151.0648395</v>
      </c>
    </row>
    <row r="106" customFormat="false" ht="15" hidden="false" customHeight="false" outlineLevel="0" collapsed="false">
      <c r="A106" s="7" t="s">
        <v>6851</v>
      </c>
      <c r="B106" s="7" t="n">
        <v>2011</v>
      </c>
      <c r="C106" s="7" t="s">
        <v>1333</v>
      </c>
      <c r="D106" s="7" t="s">
        <v>6745</v>
      </c>
      <c r="E106" s="7" t="n">
        <v>119</v>
      </c>
      <c r="F106" s="7" t="n">
        <v>-33.8750066</v>
      </c>
      <c r="G106" s="7" t="n">
        <v>151.2234911</v>
      </c>
    </row>
    <row r="107" customFormat="false" ht="15" hidden="false" customHeight="false" outlineLevel="0" collapsed="false">
      <c r="A107" s="7" t="s">
        <v>6852</v>
      </c>
      <c r="B107" s="7" t="n">
        <v>2011</v>
      </c>
      <c r="C107" s="7" t="s">
        <v>1333</v>
      </c>
      <c r="D107" s="7" t="s">
        <v>6745</v>
      </c>
      <c r="E107" s="7" t="n">
        <v>140</v>
      </c>
      <c r="F107" s="7" t="n">
        <v>-33.8733285</v>
      </c>
      <c r="G107" s="7" t="n">
        <v>151.224542</v>
      </c>
    </row>
    <row r="108" customFormat="false" ht="15" hidden="false" customHeight="false" outlineLevel="0" collapsed="false">
      <c r="A108" s="7" t="s">
        <v>6853</v>
      </c>
      <c r="B108" s="7" t="n">
        <v>2208</v>
      </c>
      <c r="C108" s="7" t="s">
        <v>1333</v>
      </c>
      <c r="D108" s="7" t="s">
        <v>6745</v>
      </c>
      <c r="E108" s="7" t="n">
        <v>64</v>
      </c>
      <c r="F108" s="7" t="n">
        <v>-33.9411524</v>
      </c>
      <c r="G108" s="7" t="n">
        <v>151.1007847</v>
      </c>
    </row>
    <row r="109" customFormat="false" ht="15" hidden="false" customHeight="false" outlineLevel="0" collapsed="false">
      <c r="A109" s="7" t="s">
        <v>6854</v>
      </c>
      <c r="B109" s="7" t="n">
        <v>2232</v>
      </c>
      <c r="C109" s="7" t="s">
        <v>1333</v>
      </c>
      <c r="D109" s="7" t="s">
        <v>6745</v>
      </c>
      <c r="E109" s="7" t="n">
        <v>50</v>
      </c>
      <c r="F109" s="7" t="n">
        <v>-34.0346219</v>
      </c>
      <c r="G109" s="7" t="n">
        <v>151.0710452</v>
      </c>
    </row>
    <row r="110" customFormat="false" ht="15" hidden="false" customHeight="false" outlineLevel="0" collapsed="false">
      <c r="A110" s="7" t="s">
        <v>6855</v>
      </c>
      <c r="B110" s="7" t="n">
        <v>2195</v>
      </c>
      <c r="C110" s="7" t="s">
        <v>1333</v>
      </c>
      <c r="D110" s="7" t="s">
        <v>6745</v>
      </c>
      <c r="E110" s="7" t="n">
        <v>60</v>
      </c>
      <c r="F110" s="7" t="n">
        <v>-33.9202366</v>
      </c>
      <c r="G110" s="7" t="n">
        <v>151.0765869</v>
      </c>
    </row>
    <row r="111" customFormat="false" ht="15" hidden="false" customHeight="false" outlineLevel="0" collapsed="false">
      <c r="A111" s="7" t="s">
        <v>6856</v>
      </c>
      <c r="B111" s="7" t="n">
        <v>2066</v>
      </c>
      <c r="C111" s="7" t="s">
        <v>1333</v>
      </c>
      <c r="D111" s="7" t="s">
        <v>6745</v>
      </c>
      <c r="E111" s="7" t="n">
        <v>72</v>
      </c>
      <c r="F111" s="7" t="n">
        <v>-33.815036</v>
      </c>
      <c r="G111" s="7" t="n">
        <v>151.169923</v>
      </c>
    </row>
    <row r="112" customFormat="false" ht="15" hidden="false" customHeight="false" outlineLevel="0" collapsed="false">
      <c r="A112" s="7" t="s">
        <v>6857</v>
      </c>
      <c r="B112" s="7" t="n">
        <v>2560</v>
      </c>
      <c r="C112" s="7" t="s">
        <v>1333</v>
      </c>
      <c r="D112" s="7" t="s">
        <v>6745</v>
      </c>
      <c r="E112" s="7" t="n">
        <v>32</v>
      </c>
      <c r="F112" s="7" t="n">
        <v>-34.051457</v>
      </c>
      <c r="G112" s="7" t="n">
        <v>150.830101</v>
      </c>
    </row>
    <row r="113" customFormat="false" ht="15" hidden="false" customHeight="false" outlineLevel="0" collapsed="false">
      <c r="A113" s="7" t="s">
        <v>6858</v>
      </c>
      <c r="B113" s="7" t="n">
        <v>2141</v>
      </c>
      <c r="C113" s="7" t="s">
        <v>1333</v>
      </c>
      <c r="D113" s="7" t="s">
        <v>6745</v>
      </c>
      <c r="E113" s="7" t="n">
        <v>193</v>
      </c>
      <c r="F113" s="7" t="n">
        <v>-33.862807</v>
      </c>
      <c r="G113" s="7" t="n">
        <v>151.043756</v>
      </c>
    </row>
    <row r="114" customFormat="false" ht="15" hidden="false" customHeight="false" outlineLevel="0" collapsed="false">
      <c r="A114" s="7" t="s">
        <v>6859</v>
      </c>
      <c r="B114" s="7" t="n">
        <v>2070</v>
      </c>
      <c r="C114" s="7" t="s">
        <v>1333</v>
      </c>
      <c r="D114" s="7" t="s">
        <v>6745</v>
      </c>
      <c r="E114" s="7" t="n">
        <v>48</v>
      </c>
      <c r="F114" s="7" t="n">
        <v>-33.775454</v>
      </c>
      <c r="G114" s="7" t="n">
        <v>151.169511</v>
      </c>
    </row>
    <row r="115" customFormat="false" ht="15" hidden="false" customHeight="false" outlineLevel="0" collapsed="false">
      <c r="A115" s="7" t="s">
        <v>6860</v>
      </c>
      <c r="B115" s="7" t="n">
        <v>2170</v>
      </c>
      <c r="C115" s="7" t="s">
        <v>1333</v>
      </c>
      <c r="D115" s="7" t="s">
        <v>6745</v>
      </c>
      <c r="E115" s="7" t="n">
        <v>48</v>
      </c>
      <c r="F115" s="7" t="n">
        <v>-33.924681</v>
      </c>
      <c r="G115" s="7" t="n">
        <v>150.927111</v>
      </c>
    </row>
    <row r="116" customFormat="false" ht="15" hidden="false" customHeight="false" outlineLevel="0" collapsed="false">
      <c r="A116" s="7" t="s">
        <v>6861</v>
      </c>
      <c r="B116" s="7" t="n">
        <v>2170</v>
      </c>
      <c r="C116" s="7" t="s">
        <v>1333</v>
      </c>
      <c r="D116" s="7" t="s">
        <v>6763</v>
      </c>
      <c r="E116" s="7" t="n">
        <v>663</v>
      </c>
      <c r="F116" s="7" t="n">
        <v>-33.919287</v>
      </c>
      <c r="G116" s="7" t="n">
        <v>150.925492</v>
      </c>
    </row>
    <row r="117" customFormat="false" ht="15" hidden="false" customHeight="false" outlineLevel="0" collapsed="false">
      <c r="A117" s="7" t="s">
        <v>6862</v>
      </c>
      <c r="B117" s="7" t="n">
        <v>2170</v>
      </c>
      <c r="C117" s="7" t="s">
        <v>1333</v>
      </c>
      <c r="D117" s="7" t="s">
        <v>6751</v>
      </c>
      <c r="E117" s="7" t="n">
        <v>1892</v>
      </c>
      <c r="F117" s="7" t="n">
        <v>-33.932094</v>
      </c>
      <c r="G117" s="7" t="n">
        <v>150.896572</v>
      </c>
    </row>
    <row r="118" customFormat="false" ht="15" hidden="false" customHeight="false" outlineLevel="0" collapsed="false">
      <c r="A118" s="7" t="s">
        <v>6863</v>
      </c>
      <c r="B118" s="7" t="n">
        <v>2113</v>
      </c>
      <c r="C118" s="7" t="s">
        <v>1333</v>
      </c>
      <c r="D118" s="7" t="s">
        <v>6745</v>
      </c>
      <c r="E118" s="7" t="n">
        <v>204</v>
      </c>
      <c r="F118" s="7" t="n">
        <v>-33.782945</v>
      </c>
      <c r="G118" s="7" t="n">
        <v>151.120588</v>
      </c>
    </row>
    <row r="119" customFormat="false" ht="15" hidden="false" customHeight="false" outlineLevel="0" collapsed="false">
      <c r="A119" s="7" t="s">
        <v>6864</v>
      </c>
      <c r="B119" s="7" t="n">
        <v>2095</v>
      </c>
      <c r="C119" s="7" t="s">
        <v>1333</v>
      </c>
      <c r="D119" s="7" t="s">
        <v>6745</v>
      </c>
      <c r="E119" s="7" t="n">
        <v>186</v>
      </c>
      <c r="F119" s="7" t="n">
        <v>-33.798663</v>
      </c>
      <c r="G119" s="7" t="n">
        <v>151.28457</v>
      </c>
    </row>
    <row r="120" customFormat="false" ht="15" hidden="false" customHeight="false" outlineLevel="0" collapsed="false">
      <c r="A120" s="7" t="s">
        <v>6865</v>
      </c>
      <c r="B120" s="7" t="n">
        <v>2095</v>
      </c>
      <c r="C120" s="7" t="s">
        <v>1333</v>
      </c>
      <c r="D120" s="7" t="s">
        <v>6763</v>
      </c>
      <c r="E120" s="7" t="n">
        <v>466</v>
      </c>
      <c r="F120" s="7" t="n">
        <v>-33.7958734</v>
      </c>
      <c r="G120" s="7" t="n">
        <v>151.2876362</v>
      </c>
    </row>
    <row r="121" customFormat="false" ht="15" hidden="false" customHeight="false" outlineLevel="0" collapsed="false">
      <c r="A121" s="7" t="s">
        <v>6866</v>
      </c>
      <c r="B121" s="7" t="n">
        <v>2035</v>
      </c>
      <c r="C121" s="7" t="s">
        <v>1333</v>
      </c>
      <c r="D121" s="7" t="s">
        <v>6745</v>
      </c>
      <c r="E121" s="7" t="n">
        <v>112</v>
      </c>
      <c r="F121" s="7" t="n">
        <v>-33.9417671</v>
      </c>
      <c r="G121" s="7" t="n">
        <v>151.2401856</v>
      </c>
    </row>
    <row r="122" customFormat="false" ht="15" hidden="false" customHeight="false" outlineLevel="0" collapsed="false">
      <c r="A122" s="7" t="s">
        <v>6867</v>
      </c>
      <c r="B122" s="7" t="n">
        <v>2204</v>
      </c>
      <c r="C122" s="7" t="s">
        <v>1333</v>
      </c>
      <c r="D122" s="7" t="s">
        <v>6745</v>
      </c>
      <c r="E122" s="7" t="n">
        <v>87</v>
      </c>
      <c r="F122" s="7" t="n">
        <v>-33.9140456</v>
      </c>
      <c r="G122" s="7" t="n">
        <v>151.1530944</v>
      </c>
    </row>
    <row r="123" customFormat="false" ht="15" hidden="false" customHeight="false" outlineLevel="0" collapsed="false">
      <c r="A123" s="7" t="s">
        <v>6868</v>
      </c>
      <c r="B123" s="7" t="n">
        <v>2020</v>
      </c>
      <c r="C123" s="7" t="s">
        <v>1333</v>
      </c>
      <c r="D123" s="7" t="s">
        <v>6745</v>
      </c>
      <c r="E123" s="7" t="n">
        <v>1</v>
      </c>
      <c r="F123" s="7" t="n">
        <v>-33.9231827</v>
      </c>
      <c r="G123" s="7" t="n">
        <v>151.1872391</v>
      </c>
    </row>
    <row r="124" customFormat="false" ht="15" hidden="false" customHeight="false" outlineLevel="0" collapsed="false">
      <c r="A124" s="7" t="s">
        <v>6869</v>
      </c>
      <c r="B124" s="7" t="n">
        <v>2234</v>
      </c>
      <c r="C124" s="7" t="s">
        <v>1333</v>
      </c>
      <c r="D124" s="7" t="s">
        <v>6745</v>
      </c>
      <c r="E124" s="7" t="n">
        <v>112</v>
      </c>
      <c r="F124" s="7" t="n">
        <v>-34.0140617</v>
      </c>
      <c r="G124" s="7" t="n">
        <v>151.0159941</v>
      </c>
    </row>
    <row r="125" customFormat="false" ht="15" hidden="false" customHeight="false" outlineLevel="0" collapsed="false">
      <c r="A125" s="7" t="s">
        <v>6870</v>
      </c>
      <c r="B125" s="7" t="n">
        <v>2170</v>
      </c>
      <c r="C125" s="7" t="s">
        <v>1333</v>
      </c>
      <c r="D125" s="7" t="s">
        <v>6751</v>
      </c>
      <c r="E125" s="7" t="n">
        <v>1336</v>
      </c>
      <c r="F125" s="7" t="n">
        <v>-33.920168</v>
      </c>
      <c r="G125" s="7" t="n">
        <v>150.883509</v>
      </c>
    </row>
    <row r="126" customFormat="false" ht="15" hidden="false" customHeight="false" outlineLevel="0" collapsed="false">
      <c r="A126" s="7" t="s">
        <v>6871</v>
      </c>
      <c r="B126" s="7" t="n">
        <v>2000</v>
      </c>
      <c r="C126" s="7" t="s">
        <v>1333</v>
      </c>
      <c r="D126" s="7" t="s">
        <v>6745</v>
      </c>
      <c r="E126" s="7" t="n">
        <v>56</v>
      </c>
      <c r="F126" s="7" t="n">
        <v>-33.855521</v>
      </c>
      <c r="G126" s="7" t="n">
        <v>151.210087</v>
      </c>
    </row>
    <row r="127" customFormat="false" ht="15" hidden="false" customHeight="false" outlineLevel="0" collapsed="false">
      <c r="A127" s="7" t="s">
        <v>6872</v>
      </c>
      <c r="B127" s="7" t="n">
        <v>2061</v>
      </c>
      <c r="C127" s="7" t="s">
        <v>1333</v>
      </c>
      <c r="D127" s="7" t="s">
        <v>6745</v>
      </c>
      <c r="E127" s="7" t="n">
        <v>63</v>
      </c>
      <c r="F127" s="7" t="n">
        <v>-33.8456542</v>
      </c>
      <c r="G127" s="7" t="n">
        <v>151.2124455</v>
      </c>
    </row>
    <row r="128" customFormat="false" ht="15" hidden="false" customHeight="false" outlineLevel="0" collapsed="false">
      <c r="A128" s="7" t="s">
        <v>6873</v>
      </c>
      <c r="B128" s="7" t="n">
        <v>2566</v>
      </c>
      <c r="C128" s="7" t="s">
        <v>1333</v>
      </c>
      <c r="D128" s="7" t="s">
        <v>6745</v>
      </c>
      <c r="E128" s="7" t="n">
        <v>26</v>
      </c>
      <c r="F128" s="7" t="n">
        <v>-34.027299</v>
      </c>
      <c r="G128" s="7" t="n">
        <v>150.842808</v>
      </c>
    </row>
    <row r="129" customFormat="false" ht="15" hidden="false" customHeight="false" outlineLevel="0" collapsed="false">
      <c r="A129" s="7" t="s">
        <v>6874</v>
      </c>
      <c r="B129" s="7" t="n">
        <v>2228</v>
      </c>
      <c r="C129" s="7" t="s">
        <v>1333</v>
      </c>
      <c r="D129" s="7" t="s">
        <v>6745</v>
      </c>
      <c r="E129" s="7" t="n">
        <v>79</v>
      </c>
      <c r="F129" s="7" t="n">
        <v>-34.035689</v>
      </c>
      <c r="G129" s="7" t="n">
        <v>151.102541</v>
      </c>
    </row>
    <row r="130" customFormat="false" ht="15" hidden="false" customHeight="false" outlineLevel="0" collapsed="false">
      <c r="A130" s="7" t="s">
        <v>6875</v>
      </c>
      <c r="B130" s="7" t="n">
        <v>2103</v>
      </c>
      <c r="C130" s="7" t="s">
        <v>1333</v>
      </c>
      <c r="D130" s="7" t="s">
        <v>6745</v>
      </c>
      <c r="E130" s="7" t="n">
        <v>96</v>
      </c>
      <c r="F130" s="7" t="n">
        <v>-33.67697</v>
      </c>
      <c r="G130" s="7" t="n">
        <v>151.303657</v>
      </c>
    </row>
    <row r="131" customFormat="false" ht="15" hidden="false" customHeight="false" outlineLevel="0" collapsed="false">
      <c r="A131" s="7" t="s">
        <v>6876</v>
      </c>
      <c r="B131" s="7" t="n">
        <v>2170</v>
      </c>
      <c r="C131" s="7" t="s">
        <v>1333</v>
      </c>
      <c r="D131" s="7" t="s">
        <v>6763</v>
      </c>
      <c r="E131" s="7" t="n">
        <v>598</v>
      </c>
      <c r="F131" s="7" t="n">
        <v>-33.933179</v>
      </c>
      <c r="G131" s="7" t="n">
        <v>150.948671</v>
      </c>
    </row>
    <row r="132" customFormat="false" ht="15" hidden="false" customHeight="false" outlineLevel="0" collapsed="false">
      <c r="A132" s="7" t="s">
        <v>6877</v>
      </c>
      <c r="B132" s="7" t="n">
        <v>2223</v>
      </c>
      <c r="C132" s="7" t="s">
        <v>1333</v>
      </c>
      <c r="D132" s="7" t="s">
        <v>6745</v>
      </c>
      <c r="E132" s="7" t="n">
        <v>83</v>
      </c>
      <c r="F132" s="7" t="n">
        <v>-33.971041</v>
      </c>
      <c r="G132" s="7" t="n">
        <v>151.080568</v>
      </c>
    </row>
    <row r="133" customFormat="false" ht="15" hidden="false" customHeight="false" outlineLevel="0" collapsed="false">
      <c r="A133" s="7" t="s">
        <v>6878</v>
      </c>
      <c r="B133" s="7" t="n">
        <v>2770</v>
      </c>
      <c r="C133" s="7" t="s">
        <v>1333</v>
      </c>
      <c r="D133" s="7" t="s">
        <v>6745</v>
      </c>
      <c r="E133" s="7" t="n">
        <v>62</v>
      </c>
      <c r="F133" s="7" t="n">
        <v>-33.769166</v>
      </c>
      <c r="G133" s="7" t="n">
        <v>150.820301</v>
      </c>
    </row>
    <row r="134" customFormat="false" ht="15" hidden="false" customHeight="false" outlineLevel="0" collapsed="false">
      <c r="A134" s="7" t="s">
        <v>6879</v>
      </c>
      <c r="B134" s="7" t="n">
        <v>2101</v>
      </c>
      <c r="C134" s="7" t="s">
        <v>1333</v>
      </c>
      <c r="D134" s="7" t="s">
        <v>6745</v>
      </c>
      <c r="E134" s="7" t="n">
        <v>25</v>
      </c>
      <c r="F134" s="7" t="n">
        <v>-33.713984</v>
      </c>
      <c r="G134" s="7" t="n">
        <v>151.297182</v>
      </c>
    </row>
    <row r="135" customFormat="false" ht="15" hidden="false" customHeight="false" outlineLevel="0" collapsed="false">
      <c r="A135" s="7" t="s">
        <v>6880</v>
      </c>
      <c r="B135" s="7" t="n">
        <v>2089</v>
      </c>
      <c r="C135" s="7" t="s">
        <v>1333</v>
      </c>
      <c r="D135" s="7" t="s">
        <v>6745</v>
      </c>
      <c r="E135" s="7" t="n">
        <v>122</v>
      </c>
      <c r="F135" s="7" t="n">
        <v>-33.832034</v>
      </c>
      <c r="G135" s="7" t="n">
        <v>151.22398</v>
      </c>
    </row>
    <row r="136" customFormat="false" ht="15" hidden="false" customHeight="false" outlineLevel="0" collapsed="false">
      <c r="A136" s="7" t="s">
        <v>6881</v>
      </c>
      <c r="B136" s="7" t="n">
        <v>2042</v>
      </c>
      <c r="C136" s="7" t="s">
        <v>1333</v>
      </c>
      <c r="D136" s="7" t="s">
        <v>6745</v>
      </c>
      <c r="E136" s="7" t="n">
        <v>197</v>
      </c>
      <c r="F136" s="7" t="n">
        <v>-33.8960721</v>
      </c>
      <c r="G136" s="7" t="n">
        <v>151.1806939</v>
      </c>
    </row>
    <row r="137" customFormat="false" ht="15" hidden="false" customHeight="false" outlineLevel="0" collapsed="false">
      <c r="A137" s="7" t="s">
        <v>6882</v>
      </c>
      <c r="B137" s="7" t="n">
        <v>2113</v>
      </c>
      <c r="C137" s="7" t="s">
        <v>1333</v>
      </c>
      <c r="D137" s="7" t="s">
        <v>6745</v>
      </c>
      <c r="E137" s="7" t="n">
        <v>167</v>
      </c>
      <c r="F137" s="7" t="n">
        <v>-33.776285</v>
      </c>
      <c r="G137" s="7" t="n">
        <v>151.119471</v>
      </c>
    </row>
    <row r="138" customFormat="false" ht="15" hidden="false" customHeight="false" outlineLevel="0" collapsed="false">
      <c r="A138" s="7" t="s">
        <v>6883</v>
      </c>
      <c r="B138" s="7" t="n">
        <v>2113</v>
      </c>
      <c r="C138" s="7" t="s">
        <v>1333</v>
      </c>
      <c r="D138" s="7" t="s">
        <v>6745</v>
      </c>
      <c r="E138" s="7" t="n">
        <v>108</v>
      </c>
      <c r="F138" s="7" t="n">
        <v>-33.772743</v>
      </c>
      <c r="G138" s="7" t="n">
        <v>151.117075</v>
      </c>
    </row>
    <row r="139" customFormat="false" ht="15" hidden="false" customHeight="false" outlineLevel="0" collapsed="false">
      <c r="A139" s="7" t="s">
        <v>6884</v>
      </c>
      <c r="B139" s="7" t="n">
        <v>2060</v>
      </c>
      <c r="C139" s="7" t="s">
        <v>1333</v>
      </c>
      <c r="D139" s="7" t="s">
        <v>6745</v>
      </c>
      <c r="E139" s="7" t="n">
        <v>67</v>
      </c>
      <c r="F139" s="7" t="n">
        <v>-33.8410318</v>
      </c>
      <c r="G139" s="7" t="n">
        <v>151.208103</v>
      </c>
    </row>
    <row r="140" customFormat="false" ht="15" hidden="false" customHeight="false" outlineLevel="0" collapsed="false">
      <c r="A140" s="7" t="s">
        <v>6885</v>
      </c>
      <c r="B140" s="7" t="n">
        <v>2060</v>
      </c>
      <c r="C140" s="7" t="s">
        <v>1333</v>
      </c>
      <c r="D140" s="7" t="s">
        <v>6745</v>
      </c>
      <c r="E140" s="7" t="n">
        <v>133</v>
      </c>
      <c r="F140" s="7" t="n">
        <v>-33.834958</v>
      </c>
      <c r="G140" s="7" t="n">
        <v>151.208611</v>
      </c>
    </row>
    <row r="141" customFormat="false" ht="15" hidden="false" customHeight="false" outlineLevel="0" collapsed="false">
      <c r="A141" s="7" t="s">
        <v>6886</v>
      </c>
      <c r="B141" s="7" t="n">
        <v>2060</v>
      </c>
      <c r="C141" s="7" t="s">
        <v>1333</v>
      </c>
      <c r="D141" s="7" t="s">
        <v>6745</v>
      </c>
      <c r="E141" s="7" t="n">
        <v>78</v>
      </c>
      <c r="F141" s="7" t="n">
        <v>-33.837124</v>
      </c>
      <c r="G141" s="7" t="n">
        <v>151.207244</v>
      </c>
    </row>
    <row r="142" customFormat="false" ht="15" hidden="false" customHeight="false" outlineLevel="0" collapsed="false">
      <c r="A142" s="7" t="s">
        <v>6887</v>
      </c>
      <c r="B142" s="7" t="n">
        <v>2211</v>
      </c>
      <c r="C142" s="7" t="s">
        <v>1333</v>
      </c>
      <c r="D142" s="7" t="s">
        <v>6745</v>
      </c>
      <c r="E142" s="7" t="n">
        <v>146</v>
      </c>
      <c r="F142" s="7" t="n">
        <v>-33.9522328</v>
      </c>
      <c r="G142" s="7" t="n">
        <v>151.0310296</v>
      </c>
    </row>
    <row r="143" customFormat="false" ht="15" hidden="false" customHeight="false" outlineLevel="0" collapsed="false">
      <c r="A143" s="7" t="s">
        <v>6888</v>
      </c>
      <c r="B143" s="7" t="n">
        <v>2150</v>
      </c>
      <c r="C143" s="7" t="s">
        <v>1333</v>
      </c>
      <c r="D143" s="7" t="s">
        <v>6745</v>
      </c>
      <c r="E143" s="7" t="n">
        <v>89</v>
      </c>
      <c r="F143" s="7" t="n">
        <v>-33.814634</v>
      </c>
      <c r="G143" s="7" t="n">
        <v>151.00933</v>
      </c>
    </row>
    <row r="144" customFormat="false" ht="15" hidden="false" customHeight="false" outlineLevel="0" collapsed="false">
      <c r="A144" s="7" t="s">
        <v>6889</v>
      </c>
      <c r="B144" s="7" t="n">
        <v>2150</v>
      </c>
      <c r="C144" s="7" t="s">
        <v>1333</v>
      </c>
      <c r="D144" s="7" t="s">
        <v>6745</v>
      </c>
      <c r="E144" s="7" t="n">
        <v>86</v>
      </c>
      <c r="F144" s="7" t="n">
        <v>-33.810455</v>
      </c>
      <c r="G144" s="7" t="n">
        <v>151.004644</v>
      </c>
    </row>
    <row r="145" customFormat="false" ht="15" hidden="false" customHeight="false" outlineLevel="0" collapsed="false">
      <c r="A145" s="7" t="s">
        <v>6890</v>
      </c>
      <c r="B145" s="7" t="n">
        <v>2150</v>
      </c>
      <c r="C145" s="7" t="s">
        <v>1333</v>
      </c>
      <c r="D145" s="7" t="s">
        <v>6745</v>
      </c>
      <c r="E145" s="7" t="n">
        <v>92</v>
      </c>
      <c r="F145" s="7" t="n">
        <v>-33.81799</v>
      </c>
      <c r="G145" s="7" t="n">
        <v>151.004671</v>
      </c>
    </row>
    <row r="146" customFormat="false" ht="15" hidden="false" customHeight="false" outlineLevel="0" collapsed="false">
      <c r="A146" s="7" t="s">
        <v>6891</v>
      </c>
      <c r="B146" s="7" t="n">
        <v>2150</v>
      </c>
      <c r="C146" s="7" t="s">
        <v>1333</v>
      </c>
      <c r="D146" s="7" t="s">
        <v>6745</v>
      </c>
      <c r="E146" s="7" t="n">
        <v>81</v>
      </c>
      <c r="F146" s="7" t="n">
        <v>-33.813387</v>
      </c>
      <c r="G146" s="7" t="n">
        <v>151.002916</v>
      </c>
    </row>
    <row r="147" customFormat="false" ht="15" hidden="false" customHeight="false" outlineLevel="0" collapsed="false">
      <c r="A147" s="7" t="s">
        <v>6892</v>
      </c>
      <c r="B147" s="7" t="n">
        <v>2150</v>
      </c>
      <c r="C147" s="7" t="s">
        <v>1333</v>
      </c>
      <c r="D147" s="7" t="s">
        <v>6745</v>
      </c>
      <c r="E147" s="7" t="n">
        <v>45</v>
      </c>
      <c r="F147" s="7" t="n">
        <v>-33.814591</v>
      </c>
      <c r="G147" s="7" t="n">
        <v>151.001013</v>
      </c>
    </row>
    <row r="148" customFormat="false" ht="15" hidden="false" customHeight="false" outlineLevel="0" collapsed="false">
      <c r="A148" s="7" t="s">
        <v>6893</v>
      </c>
      <c r="B148" s="7" t="n">
        <v>2150</v>
      </c>
      <c r="C148" s="7" t="s">
        <v>1333</v>
      </c>
      <c r="D148" s="7" t="s">
        <v>6745</v>
      </c>
      <c r="E148" s="7" t="n">
        <v>100</v>
      </c>
      <c r="F148" s="7" t="n">
        <v>-33.812423</v>
      </c>
      <c r="G148" s="7" t="n">
        <v>151.004495</v>
      </c>
    </row>
    <row r="149" customFormat="false" ht="15" hidden="false" customHeight="false" outlineLevel="0" collapsed="false">
      <c r="A149" s="7" t="s">
        <v>6894</v>
      </c>
      <c r="B149" s="7" t="n">
        <v>2150</v>
      </c>
      <c r="C149" s="7" t="s">
        <v>1333</v>
      </c>
      <c r="D149" s="7" t="s">
        <v>6745</v>
      </c>
      <c r="E149" s="7" t="n">
        <v>161</v>
      </c>
      <c r="F149" s="7" t="n">
        <v>-33.808098</v>
      </c>
      <c r="G149" s="7" t="n">
        <v>151.00397</v>
      </c>
    </row>
    <row r="150" customFormat="false" ht="15" hidden="false" customHeight="false" outlineLevel="0" collapsed="false">
      <c r="A150" s="7" t="s">
        <v>6895</v>
      </c>
      <c r="B150" s="7" t="n">
        <v>2151</v>
      </c>
      <c r="C150" s="7" t="s">
        <v>1333</v>
      </c>
      <c r="D150" s="7" t="s">
        <v>6763</v>
      </c>
      <c r="E150" s="7" t="n">
        <v>342</v>
      </c>
      <c r="F150" s="7" t="n">
        <v>-33.797777</v>
      </c>
      <c r="G150" s="7" t="n">
        <v>151.00516</v>
      </c>
    </row>
    <row r="151" customFormat="false" ht="15" hidden="false" customHeight="false" outlineLevel="0" collapsed="false">
      <c r="A151" s="7" t="s">
        <v>6896</v>
      </c>
      <c r="B151" s="7" t="n">
        <v>2145</v>
      </c>
      <c r="C151" s="7" t="s">
        <v>1333</v>
      </c>
      <c r="D151" s="7" t="s">
        <v>6745</v>
      </c>
      <c r="E151" s="7" t="n">
        <v>52</v>
      </c>
      <c r="F151" s="7" t="n">
        <v>-33.801803</v>
      </c>
      <c r="G151" s="7" t="n">
        <v>150.956233</v>
      </c>
    </row>
    <row r="152" customFormat="false" ht="15" hidden="false" customHeight="false" outlineLevel="0" collapsed="false">
      <c r="A152" s="7" t="s">
        <v>6897</v>
      </c>
      <c r="B152" s="7" t="n">
        <v>2120</v>
      </c>
      <c r="C152" s="7" t="s">
        <v>1333</v>
      </c>
      <c r="D152" s="7" t="s">
        <v>6745</v>
      </c>
      <c r="E152" s="7" t="n">
        <v>69</v>
      </c>
      <c r="F152" s="7" t="n">
        <v>-33.737637</v>
      </c>
      <c r="G152" s="7" t="n">
        <v>151.071881</v>
      </c>
    </row>
    <row r="153" customFormat="false" ht="15" hidden="false" customHeight="false" outlineLevel="0" collapsed="false">
      <c r="A153" s="7" t="s">
        <v>6898</v>
      </c>
      <c r="B153" s="7" t="n">
        <v>2750</v>
      </c>
      <c r="C153" s="7" t="s">
        <v>1333</v>
      </c>
      <c r="D153" s="7" t="s">
        <v>6745</v>
      </c>
      <c r="E153" s="7" t="n">
        <v>49</v>
      </c>
      <c r="F153" s="7" t="n">
        <v>-33.756916</v>
      </c>
      <c r="G153" s="7" t="n">
        <v>150.68481</v>
      </c>
    </row>
    <row r="154" customFormat="false" ht="15" hidden="false" customHeight="false" outlineLevel="0" collapsed="false">
      <c r="A154" s="7" t="s">
        <v>6899</v>
      </c>
      <c r="B154" s="7" t="n">
        <v>2750</v>
      </c>
      <c r="C154" s="7" t="s">
        <v>1333</v>
      </c>
      <c r="D154" s="7" t="s">
        <v>6745</v>
      </c>
      <c r="E154" s="7" t="n">
        <v>97</v>
      </c>
      <c r="F154" s="7" t="n">
        <v>-33.750436</v>
      </c>
      <c r="G154" s="7" t="n">
        <v>150.695121</v>
      </c>
    </row>
    <row r="155" customFormat="false" ht="15" hidden="false" customHeight="false" outlineLevel="0" collapsed="false">
      <c r="A155" s="7" t="s">
        <v>6900</v>
      </c>
      <c r="B155" s="7" t="n">
        <v>2750</v>
      </c>
      <c r="C155" s="7" t="s">
        <v>1333</v>
      </c>
      <c r="D155" s="7" t="s">
        <v>6745</v>
      </c>
      <c r="E155" s="7" t="n">
        <v>183</v>
      </c>
      <c r="F155" s="7" t="n">
        <v>-33.756649</v>
      </c>
      <c r="G155" s="7" t="n">
        <v>150.69272</v>
      </c>
    </row>
    <row r="156" customFormat="false" ht="15" hidden="false" customHeight="false" outlineLevel="0" collapsed="false">
      <c r="A156" s="7" t="s">
        <v>6901</v>
      </c>
      <c r="B156" s="7" t="n">
        <v>2222</v>
      </c>
      <c r="C156" s="7" t="s">
        <v>1333</v>
      </c>
      <c r="D156" s="7" t="s">
        <v>6745</v>
      </c>
      <c r="E156" s="7" t="n">
        <v>40</v>
      </c>
      <c r="F156" s="7" t="n">
        <v>-33.9658061</v>
      </c>
      <c r="G156" s="7" t="n">
        <v>151.0892047</v>
      </c>
    </row>
    <row r="157" customFormat="false" ht="15" hidden="false" customHeight="false" outlineLevel="0" collapsed="false">
      <c r="A157" s="7" t="s">
        <v>6902</v>
      </c>
      <c r="B157" s="7" t="n">
        <v>2196</v>
      </c>
      <c r="C157" s="7" t="s">
        <v>1333</v>
      </c>
      <c r="D157" s="7" t="s">
        <v>6745</v>
      </c>
      <c r="E157" s="7" t="n">
        <v>75</v>
      </c>
      <c r="F157" s="7" t="n">
        <v>-33.926037</v>
      </c>
      <c r="G157" s="7" t="n">
        <v>151.055694</v>
      </c>
    </row>
    <row r="158" customFormat="false" ht="15" hidden="false" customHeight="false" outlineLevel="0" collapsed="false">
      <c r="A158" s="7" t="s">
        <v>6903</v>
      </c>
      <c r="B158" s="7" t="n">
        <v>2073</v>
      </c>
      <c r="C158" s="7" t="s">
        <v>1333</v>
      </c>
      <c r="D158" s="7" t="s">
        <v>6745</v>
      </c>
      <c r="E158" s="7" t="n">
        <v>28</v>
      </c>
      <c r="F158" s="7" t="n">
        <v>-33.744688</v>
      </c>
      <c r="G158" s="7" t="n">
        <v>151.142434</v>
      </c>
    </row>
    <row r="159" customFormat="false" ht="15" hidden="false" customHeight="false" outlineLevel="0" collapsed="false">
      <c r="A159" s="7" t="s">
        <v>6904</v>
      </c>
      <c r="B159" s="7" t="n">
        <v>2218</v>
      </c>
      <c r="C159" s="7" t="s">
        <v>1333</v>
      </c>
      <c r="D159" s="7" t="s">
        <v>6751</v>
      </c>
      <c r="E159" s="7" t="n">
        <v>2059</v>
      </c>
      <c r="F159" s="7" t="n">
        <v>-33.983744</v>
      </c>
      <c r="G159" s="7" t="n">
        <v>151.13659</v>
      </c>
    </row>
    <row r="160" customFormat="false" ht="15" hidden="false" customHeight="false" outlineLevel="0" collapsed="false">
      <c r="A160" s="7" t="s">
        <v>6905</v>
      </c>
      <c r="B160" s="7" t="n">
        <v>2015</v>
      </c>
      <c r="C160" s="7" t="s">
        <v>1333</v>
      </c>
      <c r="D160" s="7" t="s">
        <v>6745</v>
      </c>
      <c r="E160" s="7" t="n">
        <v>85</v>
      </c>
      <c r="F160" s="7" t="n">
        <v>-33.892624</v>
      </c>
      <c r="G160" s="7" t="n">
        <v>151.19935</v>
      </c>
    </row>
    <row r="161" customFormat="false" ht="15" hidden="false" customHeight="false" outlineLevel="0" collapsed="false">
      <c r="A161" s="7" t="s">
        <v>6906</v>
      </c>
      <c r="B161" s="7" t="n">
        <v>2212</v>
      </c>
      <c r="C161" s="7" t="s">
        <v>1333</v>
      </c>
      <c r="D161" s="7" t="s">
        <v>6745</v>
      </c>
      <c r="E161" s="7" t="n">
        <v>47</v>
      </c>
      <c r="F161" s="7" t="n">
        <v>-33.95274</v>
      </c>
      <c r="G161" s="7" t="n">
        <v>151.015214</v>
      </c>
    </row>
    <row r="162" customFormat="false" ht="15" hidden="false" customHeight="false" outlineLevel="0" collapsed="false">
      <c r="A162" s="7" t="s">
        <v>6907</v>
      </c>
      <c r="B162" s="7" t="n">
        <v>2138</v>
      </c>
      <c r="C162" s="7" t="s">
        <v>1333</v>
      </c>
      <c r="D162" s="7" t="s">
        <v>6745</v>
      </c>
      <c r="E162" s="7" t="n">
        <v>192</v>
      </c>
      <c r="F162" s="7" t="n">
        <v>-33.833751</v>
      </c>
      <c r="G162" s="7" t="n">
        <v>151.085366</v>
      </c>
    </row>
    <row r="163" customFormat="false" ht="15" hidden="false" customHeight="false" outlineLevel="0" collapsed="false">
      <c r="A163" s="7" t="s">
        <v>6908</v>
      </c>
      <c r="B163" s="7" t="n">
        <v>2753</v>
      </c>
      <c r="C163" s="7" t="s">
        <v>1333</v>
      </c>
      <c r="D163" s="7" t="s">
        <v>6745</v>
      </c>
      <c r="E163" s="7" t="n">
        <v>101</v>
      </c>
      <c r="F163" s="7" t="n">
        <v>-33.598748</v>
      </c>
      <c r="G163" s="7" t="n">
        <v>150.752213</v>
      </c>
    </row>
    <row r="164" customFormat="false" ht="15" hidden="false" customHeight="false" outlineLevel="0" collapsed="false">
      <c r="A164" s="7" t="s">
        <v>6909</v>
      </c>
      <c r="B164" s="7" t="n">
        <v>2765</v>
      </c>
      <c r="C164" s="7" t="s">
        <v>1333</v>
      </c>
      <c r="D164" s="7" t="s">
        <v>6745</v>
      </c>
      <c r="E164" s="7" t="n">
        <v>19</v>
      </c>
      <c r="F164" s="7" t="n">
        <v>-33.679044</v>
      </c>
      <c r="G164" s="7" t="n">
        <v>150.860476</v>
      </c>
    </row>
    <row r="165" customFormat="false" ht="15" hidden="false" customHeight="false" outlineLevel="0" collapsed="false">
      <c r="A165" s="7" t="s">
        <v>6910</v>
      </c>
      <c r="B165" s="7" t="n">
        <v>2210</v>
      </c>
      <c r="C165" s="7" t="s">
        <v>1333</v>
      </c>
      <c r="D165" s="7" t="s">
        <v>6745</v>
      </c>
      <c r="E165" s="7" t="n">
        <v>64</v>
      </c>
      <c r="F165" s="7" t="n">
        <v>-33.9520943</v>
      </c>
      <c r="G165" s="7" t="n">
        <v>151.0522144</v>
      </c>
    </row>
    <row r="166" customFormat="false" ht="15" hidden="false" customHeight="false" outlineLevel="0" collapsed="false">
      <c r="A166" s="7" t="s">
        <v>6911</v>
      </c>
      <c r="B166" s="7" t="n">
        <v>2216</v>
      </c>
      <c r="C166" s="7" t="s">
        <v>1333</v>
      </c>
      <c r="D166" s="7" t="s">
        <v>6745</v>
      </c>
      <c r="E166" s="7" t="n">
        <v>77</v>
      </c>
      <c r="F166" s="7" t="n">
        <v>-33.9518157</v>
      </c>
      <c r="G166" s="7" t="n">
        <v>151.1360321</v>
      </c>
    </row>
    <row r="167" customFormat="false" ht="15" hidden="false" customHeight="false" outlineLevel="0" collapsed="false">
      <c r="A167" s="7" t="s">
        <v>6912</v>
      </c>
      <c r="B167" s="7" t="n">
        <v>2216</v>
      </c>
      <c r="C167" s="7" t="s">
        <v>1333</v>
      </c>
      <c r="D167" s="7" t="s">
        <v>6745</v>
      </c>
      <c r="E167" s="7" t="n">
        <v>229</v>
      </c>
      <c r="F167" s="7" t="n">
        <v>-33.9526305</v>
      </c>
      <c r="G167" s="7" t="n">
        <v>151.1391714</v>
      </c>
    </row>
    <row r="168" customFormat="false" ht="15" hidden="false" customHeight="false" outlineLevel="0" collapsed="false">
      <c r="A168" s="7" t="s">
        <v>6913</v>
      </c>
      <c r="B168" s="7" t="n">
        <v>2142</v>
      </c>
      <c r="C168" s="7" t="s">
        <v>1333</v>
      </c>
      <c r="D168" s="7" t="s">
        <v>6745</v>
      </c>
      <c r="E168" s="7" t="n">
        <v>77</v>
      </c>
      <c r="F168" s="7" t="n">
        <v>-33.8191563</v>
      </c>
      <c r="G168" s="7" t="n">
        <v>151.0207245</v>
      </c>
    </row>
    <row r="169" customFormat="false" ht="15" hidden="false" customHeight="false" outlineLevel="0" collapsed="false">
      <c r="A169" s="7" t="s">
        <v>6914</v>
      </c>
      <c r="B169" s="7" t="n">
        <v>2142</v>
      </c>
      <c r="C169" s="7" t="s">
        <v>1333</v>
      </c>
      <c r="D169" s="7" t="s">
        <v>6763</v>
      </c>
      <c r="E169" s="7" t="n">
        <v>472</v>
      </c>
      <c r="F169" s="7" t="n">
        <v>-33.823879</v>
      </c>
      <c r="G169" s="7" t="n">
        <v>151.020489</v>
      </c>
    </row>
    <row r="170" customFormat="false" ht="15" hidden="false" customHeight="false" outlineLevel="0" collapsed="false">
      <c r="A170" s="7" t="s">
        <v>6915</v>
      </c>
      <c r="B170" s="7" t="n">
        <v>2196</v>
      </c>
      <c r="C170" s="7" t="s">
        <v>1333</v>
      </c>
      <c r="D170" s="7" t="s">
        <v>6745</v>
      </c>
      <c r="E170" s="7" t="n">
        <v>134</v>
      </c>
      <c r="F170" s="7" t="n">
        <v>-33.935302</v>
      </c>
      <c r="G170" s="7" t="n">
        <v>151.069983</v>
      </c>
    </row>
    <row r="171" customFormat="false" ht="15" hidden="false" customHeight="false" outlineLevel="0" collapsed="false">
      <c r="A171" s="7" t="s">
        <v>6916</v>
      </c>
      <c r="B171" s="7" t="n">
        <v>2069</v>
      </c>
      <c r="C171" s="7" t="s">
        <v>1333</v>
      </c>
      <c r="D171" s="7" t="s">
        <v>6745</v>
      </c>
      <c r="E171" s="7" t="n">
        <v>90</v>
      </c>
      <c r="F171" s="7" t="n">
        <v>-33.7845207</v>
      </c>
      <c r="G171" s="7" t="n">
        <v>151.178175</v>
      </c>
    </row>
    <row r="172" customFormat="false" ht="15" hidden="false" customHeight="false" outlineLevel="0" collapsed="false">
      <c r="A172" s="7" t="s">
        <v>6917</v>
      </c>
      <c r="B172" s="7" t="n">
        <v>2155</v>
      </c>
      <c r="C172" s="7" t="s">
        <v>1333</v>
      </c>
      <c r="D172" s="7" t="s">
        <v>6745</v>
      </c>
      <c r="E172" s="7" t="n">
        <v>38</v>
      </c>
      <c r="F172" s="7" t="n">
        <v>-33.692089</v>
      </c>
      <c r="G172" s="7" t="n">
        <v>150.924694</v>
      </c>
    </row>
    <row r="173" customFormat="false" ht="15" hidden="false" customHeight="false" outlineLevel="0" collapsed="false">
      <c r="A173" s="7" t="s">
        <v>6918</v>
      </c>
      <c r="B173" s="7" t="n">
        <v>2027</v>
      </c>
      <c r="C173" s="7" t="s">
        <v>1333</v>
      </c>
      <c r="D173" s="7" t="s">
        <v>6745</v>
      </c>
      <c r="E173" s="7" t="n">
        <v>282</v>
      </c>
      <c r="F173" s="7" t="n">
        <v>-33.876026</v>
      </c>
      <c r="G173" s="7" t="n">
        <v>151.229102</v>
      </c>
    </row>
    <row r="174" customFormat="false" ht="15" hidden="false" customHeight="false" outlineLevel="0" collapsed="false">
      <c r="A174" s="7" t="s">
        <v>6919</v>
      </c>
      <c r="B174" s="7" t="n">
        <v>2112</v>
      </c>
      <c r="C174" s="7" t="s">
        <v>1333</v>
      </c>
      <c r="D174" s="7" t="s">
        <v>6745</v>
      </c>
      <c r="E174" s="7" t="n">
        <v>148</v>
      </c>
      <c r="F174" s="7" t="n">
        <v>-33.81111</v>
      </c>
      <c r="G174" s="7" t="n">
        <v>151.106634</v>
      </c>
    </row>
    <row r="175" customFormat="false" ht="15" hidden="false" customHeight="false" outlineLevel="0" collapsed="false">
      <c r="A175" s="7" t="s">
        <v>6920</v>
      </c>
      <c r="B175" s="7" t="n">
        <v>2114</v>
      </c>
      <c r="C175" s="7" t="s">
        <v>1333</v>
      </c>
      <c r="D175" s="7" t="s">
        <v>6763</v>
      </c>
      <c r="E175" s="7" t="n">
        <v>578</v>
      </c>
      <c r="F175" s="7" t="n">
        <v>-33.795419</v>
      </c>
      <c r="G175" s="7" t="n">
        <v>151.09071</v>
      </c>
    </row>
    <row r="176" customFormat="false" ht="15" hidden="false" customHeight="false" outlineLevel="0" collapsed="false">
      <c r="A176" s="7" t="s">
        <v>6921</v>
      </c>
      <c r="B176" s="7" t="n">
        <v>2093</v>
      </c>
      <c r="C176" s="7" t="s">
        <v>1333</v>
      </c>
      <c r="D176" s="7" t="s">
        <v>6763</v>
      </c>
      <c r="E176" s="7" t="n">
        <v>559</v>
      </c>
      <c r="F176" s="7" t="n">
        <v>-33.7975899</v>
      </c>
      <c r="G176" s="7" t="n">
        <v>151.250552</v>
      </c>
    </row>
    <row r="177" customFormat="false" ht="15" hidden="false" customHeight="false" outlineLevel="0" collapsed="false">
      <c r="A177" s="7" t="s">
        <v>6922</v>
      </c>
      <c r="B177" s="7" t="n">
        <v>2147</v>
      </c>
      <c r="C177" s="7" t="s">
        <v>1333</v>
      </c>
      <c r="D177" s="7" t="s">
        <v>6745</v>
      </c>
      <c r="E177" s="7" t="n">
        <v>67</v>
      </c>
      <c r="F177" s="7" t="n">
        <v>-33.775324</v>
      </c>
      <c r="G177" s="7" t="n">
        <v>150.932631</v>
      </c>
    </row>
    <row r="178" customFormat="false" ht="15" hidden="false" customHeight="false" outlineLevel="0" collapsed="false">
      <c r="A178" s="7" t="s">
        <v>5763</v>
      </c>
      <c r="B178" s="7" t="n">
        <v>2147</v>
      </c>
      <c r="C178" s="7" t="s">
        <v>1333</v>
      </c>
      <c r="D178" s="7" t="s">
        <v>6745</v>
      </c>
      <c r="E178" s="7" t="n">
        <v>93</v>
      </c>
      <c r="F178" s="7" t="n">
        <v>-33.773658</v>
      </c>
      <c r="G178" s="7" t="n">
        <v>150.936141</v>
      </c>
    </row>
    <row r="179" customFormat="false" ht="15" hidden="false" customHeight="false" outlineLevel="0" collapsed="false">
      <c r="A179" s="7" t="s">
        <v>6923</v>
      </c>
      <c r="B179" s="7" t="n">
        <v>2065</v>
      </c>
      <c r="C179" s="7" t="s">
        <v>1333</v>
      </c>
      <c r="D179" s="7" t="s">
        <v>6745</v>
      </c>
      <c r="E179" s="7" t="n">
        <v>206</v>
      </c>
      <c r="F179" s="7" t="n">
        <v>-33.823151</v>
      </c>
      <c r="G179" s="7" t="n">
        <v>151.192091</v>
      </c>
    </row>
    <row r="180" customFormat="false" ht="15" hidden="false" customHeight="false" outlineLevel="0" collapsed="false">
      <c r="A180" s="7" t="s">
        <v>6924</v>
      </c>
      <c r="B180" s="7" t="n">
        <v>2760</v>
      </c>
      <c r="C180" s="7" t="s">
        <v>1333</v>
      </c>
      <c r="D180" s="7" t="s">
        <v>6745</v>
      </c>
      <c r="E180" s="7" t="n">
        <v>96</v>
      </c>
      <c r="F180" s="7" t="n">
        <v>-33.762675</v>
      </c>
      <c r="G180" s="7" t="n">
        <v>150.775118</v>
      </c>
    </row>
    <row r="181" customFormat="false" ht="15" hidden="false" customHeight="false" outlineLevel="0" collapsed="false">
      <c r="A181" s="7" t="s">
        <v>6925</v>
      </c>
      <c r="B181" s="7" t="n">
        <v>2164</v>
      </c>
      <c r="C181" s="7" t="s">
        <v>1333</v>
      </c>
      <c r="D181" s="7" t="s">
        <v>6763</v>
      </c>
      <c r="E181" s="7" t="n">
        <v>350</v>
      </c>
      <c r="F181" s="7" t="n">
        <v>-33.853416</v>
      </c>
      <c r="G181" s="7" t="n">
        <v>150.939817</v>
      </c>
    </row>
    <row r="182" customFormat="false" ht="15" hidden="false" customHeight="false" outlineLevel="0" collapsed="false">
      <c r="A182" s="7" t="s">
        <v>6926</v>
      </c>
      <c r="B182" s="7" t="n">
        <v>2009</v>
      </c>
      <c r="C182" s="7" t="s">
        <v>1333</v>
      </c>
      <c r="D182" s="7" t="s">
        <v>6745</v>
      </c>
      <c r="E182" s="7" t="n">
        <v>82</v>
      </c>
      <c r="F182" s="7" t="n">
        <v>-33.8674093</v>
      </c>
      <c r="G182" s="7" t="n">
        <v>151.1942017</v>
      </c>
    </row>
    <row r="183" customFormat="false" ht="15" hidden="false" customHeight="false" outlineLevel="0" collapsed="false">
      <c r="A183" s="7" t="s">
        <v>6927</v>
      </c>
      <c r="B183" s="7" t="n">
        <v>2135</v>
      </c>
      <c r="C183" s="7" t="s">
        <v>1333</v>
      </c>
      <c r="D183" s="7" t="s">
        <v>6745</v>
      </c>
      <c r="E183" s="7" t="n">
        <v>50</v>
      </c>
      <c r="F183" s="7" t="n">
        <v>-33.871514</v>
      </c>
      <c r="G183" s="7" t="n">
        <v>151.09483</v>
      </c>
    </row>
    <row r="184" customFormat="false" ht="15" hidden="false" customHeight="false" outlineLevel="0" collapsed="false">
      <c r="A184" s="7" t="s">
        <v>6928</v>
      </c>
      <c r="B184" s="7" t="n">
        <v>2135</v>
      </c>
      <c r="C184" s="7" t="s">
        <v>1333</v>
      </c>
      <c r="D184" s="7" t="s">
        <v>6745</v>
      </c>
      <c r="E184" s="7" t="n">
        <v>51</v>
      </c>
      <c r="F184" s="7" t="n">
        <v>-33.87222</v>
      </c>
      <c r="G184" s="7" t="n">
        <v>151.094182</v>
      </c>
    </row>
    <row r="185" customFormat="false" ht="15" hidden="false" customHeight="false" outlineLevel="0" collapsed="false">
      <c r="A185" s="7" t="s">
        <v>6929</v>
      </c>
      <c r="B185" s="7" t="n">
        <v>2010</v>
      </c>
      <c r="C185" s="7" t="s">
        <v>1333</v>
      </c>
      <c r="D185" s="7" t="s">
        <v>6745</v>
      </c>
      <c r="E185" s="7" t="n">
        <v>138</v>
      </c>
      <c r="F185" s="7" t="n">
        <v>-33.878216</v>
      </c>
      <c r="G185" s="7" t="n">
        <v>151.213877</v>
      </c>
    </row>
    <row r="186" customFormat="false" ht="15" hidden="false" customHeight="false" outlineLevel="0" collapsed="false">
      <c r="A186" s="7" t="s">
        <v>6930</v>
      </c>
      <c r="B186" s="7" t="n">
        <v>2232</v>
      </c>
      <c r="C186" s="7" t="s">
        <v>1333</v>
      </c>
      <c r="D186" s="7" t="s">
        <v>6745</v>
      </c>
      <c r="E186" s="7" t="n">
        <v>99</v>
      </c>
      <c r="F186" s="7" t="n">
        <v>-34.031925</v>
      </c>
      <c r="G186" s="7" t="n">
        <v>151.058254</v>
      </c>
    </row>
    <row r="187" customFormat="false" ht="15" hidden="false" customHeight="false" outlineLevel="0" collapsed="false">
      <c r="A187" s="7" t="s">
        <v>6931</v>
      </c>
      <c r="B187" s="7" t="n">
        <v>2232</v>
      </c>
      <c r="C187" s="7" t="s">
        <v>1333</v>
      </c>
      <c r="D187" s="7" t="s">
        <v>6745</v>
      </c>
      <c r="E187" s="7" t="n">
        <v>107</v>
      </c>
      <c r="F187" s="7" t="n">
        <v>-34.0327411</v>
      </c>
      <c r="G187" s="7" t="n">
        <v>151.0573405</v>
      </c>
    </row>
    <row r="188" customFormat="false" ht="15" hidden="false" customHeight="false" outlineLevel="0" collapsed="false">
      <c r="A188" s="7" t="s">
        <v>6932</v>
      </c>
      <c r="B188" s="7" t="n">
        <v>2044</v>
      </c>
      <c r="C188" s="7" t="s">
        <v>1333</v>
      </c>
      <c r="D188" s="7" t="s">
        <v>6745</v>
      </c>
      <c r="E188" s="7" t="n">
        <v>50</v>
      </c>
      <c r="F188" s="7" t="n">
        <v>-33.914176</v>
      </c>
      <c r="G188" s="7" t="n">
        <v>151.166162</v>
      </c>
    </row>
    <row r="189" customFormat="false" ht="15" hidden="false" customHeight="false" outlineLevel="0" collapsed="false">
      <c r="A189" s="7" t="s">
        <v>6933</v>
      </c>
      <c r="B189" s="7" t="n">
        <v>2117</v>
      </c>
      <c r="C189" s="7" t="s">
        <v>1333</v>
      </c>
      <c r="D189" s="7" t="s">
        <v>6763</v>
      </c>
      <c r="E189" s="7" t="n">
        <v>415</v>
      </c>
      <c r="F189" s="7" t="n">
        <v>-33.795288</v>
      </c>
      <c r="G189" s="7" t="n">
        <v>151.045494</v>
      </c>
    </row>
    <row r="190" customFormat="false" ht="15" hidden="false" customHeight="false" outlineLevel="0" collapsed="false">
      <c r="A190" s="7" t="s">
        <v>6934</v>
      </c>
      <c r="B190" s="7" t="n">
        <v>2146</v>
      </c>
      <c r="C190" s="7" t="s">
        <v>1333</v>
      </c>
      <c r="D190" s="7" t="s">
        <v>6745</v>
      </c>
      <c r="E190" s="7" t="n">
        <v>67</v>
      </c>
      <c r="F190" s="7" t="n">
        <v>-33.78679</v>
      </c>
      <c r="G190" s="7" t="n">
        <v>150.950982</v>
      </c>
    </row>
    <row r="191" customFormat="false" ht="15" hidden="false" customHeight="false" outlineLevel="0" collapsed="false">
      <c r="A191" s="7" t="s">
        <v>6935</v>
      </c>
      <c r="B191" s="7" t="n">
        <v>2074</v>
      </c>
      <c r="C191" s="7" t="s">
        <v>1333</v>
      </c>
      <c r="D191" s="7" t="s">
        <v>6745</v>
      </c>
      <c r="E191" s="7" t="n">
        <v>36</v>
      </c>
      <c r="F191" s="7" t="n">
        <v>-33.7320533</v>
      </c>
      <c r="G191" s="7" t="n">
        <v>151.1286354</v>
      </c>
    </row>
    <row r="192" customFormat="false" ht="15" hidden="false" customHeight="false" outlineLevel="0" collapsed="false">
      <c r="A192" s="7" t="s">
        <v>6936</v>
      </c>
      <c r="B192" s="7" t="n">
        <v>2076</v>
      </c>
      <c r="C192" s="7" t="s">
        <v>1333</v>
      </c>
      <c r="D192" s="7" t="s">
        <v>6745</v>
      </c>
      <c r="E192" s="7" t="n">
        <v>94</v>
      </c>
      <c r="F192" s="7" t="n">
        <v>-33.7182713</v>
      </c>
      <c r="G192" s="7" t="n">
        <v>151.1167886</v>
      </c>
    </row>
    <row r="193" customFormat="false" ht="15" hidden="false" customHeight="false" outlineLevel="0" collapsed="false">
      <c r="A193" s="7" t="s">
        <v>6937</v>
      </c>
      <c r="B193" s="7" t="n">
        <v>2145</v>
      </c>
      <c r="C193" s="7" t="s">
        <v>1333</v>
      </c>
      <c r="D193" s="7" t="s">
        <v>6745</v>
      </c>
      <c r="E193" s="7" t="n">
        <v>66</v>
      </c>
      <c r="F193" s="7" t="n">
        <v>-33.807214</v>
      </c>
      <c r="G193" s="7" t="n">
        <v>150.971924</v>
      </c>
    </row>
    <row r="194" customFormat="false" ht="15" hidden="false" customHeight="false" outlineLevel="0" collapsed="false">
      <c r="A194" s="7" t="s">
        <v>6938</v>
      </c>
      <c r="B194" s="7" t="n">
        <v>2114</v>
      </c>
      <c r="C194" s="7" t="s">
        <v>1333</v>
      </c>
      <c r="D194" s="7" t="s">
        <v>6745</v>
      </c>
      <c r="E194" s="7" t="n">
        <v>66</v>
      </c>
      <c r="F194" s="7" t="n">
        <v>-33.806983</v>
      </c>
      <c r="G194" s="7" t="n">
        <v>151.089551</v>
      </c>
    </row>
    <row r="195" customFormat="false" ht="15" hidden="false" customHeight="false" outlineLevel="0" collapsed="false">
      <c r="A195" s="7" t="s">
        <v>6939</v>
      </c>
      <c r="B195" s="7" t="n">
        <v>2145</v>
      </c>
      <c r="C195" s="7" t="s">
        <v>1333</v>
      </c>
      <c r="D195" s="7" t="s">
        <v>6745</v>
      </c>
      <c r="E195" s="7" t="n">
        <v>83</v>
      </c>
      <c r="F195" s="7" t="n">
        <v>-33.80264</v>
      </c>
      <c r="G195" s="7" t="n">
        <v>150.99214</v>
      </c>
    </row>
    <row r="196" customFormat="false" ht="15" hidden="false" customHeight="false" outlineLevel="0" collapsed="false">
      <c r="A196" s="7" t="s">
        <v>6940</v>
      </c>
      <c r="B196" s="7" t="n">
        <v>2145</v>
      </c>
      <c r="C196" s="7" t="s">
        <v>1333</v>
      </c>
      <c r="D196" s="7" t="s">
        <v>6745</v>
      </c>
      <c r="E196" s="7" t="n">
        <v>75</v>
      </c>
      <c r="F196" s="7" t="n">
        <v>-33.807974</v>
      </c>
      <c r="G196" s="7" t="n">
        <v>150.987552</v>
      </c>
    </row>
    <row r="197" customFormat="false" ht="15" hidden="false" customHeight="false" outlineLevel="0" collapsed="false">
      <c r="A197" s="7" t="s">
        <v>6941</v>
      </c>
      <c r="B197" s="7" t="n">
        <v>2756</v>
      </c>
      <c r="C197" s="7" t="s">
        <v>1333</v>
      </c>
      <c r="D197" s="7" t="s">
        <v>6745</v>
      </c>
      <c r="E197" s="7" t="n">
        <v>51</v>
      </c>
      <c r="F197" s="7" t="n">
        <v>-33.613495</v>
      </c>
      <c r="G197" s="7" t="n">
        <v>150.811589</v>
      </c>
    </row>
    <row r="198" customFormat="false" ht="15" hidden="false" customHeight="false" outlineLevel="0" collapsed="false">
      <c r="A198" s="7" t="s">
        <v>6942</v>
      </c>
      <c r="B198" s="7" t="n">
        <v>2153</v>
      </c>
      <c r="C198" s="7" t="s">
        <v>1333</v>
      </c>
      <c r="D198" s="7" t="s">
        <v>6751</v>
      </c>
      <c r="E198" s="7" t="n">
        <v>1369</v>
      </c>
      <c r="F198" s="7" t="n">
        <v>-33.773623</v>
      </c>
      <c r="G198" s="7" t="n">
        <v>150.970697</v>
      </c>
    </row>
    <row r="199" customFormat="false" ht="15" hidden="false" customHeight="false" outlineLevel="0" collapsed="false">
      <c r="A199" s="7" t="s">
        <v>6943</v>
      </c>
      <c r="B199" s="7" t="n">
        <v>2011</v>
      </c>
      <c r="C199" s="7" t="s">
        <v>1333</v>
      </c>
      <c r="D199" s="7" t="s">
        <v>6763</v>
      </c>
      <c r="E199" s="7" t="n">
        <v>579</v>
      </c>
      <c r="F199" s="7" t="n">
        <v>-33.869144</v>
      </c>
      <c r="G199" s="7" t="n">
        <v>151.220044</v>
      </c>
    </row>
  </sheetData>
  <autoFilter ref="A1:G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15" hidden="false" customHeight="false" outlineLevel="0" collapsed="false">
      <c r="A1" s="9" t="s">
        <v>1</v>
      </c>
      <c r="B1" s="9" t="s">
        <v>6944</v>
      </c>
      <c r="C1" s="9" t="s">
        <v>6945</v>
      </c>
      <c r="D1" s="9" t="s">
        <v>25</v>
      </c>
      <c r="E1" s="9" t="s">
        <v>37</v>
      </c>
      <c r="F1" s="9" t="s">
        <v>47</v>
      </c>
      <c r="G1" s="9" t="s">
        <v>48</v>
      </c>
      <c r="H1" s="9" t="s">
        <v>6946</v>
      </c>
    </row>
    <row r="2" customFormat="false" ht="15" hidden="false" customHeight="false" outlineLevel="0" collapsed="false">
      <c r="A2" s="7" t="s">
        <v>6947</v>
      </c>
      <c r="B2" s="7" t="s">
        <v>6948</v>
      </c>
      <c r="C2" s="7" t="s">
        <v>49</v>
      </c>
      <c r="D2" s="7" t="n">
        <v>2258</v>
      </c>
      <c r="E2" s="7" t="s">
        <v>50</v>
      </c>
      <c r="F2" s="7" t="n">
        <v>-33.353198</v>
      </c>
      <c r="G2" s="7" t="n">
        <v>151.369027</v>
      </c>
      <c r="H2" s="7" t="s">
        <v>6949</v>
      </c>
    </row>
    <row r="3" customFormat="false" ht="15" hidden="false" customHeight="false" outlineLevel="0" collapsed="false">
      <c r="A3" s="7" t="s">
        <v>6947</v>
      </c>
      <c r="B3" s="7" t="s">
        <v>6948</v>
      </c>
      <c r="C3" s="7" t="s">
        <v>54</v>
      </c>
      <c r="D3" s="7" t="n">
        <v>2127</v>
      </c>
      <c r="E3" s="7" t="s">
        <v>50</v>
      </c>
      <c r="F3" s="7" t="n">
        <v>-33.846599</v>
      </c>
      <c r="G3" s="7" t="n">
        <v>151.056731</v>
      </c>
      <c r="H3" s="7" t="s">
        <v>6950</v>
      </c>
    </row>
    <row r="4" customFormat="false" ht="15" hidden="false" customHeight="false" outlineLevel="0" collapsed="false">
      <c r="A4" s="7" t="s">
        <v>6947</v>
      </c>
      <c r="B4" s="7" t="s">
        <v>6948</v>
      </c>
      <c r="C4" s="7" t="s">
        <v>56</v>
      </c>
      <c r="D4" s="7" t="n">
        <v>2447</v>
      </c>
      <c r="E4" s="7" t="s">
        <v>50</v>
      </c>
      <c r="F4" s="7" t="n">
        <v>-30.708461</v>
      </c>
      <c r="G4" s="7" t="n">
        <v>152.920067</v>
      </c>
      <c r="H4" s="7" t="s">
        <v>6949</v>
      </c>
    </row>
    <row r="5" customFormat="false" ht="15" hidden="false" customHeight="false" outlineLevel="0" collapsed="false">
      <c r="A5" s="7" t="s">
        <v>6947</v>
      </c>
      <c r="B5" s="7" t="s">
        <v>6948</v>
      </c>
      <c r="C5" s="7" t="s">
        <v>57</v>
      </c>
      <c r="D5" s="7" t="n">
        <v>2150</v>
      </c>
      <c r="E5" s="7" t="s">
        <v>50</v>
      </c>
      <c r="F5" s="7" t="n">
        <v>-33.81384</v>
      </c>
      <c r="G5" s="7" t="n">
        <v>150.999507</v>
      </c>
      <c r="H5" s="7" t="s">
        <v>6949</v>
      </c>
    </row>
    <row r="6" customFormat="false" ht="15" hidden="false" customHeight="false" outlineLevel="0" collapsed="false">
      <c r="A6" s="7" t="s">
        <v>6947</v>
      </c>
      <c r="B6" s="7" t="s">
        <v>6948</v>
      </c>
      <c r="C6" s="7" t="s">
        <v>58</v>
      </c>
      <c r="D6" s="7" t="n">
        <v>2229</v>
      </c>
      <c r="E6" s="7" t="s">
        <v>50</v>
      </c>
      <c r="F6" s="7" t="n">
        <v>-34.020269</v>
      </c>
      <c r="G6" s="7" t="n">
        <v>151.117096</v>
      </c>
      <c r="H6" s="7" t="s">
        <v>6949</v>
      </c>
    </row>
    <row r="7" customFormat="false" ht="15" hidden="false" customHeight="false" outlineLevel="0" collapsed="false">
      <c r="A7" s="7" t="s">
        <v>6947</v>
      </c>
      <c r="B7" s="7" t="s">
        <v>6948</v>
      </c>
      <c r="C7" s="7" t="s">
        <v>59</v>
      </c>
      <c r="D7" s="7" t="n">
        <v>2194</v>
      </c>
      <c r="E7" s="7" t="s">
        <v>50</v>
      </c>
      <c r="F7" s="7" t="n">
        <v>-33.911201</v>
      </c>
      <c r="G7" s="7" t="n">
        <v>151.101456</v>
      </c>
      <c r="H7" s="7" t="s">
        <v>6949</v>
      </c>
    </row>
    <row r="8" customFormat="false" ht="15" hidden="false" customHeight="false" outlineLevel="0" collapsed="false">
      <c r="A8" s="7" t="s">
        <v>6947</v>
      </c>
      <c r="B8" s="7" t="s">
        <v>6948</v>
      </c>
      <c r="C8" s="7" t="s">
        <v>60</v>
      </c>
      <c r="D8" s="7" t="n">
        <v>2320</v>
      </c>
      <c r="E8" s="7" t="s">
        <v>50</v>
      </c>
      <c r="F8" s="7" t="n">
        <v>-32.732981</v>
      </c>
      <c r="G8" s="7" t="n">
        <v>151.55356</v>
      </c>
      <c r="H8" s="7" t="s">
        <v>6949</v>
      </c>
    </row>
    <row r="9" customFormat="false" ht="15" hidden="false" customHeight="false" outlineLevel="0" collapsed="false">
      <c r="A9" s="7" t="s">
        <v>6947</v>
      </c>
      <c r="B9" s="7" t="s">
        <v>6948</v>
      </c>
      <c r="C9" s="7" t="s">
        <v>61</v>
      </c>
      <c r="D9" s="7" t="n">
        <v>2557</v>
      </c>
      <c r="E9" s="7" t="s">
        <v>50</v>
      </c>
      <c r="F9" s="7" t="n">
        <v>-34.026258</v>
      </c>
      <c r="G9" s="7" t="n">
        <v>150.777729</v>
      </c>
      <c r="H9" s="7" t="s">
        <v>6949</v>
      </c>
    </row>
    <row r="10" customFormat="false" ht="15" hidden="false" customHeight="false" outlineLevel="0" collapsed="false">
      <c r="A10" s="7" t="s">
        <v>6947</v>
      </c>
      <c r="B10" s="7" t="s">
        <v>6948</v>
      </c>
      <c r="C10" s="7" t="s">
        <v>62</v>
      </c>
      <c r="D10" s="7" t="n">
        <v>2023</v>
      </c>
      <c r="E10" s="7" t="s">
        <v>50</v>
      </c>
      <c r="F10" s="7" t="n">
        <v>-34.494036</v>
      </c>
      <c r="G10" s="7" t="n">
        <v>150.791541</v>
      </c>
      <c r="H10" s="7" t="s">
        <v>6949</v>
      </c>
    </row>
    <row r="11" customFormat="false" ht="15" hidden="false" customHeight="false" outlineLevel="0" collapsed="false">
      <c r="A11" s="7" t="s">
        <v>6947</v>
      </c>
      <c r="B11" s="7" t="s">
        <v>6948</v>
      </c>
      <c r="C11" s="7" t="s">
        <v>63</v>
      </c>
      <c r="D11" s="7" t="n">
        <v>2111</v>
      </c>
      <c r="E11" s="7" t="s">
        <v>50</v>
      </c>
      <c r="F11" s="7" t="n">
        <v>-33.832583</v>
      </c>
      <c r="G11" s="7" t="n">
        <v>151.128016</v>
      </c>
      <c r="H11" s="7" t="s">
        <v>6949</v>
      </c>
    </row>
    <row r="12" customFormat="false" ht="15" hidden="false" customHeight="false" outlineLevel="0" collapsed="false">
      <c r="A12" s="7" t="s">
        <v>6947</v>
      </c>
      <c r="B12" s="7" t="s">
        <v>6948</v>
      </c>
      <c r="C12" s="7" t="s">
        <v>64</v>
      </c>
      <c r="D12" s="7" t="n">
        <v>2330</v>
      </c>
      <c r="E12" s="7" t="s">
        <v>50</v>
      </c>
      <c r="F12" s="7" t="n">
        <v>-32.565117</v>
      </c>
      <c r="G12" s="7" t="n">
        <v>151.174459</v>
      </c>
      <c r="H12" s="7" t="s">
        <v>6949</v>
      </c>
    </row>
    <row r="13" customFormat="false" ht="15" hidden="false" customHeight="false" outlineLevel="0" collapsed="false">
      <c r="A13" s="7" t="s">
        <v>6947</v>
      </c>
      <c r="B13" s="7" t="s">
        <v>6948</v>
      </c>
      <c r="C13" s="7" t="s">
        <v>65</v>
      </c>
      <c r="D13" s="7" t="n">
        <v>2227</v>
      </c>
      <c r="E13" s="7" t="s">
        <v>50</v>
      </c>
      <c r="F13" s="7" t="n">
        <v>-34.032498</v>
      </c>
      <c r="G13" s="7" t="n">
        <v>151.088112</v>
      </c>
      <c r="H13" s="7" t="s">
        <v>6949</v>
      </c>
    </row>
    <row r="14" customFormat="false" ht="15" hidden="false" customHeight="false" outlineLevel="0" collapsed="false">
      <c r="A14" s="7" t="s">
        <v>6947</v>
      </c>
      <c r="B14" s="7" t="s">
        <v>6948</v>
      </c>
      <c r="C14" s="7" t="s">
        <v>66</v>
      </c>
      <c r="D14" s="7" t="n">
        <v>2164</v>
      </c>
      <c r="E14" s="7" t="s">
        <v>50</v>
      </c>
      <c r="F14" s="7" t="n">
        <v>-33.855681</v>
      </c>
      <c r="G14" s="7" t="n">
        <v>150.937188</v>
      </c>
      <c r="H14" s="7" t="s">
        <v>6949</v>
      </c>
    </row>
    <row r="15" customFormat="false" ht="15" hidden="false" customHeight="false" outlineLevel="0" collapsed="false">
      <c r="A15" s="7" t="s">
        <v>6947</v>
      </c>
      <c r="B15" s="7" t="s">
        <v>6948</v>
      </c>
      <c r="C15" s="7" t="s">
        <v>67</v>
      </c>
      <c r="D15" s="7" t="n">
        <v>2065</v>
      </c>
      <c r="E15" s="7" t="s">
        <v>50</v>
      </c>
      <c r="F15" s="7" t="n">
        <v>-33.825471</v>
      </c>
      <c r="G15" s="7" t="n">
        <v>151.202433</v>
      </c>
      <c r="H15" s="7" t="s">
        <v>6950</v>
      </c>
    </row>
    <row r="16" customFormat="false" ht="15" hidden="false" customHeight="false" outlineLevel="0" collapsed="false">
      <c r="A16" s="7" t="s">
        <v>6947</v>
      </c>
      <c r="B16" s="7" t="s">
        <v>6948</v>
      </c>
      <c r="C16" s="7" t="s">
        <v>68</v>
      </c>
      <c r="D16" s="7" t="n">
        <v>2577</v>
      </c>
      <c r="E16" s="7" t="s">
        <v>50</v>
      </c>
      <c r="F16" s="7" t="n">
        <v>-34.548422</v>
      </c>
      <c r="G16" s="7" t="n">
        <v>150.373567</v>
      </c>
      <c r="H16" s="7" t="s">
        <v>6949</v>
      </c>
    </row>
    <row r="17" customFormat="false" ht="15" hidden="false" customHeight="false" outlineLevel="0" collapsed="false">
      <c r="A17" s="7" t="s">
        <v>6947</v>
      </c>
      <c r="B17" s="7" t="s">
        <v>6948</v>
      </c>
      <c r="C17" s="7" t="s">
        <v>69</v>
      </c>
      <c r="D17" s="7" t="n">
        <v>2836</v>
      </c>
      <c r="E17" s="7" t="s">
        <v>50</v>
      </c>
      <c r="F17" s="7" t="n">
        <v>-31.557629</v>
      </c>
      <c r="G17" s="7" t="n">
        <v>143.386007</v>
      </c>
      <c r="H17" s="7" t="s">
        <v>6951</v>
      </c>
    </row>
    <row r="18" customFormat="false" ht="15" hidden="false" customHeight="false" outlineLevel="0" collapsed="false">
      <c r="A18" s="7" t="s">
        <v>6947</v>
      </c>
      <c r="B18" s="7" t="s">
        <v>6948</v>
      </c>
      <c r="C18" s="7" t="s">
        <v>74</v>
      </c>
      <c r="D18" s="7" t="n">
        <v>2795</v>
      </c>
      <c r="E18" s="7" t="s">
        <v>50</v>
      </c>
      <c r="F18" s="7" t="n">
        <v>-33.419102</v>
      </c>
      <c r="G18" s="7" t="n">
        <v>149.586752</v>
      </c>
      <c r="H18" s="7" t="s">
        <v>6952</v>
      </c>
    </row>
    <row r="19" customFormat="false" ht="15" hidden="false" customHeight="false" outlineLevel="0" collapsed="false">
      <c r="A19" s="7" t="s">
        <v>6947</v>
      </c>
      <c r="B19" s="7" t="s">
        <v>6948</v>
      </c>
      <c r="C19" s="7" t="s">
        <v>77</v>
      </c>
      <c r="D19" s="7" t="n">
        <v>2470</v>
      </c>
      <c r="E19" s="7" t="s">
        <v>50</v>
      </c>
      <c r="F19" s="7" t="n">
        <v>-28.865732</v>
      </c>
      <c r="G19" s="7" t="n">
        <v>153.048478</v>
      </c>
      <c r="H19" s="7" t="s">
        <v>6951</v>
      </c>
    </row>
    <row r="20" customFormat="false" ht="15" hidden="false" customHeight="false" outlineLevel="0" collapsed="false">
      <c r="A20" s="7" t="s">
        <v>6947</v>
      </c>
      <c r="B20" s="7" t="s">
        <v>6948</v>
      </c>
      <c r="C20" s="7" t="s">
        <v>79</v>
      </c>
      <c r="D20" s="7" t="n">
        <v>2354</v>
      </c>
      <c r="E20" s="7" t="s">
        <v>50</v>
      </c>
      <c r="F20" s="7" t="n">
        <v>-30.98297</v>
      </c>
      <c r="G20" s="7" t="n">
        <v>151.592824</v>
      </c>
      <c r="H20" s="7" t="s">
        <v>6951</v>
      </c>
    </row>
    <row r="21" customFormat="false" ht="15" hidden="false" customHeight="false" outlineLevel="0" collapsed="false">
      <c r="A21" s="7" t="s">
        <v>6947</v>
      </c>
      <c r="B21" s="7" t="s">
        <v>6948</v>
      </c>
      <c r="C21" s="7" t="s">
        <v>81</v>
      </c>
      <c r="D21" s="7" t="n">
        <v>2481</v>
      </c>
      <c r="E21" s="7" t="s">
        <v>50</v>
      </c>
      <c r="F21" s="7" t="n">
        <v>-28.636128</v>
      </c>
      <c r="G21" s="7" t="n">
        <v>153.55346</v>
      </c>
      <c r="H21" s="7" t="s">
        <v>6951</v>
      </c>
    </row>
    <row r="22" customFormat="false" ht="15" hidden="false" customHeight="false" outlineLevel="0" collapsed="false">
      <c r="A22" s="7" t="s">
        <v>6947</v>
      </c>
      <c r="B22" s="7" t="s">
        <v>6948</v>
      </c>
      <c r="C22" s="7" t="s">
        <v>84</v>
      </c>
      <c r="D22" s="7" t="n">
        <v>2337</v>
      </c>
      <c r="E22" s="7" t="s">
        <v>50</v>
      </c>
      <c r="F22" s="7" t="n">
        <v>-32.050429</v>
      </c>
      <c r="G22" s="7" t="n">
        <v>150.866672</v>
      </c>
      <c r="H22" s="7" t="s">
        <v>6952</v>
      </c>
    </row>
    <row r="23" customFormat="false" ht="15" hidden="false" customHeight="false" outlineLevel="0" collapsed="false">
      <c r="A23" s="7" t="s">
        <v>6947</v>
      </c>
      <c r="B23" s="7" t="s">
        <v>6948</v>
      </c>
      <c r="C23" s="7" t="s">
        <v>86</v>
      </c>
      <c r="D23" s="7" t="n">
        <v>2460</v>
      </c>
      <c r="E23" s="7" t="s">
        <v>50</v>
      </c>
      <c r="F23" s="7" t="n">
        <v>-29.68811</v>
      </c>
      <c r="G23" s="7" t="n">
        <v>152.933421</v>
      </c>
      <c r="H23" s="7" t="s">
        <v>6952</v>
      </c>
    </row>
    <row r="24" customFormat="false" ht="15" hidden="false" customHeight="false" outlineLevel="0" collapsed="false">
      <c r="A24" s="7" t="s">
        <v>6947</v>
      </c>
      <c r="B24" s="7" t="s">
        <v>6948</v>
      </c>
      <c r="C24" s="7" t="s">
        <v>88</v>
      </c>
      <c r="D24" s="7" t="n">
        <v>2711</v>
      </c>
      <c r="E24" s="7" t="s">
        <v>50</v>
      </c>
      <c r="F24" s="7" t="n">
        <v>-34.508904</v>
      </c>
      <c r="G24" s="7" t="n">
        <v>144.842786</v>
      </c>
      <c r="H24" s="7" t="s">
        <v>6951</v>
      </c>
    </row>
    <row r="25" customFormat="false" ht="15" hidden="false" customHeight="false" outlineLevel="0" collapsed="false">
      <c r="A25" s="7" t="s">
        <v>6947</v>
      </c>
      <c r="B25" s="7" t="s">
        <v>6948</v>
      </c>
      <c r="C25" s="7" t="s">
        <v>88</v>
      </c>
      <c r="D25" s="7" t="n">
        <v>2711</v>
      </c>
      <c r="E25" s="7" t="s">
        <v>50</v>
      </c>
      <c r="F25" s="7" t="n">
        <v>-34.50908</v>
      </c>
      <c r="G25" s="7" t="n">
        <v>144.84107</v>
      </c>
      <c r="H25" s="7" t="s">
        <v>6952</v>
      </c>
    </row>
    <row r="26" customFormat="false" ht="15" hidden="false" customHeight="false" outlineLevel="0" collapsed="false">
      <c r="A26" s="7" t="s">
        <v>6947</v>
      </c>
      <c r="B26" s="7" t="s">
        <v>6948</v>
      </c>
      <c r="C26" s="7" t="s">
        <v>91</v>
      </c>
      <c r="D26" s="7" t="n">
        <v>2535</v>
      </c>
      <c r="E26" s="7" t="s">
        <v>50</v>
      </c>
      <c r="F26" s="7" t="n">
        <v>-34.775594</v>
      </c>
      <c r="G26" s="7" t="n">
        <v>150.701087</v>
      </c>
      <c r="H26" s="7" t="s">
        <v>6952</v>
      </c>
    </row>
    <row r="27" customFormat="false" ht="15" hidden="false" customHeight="false" outlineLevel="0" collapsed="false">
      <c r="A27" s="7" t="s">
        <v>6947</v>
      </c>
      <c r="B27" s="7" t="s">
        <v>6948</v>
      </c>
      <c r="C27" s="7" t="s">
        <v>93</v>
      </c>
      <c r="D27" s="7" t="n">
        <v>2622</v>
      </c>
      <c r="E27" s="7" t="s">
        <v>50</v>
      </c>
      <c r="F27" s="7" t="n">
        <v>-35.442778</v>
      </c>
      <c r="G27" s="7" t="n">
        <v>149.791373</v>
      </c>
      <c r="H27" s="7" t="s">
        <v>6951</v>
      </c>
    </row>
    <row r="28" customFormat="false" ht="15" hidden="false" customHeight="false" outlineLevel="0" collapsed="false">
      <c r="A28" s="7" t="s">
        <v>6947</v>
      </c>
      <c r="B28" s="7" t="s">
        <v>6948</v>
      </c>
      <c r="C28" s="7" t="s">
        <v>95</v>
      </c>
      <c r="D28" s="7" t="n">
        <v>2372</v>
      </c>
      <c r="E28" s="7" t="s">
        <v>50</v>
      </c>
      <c r="F28" s="7" t="n">
        <v>-29.057341</v>
      </c>
      <c r="G28" s="7" t="n">
        <v>152.01889</v>
      </c>
      <c r="H28" s="7" t="s">
        <v>6952</v>
      </c>
    </row>
    <row r="29" customFormat="false" ht="15" hidden="false" customHeight="false" outlineLevel="0" collapsed="false">
      <c r="A29" s="7" t="s">
        <v>6947</v>
      </c>
      <c r="B29" s="7" t="s">
        <v>6948</v>
      </c>
      <c r="C29" s="7" t="s">
        <v>97</v>
      </c>
      <c r="D29" s="7" t="n">
        <v>2840</v>
      </c>
      <c r="E29" s="7" t="s">
        <v>50</v>
      </c>
      <c r="F29" s="7" t="n">
        <v>-30.088397</v>
      </c>
      <c r="G29" s="7" t="n">
        <v>145.935014</v>
      </c>
      <c r="H29" s="7" t="s">
        <v>6951</v>
      </c>
    </row>
    <row r="30" customFormat="false" ht="15" hidden="false" customHeight="false" outlineLevel="0" collapsed="false">
      <c r="A30" s="7" t="s">
        <v>6947</v>
      </c>
      <c r="B30" s="7" t="s">
        <v>6948</v>
      </c>
      <c r="C30" s="7" t="s">
        <v>99</v>
      </c>
      <c r="D30" s="7" t="n">
        <v>2541</v>
      </c>
      <c r="E30" s="7" t="s">
        <v>50</v>
      </c>
      <c r="F30" s="7" t="n">
        <v>-34.87369</v>
      </c>
      <c r="G30" s="7" t="n">
        <v>150.600385</v>
      </c>
      <c r="H30" s="7" t="s">
        <v>6951</v>
      </c>
    </row>
    <row r="31" customFormat="false" ht="15" hidden="false" customHeight="false" outlineLevel="0" collapsed="false">
      <c r="A31" s="7" t="s">
        <v>6947</v>
      </c>
      <c r="B31" s="7" t="s">
        <v>6948</v>
      </c>
      <c r="C31" s="7" t="s">
        <v>101</v>
      </c>
      <c r="D31" s="7" t="n">
        <v>2500</v>
      </c>
      <c r="E31" s="7" t="s">
        <v>50</v>
      </c>
      <c r="F31" s="7" t="n">
        <v>-34.428268</v>
      </c>
      <c r="G31" s="7" t="n">
        <v>150.90015</v>
      </c>
      <c r="H31" s="7" t="s">
        <v>6951</v>
      </c>
    </row>
    <row r="32" customFormat="false" ht="15" hidden="false" customHeight="false" outlineLevel="0" collapsed="false">
      <c r="A32" s="7" t="s">
        <v>6947</v>
      </c>
      <c r="B32" s="7" t="s">
        <v>6948</v>
      </c>
      <c r="C32" s="7" t="s">
        <v>103</v>
      </c>
      <c r="D32" s="7" t="n">
        <v>2825</v>
      </c>
      <c r="E32" s="7" t="s">
        <v>50</v>
      </c>
      <c r="F32" s="7" t="n">
        <v>-31.564331</v>
      </c>
      <c r="G32" s="7" t="n">
        <v>147.197013</v>
      </c>
      <c r="H32" s="7" t="s">
        <v>6951</v>
      </c>
    </row>
    <row r="33" customFormat="false" ht="15" hidden="false" customHeight="false" outlineLevel="0" collapsed="false">
      <c r="A33" s="7" t="s">
        <v>6947</v>
      </c>
      <c r="B33" s="7" t="s">
        <v>6948</v>
      </c>
      <c r="C33" s="7" t="s">
        <v>105</v>
      </c>
      <c r="D33" s="7" t="n">
        <v>2737</v>
      </c>
      <c r="E33" s="7" t="s">
        <v>50</v>
      </c>
      <c r="F33" s="7" t="n">
        <v>-34.577619</v>
      </c>
      <c r="G33" s="7" t="n">
        <v>142.746189</v>
      </c>
      <c r="H33" s="7" t="s">
        <v>6953</v>
      </c>
    </row>
    <row r="34" customFormat="false" ht="15" hidden="false" customHeight="false" outlineLevel="0" collapsed="false">
      <c r="A34" s="7" t="s">
        <v>6947</v>
      </c>
      <c r="B34" s="7" t="s">
        <v>6948</v>
      </c>
      <c r="C34" s="7" t="s">
        <v>110</v>
      </c>
      <c r="D34" s="7" t="n">
        <v>2320</v>
      </c>
      <c r="E34" s="7" t="s">
        <v>50</v>
      </c>
      <c r="F34" s="7" t="n">
        <v>-32.773429</v>
      </c>
      <c r="G34" s="7" t="n">
        <v>151.298271</v>
      </c>
      <c r="H34" s="7" t="s">
        <v>6951</v>
      </c>
    </row>
    <row r="35" customFormat="false" ht="15" hidden="false" customHeight="false" outlineLevel="0" collapsed="false">
      <c r="A35" s="7" t="s">
        <v>6947</v>
      </c>
      <c r="B35" s="7" t="s">
        <v>6948</v>
      </c>
      <c r="C35" s="7" t="s">
        <v>112</v>
      </c>
      <c r="D35" s="7" t="n">
        <v>2832</v>
      </c>
      <c r="E35" s="7" t="s">
        <v>50</v>
      </c>
      <c r="F35" s="7" t="n">
        <v>-30.020699</v>
      </c>
      <c r="G35" s="7" t="n">
        <v>148.117705</v>
      </c>
      <c r="H35" s="7" t="s">
        <v>6952</v>
      </c>
    </row>
    <row r="36" customFormat="false" ht="15" hidden="false" customHeight="false" outlineLevel="0" collapsed="false">
      <c r="A36" s="7" t="s">
        <v>6947</v>
      </c>
      <c r="B36" s="7" t="s">
        <v>6948</v>
      </c>
      <c r="C36" s="7" t="s">
        <v>114</v>
      </c>
      <c r="D36" s="7" t="n">
        <v>2400</v>
      </c>
      <c r="E36" s="7" t="s">
        <v>50</v>
      </c>
      <c r="F36" s="7" t="n">
        <v>-29.46194</v>
      </c>
      <c r="G36" s="7" t="n">
        <v>149.840664</v>
      </c>
      <c r="H36" s="7" t="s">
        <v>6952</v>
      </c>
    </row>
    <row r="37" customFormat="false" ht="15" hidden="false" customHeight="false" outlineLevel="0" collapsed="false">
      <c r="A37" s="7" t="s">
        <v>6947</v>
      </c>
      <c r="B37" s="7" t="s">
        <v>6948</v>
      </c>
      <c r="C37" s="7" t="s">
        <v>116</v>
      </c>
      <c r="D37" s="7" t="n">
        <v>2737</v>
      </c>
      <c r="E37" s="7" t="s">
        <v>50</v>
      </c>
      <c r="F37" s="7" t="n">
        <v>-34.576596</v>
      </c>
      <c r="G37" s="7" t="n">
        <v>142.742819</v>
      </c>
      <c r="H37" s="7" t="s">
        <v>6951</v>
      </c>
    </row>
    <row r="38" customFormat="false" ht="15" hidden="false" customHeight="false" outlineLevel="0" collapsed="false">
      <c r="A38" s="7" t="s">
        <v>6947</v>
      </c>
      <c r="B38" s="7" t="s">
        <v>119</v>
      </c>
      <c r="C38" s="7" t="s">
        <v>120</v>
      </c>
      <c r="D38" s="7" t="n">
        <v>2700</v>
      </c>
      <c r="E38" s="7" t="s">
        <v>50</v>
      </c>
      <c r="F38" s="7" t="n">
        <v>-34.746498</v>
      </c>
      <c r="G38" s="7" t="n">
        <v>146.550076</v>
      </c>
      <c r="H38" s="7" t="s">
        <v>6951</v>
      </c>
    </row>
    <row r="39" customFormat="false" ht="15" hidden="false" customHeight="false" outlineLevel="0" collapsed="false">
      <c r="A39" s="7" t="s">
        <v>6947</v>
      </c>
      <c r="B39" s="7" t="s">
        <v>119</v>
      </c>
      <c r="C39" s="7" t="s">
        <v>120</v>
      </c>
      <c r="D39" s="7" t="n">
        <v>2700</v>
      </c>
      <c r="E39" s="7" t="s">
        <v>50</v>
      </c>
      <c r="F39" s="7" t="n">
        <v>-34.746497</v>
      </c>
      <c r="G39" s="7" t="n">
        <v>146.550076</v>
      </c>
      <c r="H39" s="7" t="s">
        <v>6952</v>
      </c>
    </row>
    <row r="40" customFormat="false" ht="15" hidden="false" customHeight="false" outlineLevel="0" collapsed="false">
      <c r="A40" s="7" t="s">
        <v>6947</v>
      </c>
      <c r="B40" s="7" t="s">
        <v>6948</v>
      </c>
      <c r="C40" s="7" t="s">
        <v>122</v>
      </c>
      <c r="D40" s="7" t="n">
        <v>2536</v>
      </c>
      <c r="E40" s="7" t="s">
        <v>50</v>
      </c>
      <c r="F40" s="7" t="n">
        <v>-35.708512</v>
      </c>
      <c r="G40" s="7" t="n">
        <v>150.175387</v>
      </c>
      <c r="H40" s="7" t="s">
        <v>6952</v>
      </c>
    </row>
    <row r="41" customFormat="false" ht="15" hidden="false" customHeight="false" outlineLevel="0" collapsed="false">
      <c r="A41" s="7" t="s">
        <v>6947</v>
      </c>
      <c r="B41" s="7" t="s">
        <v>6948</v>
      </c>
      <c r="C41" s="7" t="s">
        <v>124</v>
      </c>
      <c r="D41" s="7" t="n">
        <v>2835</v>
      </c>
      <c r="E41" s="7" t="s">
        <v>50</v>
      </c>
      <c r="F41" s="7" t="n">
        <v>-31.498839</v>
      </c>
      <c r="G41" s="7" t="n">
        <v>145.837612</v>
      </c>
      <c r="H41" s="7" t="s">
        <v>6952</v>
      </c>
    </row>
    <row r="42" customFormat="false" ht="15" hidden="false" customHeight="false" outlineLevel="0" collapsed="false">
      <c r="A42" s="7" t="s">
        <v>6947</v>
      </c>
      <c r="B42" s="7" t="s">
        <v>126</v>
      </c>
      <c r="C42" s="7" t="s">
        <v>127</v>
      </c>
      <c r="D42" s="7" t="n">
        <v>2312</v>
      </c>
      <c r="E42" s="7" t="s">
        <v>50</v>
      </c>
      <c r="F42" s="7" t="n">
        <v>-32.099071</v>
      </c>
      <c r="G42" s="7" t="n">
        <v>152.381575</v>
      </c>
      <c r="H42" s="7" t="s">
        <v>6952</v>
      </c>
    </row>
    <row r="43" customFormat="false" ht="15" hidden="false" customHeight="false" outlineLevel="0" collapsed="false">
      <c r="A43" s="7" t="s">
        <v>6947</v>
      </c>
      <c r="B43" s="7" t="s">
        <v>6948</v>
      </c>
      <c r="C43" s="7" t="s">
        <v>129</v>
      </c>
      <c r="D43" s="7" t="n">
        <v>2170</v>
      </c>
      <c r="E43" s="7" t="s">
        <v>50</v>
      </c>
      <c r="F43" s="7" t="n">
        <v>-33.930467</v>
      </c>
      <c r="G43" s="7" t="n">
        <v>150.875019</v>
      </c>
      <c r="H43" s="7" t="s">
        <v>6951</v>
      </c>
    </row>
    <row r="44" customFormat="false" ht="15" hidden="false" customHeight="false" outlineLevel="0" collapsed="false">
      <c r="A44" s="7" t="s">
        <v>6947</v>
      </c>
      <c r="B44" s="7" t="s">
        <v>6948</v>
      </c>
      <c r="C44" s="7" t="s">
        <v>131</v>
      </c>
      <c r="D44" s="7" t="n">
        <v>2839</v>
      </c>
      <c r="E44" s="7" t="s">
        <v>50</v>
      </c>
      <c r="F44" s="7" t="n">
        <v>-29.960719</v>
      </c>
      <c r="G44" s="7" t="n">
        <v>146.857749</v>
      </c>
      <c r="H44" s="7" t="s">
        <v>6951</v>
      </c>
    </row>
    <row r="45" customFormat="false" ht="15" hidden="false" customHeight="false" outlineLevel="0" collapsed="false">
      <c r="A45" s="7" t="s">
        <v>6947</v>
      </c>
      <c r="B45" s="7" t="s">
        <v>6948</v>
      </c>
      <c r="C45" s="7" t="s">
        <v>133</v>
      </c>
      <c r="D45" s="7" t="n">
        <v>2620</v>
      </c>
      <c r="E45" s="7" t="s">
        <v>50</v>
      </c>
      <c r="F45" s="7" t="n">
        <v>-35.354983</v>
      </c>
      <c r="G45" s="7" t="n">
        <v>149.232914</v>
      </c>
      <c r="H45" s="7" t="s">
        <v>6953</v>
      </c>
    </row>
    <row r="46" customFormat="false" ht="15" hidden="false" customHeight="false" outlineLevel="0" collapsed="false">
      <c r="A46" s="7" t="s">
        <v>6947</v>
      </c>
      <c r="B46" s="7" t="s">
        <v>6948</v>
      </c>
      <c r="C46" s="7" t="s">
        <v>134</v>
      </c>
      <c r="D46" s="7" t="n">
        <v>2444</v>
      </c>
      <c r="E46" s="7" t="s">
        <v>50</v>
      </c>
      <c r="F46" s="7" t="n">
        <v>-31.457966</v>
      </c>
      <c r="G46" s="7" t="n">
        <v>152.827345</v>
      </c>
      <c r="H46" s="7" t="s">
        <v>6952</v>
      </c>
    </row>
    <row r="47" customFormat="false" ht="15" hidden="false" customHeight="false" outlineLevel="0" collapsed="false">
      <c r="A47" s="7" t="s">
        <v>6947</v>
      </c>
      <c r="B47" s="7" t="s">
        <v>6948</v>
      </c>
      <c r="C47" s="7" t="s">
        <v>136</v>
      </c>
      <c r="D47" s="7" t="n">
        <v>2827</v>
      </c>
      <c r="E47" s="7" t="s">
        <v>50</v>
      </c>
      <c r="F47" s="7" t="n">
        <v>-31.722391</v>
      </c>
      <c r="G47" s="7" t="n">
        <v>148.657138</v>
      </c>
      <c r="H47" s="7" t="s">
        <v>6951</v>
      </c>
    </row>
    <row r="48" customFormat="false" ht="15" hidden="false" customHeight="false" outlineLevel="0" collapsed="false">
      <c r="A48" s="7" t="s">
        <v>6947</v>
      </c>
      <c r="B48" s="7" t="s">
        <v>6948</v>
      </c>
      <c r="C48" s="7" t="s">
        <v>138</v>
      </c>
      <c r="D48" s="7" t="n">
        <v>2790</v>
      </c>
      <c r="E48" s="7" t="s">
        <v>50</v>
      </c>
      <c r="F48" s="7" t="n">
        <v>-33.478006</v>
      </c>
      <c r="G48" s="7" t="n">
        <v>150.161124</v>
      </c>
      <c r="H48" s="7" t="s">
        <v>6951</v>
      </c>
    </row>
    <row r="49" customFormat="false" ht="15" hidden="false" customHeight="false" outlineLevel="0" collapsed="false">
      <c r="A49" s="7" t="s">
        <v>6947</v>
      </c>
      <c r="B49" s="7" t="s">
        <v>6948</v>
      </c>
      <c r="C49" s="7" t="s">
        <v>140</v>
      </c>
      <c r="D49" s="7" t="n">
        <v>2287</v>
      </c>
      <c r="E49" s="7" t="s">
        <v>50</v>
      </c>
      <c r="F49" s="7" t="n">
        <v>-32.902721</v>
      </c>
      <c r="G49" s="7" t="n">
        <v>151.669767</v>
      </c>
      <c r="H49" s="7" t="s">
        <v>6951</v>
      </c>
    </row>
    <row r="50" customFormat="false" ht="15" hidden="false" customHeight="false" outlineLevel="0" collapsed="false">
      <c r="A50" s="7" t="s">
        <v>6947</v>
      </c>
      <c r="B50" s="7" t="s">
        <v>6948</v>
      </c>
      <c r="C50" s="7" t="s">
        <v>142</v>
      </c>
      <c r="D50" s="7" t="n">
        <v>2794</v>
      </c>
      <c r="E50" s="7" t="s">
        <v>50</v>
      </c>
      <c r="F50" s="7" t="n">
        <v>-33.834112</v>
      </c>
      <c r="G50" s="7" t="n">
        <v>148.694404</v>
      </c>
      <c r="H50" s="7" t="s">
        <v>6952</v>
      </c>
    </row>
    <row r="51" customFormat="false" ht="15" hidden="false" customHeight="false" outlineLevel="0" collapsed="false">
      <c r="A51" s="7" t="s">
        <v>6947</v>
      </c>
      <c r="B51" s="7" t="s">
        <v>6948</v>
      </c>
      <c r="C51" s="7" t="s">
        <v>144</v>
      </c>
      <c r="D51" s="7" t="n">
        <v>2795</v>
      </c>
      <c r="E51" s="7" t="s">
        <v>50</v>
      </c>
      <c r="F51" s="7" t="n">
        <v>-33.413357</v>
      </c>
      <c r="G51" s="7" t="n">
        <v>149.585326</v>
      </c>
      <c r="H51" s="7" t="s">
        <v>6953</v>
      </c>
    </row>
    <row r="52" customFormat="false" ht="15" hidden="false" customHeight="false" outlineLevel="0" collapsed="false">
      <c r="A52" s="7" t="s">
        <v>6947</v>
      </c>
      <c r="B52" s="7" t="s">
        <v>6948</v>
      </c>
      <c r="C52" s="7" t="s">
        <v>145</v>
      </c>
      <c r="D52" s="7" t="n">
        <v>2795</v>
      </c>
      <c r="E52" s="7" t="s">
        <v>50</v>
      </c>
      <c r="F52" s="7" t="n">
        <v>-33.413357</v>
      </c>
      <c r="G52" s="7" t="n">
        <v>149.585326</v>
      </c>
      <c r="H52" s="7" t="s">
        <v>6951</v>
      </c>
    </row>
    <row r="53" customFormat="false" ht="15" hidden="false" customHeight="false" outlineLevel="0" collapsed="false">
      <c r="A53" s="7" t="s">
        <v>6947</v>
      </c>
      <c r="B53" s="7" t="s">
        <v>6948</v>
      </c>
      <c r="C53" s="7" t="s">
        <v>146</v>
      </c>
      <c r="D53" s="7" t="n">
        <v>2650</v>
      </c>
      <c r="E53" s="7" t="s">
        <v>50</v>
      </c>
      <c r="F53" s="7" t="n">
        <v>-35.108358</v>
      </c>
      <c r="G53" s="7" t="n">
        <v>147.37355</v>
      </c>
      <c r="H53" s="7" t="s">
        <v>6952</v>
      </c>
    </row>
    <row r="54" customFormat="false" ht="15" hidden="false" customHeight="false" outlineLevel="0" collapsed="false">
      <c r="A54" s="7" t="s">
        <v>6947</v>
      </c>
      <c r="B54" s="7" t="s">
        <v>6948</v>
      </c>
      <c r="C54" s="7" t="s">
        <v>148</v>
      </c>
      <c r="D54" s="7" t="n">
        <v>2380</v>
      </c>
      <c r="E54" s="7" t="s">
        <v>50</v>
      </c>
      <c r="F54" s="7" t="n">
        <v>-30.978145</v>
      </c>
      <c r="G54" s="7" t="n">
        <v>150.250987</v>
      </c>
      <c r="H54" s="7" t="s">
        <v>6952</v>
      </c>
    </row>
    <row r="55" customFormat="false" ht="15" hidden="false" customHeight="false" outlineLevel="0" collapsed="false">
      <c r="A55" s="7" t="s">
        <v>6947</v>
      </c>
      <c r="B55" s="7" t="s">
        <v>6948</v>
      </c>
      <c r="C55" s="7" t="s">
        <v>150</v>
      </c>
      <c r="D55" s="7" t="n">
        <v>2453</v>
      </c>
      <c r="E55" s="7" t="s">
        <v>50</v>
      </c>
      <c r="F55" s="7" t="n">
        <v>-30.338496</v>
      </c>
      <c r="G55" s="7" t="n">
        <v>152.712778</v>
      </c>
      <c r="H55" s="7" t="s">
        <v>6951</v>
      </c>
    </row>
    <row r="56" customFormat="false" ht="15" hidden="false" customHeight="false" outlineLevel="0" collapsed="false">
      <c r="A56" s="7" t="s">
        <v>6947</v>
      </c>
      <c r="B56" s="7" t="s">
        <v>6948</v>
      </c>
      <c r="C56" s="7" t="s">
        <v>152</v>
      </c>
      <c r="D56" s="7" t="n">
        <v>2582</v>
      </c>
      <c r="E56" s="7" t="s">
        <v>50</v>
      </c>
      <c r="F56" s="7" t="n">
        <v>-34.841228</v>
      </c>
      <c r="G56" s="7" t="n">
        <v>148.912485</v>
      </c>
      <c r="H56" s="7" t="s">
        <v>6952</v>
      </c>
    </row>
    <row r="57" customFormat="false" ht="15" hidden="false" customHeight="false" outlineLevel="0" collapsed="false">
      <c r="A57" s="7" t="s">
        <v>6947</v>
      </c>
      <c r="B57" s="7" t="s">
        <v>6948</v>
      </c>
      <c r="C57" s="7" t="s">
        <v>154</v>
      </c>
      <c r="D57" s="7" t="n">
        <v>2350</v>
      </c>
      <c r="E57" s="7" t="s">
        <v>50</v>
      </c>
      <c r="F57" s="7" t="n">
        <v>-30.511924</v>
      </c>
      <c r="G57" s="7" t="n">
        <v>151.669672</v>
      </c>
      <c r="H57" s="7" t="s">
        <v>6952</v>
      </c>
    </row>
    <row r="58" customFormat="false" ht="15" hidden="false" customHeight="false" outlineLevel="0" collapsed="false">
      <c r="A58" s="7" t="s">
        <v>6947</v>
      </c>
      <c r="B58" s="7" t="s">
        <v>6948</v>
      </c>
      <c r="C58" s="7" t="s">
        <v>156</v>
      </c>
      <c r="D58" s="7" t="n">
        <v>2750</v>
      </c>
      <c r="E58" s="7" t="s">
        <v>50</v>
      </c>
      <c r="F58" s="7" t="n">
        <v>-33.764666</v>
      </c>
      <c r="G58" s="7" t="n">
        <v>150.682426</v>
      </c>
      <c r="H58" s="7" t="s">
        <v>6949</v>
      </c>
    </row>
    <row r="59" customFormat="false" ht="15" hidden="false" customHeight="false" outlineLevel="0" collapsed="false">
      <c r="A59" s="7" t="s">
        <v>6947</v>
      </c>
      <c r="B59" s="7" t="s">
        <v>6948</v>
      </c>
      <c r="C59" s="7" t="s">
        <v>157</v>
      </c>
      <c r="D59" s="7" t="n">
        <v>2390</v>
      </c>
      <c r="E59" s="7" t="s">
        <v>50</v>
      </c>
      <c r="F59" s="7" t="n">
        <v>-30.325089</v>
      </c>
      <c r="G59" s="7" t="n">
        <v>149.783901</v>
      </c>
      <c r="H59" s="7" t="s">
        <v>6951</v>
      </c>
    </row>
    <row r="60" customFormat="false" ht="15" hidden="false" customHeight="false" outlineLevel="0" collapsed="false">
      <c r="A60" s="7" t="s">
        <v>6947</v>
      </c>
      <c r="B60" s="7" t="s">
        <v>6948</v>
      </c>
      <c r="C60" s="7" t="s">
        <v>159</v>
      </c>
      <c r="D60" s="7" t="n">
        <v>2715</v>
      </c>
      <c r="E60" s="7" t="s">
        <v>50</v>
      </c>
      <c r="F60" s="7" t="n">
        <v>-34.639541</v>
      </c>
      <c r="G60" s="7" t="n">
        <v>143.564708</v>
      </c>
      <c r="H60" s="7" t="s">
        <v>6952</v>
      </c>
    </row>
    <row r="61" customFormat="false" ht="15" hidden="false" customHeight="false" outlineLevel="0" collapsed="false">
      <c r="A61" s="7" t="s">
        <v>6947</v>
      </c>
      <c r="B61" s="7" t="s">
        <v>6948</v>
      </c>
      <c r="C61" s="7" t="s">
        <v>160</v>
      </c>
      <c r="D61" s="7" t="n">
        <v>2575</v>
      </c>
      <c r="E61" s="7" t="s">
        <v>50</v>
      </c>
      <c r="F61" s="7" t="n">
        <v>-34.450088</v>
      </c>
      <c r="G61" s="7" t="n">
        <v>150.442458</v>
      </c>
      <c r="H61" s="7" t="s">
        <v>6954</v>
      </c>
    </row>
    <row r="62" customFormat="false" ht="15" hidden="false" customHeight="false" outlineLevel="0" collapsed="false">
      <c r="A62" s="7" t="s">
        <v>6947</v>
      </c>
      <c r="B62" s="7" t="s">
        <v>6948</v>
      </c>
      <c r="C62" s="7" t="s">
        <v>163</v>
      </c>
      <c r="D62" s="7" t="n">
        <v>2488</v>
      </c>
      <c r="E62" s="7" t="s">
        <v>50</v>
      </c>
      <c r="F62" s="7" t="n">
        <v>-28.33165</v>
      </c>
      <c r="G62" s="7" t="n">
        <v>153.56428</v>
      </c>
      <c r="H62" s="7" t="s">
        <v>6951</v>
      </c>
    </row>
    <row r="63" customFormat="false" ht="15" hidden="false" customHeight="false" outlineLevel="0" collapsed="false">
      <c r="A63" s="7" t="s">
        <v>6947</v>
      </c>
      <c r="B63" s="7" t="s">
        <v>6948</v>
      </c>
      <c r="C63" s="7" t="s">
        <v>165</v>
      </c>
      <c r="D63" s="7" t="n">
        <v>2488</v>
      </c>
      <c r="E63" s="7" t="s">
        <v>50</v>
      </c>
      <c r="F63" s="7" t="n">
        <v>-28.331692</v>
      </c>
      <c r="G63" s="7" t="n">
        <v>153.564141</v>
      </c>
      <c r="H63" s="7" t="s">
        <v>6953</v>
      </c>
    </row>
    <row r="64" customFormat="false" ht="15" hidden="false" customHeight="false" outlineLevel="0" collapsed="false">
      <c r="A64" s="7" t="s">
        <v>6947</v>
      </c>
      <c r="B64" s="7" t="s">
        <v>6948</v>
      </c>
      <c r="C64" s="7" t="s">
        <v>166</v>
      </c>
      <c r="D64" s="7" t="n">
        <v>2800</v>
      </c>
      <c r="E64" s="7" t="s">
        <v>50</v>
      </c>
      <c r="F64" s="7" t="n">
        <v>-33.281426</v>
      </c>
      <c r="G64" s="7" t="n">
        <v>149.10279</v>
      </c>
      <c r="H64" s="7" t="s">
        <v>6952</v>
      </c>
    </row>
    <row r="65" customFormat="false" ht="15" hidden="false" customHeight="false" outlineLevel="0" collapsed="false">
      <c r="A65" s="7" t="s">
        <v>6947</v>
      </c>
      <c r="B65" s="7" t="s">
        <v>6948</v>
      </c>
      <c r="C65" s="7" t="s">
        <v>168</v>
      </c>
      <c r="D65" s="7" t="n">
        <v>2360</v>
      </c>
      <c r="E65" s="7" t="s">
        <v>50</v>
      </c>
      <c r="F65" s="7" t="n">
        <v>-29.774603</v>
      </c>
      <c r="G65" s="7" t="n">
        <v>151.11472</v>
      </c>
      <c r="H65" s="7" t="s">
        <v>6952</v>
      </c>
    </row>
    <row r="66" customFormat="false" ht="15" hidden="false" customHeight="false" outlineLevel="0" collapsed="false">
      <c r="A66" s="7" t="s">
        <v>6947</v>
      </c>
      <c r="B66" s="7" t="s">
        <v>6948</v>
      </c>
      <c r="C66" s="7" t="s">
        <v>170</v>
      </c>
      <c r="D66" s="7" t="n">
        <v>2666</v>
      </c>
      <c r="E66" s="7" t="s">
        <v>50</v>
      </c>
      <c r="F66" s="7" t="n">
        <v>-34.446034</v>
      </c>
      <c r="G66" s="7" t="n">
        <v>147.534258</v>
      </c>
      <c r="H66" s="7" t="s">
        <v>6952</v>
      </c>
    </row>
    <row r="67" customFormat="false" ht="15" hidden="false" customHeight="false" outlineLevel="0" collapsed="false">
      <c r="A67" s="7" t="s">
        <v>6947</v>
      </c>
      <c r="B67" s="7" t="s">
        <v>6948</v>
      </c>
      <c r="C67" s="7" t="s">
        <v>172</v>
      </c>
      <c r="D67" s="7" t="n">
        <v>2659</v>
      </c>
      <c r="E67" s="7" t="s">
        <v>50</v>
      </c>
      <c r="F67" s="7" t="n">
        <v>-35.764937</v>
      </c>
      <c r="G67" s="7" t="n">
        <v>146.901041</v>
      </c>
      <c r="H67" s="7" t="s">
        <v>6953</v>
      </c>
    </row>
    <row r="68" customFormat="false" ht="15" hidden="false" customHeight="false" outlineLevel="0" collapsed="false">
      <c r="A68" s="7" t="s">
        <v>6947</v>
      </c>
      <c r="B68" s="7" t="s">
        <v>6948</v>
      </c>
      <c r="C68" s="7" t="s">
        <v>174</v>
      </c>
      <c r="D68" s="7" t="n">
        <v>2357</v>
      </c>
      <c r="E68" s="7" t="s">
        <v>50</v>
      </c>
      <c r="F68" s="7" t="n">
        <v>-31.2788</v>
      </c>
      <c r="G68" s="7" t="n">
        <v>149.279243</v>
      </c>
      <c r="H68" s="7" t="s">
        <v>6952</v>
      </c>
    </row>
    <row r="69" customFormat="false" ht="15" hidden="false" customHeight="false" outlineLevel="0" collapsed="false">
      <c r="A69" s="7" t="s">
        <v>6947</v>
      </c>
      <c r="B69" s="7" t="s">
        <v>6948</v>
      </c>
      <c r="C69" s="7" t="s">
        <v>176</v>
      </c>
      <c r="D69" s="7" t="n">
        <v>2627</v>
      </c>
      <c r="E69" s="7" t="s">
        <v>50</v>
      </c>
      <c r="F69" s="7" t="n">
        <v>-36.415952</v>
      </c>
      <c r="G69" s="7" t="n">
        <v>148.619804</v>
      </c>
      <c r="H69" s="7" t="s">
        <v>6951</v>
      </c>
    </row>
    <row r="70" customFormat="false" ht="15" hidden="false" customHeight="false" outlineLevel="0" collapsed="false">
      <c r="A70" s="7" t="s">
        <v>6947</v>
      </c>
      <c r="B70" s="7" t="s">
        <v>6948</v>
      </c>
      <c r="C70" s="7" t="s">
        <v>178</v>
      </c>
      <c r="D70" s="7" t="n">
        <v>2620</v>
      </c>
      <c r="E70" s="7" t="s">
        <v>50</v>
      </c>
      <c r="F70" s="7" t="n">
        <v>-35.354983</v>
      </c>
      <c r="G70" s="7" t="n">
        <v>149.232915</v>
      </c>
      <c r="H70" s="7" t="s">
        <v>6951</v>
      </c>
    </row>
    <row r="71" customFormat="false" ht="15" hidden="false" customHeight="false" outlineLevel="0" collapsed="false">
      <c r="A71" s="7" t="s">
        <v>6947</v>
      </c>
      <c r="B71" s="7" t="s">
        <v>6948</v>
      </c>
      <c r="C71" s="7" t="s">
        <v>179</v>
      </c>
      <c r="D71" s="7" t="n">
        <v>2870</v>
      </c>
      <c r="E71" s="7" t="s">
        <v>50</v>
      </c>
      <c r="F71" s="7" t="n">
        <v>-33.137207</v>
      </c>
      <c r="G71" s="7" t="n">
        <v>148.172618</v>
      </c>
      <c r="H71" s="7" t="s">
        <v>6952</v>
      </c>
    </row>
    <row r="72" customFormat="false" ht="15" hidden="false" customHeight="false" outlineLevel="0" collapsed="false">
      <c r="A72" s="7" t="s">
        <v>6947</v>
      </c>
      <c r="B72" s="7" t="s">
        <v>6948</v>
      </c>
      <c r="C72" s="7" t="s">
        <v>181</v>
      </c>
      <c r="D72" s="7" t="n">
        <v>2000</v>
      </c>
      <c r="E72" s="7" t="s">
        <v>50</v>
      </c>
      <c r="F72" s="7" t="n">
        <v>-33.87515</v>
      </c>
      <c r="G72" s="7" t="n">
        <v>151.199564</v>
      </c>
      <c r="H72" s="7" t="s">
        <v>6955</v>
      </c>
    </row>
    <row r="73" customFormat="false" ht="15" hidden="false" customHeight="false" outlineLevel="0" collapsed="false">
      <c r="A73" s="7" t="s">
        <v>6947</v>
      </c>
      <c r="B73" s="7" t="s">
        <v>6948</v>
      </c>
      <c r="C73" s="7" t="s">
        <v>181</v>
      </c>
      <c r="D73" s="7" t="n">
        <v>2000</v>
      </c>
      <c r="E73" s="7" t="s">
        <v>50</v>
      </c>
      <c r="F73" s="7" t="n">
        <v>-33.876752</v>
      </c>
      <c r="G73" s="7" t="n">
        <v>151.20002</v>
      </c>
      <c r="H73" s="7" t="s">
        <v>6956</v>
      </c>
    </row>
    <row r="74" customFormat="false" ht="15" hidden="false" customHeight="false" outlineLevel="0" collapsed="false">
      <c r="A74" s="7" t="s">
        <v>6947</v>
      </c>
      <c r="B74" s="7" t="s">
        <v>6948</v>
      </c>
      <c r="C74" s="7" t="s">
        <v>183</v>
      </c>
      <c r="D74" s="7" t="n">
        <v>2790</v>
      </c>
      <c r="E74" s="7" t="s">
        <v>50</v>
      </c>
      <c r="F74" s="7" t="n">
        <v>-33.481238</v>
      </c>
      <c r="G74" s="7" t="n">
        <v>150.158802</v>
      </c>
      <c r="H74" s="7" t="s">
        <v>6951</v>
      </c>
    </row>
    <row r="75" customFormat="false" ht="15" hidden="false" customHeight="false" outlineLevel="0" collapsed="false">
      <c r="A75" s="7" t="s">
        <v>6947</v>
      </c>
      <c r="B75" s="7" t="s">
        <v>6948</v>
      </c>
      <c r="C75" s="7" t="s">
        <v>184</v>
      </c>
      <c r="D75" s="7" t="n">
        <v>2866</v>
      </c>
      <c r="E75" s="7" t="s">
        <v>50</v>
      </c>
      <c r="F75" s="7" t="n">
        <v>-33.090899</v>
      </c>
      <c r="G75" s="7" t="n">
        <v>148.870414</v>
      </c>
      <c r="H75" s="7" t="s">
        <v>6953</v>
      </c>
    </row>
    <row r="76" customFormat="false" ht="15" hidden="false" customHeight="false" outlineLevel="0" collapsed="false">
      <c r="A76" s="7" t="s">
        <v>6947</v>
      </c>
      <c r="B76" s="7" t="s">
        <v>6948</v>
      </c>
      <c r="C76" s="7" t="s">
        <v>186</v>
      </c>
      <c r="D76" s="7" t="n">
        <v>2866</v>
      </c>
      <c r="E76" s="7" t="s">
        <v>50</v>
      </c>
      <c r="F76" s="7" t="n">
        <v>-33.091201</v>
      </c>
      <c r="G76" s="7" t="n">
        <v>148.870661</v>
      </c>
      <c r="H76" s="7" t="s">
        <v>6951</v>
      </c>
    </row>
    <row r="77" customFormat="false" ht="15" hidden="false" customHeight="false" outlineLevel="0" collapsed="false">
      <c r="A77" s="7" t="s">
        <v>6947</v>
      </c>
      <c r="B77" s="7" t="s">
        <v>6948</v>
      </c>
      <c r="C77" s="7" t="s">
        <v>187</v>
      </c>
      <c r="D77" s="7" t="n">
        <v>2550</v>
      </c>
      <c r="E77" s="7" t="s">
        <v>50</v>
      </c>
      <c r="F77" s="7" t="n">
        <v>-36.673247</v>
      </c>
      <c r="G77" s="7" t="n">
        <v>149.843047</v>
      </c>
      <c r="H77" s="7" t="s">
        <v>6952</v>
      </c>
    </row>
    <row r="78" customFormat="false" ht="15" hidden="false" customHeight="false" outlineLevel="0" collapsed="false">
      <c r="A78" s="7" t="s">
        <v>6947</v>
      </c>
      <c r="B78" s="7" t="s">
        <v>6948</v>
      </c>
      <c r="C78" s="7" t="s">
        <v>189</v>
      </c>
      <c r="D78" s="7" t="n">
        <v>2446</v>
      </c>
      <c r="E78" s="7" t="s">
        <v>50</v>
      </c>
      <c r="F78" s="7" t="n">
        <v>-31.456154</v>
      </c>
      <c r="G78" s="7" t="n">
        <v>152.732723</v>
      </c>
      <c r="H78" s="7" t="s">
        <v>6951</v>
      </c>
    </row>
    <row r="79" customFormat="false" ht="15" hidden="false" customHeight="false" outlineLevel="0" collapsed="false">
      <c r="A79" s="7" t="s">
        <v>6947</v>
      </c>
      <c r="B79" s="7" t="s">
        <v>6948</v>
      </c>
      <c r="C79" s="7" t="s">
        <v>129</v>
      </c>
      <c r="D79" s="7" t="n">
        <v>2170</v>
      </c>
      <c r="E79" s="7" t="s">
        <v>50</v>
      </c>
      <c r="F79" s="7" t="n">
        <v>-33.930251</v>
      </c>
      <c r="G79" s="7" t="n">
        <v>150.875629</v>
      </c>
      <c r="H79" s="7" t="s">
        <v>6957</v>
      </c>
    </row>
    <row r="80" customFormat="false" ht="15" hidden="false" customHeight="false" outlineLevel="0" collapsed="false">
      <c r="A80" s="7" t="s">
        <v>6947</v>
      </c>
      <c r="B80" s="7" t="s">
        <v>6948</v>
      </c>
      <c r="C80" s="7" t="s">
        <v>191</v>
      </c>
      <c r="D80" s="7" t="n">
        <v>2340</v>
      </c>
      <c r="E80" s="7" t="s">
        <v>50</v>
      </c>
      <c r="F80" s="7" t="n">
        <v>-31.090355</v>
      </c>
      <c r="G80" s="7" t="n">
        <v>150.927413</v>
      </c>
      <c r="H80" s="7" t="s">
        <v>6952</v>
      </c>
    </row>
    <row r="81" customFormat="false" ht="15" hidden="false" customHeight="false" outlineLevel="0" collapsed="false">
      <c r="A81" s="7" t="s">
        <v>6947</v>
      </c>
      <c r="B81" s="7" t="s">
        <v>6948</v>
      </c>
      <c r="C81" s="7" t="s">
        <v>193</v>
      </c>
      <c r="D81" s="7" t="n">
        <v>2640</v>
      </c>
      <c r="E81" s="7" t="s">
        <v>50</v>
      </c>
      <c r="F81" s="7" t="n">
        <v>-36.083792</v>
      </c>
      <c r="G81" s="7" t="n">
        <v>146.914834</v>
      </c>
      <c r="H81" s="7" t="s">
        <v>6952</v>
      </c>
    </row>
    <row r="82" customFormat="false" ht="15" hidden="false" customHeight="false" outlineLevel="0" collapsed="false">
      <c r="A82" s="7" t="s">
        <v>6947</v>
      </c>
      <c r="B82" s="7" t="s">
        <v>6948</v>
      </c>
      <c r="C82" s="7" t="s">
        <v>195</v>
      </c>
      <c r="D82" s="7" t="n">
        <v>2880</v>
      </c>
      <c r="E82" s="7" t="s">
        <v>50</v>
      </c>
      <c r="F82" s="7" t="n">
        <v>-31.959618</v>
      </c>
      <c r="G82" s="7" t="n">
        <v>141.45957</v>
      </c>
      <c r="H82" s="7" t="s">
        <v>6952</v>
      </c>
    </row>
    <row r="83" customFormat="false" ht="15" hidden="false" customHeight="false" outlineLevel="0" collapsed="false">
      <c r="A83" s="7" t="s">
        <v>6947</v>
      </c>
      <c r="B83" s="7" t="s">
        <v>197</v>
      </c>
      <c r="C83" s="7" t="s">
        <v>198</v>
      </c>
      <c r="D83" s="7" t="n">
        <v>2850</v>
      </c>
      <c r="E83" s="7" t="s">
        <v>50</v>
      </c>
      <c r="F83" s="7" t="n">
        <v>-32.593681</v>
      </c>
      <c r="G83" s="7" t="n">
        <v>149.586263</v>
      </c>
      <c r="H83" s="7" t="s">
        <v>6952</v>
      </c>
    </row>
    <row r="84" customFormat="false" ht="15" hidden="false" customHeight="false" outlineLevel="0" collapsed="false">
      <c r="A84" s="7" t="s">
        <v>6947</v>
      </c>
      <c r="B84" s="7" t="s">
        <v>200</v>
      </c>
      <c r="C84" s="7" t="s">
        <v>201</v>
      </c>
      <c r="D84" s="7" t="n">
        <v>2127</v>
      </c>
      <c r="E84" s="7" t="s">
        <v>50</v>
      </c>
      <c r="F84" s="7" t="n">
        <v>-33.846038</v>
      </c>
      <c r="G84" s="7" t="n">
        <v>151.069806</v>
      </c>
      <c r="H84" s="7" t="s">
        <v>6952</v>
      </c>
    </row>
    <row r="85" customFormat="false" ht="15" hidden="false" customHeight="false" outlineLevel="0" collapsed="false">
      <c r="A85" s="7" t="s">
        <v>6947</v>
      </c>
      <c r="B85" s="7" t="s">
        <v>6948</v>
      </c>
      <c r="C85" s="7" t="s">
        <v>203</v>
      </c>
      <c r="D85" s="7" t="n">
        <v>2644</v>
      </c>
      <c r="E85" s="7" t="s">
        <v>50</v>
      </c>
      <c r="F85" s="7" t="n">
        <v>-35.717574</v>
      </c>
      <c r="G85" s="7" t="n">
        <v>147.317769</v>
      </c>
      <c r="H85" s="7" t="s">
        <v>6952</v>
      </c>
    </row>
    <row r="86" customFormat="false" ht="15" hidden="false" customHeight="false" outlineLevel="0" collapsed="false">
      <c r="A86" s="7" t="s">
        <v>6947</v>
      </c>
      <c r="B86" s="7" t="s">
        <v>204</v>
      </c>
      <c r="C86" s="7" t="s">
        <v>205</v>
      </c>
      <c r="D86" s="7" t="n">
        <v>2726</v>
      </c>
      <c r="E86" s="7" t="s">
        <v>50</v>
      </c>
      <c r="F86" s="7" t="n">
        <v>-34.823429</v>
      </c>
      <c r="G86" s="7" t="n">
        <v>148.325703</v>
      </c>
      <c r="H86" s="7" t="s">
        <v>6952</v>
      </c>
    </row>
    <row r="87" customFormat="false" ht="15" hidden="false" customHeight="false" outlineLevel="0" collapsed="false">
      <c r="A87" s="7" t="s">
        <v>6947</v>
      </c>
      <c r="B87" s="7" t="s">
        <v>207</v>
      </c>
      <c r="C87" s="7" t="s">
        <v>208</v>
      </c>
      <c r="D87" s="7" t="n">
        <v>2594</v>
      </c>
      <c r="E87" s="7" t="s">
        <v>50</v>
      </c>
      <c r="F87" s="7" t="n">
        <v>-34.311774</v>
      </c>
      <c r="G87" s="7" t="n">
        <v>148.295099</v>
      </c>
      <c r="H87" s="7" t="s">
        <v>6952</v>
      </c>
    </row>
    <row r="88" customFormat="false" ht="15" hidden="false" customHeight="false" outlineLevel="0" collapsed="false">
      <c r="A88" s="7" t="s">
        <v>6947</v>
      </c>
      <c r="B88" s="7" t="s">
        <v>209</v>
      </c>
      <c r="C88" s="7" t="s">
        <v>210</v>
      </c>
      <c r="D88" s="7" t="n">
        <v>2671</v>
      </c>
      <c r="E88" s="7" t="s">
        <v>50</v>
      </c>
      <c r="F88" s="7" t="n">
        <v>-33.923822</v>
      </c>
      <c r="G88" s="7" t="n">
        <v>147.203379</v>
      </c>
      <c r="H88" s="7" t="s">
        <v>6952</v>
      </c>
    </row>
    <row r="89" customFormat="false" ht="15" hidden="false" customHeight="false" outlineLevel="0" collapsed="false">
      <c r="A89" s="7" t="s">
        <v>6947</v>
      </c>
      <c r="B89" s="7" t="s">
        <v>6948</v>
      </c>
      <c r="C89" s="7" t="s">
        <v>212</v>
      </c>
      <c r="D89" s="7" t="n">
        <v>2850</v>
      </c>
      <c r="E89" s="7" t="s">
        <v>50</v>
      </c>
      <c r="F89" s="7" t="n">
        <v>-32.58961</v>
      </c>
      <c r="G89" s="7" t="n">
        <v>149.585758</v>
      </c>
      <c r="H89" s="7" t="s">
        <v>6951</v>
      </c>
    </row>
    <row r="90" customFormat="false" ht="15" hidden="false" customHeight="false" outlineLevel="0" collapsed="false">
      <c r="A90" s="7" t="s">
        <v>6947</v>
      </c>
      <c r="B90" s="7" t="s">
        <v>214</v>
      </c>
      <c r="C90" s="7" t="s">
        <v>215</v>
      </c>
      <c r="D90" s="7" t="n">
        <v>2829</v>
      </c>
      <c r="E90" s="7" t="s">
        <v>50</v>
      </c>
      <c r="F90" s="7" t="n">
        <v>-30.95278</v>
      </c>
      <c r="G90" s="7" t="n">
        <v>148.387913</v>
      </c>
      <c r="H90" s="7" t="s">
        <v>6951</v>
      </c>
    </row>
    <row r="91" customFormat="false" ht="15" hidden="false" customHeight="false" outlineLevel="0" collapsed="false">
      <c r="A91" s="7" t="s">
        <v>6947</v>
      </c>
      <c r="B91" s="7" t="s">
        <v>217</v>
      </c>
      <c r="C91" s="7" t="s">
        <v>218</v>
      </c>
      <c r="D91" s="7" t="n">
        <v>2370</v>
      </c>
      <c r="E91" s="7" t="s">
        <v>50</v>
      </c>
      <c r="F91" s="7" t="n">
        <v>-29.738464</v>
      </c>
      <c r="G91" s="7" t="n">
        <v>151.736308</v>
      </c>
      <c r="H91" s="7" t="s">
        <v>6952</v>
      </c>
    </row>
    <row r="92" customFormat="false" ht="15" hidden="false" customHeight="false" outlineLevel="0" collapsed="false">
      <c r="A92" s="7" t="s">
        <v>6947</v>
      </c>
      <c r="B92" s="7" t="s">
        <v>220</v>
      </c>
      <c r="C92" s="7" t="s">
        <v>221</v>
      </c>
      <c r="D92" s="7" t="n">
        <v>2536</v>
      </c>
      <c r="E92" s="7" t="s">
        <v>50</v>
      </c>
      <c r="F92" s="7" t="n">
        <v>-35.709553</v>
      </c>
      <c r="G92" s="7" t="n">
        <v>150.173983</v>
      </c>
      <c r="H92" s="7" t="s">
        <v>6951</v>
      </c>
    </row>
    <row r="93" customFormat="false" ht="15" hidden="false" customHeight="false" outlineLevel="0" collapsed="false">
      <c r="A93" s="7" t="s">
        <v>6947</v>
      </c>
      <c r="B93" s="7" t="s">
        <v>222</v>
      </c>
      <c r="C93" s="7" t="s">
        <v>223</v>
      </c>
      <c r="D93" s="7" t="n">
        <v>2571</v>
      </c>
      <c r="E93" s="7" t="s">
        <v>50</v>
      </c>
      <c r="F93" s="7" t="n">
        <v>-34.168288</v>
      </c>
      <c r="G93" s="7" t="n">
        <v>150.610943</v>
      </c>
      <c r="H93" s="7" t="s">
        <v>6952</v>
      </c>
    </row>
    <row r="94" customFormat="false" ht="15" hidden="false" customHeight="false" outlineLevel="0" collapsed="false">
      <c r="A94" s="7" t="s">
        <v>6947</v>
      </c>
      <c r="B94" s="7" t="s">
        <v>225</v>
      </c>
      <c r="C94" s="7" t="s">
        <v>226</v>
      </c>
      <c r="D94" s="7" t="n">
        <v>2830</v>
      </c>
      <c r="E94" s="7" t="s">
        <v>50</v>
      </c>
      <c r="F94" s="7" t="n">
        <v>-32.249363</v>
      </c>
      <c r="G94" s="7" t="n">
        <v>148.609187</v>
      </c>
      <c r="H94" s="7" t="s">
        <v>6952</v>
      </c>
    </row>
    <row r="95" customFormat="false" ht="15" hidden="false" customHeight="false" outlineLevel="0" collapsed="false">
      <c r="A95" s="7" t="s">
        <v>6947</v>
      </c>
      <c r="B95" s="7" t="s">
        <v>6958</v>
      </c>
      <c r="C95" s="7" t="s">
        <v>228</v>
      </c>
      <c r="D95" s="7" t="n">
        <v>2333</v>
      </c>
      <c r="E95" s="7" t="s">
        <v>50</v>
      </c>
      <c r="F95" s="7" t="n">
        <v>-32.262242</v>
      </c>
      <c r="G95" s="7" t="n">
        <v>150.890139</v>
      </c>
      <c r="H95" s="7" t="s">
        <v>6959</v>
      </c>
    </row>
    <row r="96" customFormat="false" ht="15" hidden="false" customHeight="false" outlineLevel="0" collapsed="false">
      <c r="A96" s="7" t="s">
        <v>6947</v>
      </c>
      <c r="B96" s="7" t="s">
        <v>6960</v>
      </c>
      <c r="C96" s="7" t="s">
        <v>231</v>
      </c>
      <c r="D96" s="7" t="n">
        <v>2766</v>
      </c>
      <c r="E96" s="7" t="s">
        <v>50</v>
      </c>
      <c r="F96" s="7" t="n">
        <v>-33.811004</v>
      </c>
      <c r="G96" s="7" t="n">
        <v>150.849597</v>
      </c>
      <c r="H96" s="7" t="s">
        <v>6961</v>
      </c>
    </row>
    <row r="97" customFormat="false" ht="15" hidden="false" customHeight="false" outlineLevel="0" collapsed="false">
      <c r="A97" s="7" t="s">
        <v>6947</v>
      </c>
      <c r="B97" s="7" t="s">
        <v>6962</v>
      </c>
      <c r="C97" s="7" t="s">
        <v>235</v>
      </c>
      <c r="D97" s="7" t="n">
        <v>2070</v>
      </c>
      <c r="E97" s="7" t="s">
        <v>50</v>
      </c>
      <c r="F97" s="7" t="n">
        <v>-33.774101</v>
      </c>
      <c r="G97" s="7" t="n">
        <v>151.167035</v>
      </c>
      <c r="H97" s="7" t="s">
        <v>6963</v>
      </c>
    </row>
    <row r="98" customFormat="false" ht="15" hidden="false" customHeight="false" outlineLevel="0" collapsed="false">
      <c r="A98" s="7" t="s">
        <v>6947</v>
      </c>
      <c r="B98" s="7" t="s">
        <v>6964</v>
      </c>
      <c r="C98" s="7" t="s">
        <v>238</v>
      </c>
      <c r="D98" s="7" t="n">
        <v>2481</v>
      </c>
      <c r="E98" s="7" t="s">
        <v>50</v>
      </c>
      <c r="F98" s="7" t="n">
        <v>-28.641819</v>
      </c>
      <c r="G98" s="7" t="n">
        <v>153.613633</v>
      </c>
      <c r="H98" s="7" t="s">
        <v>6965</v>
      </c>
    </row>
    <row r="99" customFormat="false" ht="15" hidden="false" customHeight="false" outlineLevel="0" collapsed="false">
      <c r="A99" s="7" t="s">
        <v>6947</v>
      </c>
      <c r="B99" s="7" t="s">
        <v>6964</v>
      </c>
      <c r="C99" s="7" t="s">
        <v>241</v>
      </c>
      <c r="D99" s="7" t="n">
        <v>2037</v>
      </c>
      <c r="E99" s="7" t="s">
        <v>50</v>
      </c>
      <c r="F99" s="7" t="n">
        <v>-33.883504</v>
      </c>
      <c r="G99" s="7" t="n">
        <v>151.194433</v>
      </c>
      <c r="H99" s="7" t="s">
        <v>6966</v>
      </c>
    </row>
    <row r="100" customFormat="false" ht="15" hidden="false" customHeight="false" outlineLevel="0" collapsed="false">
      <c r="A100" s="7" t="s">
        <v>6947</v>
      </c>
      <c r="B100" s="7" t="s">
        <v>6967</v>
      </c>
      <c r="C100" s="7" t="s">
        <v>243</v>
      </c>
      <c r="D100" s="7" t="n">
        <v>2487</v>
      </c>
      <c r="E100" s="7" t="s">
        <v>50</v>
      </c>
      <c r="F100" s="7" t="n">
        <v>-28.276903</v>
      </c>
      <c r="G100" s="7" t="n">
        <v>153.577078</v>
      </c>
      <c r="H100" s="7" t="s">
        <v>6968</v>
      </c>
    </row>
    <row r="101" customFormat="false" ht="15" hidden="false" customHeight="false" outlineLevel="0" collapsed="false">
      <c r="A101" s="7" t="s">
        <v>6947</v>
      </c>
      <c r="B101" s="7" t="s">
        <v>6962</v>
      </c>
      <c r="C101" s="7" t="s">
        <v>245</v>
      </c>
      <c r="D101" s="7" t="n">
        <v>2088</v>
      </c>
      <c r="E101" s="7" t="s">
        <v>50</v>
      </c>
      <c r="F101" s="7" t="n">
        <v>-33.841037</v>
      </c>
      <c r="G101" s="7" t="n">
        <v>151.242245</v>
      </c>
      <c r="H101" s="7" t="s">
        <v>6969</v>
      </c>
    </row>
    <row r="102" customFormat="false" ht="15" hidden="false" customHeight="false" outlineLevel="0" collapsed="false">
      <c r="A102" s="7" t="s">
        <v>6947</v>
      </c>
      <c r="B102" s="7" t="s">
        <v>6962</v>
      </c>
      <c r="C102" s="7" t="s">
        <v>245</v>
      </c>
      <c r="D102" s="7" t="n">
        <v>2088</v>
      </c>
      <c r="E102" s="7" t="s">
        <v>50</v>
      </c>
      <c r="F102" s="7" t="n">
        <v>-33.841418</v>
      </c>
      <c r="G102" s="7" t="n">
        <v>151.242631</v>
      </c>
      <c r="H102" s="7" t="s">
        <v>6969</v>
      </c>
    </row>
    <row r="103" customFormat="false" ht="15" hidden="false" customHeight="false" outlineLevel="0" collapsed="false">
      <c r="A103" s="7" t="s">
        <v>6947</v>
      </c>
      <c r="B103" s="7" t="s">
        <v>6970</v>
      </c>
      <c r="C103" s="7" t="s">
        <v>247</v>
      </c>
      <c r="D103" s="7" t="n">
        <v>2000</v>
      </c>
      <c r="E103" s="7" t="s">
        <v>50</v>
      </c>
      <c r="F103" s="7" t="n">
        <v>-33.871368</v>
      </c>
      <c r="G103" s="7" t="n">
        <v>151.213741</v>
      </c>
      <c r="H103" s="7" t="s">
        <v>6971</v>
      </c>
    </row>
    <row r="104" customFormat="false" ht="15" hidden="false" customHeight="false" outlineLevel="0" collapsed="false">
      <c r="A104" s="7" t="s">
        <v>6947</v>
      </c>
      <c r="B104" s="7" t="s">
        <v>6964</v>
      </c>
      <c r="C104" s="7" t="s">
        <v>249</v>
      </c>
      <c r="D104" s="7" t="n">
        <v>2037</v>
      </c>
      <c r="E104" s="7" t="s">
        <v>50</v>
      </c>
      <c r="F104" s="7" t="n">
        <v>-33.876374</v>
      </c>
      <c r="G104" s="7" t="n">
        <v>151.177638</v>
      </c>
      <c r="H104" s="7" t="s">
        <v>6965</v>
      </c>
    </row>
    <row r="105" customFormat="false" ht="15" hidden="false" customHeight="false" outlineLevel="0" collapsed="false">
      <c r="A105" s="7" t="s">
        <v>6947</v>
      </c>
      <c r="B105" s="7" t="s">
        <v>6964</v>
      </c>
      <c r="C105" s="7" t="s">
        <v>249</v>
      </c>
      <c r="D105" s="7" t="n">
        <v>2037</v>
      </c>
      <c r="E105" s="7" t="s">
        <v>50</v>
      </c>
      <c r="F105" s="7" t="n">
        <v>-33.876501</v>
      </c>
      <c r="G105" s="7" t="n">
        <v>151.178</v>
      </c>
      <c r="H105" s="7" t="s">
        <v>6972</v>
      </c>
    </row>
    <row r="106" customFormat="false" ht="15" hidden="false" customHeight="false" outlineLevel="0" collapsed="false">
      <c r="A106" s="7" t="s">
        <v>6947</v>
      </c>
      <c r="B106" s="7" t="s">
        <v>6973</v>
      </c>
      <c r="C106" s="7" t="s">
        <v>251</v>
      </c>
      <c r="D106" s="7" t="n">
        <v>2150</v>
      </c>
      <c r="E106" s="7" t="s">
        <v>50</v>
      </c>
      <c r="F106" s="7" t="n">
        <v>-33.806459</v>
      </c>
      <c r="G106" s="7" t="n">
        <v>151.001748</v>
      </c>
      <c r="H106" s="7" t="s">
        <v>6974</v>
      </c>
    </row>
    <row r="107" customFormat="false" ht="15" hidden="false" customHeight="false" outlineLevel="0" collapsed="false">
      <c r="A107" s="7" t="s">
        <v>6947</v>
      </c>
      <c r="B107" s="7" t="s">
        <v>6964</v>
      </c>
      <c r="C107" s="7" t="s">
        <v>253</v>
      </c>
      <c r="D107" s="7" t="n">
        <v>2548</v>
      </c>
      <c r="E107" s="7" t="s">
        <v>50</v>
      </c>
      <c r="F107" s="7" t="n">
        <v>-36.895306</v>
      </c>
      <c r="G107" s="7" t="n">
        <v>149.911881</v>
      </c>
      <c r="H107" s="7" t="s">
        <v>6975</v>
      </c>
    </row>
    <row r="108" customFormat="false" ht="15" hidden="false" customHeight="false" outlineLevel="0" collapsed="false">
      <c r="A108" s="7" t="s">
        <v>6947</v>
      </c>
      <c r="B108" s="7" t="s">
        <v>6964</v>
      </c>
      <c r="C108" s="7" t="s">
        <v>255</v>
      </c>
      <c r="D108" s="7" t="n">
        <v>2575</v>
      </c>
      <c r="E108" s="7" t="s">
        <v>50</v>
      </c>
      <c r="F108" s="7" t="n">
        <v>-34.447294</v>
      </c>
      <c r="G108" s="7" t="n">
        <v>150.461559</v>
      </c>
      <c r="H108" s="7" t="s">
        <v>6975</v>
      </c>
    </row>
    <row r="109" customFormat="false" ht="15" hidden="false" customHeight="false" outlineLevel="0" collapsed="false">
      <c r="A109" s="7" t="s">
        <v>6947</v>
      </c>
      <c r="B109" s="7" t="s">
        <v>6964</v>
      </c>
      <c r="C109" s="7" t="s">
        <v>256</v>
      </c>
      <c r="D109" s="7" t="n">
        <v>2766</v>
      </c>
      <c r="E109" s="7" t="s">
        <v>50</v>
      </c>
      <c r="F109" s="7" t="n">
        <v>-33.803826</v>
      </c>
      <c r="G109" s="7" t="n">
        <v>150.86773</v>
      </c>
      <c r="H109" s="7" t="s">
        <v>6965</v>
      </c>
    </row>
    <row r="110" customFormat="false" ht="15" hidden="false" customHeight="false" outlineLevel="0" collapsed="false">
      <c r="A110" s="7" t="s">
        <v>6947</v>
      </c>
      <c r="B110" s="7" t="s">
        <v>6967</v>
      </c>
      <c r="C110" s="7" t="s">
        <v>257</v>
      </c>
      <c r="D110" s="7" t="n">
        <v>2064</v>
      </c>
      <c r="E110" s="7" t="s">
        <v>50</v>
      </c>
      <c r="F110" s="7" t="n">
        <v>-33.817079</v>
      </c>
      <c r="G110" s="7" t="n">
        <v>151.188937</v>
      </c>
      <c r="H110" s="7" t="s">
        <v>6976</v>
      </c>
    </row>
    <row r="111" customFormat="false" ht="15" hidden="false" customHeight="false" outlineLevel="0" collapsed="false">
      <c r="A111" s="7" t="s">
        <v>6947</v>
      </c>
      <c r="B111" s="7" t="s">
        <v>6977</v>
      </c>
      <c r="C111" s="7" t="s">
        <v>259</v>
      </c>
      <c r="D111" s="7" t="n">
        <v>2625</v>
      </c>
      <c r="E111" s="7" t="s">
        <v>50</v>
      </c>
      <c r="F111" s="7" t="n">
        <v>-36.501296</v>
      </c>
      <c r="G111" s="7" t="n">
        <v>148.310377</v>
      </c>
      <c r="H111" s="7" t="s">
        <v>6978</v>
      </c>
    </row>
    <row r="112" customFormat="false" ht="15" hidden="false" customHeight="false" outlineLevel="0" collapsed="false">
      <c r="A112" s="7" t="s">
        <v>6947</v>
      </c>
      <c r="B112" s="7" t="s">
        <v>6962</v>
      </c>
      <c r="C112" s="7" t="s">
        <v>261</v>
      </c>
      <c r="D112" s="7" t="n">
        <v>2710</v>
      </c>
      <c r="E112" s="7" t="s">
        <v>50</v>
      </c>
      <c r="F112" s="7" t="n">
        <v>-35.536527</v>
      </c>
      <c r="G112" s="7" t="n">
        <v>144.974228</v>
      </c>
      <c r="H112" s="7" t="s">
        <v>6979</v>
      </c>
    </row>
    <row r="113" customFormat="false" ht="15" hidden="false" customHeight="false" outlineLevel="0" collapsed="false">
      <c r="A113" s="7" t="s">
        <v>6947</v>
      </c>
      <c r="B113" s="7" t="s">
        <v>6962</v>
      </c>
      <c r="C113" s="7" t="s">
        <v>263</v>
      </c>
      <c r="D113" s="7" t="n">
        <v>2571</v>
      </c>
      <c r="E113" s="7" t="s">
        <v>50</v>
      </c>
      <c r="F113" s="7" t="n">
        <v>-34.228477</v>
      </c>
      <c r="G113" s="7" t="n">
        <v>150.684156</v>
      </c>
      <c r="H113" s="7" t="s">
        <v>6980</v>
      </c>
    </row>
    <row r="114" customFormat="false" ht="15" hidden="false" customHeight="false" outlineLevel="0" collapsed="false">
      <c r="A114" s="7" t="s">
        <v>6947</v>
      </c>
      <c r="B114" s="7" t="s">
        <v>6977</v>
      </c>
      <c r="C114" s="7" t="s">
        <v>264</v>
      </c>
      <c r="D114" s="7" t="n">
        <v>2526</v>
      </c>
      <c r="E114" s="7" t="s">
        <v>50</v>
      </c>
      <c r="F114" s="7" t="n">
        <v>-34.451514</v>
      </c>
      <c r="G114" s="7" t="n">
        <v>150.842856</v>
      </c>
      <c r="H114" s="7" t="s">
        <v>6981</v>
      </c>
    </row>
    <row r="115" customFormat="false" ht="15" hidden="false" customHeight="false" outlineLevel="0" collapsed="false">
      <c r="A115" s="7" t="s">
        <v>6947</v>
      </c>
      <c r="B115" s="7" t="s">
        <v>6964</v>
      </c>
      <c r="C115" s="7" t="s">
        <v>265</v>
      </c>
      <c r="D115" s="7" t="n">
        <v>2444</v>
      </c>
      <c r="E115" s="7" t="s">
        <v>50</v>
      </c>
      <c r="F115" s="7" t="n">
        <v>-31.428373</v>
      </c>
      <c r="G115" s="7" t="n">
        <v>152.908762</v>
      </c>
      <c r="H115" s="7" t="s">
        <v>6982</v>
      </c>
    </row>
    <row r="116" customFormat="false" ht="15" hidden="false" customHeight="false" outlineLevel="0" collapsed="false">
      <c r="A116" s="7" t="s">
        <v>6947</v>
      </c>
      <c r="B116" s="7" t="s">
        <v>6962</v>
      </c>
      <c r="C116" s="7" t="s">
        <v>266</v>
      </c>
      <c r="D116" s="7" t="n">
        <v>2765</v>
      </c>
      <c r="E116" s="7" t="s">
        <v>50</v>
      </c>
      <c r="F116" s="7" t="n">
        <v>-33.719817</v>
      </c>
      <c r="G116" s="7" t="n">
        <v>150.842556</v>
      </c>
      <c r="H116" s="7" t="s">
        <v>6979</v>
      </c>
    </row>
    <row r="117" customFormat="false" ht="15" hidden="false" customHeight="false" outlineLevel="0" collapsed="false">
      <c r="A117" s="7" t="s">
        <v>6947</v>
      </c>
      <c r="B117" s="7" t="s">
        <v>6967</v>
      </c>
      <c r="C117" s="7" t="s">
        <v>267</v>
      </c>
      <c r="D117" s="7" t="n">
        <v>2170</v>
      </c>
      <c r="E117" s="7" t="s">
        <v>50</v>
      </c>
      <c r="F117" s="7" t="n">
        <v>-33.948829</v>
      </c>
      <c r="G117" s="7" t="n">
        <v>150.90027</v>
      </c>
      <c r="H117" s="7" t="s">
        <v>6968</v>
      </c>
    </row>
    <row r="118" customFormat="false" ht="15" hidden="false" customHeight="false" outlineLevel="0" collapsed="false">
      <c r="A118" s="7" t="s">
        <v>6947</v>
      </c>
      <c r="B118" s="7" t="s">
        <v>6964</v>
      </c>
      <c r="C118" s="7" t="s">
        <v>269</v>
      </c>
      <c r="D118" s="7" t="n">
        <v>2680</v>
      </c>
      <c r="E118" s="7" t="s">
        <v>50</v>
      </c>
      <c r="F118" s="7" t="n">
        <v>-34.289158</v>
      </c>
      <c r="G118" s="7" t="n">
        <v>146.05112</v>
      </c>
      <c r="H118" s="7" t="s">
        <v>6965</v>
      </c>
    </row>
    <row r="119" customFormat="false" ht="15" hidden="false" customHeight="false" outlineLevel="0" collapsed="false">
      <c r="A119" s="7" t="s">
        <v>6947</v>
      </c>
      <c r="B119" s="7" t="s">
        <v>6962</v>
      </c>
      <c r="C119" s="7" t="s">
        <v>271</v>
      </c>
      <c r="D119" s="7" t="n">
        <v>2028</v>
      </c>
      <c r="E119" s="7" t="s">
        <v>50</v>
      </c>
      <c r="F119" s="7" t="n">
        <v>-33.878231</v>
      </c>
      <c r="G119" s="7" t="n">
        <v>151.244866</v>
      </c>
      <c r="H119" s="7" t="s">
        <v>6983</v>
      </c>
    </row>
    <row r="120" customFormat="false" ht="15" hidden="false" customHeight="false" outlineLevel="0" collapsed="false">
      <c r="A120" s="7" t="s">
        <v>6947</v>
      </c>
      <c r="B120" s="7" t="s">
        <v>6962</v>
      </c>
      <c r="C120" s="7" t="s">
        <v>273</v>
      </c>
      <c r="D120" s="7" t="n">
        <v>2300</v>
      </c>
      <c r="E120" s="7" t="s">
        <v>50</v>
      </c>
      <c r="F120" s="7" t="n">
        <v>-32.929131</v>
      </c>
      <c r="G120" s="7" t="n">
        <v>151.772021</v>
      </c>
      <c r="H120" s="7" t="s">
        <v>6983</v>
      </c>
    </row>
    <row r="121" customFormat="false" ht="15" hidden="false" customHeight="false" outlineLevel="0" collapsed="false">
      <c r="A121" s="7" t="s">
        <v>6947</v>
      </c>
      <c r="B121" s="7" t="s">
        <v>6977</v>
      </c>
      <c r="C121" s="7" t="s">
        <v>274</v>
      </c>
      <c r="D121" s="7" t="n">
        <v>2795</v>
      </c>
      <c r="E121" s="7" t="s">
        <v>50</v>
      </c>
      <c r="F121" s="7" t="n">
        <v>-33.419972</v>
      </c>
      <c r="G121" s="7" t="n">
        <v>149.614399</v>
      </c>
      <c r="H121" s="7" t="s">
        <v>6984</v>
      </c>
    </row>
    <row r="122" customFormat="false" ht="15" hidden="false" customHeight="false" outlineLevel="0" collapsed="false">
      <c r="A122" s="7" t="s">
        <v>6947</v>
      </c>
      <c r="B122" s="7" t="s">
        <v>6964</v>
      </c>
      <c r="C122" s="7" t="s">
        <v>275</v>
      </c>
      <c r="D122" s="7" t="n">
        <v>2261</v>
      </c>
      <c r="E122" s="7" t="s">
        <v>50</v>
      </c>
      <c r="F122" s="7" t="n">
        <v>-33.31094</v>
      </c>
      <c r="G122" s="7" t="n">
        <v>151.522814</v>
      </c>
      <c r="H122" s="7" t="s">
        <v>6975</v>
      </c>
    </row>
    <row r="123" customFormat="false" ht="15" hidden="false" customHeight="false" outlineLevel="0" collapsed="false">
      <c r="A123" s="7" t="s">
        <v>6947</v>
      </c>
      <c r="B123" s="7" t="s">
        <v>6973</v>
      </c>
      <c r="C123" s="7" t="s">
        <v>278</v>
      </c>
      <c r="D123" s="7" t="n">
        <v>2000</v>
      </c>
      <c r="E123" s="7" t="s">
        <v>50</v>
      </c>
      <c r="F123" s="7" t="n">
        <v>-33.867846</v>
      </c>
      <c r="G123" s="7" t="n">
        <v>151.207786</v>
      </c>
      <c r="H123" s="7" t="s">
        <v>6974</v>
      </c>
    </row>
    <row r="124" customFormat="false" ht="15" hidden="false" customHeight="false" outlineLevel="0" collapsed="false">
      <c r="A124" s="7" t="s">
        <v>6947</v>
      </c>
      <c r="B124" s="7" t="s">
        <v>6985</v>
      </c>
      <c r="C124" s="7" t="s">
        <v>279</v>
      </c>
      <c r="D124" s="7" t="n">
        <v>2717</v>
      </c>
      <c r="E124" s="7" t="s">
        <v>50</v>
      </c>
      <c r="F124" s="7" t="n">
        <v>-34.094197</v>
      </c>
      <c r="G124" s="7" t="n">
        <v>142.039688</v>
      </c>
      <c r="H124" s="7" t="s">
        <v>6986</v>
      </c>
    </row>
    <row r="125" customFormat="false" ht="15" hidden="false" customHeight="false" outlineLevel="0" collapsed="false">
      <c r="A125" s="7" t="s">
        <v>6947</v>
      </c>
      <c r="B125" s="7" t="s">
        <v>6962</v>
      </c>
      <c r="C125" s="7" t="s">
        <v>282</v>
      </c>
      <c r="D125" s="7" t="n">
        <v>2323</v>
      </c>
      <c r="E125" s="7" t="s">
        <v>50</v>
      </c>
      <c r="F125" s="7" t="n">
        <v>-32.762494</v>
      </c>
      <c r="G125" s="7" t="n">
        <v>151.589582</v>
      </c>
      <c r="H125" s="7" t="s">
        <v>6983</v>
      </c>
    </row>
    <row r="126" customFormat="false" ht="15" hidden="false" customHeight="false" outlineLevel="0" collapsed="false">
      <c r="A126" s="7" t="s">
        <v>6947</v>
      </c>
      <c r="B126" s="7" t="s">
        <v>6964</v>
      </c>
      <c r="C126" s="7" t="s">
        <v>282</v>
      </c>
      <c r="D126" s="7" t="n">
        <v>2323</v>
      </c>
      <c r="E126" s="7" t="s">
        <v>50</v>
      </c>
      <c r="F126" s="7" t="n">
        <v>-32.762584</v>
      </c>
      <c r="G126" s="7" t="n">
        <v>151.590355</v>
      </c>
      <c r="H126" s="7" t="s">
        <v>6965</v>
      </c>
    </row>
    <row r="127" customFormat="false" ht="15" hidden="false" customHeight="false" outlineLevel="0" collapsed="false">
      <c r="A127" s="7" t="s">
        <v>6947</v>
      </c>
      <c r="B127" s="7" t="s">
        <v>6964</v>
      </c>
      <c r="C127" s="7" t="s">
        <v>284</v>
      </c>
      <c r="D127" s="7" t="n">
        <v>2549</v>
      </c>
      <c r="E127" s="7" t="s">
        <v>50</v>
      </c>
      <c r="F127" s="7" t="n">
        <v>-36.940243</v>
      </c>
      <c r="G127" s="7" t="n">
        <v>149.907265</v>
      </c>
      <c r="H127" s="7" t="s">
        <v>6975</v>
      </c>
    </row>
    <row r="128" customFormat="false" ht="15" hidden="false" customHeight="false" outlineLevel="0" collapsed="false">
      <c r="A128" s="7" t="s">
        <v>6947</v>
      </c>
      <c r="B128" s="7" t="s">
        <v>6987</v>
      </c>
      <c r="C128" s="7" t="s">
        <v>285</v>
      </c>
      <c r="D128" s="7" t="n">
        <v>2103</v>
      </c>
      <c r="E128" s="7" t="s">
        <v>50</v>
      </c>
      <c r="F128" s="7" t="n">
        <v>-33.676136</v>
      </c>
      <c r="G128" s="7" t="n">
        <v>151.303943</v>
      </c>
      <c r="H128" s="7" t="s">
        <v>6988</v>
      </c>
    </row>
    <row r="129" customFormat="false" ht="15" hidden="false" customHeight="false" outlineLevel="0" collapsed="false">
      <c r="A129" s="7" t="s">
        <v>6947</v>
      </c>
      <c r="B129" s="7" t="s">
        <v>6967</v>
      </c>
      <c r="C129" s="7" t="s">
        <v>289</v>
      </c>
      <c r="D129" s="7" t="n">
        <v>2536</v>
      </c>
      <c r="E129" s="7" t="s">
        <v>50</v>
      </c>
      <c r="F129" s="7" t="n">
        <v>-35.707372</v>
      </c>
      <c r="G129" s="7" t="n">
        <v>150.176167</v>
      </c>
      <c r="H129" s="7" t="s">
        <v>6968</v>
      </c>
    </row>
    <row r="130" customFormat="false" ht="15" hidden="false" customHeight="false" outlineLevel="0" collapsed="false">
      <c r="A130" s="7" t="s">
        <v>6947</v>
      </c>
      <c r="B130" s="7" t="s">
        <v>6977</v>
      </c>
      <c r="C130" s="7" t="s">
        <v>290</v>
      </c>
      <c r="D130" s="7" t="n">
        <v>2065</v>
      </c>
      <c r="E130" s="7" t="s">
        <v>50</v>
      </c>
      <c r="F130" s="7" t="n">
        <v>-33.821559</v>
      </c>
      <c r="G130" s="7" t="n">
        <v>151.196412</v>
      </c>
      <c r="H130" s="7" t="s">
        <v>6989</v>
      </c>
    </row>
    <row r="131" customFormat="false" ht="15" hidden="false" customHeight="false" outlineLevel="0" collapsed="false">
      <c r="A131" s="7" t="s">
        <v>6947</v>
      </c>
      <c r="B131" s="7" t="s">
        <v>6962</v>
      </c>
      <c r="C131" s="7" t="s">
        <v>291</v>
      </c>
      <c r="D131" s="7" t="n">
        <v>2481</v>
      </c>
      <c r="E131" s="7" t="s">
        <v>50</v>
      </c>
      <c r="F131" s="7" t="n">
        <v>-28.631142</v>
      </c>
      <c r="G131" s="7" t="n">
        <v>153.582259</v>
      </c>
      <c r="H131" s="7" t="s">
        <v>6990</v>
      </c>
    </row>
    <row r="132" customFormat="false" ht="15" hidden="false" customHeight="false" outlineLevel="0" collapsed="false">
      <c r="A132" s="7" t="s">
        <v>6947</v>
      </c>
      <c r="B132" s="7" t="s">
        <v>6964</v>
      </c>
      <c r="C132" s="7" t="s">
        <v>292</v>
      </c>
      <c r="D132" s="7" t="n">
        <v>2217</v>
      </c>
      <c r="E132" s="7" t="s">
        <v>50</v>
      </c>
      <c r="F132" s="7" t="n">
        <v>-33.962021</v>
      </c>
      <c r="G132" s="7" t="n">
        <v>151.133108</v>
      </c>
      <c r="H132" s="7" t="s">
        <v>6965</v>
      </c>
    </row>
    <row r="133" customFormat="false" ht="15" hidden="false" customHeight="false" outlineLevel="0" collapsed="false">
      <c r="A133" s="7" t="s">
        <v>6947</v>
      </c>
      <c r="B133" s="7" t="s">
        <v>6977</v>
      </c>
      <c r="C133" s="7" t="s">
        <v>294</v>
      </c>
      <c r="D133" s="7" t="n">
        <v>2026</v>
      </c>
      <c r="E133" s="7" t="s">
        <v>50</v>
      </c>
      <c r="F133" s="7" t="n">
        <v>-33.881858</v>
      </c>
      <c r="G133" s="7" t="n">
        <v>151.275285</v>
      </c>
      <c r="H133" s="7" t="s">
        <v>6991</v>
      </c>
    </row>
    <row r="134" customFormat="false" ht="15" hidden="false" customHeight="false" outlineLevel="0" collapsed="false">
      <c r="A134" s="7" t="s">
        <v>6947</v>
      </c>
      <c r="B134" s="7" t="s">
        <v>6964</v>
      </c>
      <c r="C134" s="7" t="s">
        <v>296</v>
      </c>
      <c r="D134" s="7" t="n">
        <v>2138</v>
      </c>
      <c r="E134" s="7" t="s">
        <v>50</v>
      </c>
      <c r="F134" s="7" t="n">
        <v>-33.835528</v>
      </c>
      <c r="G134" s="7" t="n">
        <v>151.084126</v>
      </c>
      <c r="H134" s="7" t="s">
        <v>6992</v>
      </c>
    </row>
    <row r="135" customFormat="false" ht="15" hidden="false" customHeight="false" outlineLevel="0" collapsed="false">
      <c r="A135" s="7" t="s">
        <v>6947</v>
      </c>
      <c r="B135" s="7" t="s">
        <v>6964</v>
      </c>
      <c r="C135" s="7" t="s">
        <v>298</v>
      </c>
      <c r="D135" s="7" t="n">
        <v>2154</v>
      </c>
      <c r="E135" s="7" t="s">
        <v>50</v>
      </c>
      <c r="F135" s="7" t="n">
        <v>-33.730738</v>
      </c>
      <c r="G135" s="7" t="n">
        <v>150.973402</v>
      </c>
      <c r="H135" s="7" t="s">
        <v>6975</v>
      </c>
    </row>
    <row r="136" customFormat="false" ht="15" hidden="false" customHeight="false" outlineLevel="0" collapsed="false">
      <c r="A136" s="7" t="s">
        <v>6947</v>
      </c>
      <c r="B136" s="7" t="s">
        <v>6962</v>
      </c>
      <c r="C136" s="7" t="s">
        <v>300</v>
      </c>
      <c r="D136" s="7" t="n">
        <v>2103</v>
      </c>
      <c r="E136" s="7" t="s">
        <v>50</v>
      </c>
      <c r="F136" s="7" t="n">
        <v>-33.676778</v>
      </c>
      <c r="G136" s="7" t="n">
        <v>151.309884</v>
      </c>
      <c r="H136" s="7" t="s">
        <v>6983</v>
      </c>
    </row>
    <row r="137" customFormat="false" ht="15" hidden="false" customHeight="false" outlineLevel="0" collapsed="false">
      <c r="A137" s="7" t="s">
        <v>6947</v>
      </c>
      <c r="B137" s="7" t="s">
        <v>6993</v>
      </c>
      <c r="C137" s="7" t="s">
        <v>301</v>
      </c>
      <c r="D137" s="7" t="n">
        <v>2025</v>
      </c>
      <c r="E137" s="7" t="s">
        <v>50</v>
      </c>
      <c r="F137" s="7" t="n">
        <v>-33.888481</v>
      </c>
      <c r="G137" s="7" t="n">
        <v>151.24446</v>
      </c>
      <c r="H137" s="7" t="s">
        <v>6994</v>
      </c>
    </row>
    <row r="138" customFormat="false" ht="15" hidden="false" customHeight="false" outlineLevel="0" collapsed="false">
      <c r="A138" s="7" t="s">
        <v>6947</v>
      </c>
      <c r="B138" s="7" t="s">
        <v>6995</v>
      </c>
      <c r="C138" s="7" t="s">
        <v>303</v>
      </c>
      <c r="D138" s="7" t="n">
        <v>2050</v>
      </c>
      <c r="E138" s="7" t="s">
        <v>50</v>
      </c>
      <c r="F138" s="7" t="n">
        <v>-33.884748</v>
      </c>
      <c r="G138" s="7" t="n">
        <v>151.176609</v>
      </c>
      <c r="H138" s="7" t="s">
        <v>6996</v>
      </c>
    </row>
    <row r="139" customFormat="false" ht="15" hidden="false" customHeight="false" outlineLevel="0" collapsed="false">
      <c r="A139" s="7" t="s">
        <v>6947</v>
      </c>
      <c r="B139" s="7" t="s">
        <v>6977</v>
      </c>
      <c r="C139" s="7" t="s">
        <v>305</v>
      </c>
      <c r="D139" s="7" t="n">
        <v>2780</v>
      </c>
      <c r="E139" s="7" t="s">
        <v>50</v>
      </c>
      <c r="F139" s="7" t="n">
        <v>-33.72088</v>
      </c>
      <c r="G139" s="7" t="n">
        <v>150.351419</v>
      </c>
      <c r="H139" s="7" t="s">
        <v>6981</v>
      </c>
    </row>
    <row r="140" customFormat="false" ht="15" hidden="false" customHeight="false" outlineLevel="0" collapsed="false">
      <c r="A140" s="7" t="s">
        <v>6947</v>
      </c>
      <c r="B140" s="7" t="s">
        <v>6964</v>
      </c>
      <c r="C140" s="7" t="s">
        <v>307</v>
      </c>
      <c r="D140" s="7" t="n">
        <v>2485</v>
      </c>
      <c r="E140" s="7" t="s">
        <v>50</v>
      </c>
      <c r="F140" s="7" t="n">
        <v>-28.17379</v>
      </c>
      <c r="G140" s="7" t="n">
        <v>153.544517</v>
      </c>
      <c r="H140" s="7" t="s">
        <v>6997</v>
      </c>
    </row>
    <row r="141" customFormat="false" ht="15" hidden="false" customHeight="false" outlineLevel="0" collapsed="false">
      <c r="A141" s="7" t="s">
        <v>6947</v>
      </c>
      <c r="B141" s="7" t="s">
        <v>6962</v>
      </c>
      <c r="C141" s="7" t="s">
        <v>308</v>
      </c>
      <c r="D141" s="7" t="n">
        <v>2318</v>
      </c>
      <c r="E141" s="7" t="s">
        <v>50</v>
      </c>
      <c r="F141" s="7" t="n">
        <v>-32.804424</v>
      </c>
      <c r="G141" s="7" t="n">
        <v>151.839121</v>
      </c>
      <c r="H141" s="7" t="s">
        <v>6998</v>
      </c>
    </row>
    <row r="142" customFormat="false" ht="15" hidden="false" customHeight="false" outlineLevel="0" collapsed="false">
      <c r="A142" s="7" t="s">
        <v>6947</v>
      </c>
      <c r="B142" s="7" t="s">
        <v>6967</v>
      </c>
      <c r="C142" s="7" t="s">
        <v>310</v>
      </c>
      <c r="D142" s="7" t="n">
        <v>2217</v>
      </c>
      <c r="E142" s="7" t="s">
        <v>50</v>
      </c>
      <c r="F142" s="7" t="n">
        <v>-33.962469</v>
      </c>
      <c r="G142" s="7" t="n">
        <v>151.13247</v>
      </c>
      <c r="H142" s="7" t="s">
        <v>6968</v>
      </c>
    </row>
    <row r="143" customFormat="false" ht="15" hidden="false" customHeight="false" outlineLevel="0" collapsed="false">
      <c r="A143" s="7" t="s">
        <v>6947</v>
      </c>
      <c r="B143" s="7" t="s">
        <v>6967</v>
      </c>
      <c r="C143" s="7" t="s">
        <v>311</v>
      </c>
      <c r="D143" s="7" t="n">
        <v>2566</v>
      </c>
      <c r="E143" s="7" t="s">
        <v>50</v>
      </c>
      <c r="F143" s="7" t="n">
        <v>-34.030943</v>
      </c>
      <c r="G143" s="7" t="n">
        <v>150.849029</v>
      </c>
      <c r="H143" s="7" t="s">
        <v>6968</v>
      </c>
    </row>
    <row r="144" customFormat="false" ht="15" hidden="false" customHeight="false" outlineLevel="0" collapsed="false">
      <c r="A144" s="7" t="s">
        <v>6947</v>
      </c>
      <c r="B144" s="7" t="s">
        <v>6977</v>
      </c>
      <c r="C144" s="7" t="s">
        <v>313</v>
      </c>
      <c r="D144" s="7" t="n">
        <v>3644</v>
      </c>
      <c r="E144" s="7" t="s">
        <v>50</v>
      </c>
      <c r="F144" s="7" t="n">
        <v>-35.906454</v>
      </c>
      <c r="G144" s="7" t="n">
        <v>145.68675</v>
      </c>
      <c r="H144" s="7" t="s">
        <v>6984</v>
      </c>
    </row>
    <row r="145" customFormat="false" ht="15" hidden="false" customHeight="false" outlineLevel="0" collapsed="false">
      <c r="A145" s="7" t="s">
        <v>6947</v>
      </c>
      <c r="B145" s="7" t="s">
        <v>6962</v>
      </c>
      <c r="C145" s="7" t="s">
        <v>315</v>
      </c>
      <c r="D145" s="7" t="n">
        <v>2527</v>
      </c>
      <c r="E145" s="7" t="s">
        <v>50</v>
      </c>
      <c r="F145" s="7" t="n">
        <v>-34.573567</v>
      </c>
      <c r="G145" s="7" t="n">
        <v>150.813427</v>
      </c>
      <c r="H145" s="7" t="s">
        <v>6979</v>
      </c>
    </row>
    <row r="146" customFormat="false" ht="15" hidden="false" customHeight="false" outlineLevel="0" collapsed="false">
      <c r="A146" s="7" t="s">
        <v>6947</v>
      </c>
      <c r="B146" s="7" t="s">
        <v>6967</v>
      </c>
      <c r="C146" s="7" t="s">
        <v>317</v>
      </c>
      <c r="D146" s="7" t="n">
        <v>2795</v>
      </c>
      <c r="E146" s="7" t="s">
        <v>50</v>
      </c>
      <c r="F146" s="7" t="n">
        <v>-33.414172</v>
      </c>
      <c r="G146" s="7" t="n">
        <v>149.583356</v>
      </c>
      <c r="H146" s="7" t="s">
        <v>6968</v>
      </c>
    </row>
    <row r="147" customFormat="false" ht="15" hidden="false" customHeight="false" outlineLevel="0" collapsed="false">
      <c r="A147" s="7" t="s">
        <v>6947</v>
      </c>
      <c r="B147" s="7" t="s">
        <v>6964</v>
      </c>
      <c r="C147" s="7" t="s">
        <v>318</v>
      </c>
      <c r="D147" s="7" t="n">
        <v>2305</v>
      </c>
      <c r="E147" s="7" t="s">
        <v>50</v>
      </c>
      <c r="F147" s="7" t="n">
        <v>-32.920752</v>
      </c>
      <c r="G147" s="7" t="n">
        <v>151.715523</v>
      </c>
      <c r="H147" s="7" t="s">
        <v>6975</v>
      </c>
    </row>
    <row r="148" customFormat="false" ht="15" hidden="false" customHeight="false" outlineLevel="0" collapsed="false">
      <c r="A148" s="7" t="s">
        <v>6947</v>
      </c>
      <c r="B148" s="7" t="s">
        <v>6977</v>
      </c>
      <c r="C148" s="7" t="s">
        <v>319</v>
      </c>
      <c r="D148" s="7" t="n">
        <v>2443</v>
      </c>
      <c r="E148" s="7" t="s">
        <v>50</v>
      </c>
      <c r="F148" s="7" t="n">
        <v>-31.650422</v>
      </c>
      <c r="G148" s="7" t="n">
        <v>152.795887</v>
      </c>
      <c r="H148" s="7" t="s">
        <v>6984</v>
      </c>
    </row>
    <row r="149" customFormat="false" ht="15" hidden="false" customHeight="false" outlineLevel="0" collapsed="false">
      <c r="A149" s="7" t="s">
        <v>6947</v>
      </c>
      <c r="B149" s="7" t="s">
        <v>6962</v>
      </c>
      <c r="C149" s="7" t="s">
        <v>320</v>
      </c>
      <c r="D149" s="7" t="n">
        <v>2070</v>
      </c>
      <c r="E149" s="7" t="s">
        <v>50</v>
      </c>
      <c r="F149" s="7" t="n">
        <v>-33.774817</v>
      </c>
      <c r="G149" s="7" t="n">
        <v>151.170499</v>
      </c>
      <c r="H149" s="7" t="s">
        <v>6999</v>
      </c>
    </row>
    <row r="150" customFormat="false" ht="15" hidden="false" customHeight="false" outlineLevel="0" collapsed="false">
      <c r="A150" s="7" t="s">
        <v>6947</v>
      </c>
      <c r="B150" s="7" t="s">
        <v>6977</v>
      </c>
      <c r="C150" s="7" t="s">
        <v>320</v>
      </c>
      <c r="D150" s="7" t="n">
        <v>2070</v>
      </c>
      <c r="E150" s="7" t="s">
        <v>50</v>
      </c>
      <c r="F150" s="7" t="n">
        <v>-33.774979</v>
      </c>
      <c r="G150" s="7" t="n">
        <v>151.17021</v>
      </c>
      <c r="H150" s="7" t="s">
        <v>7000</v>
      </c>
    </row>
    <row r="151" customFormat="false" ht="15" hidden="false" customHeight="false" outlineLevel="0" collapsed="false">
      <c r="A151" s="7" t="s">
        <v>6947</v>
      </c>
      <c r="B151" s="7" t="s">
        <v>6993</v>
      </c>
      <c r="C151" s="7" t="s">
        <v>321</v>
      </c>
      <c r="D151" s="7" t="n">
        <v>2500</v>
      </c>
      <c r="E151" s="7" t="s">
        <v>50</v>
      </c>
      <c r="F151" s="7" t="n">
        <v>-34.42213</v>
      </c>
      <c r="G151" s="7" t="n">
        <v>150.891979</v>
      </c>
      <c r="H151" s="7" t="s">
        <v>6994</v>
      </c>
    </row>
    <row r="152" customFormat="false" ht="15" hidden="false" customHeight="false" outlineLevel="0" collapsed="false">
      <c r="A152" s="7" t="s">
        <v>6947</v>
      </c>
      <c r="B152" s="7" t="s">
        <v>6964</v>
      </c>
      <c r="C152" s="7" t="s">
        <v>322</v>
      </c>
      <c r="D152" s="7" t="n">
        <v>2444</v>
      </c>
      <c r="E152" s="7" t="s">
        <v>50</v>
      </c>
      <c r="F152" s="7" t="n">
        <v>-31.4361</v>
      </c>
      <c r="G152" s="7" t="n">
        <v>152.823583</v>
      </c>
      <c r="H152" s="7" t="s">
        <v>7001</v>
      </c>
    </row>
    <row r="153" customFormat="false" ht="15" hidden="false" customHeight="false" outlineLevel="0" collapsed="false">
      <c r="A153" s="7" t="s">
        <v>6947</v>
      </c>
      <c r="B153" s="7" t="s">
        <v>6977</v>
      </c>
      <c r="C153" s="7" t="s">
        <v>323</v>
      </c>
      <c r="D153" s="7" t="n">
        <v>2322</v>
      </c>
      <c r="E153" s="7" t="s">
        <v>50</v>
      </c>
      <c r="F153" s="7" t="n">
        <v>-32.803009</v>
      </c>
      <c r="G153" s="7" t="n">
        <v>151.633431</v>
      </c>
      <c r="H153" s="7" t="s">
        <v>7002</v>
      </c>
    </row>
    <row r="154" customFormat="false" ht="15" hidden="false" customHeight="false" outlineLevel="0" collapsed="false">
      <c r="A154" s="7" t="s">
        <v>6947</v>
      </c>
      <c r="B154" s="7" t="s">
        <v>6962</v>
      </c>
      <c r="C154" s="7" t="s">
        <v>324</v>
      </c>
      <c r="D154" s="7" t="n">
        <v>2000</v>
      </c>
      <c r="E154" s="7" t="s">
        <v>50</v>
      </c>
      <c r="F154" s="7" t="n">
        <v>-33.878449</v>
      </c>
      <c r="G154" s="7" t="n">
        <v>151.208999</v>
      </c>
      <c r="H154" s="7" t="s">
        <v>6979</v>
      </c>
    </row>
    <row r="155" customFormat="false" ht="15" hidden="false" customHeight="false" outlineLevel="0" collapsed="false">
      <c r="A155" s="7" t="s">
        <v>6947</v>
      </c>
      <c r="B155" s="7" t="s">
        <v>6964</v>
      </c>
      <c r="C155" s="7" t="s">
        <v>325</v>
      </c>
      <c r="D155" s="7" t="n">
        <v>2022</v>
      </c>
      <c r="E155" s="7" t="s">
        <v>50</v>
      </c>
      <c r="F155" s="7" t="n">
        <v>-33.89092</v>
      </c>
      <c r="G155" s="7" t="n">
        <v>151.250822</v>
      </c>
      <c r="H155" s="7" t="s">
        <v>6982</v>
      </c>
    </row>
    <row r="156" customFormat="false" ht="15" hidden="false" customHeight="false" outlineLevel="0" collapsed="false">
      <c r="A156" s="7" t="s">
        <v>6947</v>
      </c>
      <c r="B156" s="7" t="s">
        <v>6977</v>
      </c>
      <c r="C156" s="7" t="s">
        <v>326</v>
      </c>
      <c r="D156" s="7" t="n">
        <v>2640</v>
      </c>
      <c r="E156" s="7" t="s">
        <v>50</v>
      </c>
      <c r="F156" s="7" t="n">
        <v>-36.081768</v>
      </c>
      <c r="G156" s="7" t="n">
        <v>146.916319</v>
      </c>
      <c r="H156" s="7" t="s">
        <v>6981</v>
      </c>
    </row>
    <row r="157" customFormat="false" ht="15" hidden="false" customHeight="false" outlineLevel="0" collapsed="false">
      <c r="A157" s="7" t="s">
        <v>6947</v>
      </c>
      <c r="B157" s="7" t="s">
        <v>6964</v>
      </c>
      <c r="C157" s="7" t="s">
        <v>327</v>
      </c>
      <c r="D157" s="7" t="n">
        <v>2372</v>
      </c>
      <c r="E157" s="7" t="s">
        <v>50</v>
      </c>
      <c r="F157" s="7" t="n">
        <v>-29.234137</v>
      </c>
      <c r="G157" s="7" t="n">
        <v>152.022288</v>
      </c>
      <c r="H157" s="7" t="s">
        <v>6965</v>
      </c>
    </row>
    <row r="158" customFormat="false" ht="15" hidden="false" customHeight="false" outlineLevel="0" collapsed="false">
      <c r="A158" s="7" t="s">
        <v>6947</v>
      </c>
      <c r="B158" s="7" t="s">
        <v>6964</v>
      </c>
      <c r="C158" s="7" t="s">
        <v>328</v>
      </c>
      <c r="D158" s="7" t="n">
        <v>2800</v>
      </c>
      <c r="E158" s="7" t="s">
        <v>50</v>
      </c>
      <c r="F158" s="7" t="n">
        <v>-33.259226</v>
      </c>
      <c r="G158" s="7" t="n">
        <v>149.00404</v>
      </c>
      <c r="H158" s="7" t="s">
        <v>6965</v>
      </c>
    </row>
    <row r="159" customFormat="false" ht="15" hidden="false" customHeight="false" outlineLevel="0" collapsed="false">
      <c r="A159" s="7" t="s">
        <v>6947</v>
      </c>
      <c r="B159" s="7" t="s">
        <v>7003</v>
      </c>
      <c r="C159" s="7" t="s">
        <v>329</v>
      </c>
      <c r="D159" s="7" t="n">
        <v>2147</v>
      </c>
      <c r="E159" s="7" t="s">
        <v>50</v>
      </c>
      <c r="F159" s="7" t="n">
        <v>-33.77436</v>
      </c>
      <c r="G159" s="7" t="n">
        <v>150.944881</v>
      </c>
      <c r="H159" s="7" t="s">
        <v>7004</v>
      </c>
    </row>
    <row r="160" customFormat="false" ht="15" hidden="false" customHeight="false" outlineLevel="0" collapsed="false">
      <c r="A160" s="7" t="s">
        <v>6947</v>
      </c>
      <c r="B160" s="7" t="s">
        <v>6967</v>
      </c>
      <c r="C160" s="7" t="s">
        <v>331</v>
      </c>
      <c r="D160" s="7" t="n">
        <v>2090</v>
      </c>
      <c r="E160" s="7" t="s">
        <v>50</v>
      </c>
      <c r="F160" s="7" t="n">
        <v>-33.82735</v>
      </c>
      <c r="G160" s="7" t="n">
        <v>151.230337</v>
      </c>
      <c r="H160" s="7" t="s">
        <v>6968</v>
      </c>
    </row>
    <row r="161" customFormat="false" ht="15" hidden="false" customHeight="false" outlineLevel="0" collapsed="false">
      <c r="A161" s="7" t="s">
        <v>6947</v>
      </c>
      <c r="B161" s="7" t="s">
        <v>6962</v>
      </c>
      <c r="C161" s="7" t="s">
        <v>333</v>
      </c>
      <c r="D161" s="7" t="n">
        <v>2444</v>
      </c>
      <c r="E161" s="7" t="s">
        <v>50</v>
      </c>
      <c r="F161" s="7" t="n">
        <v>-31.463942</v>
      </c>
      <c r="G161" s="7" t="n">
        <v>152.82195</v>
      </c>
      <c r="H161" s="7" t="s">
        <v>7005</v>
      </c>
    </row>
    <row r="162" customFormat="false" ht="15" hidden="false" customHeight="false" outlineLevel="0" collapsed="false">
      <c r="A162" s="7" t="s">
        <v>6947</v>
      </c>
      <c r="B162" s="7" t="s">
        <v>6987</v>
      </c>
      <c r="C162" s="7" t="s">
        <v>334</v>
      </c>
      <c r="D162" s="7" t="n">
        <v>2097</v>
      </c>
      <c r="E162" s="7" t="s">
        <v>50</v>
      </c>
      <c r="F162" s="7" t="n">
        <v>-33.73111</v>
      </c>
      <c r="G162" s="7" t="n">
        <v>151.301011</v>
      </c>
      <c r="H162" s="7" t="s">
        <v>6988</v>
      </c>
    </row>
    <row r="163" customFormat="false" ht="15" hidden="false" customHeight="false" outlineLevel="0" collapsed="false">
      <c r="A163" s="7" t="s">
        <v>6947</v>
      </c>
      <c r="B163" s="7" t="s">
        <v>6977</v>
      </c>
      <c r="C163" s="7" t="s">
        <v>335</v>
      </c>
      <c r="D163" s="7" t="n">
        <v>2330</v>
      </c>
      <c r="E163" s="7" t="s">
        <v>50</v>
      </c>
      <c r="F163" s="7" t="n">
        <v>-32.565528</v>
      </c>
      <c r="G163" s="7" t="n">
        <v>151.16714</v>
      </c>
      <c r="H163" s="7" t="s">
        <v>6991</v>
      </c>
    </row>
    <row r="164" customFormat="false" ht="15" hidden="false" customHeight="false" outlineLevel="0" collapsed="false">
      <c r="A164" s="7" t="s">
        <v>6947</v>
      </c>
      <c r="B164" s="7" t="s">
        <v>6962</v>
      </c>
      <c r="C164" s="7" t="s">
        <v>337</v>
      </c>
      <c r="D164" s="7" t="n">
        <v>2179</v>
      </c>
      <c r="E164" s="7" t="s">
        <v>50</v>
      </c>
      <c r="F164" s="7" t="n">
        <v>-33.96188</v>
      </c>
      <c r="G164" s="7" t="n">
        <v>150.806234</v>
      </c>
      <c r="H164" s="7" t="s">
        <v>6998</v>
      </c>
    </row>
    <row r="165" customFormat="false" ht="15" hidden="false" customHeight="false" outlineLevel="0" collapsed="false">
      <c r="A165" s="7" t="s">
        <v>6947</v>
      </c>
      <c r="B165" s="7" t="s">
        <v>6987</v>
      </c>
      <c r="C165" s="7" t="s">
        <v>339</v>
      </c>
      <c r="D165" s="7" t="n">
        <v>2119</v>
      </c>
      <c r="E165" s="7" t="s">
        <v>50</v>
      </c>
      <c r="F165" s="7" t="n">
        <v>-33.750517</v>
      </c>
      <c r="G165" s="7" t="n">
        <v>151.065083</v>
      </c>
      <c r="H165" s="7" t="s">
        <v>6988</v>
      </c>
    </row>
    <row r="166" customFormat="false" ht="15" hidden="false" customHeight="false" outlineLevel="0" collapsed="false">
      <c r="A166" s="7" t="s">
        <v>6947</v>
      </c>
      <c r="B166" s="7" t="s">
        <v>6964</v>
      </c>
      <c r="C166" s="7" t="s">
        <v>341</v>
      </c>
      <c r="D166" s="7" t="n">
        <v>2830</v>
      </c>
      <c r="E166" s="7" t="s">
        <v>50</v>
      </c>
      <c r="F166" s="7" t="n">
        <v>-32.254749</v>
      </c>
      <c r="G166" s="7" t="n">
        <v>148.610142</v>
      </c>
      <c r="H166" s="7" t="s">
        <v>6965</v>
      </c>
    </row>
    <row r="167" customFormat="false" ht="15" hidden="false" customHeight="false" outlineLevel="0" collapsed="false">
      <c r="A167" s="7" t="s">
        <v>6947</v>
      </c>
      <c r="B167" s="7" t="s">
        <v>6964</v>
      </c>
      <c r="C167" s="7" t="s">
        <v>343</v>
      </c>
      <c r="D167" s="7" t="n">
        <v>2830</v>
      </c>
      <c r="E167" s="7" t="s">
        <v>50</v>
      </c>
      <c r="F167" s="7" t="n">
        <v>-32.252166</v>
      </c>
      <c r="G167" s="7" t="n">
        <v>148.589921</v>
      </c>
      <c r="H167" s="7" t="s">
        <v>6975</v>
      </c>
    </row>
    <row r="168" customFormat="false" ht="15" hidden="false" customHeight="false" outlineLevel="0" collapsed="false">
      <c r="A168" s="7" t="s">
        <v>6947</v>
      </c>
      <c r="B168" s="7" t="s">
        <v>6977</v>
      </c>
      <c r="C168" s="7" t="s">
        <v>344</v>
      </c>
      <c r="D168" s="7" t="n">
        <v>2193</v>
      </c>
      <c r="E168" s="7" t="s">
        <v>50</v>
      </c>
      <c r="F168" s="7" t="n">
        <v>-33.911711</v>
      </c>
      <c r="G168" s="7" t="n">
        <v>151.117292</v>
      </c>
      <c r="H168" s="7" t="s">
        <v>6991</v>
      </c>
    </row>
    <row r="169" customFormat="false" ht="15" hidden="false" customHeight="false" outlineLevel="0" collapsed="false">
      <c r="A169" s="7" t="s">
        <v>6947</v>
      </c>
      <c r="B169" s="7" t="s">
        <v>6958</v>
      </c>
      <c r="C169" s="7" t="s">
        <v>346</v>
      </c>
      <c r="D169" s="7" t="n">
        <v>2535</v>
      </c>
      <c r="E169" s="7" t="s">
        <v>50</v>
      </c>
      <c r="F169" s="7" t="n">
        <v>-34.840288</v>
      </c>
      <c r="G169" s="7" t="n">
        <v>150.73236</v>
      </c>
      <c r="H169" s="7" t="s">
        <v>6959</v>
      </c>
    </row>
    <row r="170" customFormat="false" ht="15" hidden="false" customHeight="false" outlineLevel="0" collapsed="false">
      <c r="A170" s="7" t="s">
        <v>6947</v>
      </c>
      <c r="B170" s="7" t="s">
        <v>6964</v>
      </c>
      <c r="C170" s="7" t="s">
        <v>346</v>
      </c>
      <c r="D170" s="7" t="n">
        <v>2535</v>
      </c>
      <c r="E170" s="7" t="s">
        <v>50</v>
      </c>
      <c r="F170" s="7" t="n">
        <v>-34.83925</v>
      </c>
      <c r="G170" s="7" t="n">
        <v>150.734083</v>
      </c>
      <c r="H170" s="7" t="s">
        <v>6965</v>
      </c>
    </row>
    <row r="171" customFormat="false" ht="15" hidden="false" customHeight="false" outlineLevel="0" collapsed="false">
      <c r="A171" s="7" t="s">
        <v>6947</v>
      </c>
      <c r="B171" s="7" t="s">
        <v>6964</v>
      </c>
      <c r="C171" s="7" t="s">
        <v>347</v>
      </c>
      <c r="D171" s="7" t="n">
        <v>2000</v>
      </c>
      <c r="E171" s="7" t="s">
        <v>50</v>
      </c>
      <c r="F171" s="7" t="n">
        <v>-33.854268</v>
      </c>
      <c r="G171" s="7" t="n">
        <v>151.208195</v>
      </c>
      <c r="H171" s="7" t="s">
        <v>6965</v>
      </c>
    </row>
    <row r="172" customFormat="false" ht="15" hidden="false" customHeight="false" outlineLevel="0" collapsed="false">
      <c r="A172" s="7" t="s">
        <v>6947</v>
      </c>
      <c r="B172" s="7" t="s">
        <v>6964</v>
      </c>
      <c r="C172" s="7" t="s">
        <v>348</v>
      </c>
      <c r="D172" s="7" t="n">
        <v>2000</v>
      </c>
      <c r="E172" s="7" t="s">
        <v>50</v>
      </c>
      <c r="F172" s="7" t="n">
        <v>-33.864331</v>
      </c>
      <c r="G172" s="7" t="n">
        <v>151.206069</v>
      </c>
      <c r="H172" s="7" t="s">
        <v>6965</v>
      </c>
    </row>
    <row r="173" customFormat="false" ht="15" hidden="false" customHeight="false" outlineLevel="0" collapsed="false">
      <c r="A173" s="7" t="s">
        <v>6947</v>
      </c>
      <c r="B173" s="7" t="s">
        <v>6964</v>
      </c>
      <c r="C173" s="7" t="s">
        <v>349</v>
      </c>
      <c r="D173" s="7" t="n">
        <v>2153</v>
      </c>
      <c r="E173" s="7" t="s">
        <v>50</v>
      </c>
      <c r="F173" s="7" t="n">
        <v>-33.76312</v>
      </c>
      <c r="G173" s="7" t="n">
        <v>151.00429</v>
      </c>
      <c r="H173" s="7" t="s">
        <v>6975</v>
      </c>
    </row>
    <row r="174" customFormat="false" ht="15" hidden="false" customHeight="false" outlineLevel="0" collapsed="false">
      <c r="A174" s="7" t="s">
        <v>6947</v>
      </c>
      <c r="B174" s="7" t="s">
        <v>6987</v>
      </c>
      <c r="C174" s="7" t="s">
        <v>350</v>
      </c>
      <c r="D174" s="7" t="n">
        <v>2170</v>
      </c>
      <c r="E174" s="7" t="s">
        <v>50</v>
      </c>
      <c r="F174" s="7" t="n">
        <v>-33.925224</v>
      </c>
      <c r="G174" s="7" t="n">
        <v>150.926584</v>
      </c>
      <c r="H174" s="7" t="s">
        <v>6988</v>
      </c>
    </row>
    <row r="175" customFormat="false" ht="15" hidden="false" customHeight="false" outlineLevel="0" collapsed="false">
      <c r="A175" s="7" t="s">
        <v>6947</v>
      </c>
      <c r="B175" s="7" t="s">
        <v>6958</v>
      </c>
      <c r="C175" s="7" t="s">
        <v>351</v>
      </c>
      <c r="D175" s="7" t="n">
        <v>2500</v>
      </c>
      <c r="E175" s="7" t="s">
        <v>50</v>
      </c>
      <c r="F175" s="7" t="n">
        <v>-34.433674</v>
      </c>
      <c r="G175" s="7" t="n">
        <v>150.891622</v>
      </c>
      <c r="H175" s="7" t="s">
        <v>6959</v>
      </c>
    </row>
    <row r="176" customFormat="false" ht="15" hidden="false" customHeight="false" outlineLevel="0" collapsed="false">
      <c r="A176" s="7" t="s">
        <v>6947</v>
      </c>
      <c r="B176" s="7" t="s">
        <v>6993</v>
      </c>
      <c r="C176" s="7" t="s">
        <v>353</v>
      </c>
      <c r="D176" s="7" t="n">
        <v>2454</v>
      </c>
      <c r="E176" s="7" t="s">
        <v>50</v>
      </c>
      <c r="F176" s="7" t="n">
        <v>-30.452756</v>
      </c>
      <c r="G176" s="7" t="n">
        <v>152.896039</v>
      </c>
      <c r="H176" s="7" t="s">
        <v>6994</v>
      </c>
    </row>
    <row r="177" customFormat="false" ht="15" hidden="false" customHeight="false" outlineLevel="0" collapsed="false">
      <c r="A177" s="7" t="s">
        <v>6947</v>
      </c>
      <c r="B177" s="7" t="s">
        <v>6987</v>
      </c>
      <c r="C177" s="7" t="s">
        <v>354</v>
      </c>
      <c r="D177" s="7" t="n">
        <v>2033</v>
      </c>
      <c r="E177" s="7" t="s">
        <v>50</v>
      </c>
      <c r="F177" s="7" t="n">
        <v>-33.907173</v>
      </c>
      <c r="G177" s="7" t="n">
        <v>151.223941</v>
      </c>
      <c r="H177" s="7" t="s">
        <v>6988</v>
      </c>
    </row>
    <row r="178" customFormat="false" ht="15" hidden="false" customHeight="false" outlineLevel="0" collapsed="false">
      <c r="A178" s="7" t="s">
        <v>6947</v>
      </c>
      <c r="B178" s="7" t="s">
        <v>6987</v>
      </c>
      <c r="C178" s="7" t="s">
        <v>356</v>
      </c>
      <c r="D178" s="7" t="n">
        <v>2108</v>
      </c>
      <c r="E178" s="7" t="s">
        <v>50</v>
      </c>
      <c r="F178" s="7" t="n">
        <v>-33.597077</v>
      </c>
      <c r="G178" s="7" t="n">
        <v>151.320022</v>
      </c>
      <c r="H178" s="7" t="s">
        <v>6988</v>
      </c>
    </row>
    <row r="179" customFormat="false" ht="15" hidden="false" customHeight="false" outlineLevel="0" collapsed="false">
      <c r="A179" s="7" t="s">
        <v>6947</v>
      </c>
      <c r="B179" s="7" t="s">
        <v>7006</v>
      </c>
      <c r="C179" s="7" t="s">
        <v>357</v>
      </c>
      <c r="D179" s="7" t="n">
        <v>2153</v>
      </c>
      <c r="E179" s="7" t="s">
        <v>50</v>
      </c>
      <c r="F179" s="7" t="n">
        <v>-33.736692</v>
      </c>
      <c r="G179" s="7" t="n">
        <v>150.95032</v>
      </c>
      <c r="H179" s="7" t="s">
        <v>7007</v>
      </c>
    </row>
    <row r="180" customFormat="false" ht="15" hidden="false" customHeight="false" outlineLevel="0" collapsed="false">
      <c r="A180" s="7" t="s">
        <v>6947</v>
      </c>
      <c r="B180" s="7" t="s">
        <v>6964</v>
      </c>
      <c r="C180" s="7" t="s">
        <v>359</v>
      </c>
      <c r="D180" s="7" t="n">
        <v>2450</v>
      </c>
      <c r="E180" s="7" t="s">
        <v>50</v>
      </c>
      <c r="F180" s="7" t="n">
        <v>-30.286092</v>
      </c>
      <c r="G180" s="7" t="n">
        <v>153.136516</v>
      </c>
      <c r="H180" s="7" t="s">
        <v>6965</v>
      </c>
    </row>
    <row r="181" customFormat="false" ht="15" hidden="false" customHeight="false" outlineLevel="0" collapsed="false">
      <c r="A181" s="7" t="s">
        <v>6947</v>
      </c>
      <c r="B181" s="7" t="s">
        <v>6964</v>
      </c>
      <c r="C181" s="7" t="s">
        <v>361</v>
      </c>
      <c r="D181" s="7" t="n">
        <v>2680</v>
      </c>
      <c r="E181" s="7" t="s">
        <v>50</v>
      </c>
      <c r="F181" s="7" t="n">
        <v>-34.340756</v>
      </c>
      <c r="G181" s="7" t="n">
        <v>146.058634</v>
      </c>
      <c r="H181" s="7" t="s">
        <v>6965</v>
      </c>
    </row>
    <row r="182" customFormat="false" ht="15" hidden="false" customHeight="false" outlineLevel="0" collapsed="false">
      <c r="A182" s="7" t="s">
        <v>6947</v>
      </c>
      <c r="B182" s="7" t="s">
        <v>6987</v>
      </c>
      <c r="C182" s="7" t="s">
        <v>362</v>
      </c>
      <c r="D182" s="7" t="n">
        <v>2077</v>
      </c>
      <c r="E182" s="7" t="s">
        <v>50</v>
      </c>
      <c r="F182" s="7" t="n">
        <v>-33.709732</v>
      </c>
      <c r="G182" s="7" t="n">
        <v>151.104587</v>
      </c>
      <c r="H182" s="7" t="s">
        <v>6988</v>
      </c>
    </row>
    <row r="183" customFormat="false" ht="15" hidden="false" customHeight="false" outlineLevel="0" collapsed="false">
      <c r="A183" s="7" t="s">
        <v>6947</v>
      </c>
      <c r="B183" s="7" t="s">
        <v>6964</v>
      </c>
      <c r="C183" s="7" t="s">
        <v>363</v>
      </c>
      <c r="D183" s="7" t="n">
        <v>2122</v>
      </c>
      <c r="E183" s="7" t="s">
        <v>50</v>
      </c>
      <c r="F183" s="7" t="n">
        <v>-33.791039</v>
      </c>
      <c r="G183" s="7" t="n">
        <v>151.083094</v>
      </c>
      <c r="H183" s="7" t="s">
        <v>6965</v>
      </c>
    </row>
    <row r="184" customFormat="false" ht="15" hidden="false" customHeight="false" outlineLevel="0" collapsed="false">
      <c r="A184" s="7" t="s">
        <v>6947</v>
      </c>
      <c r="B184" s="7" t="s">
        <v>6977</v>
      </c>
      <c r="C184" s="7" t="s">
        <v>365</v>
      </c>
      <c r="D184" s="7" t="n">
        <v>2018</v>
      </c>
      <c r="E184" s="7" t="s">
        <v>50</v>
      </c>
      <c r="F184" s="7" t="n">
        <v>-33.918333</v>
      </c>
      <c r="G184" s="7" t="n">
        <v>151.202164</v>
      </c>
      <c r="H184" s="7" t="s">
        <v>6981</v>
      </c>
    </row>
    <row r="185" customFormat="false" ht="15" hidden="false" customHeight="false" outlineLevel="0" collapsed="false">
      <c r="A185" s="7" t="s">
        <v>6947</v>
      </c>
      <c r="B185" s="7" t="s">
        <v>6962</v>
      </c>
      <c r="C185" s="7" t="s">
        <v>366</v>
      </c>
      <c r="D185" s="7" t="n">
        <v>2026</v>
      </c>
      <c r="E185" s="7" t="s">
        <v>50</v>
      </c>
      <c r="F185" s="7" t="n">
        <v>-33.886825</v>
      </c>
      <c r="G185" s="7" t="n">
        <v>151.272373</v>
      </c>
      <c r="H185" s="7" t="s">
        <v>6969</v>
      </c>
    </row>
    <row r="186" customFormat="false" ht="15" hidden="false" customHeight="false" outlineLevel="0" collapsed="false">
      <c r="A186" s="7" t="s">
        <v>6947</v>
      </c>
      <c r="B186" s="7" t="s">
        <v>6964</v>
      </c>
      <c r="C186" s="7" t="s">
        <v>367</v>
      </c>
      <c r="D186" s="7" t="n">
        <v>2000</v>
      </c>
      <c r="E186" s="7" t="s">
        <v>50</v>
      </c>
      <c r="F186" s="7" t="n">
        <v>-33.862986</v>
      </c>
      <c r="G186" s="7" t="n">
        <v>151.212305</v>
      </c>
      <c r="H186" s="7" t="s">
        <v>6965</v>
      </c>
    </row>
    <row r="187" customFormat="false" ht="15" hidden="false" customHeight="false" outlineLevel="0" collapsed="false">
      <c r="A187" s="7" t="s">
        <v>6947</v>
      </c>
      <c r="B187" s="7" t="s">
        <v>6977</v>
      </c>
      <c r="C187" s="7" t="s">
        <v>368</v>
      </c>
      <c r="D187" s="7" t="n">
        <v>2100</v>
      </c>
      <c r="E187" s="7" t="s">
        <v>50</v>
      </c>
      <c r="F187" s="7" t="n">
        <v>-33.765492</v>
      </c>
      <c r="G187" s="7" t="n">
        <v>151.251198</v>
      </c>
      <c r="H187" s="7" t="s">
        <v>6991</v>
      </c>
    </row>
    <row r="188" customFormat="false" ht="15" hidden="false" customHeight="false" outlineLevel="0" collapsed="false">
      <c r="A188" s="7" t="s">
        <v>6947</v>
      </c>
      <c r="B188" s="7" t="s">
        <v>6962</v>
      </c>
      <c r="C188" s="7" t="s">
        <v>369</v>
      </c>
      <c r="D188" s="7" t="n">
        <v>2164</v>
      </c>
      <c r="E188" s="7" t="s">
        <v>50</v>
      </c>
      <c r="F188" s="7" t="n">
        <v>-33.849869</v>
      </c>
      <c r="G188" s="7" t="n">
        <v>150.897825</v>
      </c>
      <c r="H188" s="7" t="s">
        <v>6980</v>
      </c>
    </row>
    <row r="189" customFormat="false" ht="15" hidden="false" customHeight="false" outlineLevel="0" collapsed="false">
      <c r="A189" s="7" t="s">
        <v>6947</v>
      </c>
      <c r="B189" s="7" t="s">
        <v>7008</v>
      </c>
      <c r="C189" s="7" t="s">
        <v>371</v>
      </c>
      <c r="D189" s="7" t="n">
        <v>2164</v>
      </c>
      <c r="E189" s="7" t="s">
        <v>50</v>
      </c>
      <c r="F189" s="7" t="n">
        <v>-33.850535</v>
      </c>
      <c r="G189" s="7" t="n">
        <v>150.89886</v>
      </c>
      <c r="H189" s="7" t="s">
        <v>7009</v>
      </c>
    </row>
    <row r="190" customFormat="false" ht="15" hidden="false" customHeight="false" outlineLevel="0" collapsed="false">
      <c r="A190" s="7" t="s">
        <v>6947</v>
      </c>
      <c r="B190" s="7" t="s">
        <v>6958</v>
      </c>
      <c r="C190" s="7" t="s">
        <v>373</v>
      </c>
      <c r="D190" s="7" t="n">
        <v>2640</v>
      </c>
      <c r="E190" s="7" t="s">
        <v>50</v>
      </c>
      <c r="F190" s="7" t="n">
        <v>-36.077954</v>
      </c>
      <c r="G190" s="7" t="n">
        <v>146.943213</v>
      </c>
      <c r="H190" s="7" t="s">
        <v>7010</v>
      </c>
    </row>
    <row r="191" customFormat="false" ht="15" hidden="false" customHeight="false" outlineLevel="0" collapsed="false">
      <c r="A191" s="7" t="s">
        <v>6947</v>
      </c>
      <c r="B191" s="7" t="s">
        <v>6973</v>
      </c>
      <c r="C191" s="7" t="s">
        <v>375</v>
      </c>
      <c r="D191" s="7" t="n">
        <v>2540</v>
      </c>
      <c r="E191" s="7" t="s">
        <v>50</v>
      </c>
      <c r="F191" s="7" t="n">
        <v>-34.907111</v>
      </c>
      <c r="G191" s="7" t="n">
        <v>150.735105</v>
      </c>
      <c r="H191" s="7" t="s">
        <v>7011</v>
      </c>
    </row>
    <row r="192" customFormat="false" ht="15" hidden="false" customHeight="false" outlineLevel="0" collapsed="false">
      <c r="A192" s="7" t="s">
        <v>6947</v>
      </c>
      <c r="B192" s="7" t="s">
        <v>6967</v>
      </c>
      <c r="C192" s="7" t="s">
        <v>376</v>
      </c>
      <c r="D192" s="7" t="n">
        <v>2285</v>
      </c>
      <c r="E192" s="7" t="s">
        <v>50</v>
      </c>
      <c r="F192" s="7" t="n">
        <v>-32.896474</v>
      </c>
      <c r="G192" s="7" t="n">
        <v>151.597711</v>
      </c>
      <c r="H192" s="7" t="s">
        <v>7012</v>
      </c>
    </row>
    <row r="193" customFormat="false" ht="15" hidden="false" customHeight="false" outlineLevel="0" collapsed="false">
      <c r="A193" s="7" t="s">
        <v>6947</v>
      </c>
      <c r="B193" s="7" t="s">
        <v>6977</v>
      </c>
      <c r="C193" s="7" t="s">
        <v>379</v>
      </c>
      <c r="D193" s="7" t="n">
        <v>2205</v>
      </c>
      <c r="E193" s="7" t="s">
        <v>50</v>
      </c>
      <c r="F193" s="7" t="n">
        <v>-33.933742</v>
      </c>
      <c r="G193" s="7" t="n">
        <v>151.149288</v>
      </c>
      <c r="H193" s="7" t="s">
        <v>6991</v>
      </c>
    </row>
    <row r="194" customFormat="false" ht="15" hidden="false" customHeight="false" outlineLevel="0" collapsed="false">
      <c r="A194" s="7" t="s">
        <v>6947</v>
      </c>
      <c r="B194" s="7" t="s">
        <v>6964</v>
      </c>
      <c r="C194" s="7" t="s">
        <v>381</v>
      </c>
      <c r="D194" s="7" t="n">
        <v>2061</v>
      </c>
      <c r="E194" s="7" t="s">
        <v>50</v>
      </c>
      <c r="F194" s="7" t="n">
        <v>-33.850162</v>
      </c>
      <c r="G194" s="7" t="n">
        <v>151.218479</v>
      </c>
      <c r="H194" s="7" t="s">
        <v>6965</v>
      </c>
    </row>
    <row r="195" customFormat="false" ht="15" hidden="false" customHeight="false" outlineLevel="0" collapsed="false">
      <c r="A195" s="7" t="s">
        <v>6947</v>
      </c>
      <c r="B195" s="7" t="s">
        <v>6962</v>
      </c>
      <c r="C195" s="7" t="s">
        <v>383</v>
      </c>
      <c r="D195" s="7" t="n">
        <v>2023</v>
      </c>
      <c r="E195" s="7" t="s">
        <v>50</v>
      </c>
      <c r="F195" s="7" t="n">
        <v>-33.884964</v>
      </c>
      <c r="G195" s="7" t="n">
        <v>151.253366</v>
      </c>
      <c r="H195" s="7" t="s">
        <v>6983</v>
      </c>
    </row>
    <row r="196" customFormat="false" ht="15" hidden="false" customHeight="false" outlineLevel="0" collapsed="false">
      <c r="A196" s="7" t="s">
        <v>6947</v>
      </c>
      <c r="B196" s="7" t="s">
        <v>7003</v>
      </c>
      <c r="C196" s="7" t="s">
        <v>384</v>
      </c>
      <c r="D196" s="7" t="n">
        <v>2574</v>
      </c>
      <c r="E196" s="7" t="s">
        <v>50</v>
      </c>
      <c r="F196" s="7" t="n">
        <v>-34.281385</v>
      </c>
      <c r="G196" s="7" t="n">
        <v>150.640016</v>
      </c>
      <c r="H196" s="7" t="s">
        <v>7013</v>
      </c>
    </row>
    <row r="197" customFormat="false" ht="15" hidden="false" customHeight="false" outlineLevel="0" collapsed="false">
      <c r="A197" s="7" t="s">
        <v>6947</v>
      </c>
      <c r="B197" s="7" t="s">
        <v>7003</v>
      </c>
      <c r="C197" s="7" t="s">
        <v>384</v>
      </c>
      <c r="D197" s="7" t="n">
        <v>2574</v>
      </c>
      <c r="E197" s="7" t="s">
        <v>50</v>
      </c>
      <c r="F197" s="7" t="n">
        <v>-34.282224</v>
      </c>
      <c r="G197" s="7" t="n">
        <v>150.636603</v>
      </c>
      <c r="H197" s="7" t="s">
        <v>7013</v>
      </c>
    </row>
    <row r="198" customFormat="false" ht="15" hidden="false" customHeight="false" outlineLevel="0" collapsed="false">
      <c r="A198" s="7" t="s">
        <v>6947</v>
      </c>
      <c r="B198" s="7" t="s">
        <v>6962</v>
      </c>
      <c r="C198" s="7" t="s">
        <v>385</v>
      </c>
      <c r="D198" s="7" t="n">
        <v>2102</v>
      </c>
      <c r="E198" s="7" t="s">
        <v>50</v>
      </c>
      <c r="F198" s="7" t="n">
        <v>-33.696077</v>
      </c>
      <c r="G198" s="7" t="n">
        <v>151.297028</v>
      </c>
      <c r="H198" s="7" t="s">
        <v>6983</v>
      </c>
    </row>
    <row r="199" customFormat="false" ht="15" hidden="false" customHeight="false" outlineLevel="0" collapsed="false">
      <c r="A199" s="7" t="s">
        <v>6947</v>
      </c>
      <c r="B199" s="7" t="s">
        <v>7008</v>
      </c>
      <c r="C199" s="7" t="s">
        <v>386</v>
      </c>
      <c r="D199" s="7" t="n">
        <v>2102</v>
      </c>
      <c r="E199" s="7" t="s">
        <v>50</v>
      </c>
      <c r="F199" s="7" t="n">
        <v>-33.697174</v>
      </c>
      <c r="G199" s="7" t="n">
        <v>151.295694</v>
      </c>
      <c r="H199" s="7" t="s">
        <v>7009</v>
      </c>
    </row>
    <row r="200" customFormat="false" ht="15" hidden="false" customHeight="false" outlineLevel="0" collapsed="false">
      <c r="A200" s="7" t="s">
        <v>6947</v>
      </c>
      <c r="B200" s="7" t="s">
        <v>6967</v>
      </c>
      <c r="C200" s="7" t="s">
        <v>387</v>
      </c>
      <c r="D200" s="7" t="n">
        <v>2019</v>
      </c>
      <c r="E200" s="7" t="s">
        <v>50</v>
      </c>
      <c r="F200" s="7" t="n">
        <v>-33.939429</v>
      </c>
      <c r="G200" s="7" t="n">
        <v>151.197038</v>
      </c>
      <c r="H200" s="7" t="s">
        <v>6968</v>
      </c>
    </row>
    <row r="201" customFormat="false" ht="15" hidden="false" customHeight="false" outlineLevel="0" collapsed="false">
      <c r="A201" s="7" t="s">
        <v>6947</v>
      </c>
      <c r="B201" s="7" t="s">
        <v>6977</v>
      </c>
      <c r="C201" s="7" t="s">
        <v>388</v>
      </c>
      <c r="D201" s="7" t="n">
        <v>2066</v>
      </c>
      <c r="E201" s="7" t="s">
        <v>50</v>
      </c>
      <c r="F201" s="7" t="n">
        <v>-33.81384</v>
      </c>
      <c r="G201" s="7" t="n">
        <v>151.169232</v>
      </c>
      <c r="H201" s="7" t="s">
        <v>7014</v>
      </c>
    </row>
    <row r="202" customFormat="false" ht="15" hidden="false" customHeight="false" outlineLevel="0" collapsed="false">
      <c r="A202" s="7" t="s">
        <v>6947</v>
      </c>
      <c r="B202" s="7" t="s">
        <v>6993</v>
      </c>
      <c r="C202" s="7" t="s">
        <v>390</v>
      </c>
      <c r="D202" s="7" t="n">
        <v>2000</v>
      </c>
      <c r="E202" s="7" t="s">
        <v>50</v>
      </c>
      <c r="F202" s="7" t="n">
        <v>-33.8574</v>
      </c>
      <c r="G202" s="7" t="n">
        <v>151.206573</v>
      </c>
      <c r="H202" s="7" t="s">
        <v>6994</v>
      </c>
    </row>
    <row r="203" customFormat="false" ht="15" hidden="false" customHeight="false" outlineLevel="0" collapsed="false">
      <c r="A203" s="7" t="s">
        <v>6947</v>
      </c>
      <c r="B203" s="7" t="s">
        <v>6977</v>
      </c>
      <c r="C203" s="7" t="s">
        <v>391</v>
      </c>
      <c r="D203" s="7" t="n">
        <v>2084</v>
      </c>
      <c r="E203" s="7" t="s">
        <v>50</v>
      </c>
      <c r="F203" s="7" t="n">
        <v>-33.682221</v>
      </c>
      <c r="G203" s="7" t="n">
        <v>151.227953</v>
      </c>
      <c r="H203" s="7" t="s">
        <v>6991</v>
      </c>
    </row>
    <row r="204" customFormat="false" ht="15" hidden="false" customHeight="false" outlineLevel="0" collapsed="false">
      <c r="A204" s="7" t="s">
        <v>6947</v>
      </c>
      <c r="B204" s="7" t="s">
        <v>6964</v>
      </c>
      <c r="C204" s="7" t="s">
        <v>392</v>
      </c>
      <c r="D204" s="7" t="n">
        <v>2372</v>
      </c>
      <c r="E204" s="7" t="s">
        <v>50</v>
      </c>
      <c r="F204" s="7" t="n">
        <v>-29.059594</v>
      </c>
      <c r="G204" s="7" t="n">
        <v>152.017889</v>
      </c>
      <c r="H204" s="7" t="s">
        <v>6965</v>
      </c>
    </row>
    <row r="205" customFormat="false" ht="15" hidden="false" customHeight="false" outlineLevel="0" collapsed="false">
      <c r="A205" s="7" t="s">
        <v>6947</v>
      </c>
      <c r="B205" s="7" t="s">
        <v>6962</v>
      </c>
      <c r="C205" s="7" t="s">
        <v>393</v>
      </c>
      <c r="D205" s="7" t="n">
        <v>2037</v>
      </c>
      <c r="E205" s="7" t="s">
        <v>50</v>
      </c>
      <c r="F205" s="7" t="n">
        <v>-33.88363</v>
      </c>
      <c r="G205" s="7" t="n">
        <v>151.193946</v>
      </c>
      <c r="H205" s="7" t="s">
        <v>7015</v>
      </c>
    </row>
    <row r="206" customFormat="false" ht="15" hidden="false" customHeight="false" outlineLevel="0" collapsed="false">
      <c r="A206" s="7" t="s">
        <v>6947</v>
      </c>
      <c r="B206" s="7" t="s">
        <v>6964</v>
      </c>
      <c r="C206" s="7" t="s">
        <v>394</v>
      </c>
      <c r="D206" s="7" t="n">
        <v>2795</v>
      </c>
      <c r="E206" s="7" t="s">
        <v>50</v>
      </c>
      <c r="F206" s="7" t="n">
        <v>-33.418442</v>
      </c>
      <c r="G206" s="7" t="n">
        <v>149.58286</v>
      </c>
      <c r="H206" s="7" t="s">
        <v>6965</v>
      </c>
    </row>
    <row r="207" customFormat="false" ht="15" hidden="false" customHeight="false" outlineLevel="0" collapsed="false">
      <c r="A207" s="7" t="s">
        <v>6947</v>
      </c>
      <c r="B207" s="7" t="s">
        <v>6977</v>
      </c>
      <c r="C207" s="7" t="s">
        <v>395</v>
      </c>
      <c r="D207" s="7" t="n">
        <v>2519</v>
      </c>
      <c r="E207" s="7" t="s">
        <v>50</v>
      </c>
      <c r="F207" s="7" t="n">
        <v>-34.401927</v>
      </c>
      <c r="G207" s="7" t="n">
        <v>150.890652</v>
      </c>
      <c r="H207" s="7" t="s">
        <v>6989</v>
      </c>
    </row>
    <row r="208" customFormat="false" ht="15" hidden="false" customHeight="false" outlineLevel="0" collapsed="false">
      <c r="A208" s="7" t="s">
        <v>6947</v>
      </c>
      <c r="B208" s="7" t="s">
        <v>396</v>
      </c>
      <c r="C208" s="7" t="s">
        <v>397</v>
      </c>
      <c r="D208" s="7" t="n">
        <v>2450</v>
      </c>
      <c r="E208" s="7" t="s">
        <v>50</v>
      </c>
      <c r="F208" s="7" t="n">
        <v>-30.293063</v>
      </c>
      <c r="G208" s="7" t="n">
        <v>153.120009</v>
      </c>
      <c r="H208" s="7" t="s">
        <v>7016</v>
      </c>
    </row>
    <row r="209" customFormat="false" ht="15" hidden="false" customHeight="false" outlineLevel="0" collapsed="false">
      <c r="A209" s="7" t="s">
        <v>6947</v>
      </c>
      <c r="B209" s="7" t="s">
        <v>6964</v>
      </c>
      <c r="C209" s="7" t="s">
        <v>400</v>
      </c>
      <c r="D209" s="7" t="n">
        <v>2485</v>
      </c>
      <c r="E209" s="7" t="s">
        <v>50</v>
      </c>
      <c r="F209" s="7" t="n">
        <v>-28.176746</v>
      </c>
      <c r="G209" s="7" t="n">
        <v>153.541284</v>
      </c>
      <c r="H209" s="7" t="s">
        <v>6965</v>
      </c>
    </row>
    <row r="210" customFormat="false" ht="15" hidden="false" customHeight="false" outlineLevel="0" collapsed="false">
      <c r="A210" s="7" t="s">
        <v>6947</v>
      </c>
      <c r="B210" s="7" t="s">
        <v>6977</v>
      </c>
      <c r="C210" s="7" t="s">
        <v>401</v>
      </c>
      <c r="D210" s="7" t="n">
        <v>2485</v>
      </c>
      <c r="E210" s="7" t="s">
        <v>50</v>
      </c>
      <c r="F210" s="7" t="n">
        <v>-28.176619</v>
      </c>
      <c r="G210" s="7" t="n">
        <v>153.540787</v>
      </c>
      <c r="H210" s="7" t="s">
        <v>6984</v>
      </c>
    </row>
    <row r="211" customFormat="false" ht="15" hidden="false" customHeight="false" outlineLevel="0" collapsed="false">
      <c r="A211" s="7" t="s">
        <v>6947</v>
      </c>
      <c r="B211" s="7" t="s">
        <v>6977</v>
      </c>
      <c r="C211" s="7" t="s">
        <v>402</v>
      </c>
      <c r="D211" s="7" t="n">
        <v>2541</v>
      </c>
      <c r="E211" s="7" t="s">
        <v>50</v>
      </c>
      <c r="F211" s="7" t="n">
        <v>-34.889516</v>
      </c>
      <c r="G211" s="7" t="n">
        <v>150.608486</v>
      </c>
      <c r="H211" s="7" t="s">
        <v>6984</v>
      </c>
    </row>
    <row r="212" customFormat="false" ht="15" hidden="false" customHeight="false" outlineLevel="0" collapsed="false">
      <c r="A212" s="7" t="s">
        <v>6947</v>
      </c>
      <c r="B212" s="7" t="s">
        <v>6977</v>
      </c>
      <c r="C212" s="7" t="s">
        <v>403</v>
      </c>
      <c r="D212" s="7" t="n">
        <v>2795</v>
      </c>
      <c r="E212" s="7" t="s">
        <v>50</v>
      </c>
      <c r="F212" s="7" t="n">
        <v>-33.426073</v>
      </c>
      <c r="G212" s="7" t="n">
        <v>149.581551</v>
      </c>
      <c r="H212" s="7" t="s">
        <v>6984</v>
      </c>
    </row>
    <row r="213" customFormat="false" ht="15" hidden="false" customHeight="false" outlineLevel="0" collapsed="false">
      <c r="A213" s="7" t="s">
        <v>6947</v>
      </c>
      <c r="B213" s="7" t="s">
        <v>6962</v>
      </c>
      <c r="C213" s="7" t="s">
        <v>404</v>
      </c>
      <c r="D213" s="7" t="n">
        <v>2680</v>
      </c>
      <c r="E213" s="7" t="s">
        <v>50</v>
      </c>
      <c r="F213" s="7" t="n">
        <v>-34.301728</v>
      </c>
      <c r="G213" s="7" t="n">
        <v>146.082643</v>
      </c>
      <c r="H213" s="7" t="s">
        <v>7017</v>
      </c>
    </row>
    <row r="214" customFormat="false" ht="15" hidden="false" customHeight="false" outlineLevel="0" collapsed="false">
      <c r="A214" s="7" t="s">
        <v>6947</v>
      </c>
      <c r="B214" s="7" t="s">
        <v>6962</v>
      </c>
      <c r="C214" s="7" t="s">
        <v>406</v>
      </c>
      <c r="D214" s="7" t="n">
        <v>2380</v>
      </c>
      <c r="E214" s="7" t="s">
        <v>50</v>
      </c>
      <c r="F214" s="7" t="n">
        <v>-30.976811</v>
      </c>
      <c r="G214" s="7" t="n">
        <v>150.250165</v>
      </c>
      <c r="H214" s="7" t="s">
        <v>7005</v>
      </c>
    </row>
    <row r="215" customFormat="false" ht="15" hidden="false" customHeight="false" outlineLevel="0" collapsed="false">
      <c r="A215" s="7" t="s">
        <v>6947</v>
      </c>
      <c r="B215" s="7" t="s">
        <v>6964</v>
      </c>
      <c r="C215" s="7" t="s">
        <v>408</v>
      </c>
      <c r="D215" s="7" t="n">
        <v>2484</v>
      </c>
      <c r="E215" s="7" t="s">
        <v>50</v>
      </c>
      <c r="F215" s="7" t="n">
        <v>-28.404553</v>
      </c>
      <c r="G215" s="7" t="n">
        <v>153.351662</v>
      </c>
      <c r="H215" s="7" t="s">
        <v>6965</v>
      </c>
    </row>
    <row r="216" customFormat="false" ht="15" hidden="false" customHeight="false" outlineLevel="0" collapsed="false">
      <c r="A216" s="7" t="s">
        <v>6947</v>
      </c>
      <c r="B216" s="7" t="s">
        <v>6967</v>
      </c>
      <c r="C216" s="7" t="s">
        <v>409</v>
      </c>
      <c r="D216" s="7" t="n">
        <v>2040</v>
      </c>
      <c r="E216" s="7" t="s">
        <v>50</v>
      </c>
      <c r="F216" s="7" t="n">
        <v>-33.88518</v>
      </c>
      <c r="G216" s="7" t="n">
        <v>151.148629</v>
      </c>
      <c r="H216" s="7" t="s">
        <v>6968</v>
      </c>
    </row>
    <row r="217" customFormat="false" ht="15" hidden="false" customHeight="false" outlineLevel="0" collapsed="false">
      <c r="A217" s="7" t="s">
        <v>6947</v>
      </c>
      <c r="B217" s="7" t="s">
        <v>6967</v>
      </c>
      <c r="C217" s="7" t="s">
        <v>411</v>
      </c>
      <c r="D217" s="7" t="n">
        <v>2077</v>
      </c>
      <c r="E217" s="7" t="s">
        <v>50</v>
      </c>
      <c r="F217" s="7" t="n">
        <v>-33.702762</v>
      </c>
      <c r="G217" s="7" t="n">
        <v>151.096479</v>
      </c>
      <c r="H217" s="7" t="s">
        <v>6968</v>
      </c>
    </row>
    <row r="218" customFormat="false" ht="15" hidden="false" customHeight="false" outlineLevel="0" collapsed="false">
      <c r="A218" s="7" t="s">
        <v>6947</v>
      </c>
      <c r="B218" s="7" t="s">
        <v>6977</v>
      </c>
      <c r="C218" s="7" t="s">
        <v>412</v>
      </c>
      <c r="D218" s="7" t="n">
        <v>2106</v>
      </c>
      <c r="E218" s="7" t="s">
        <v>50</v>
      </c>
      <c r="F218" s="7" t="n">
        <v>-33.658822</v>
      </c>
      <c r="G218" s="7" t="n">
        <v>151.309654</v>
      </c>
      <c r="H218" s="7" t="s">
        <v>6991</v>
      </c>
    </row>
    <row r="219" customFormat="false" ht="15" hidden="false" customHeight="false" outlineLevel="0" collapsed="false">
      <c r="A219" s="7" t="s">
        <v>6947</v>
      </c>
      <c r="B219" s="7" t="s">
        <v>6964</v>
      </c>
      <c r="C219" s="7" t="s">
        <v>413</v>
      </c>
      <c r="D219" s="7" t="n">
        <v>2840</v>
      </c>
      <c r="E219" s="7" t="s">
        <v>50</v>
      </c>
      <c r="F219" s="7" t="n">
        <v>-30.0882</v>
      </c>
      <c r="G219" s="7" t="n">
        <v>145.933893</v>
      </c>
      <c r="H219" s="7" t="s">
        <v>6965</v>
      </c>
    </row>
    <row r="220" customFormat="false" ht="15" hidden="false" customHeight="false" outlineLevel="0" collapsed="false">
      <c r="A220" s="7" t="s">
        <v>6947</v>
      </c>
      <c r="B220" s="7" t="s">
        <v>6973</v>
      </c>
      <c r="C220" s="7" t="s">
        <v>414</v>
      </c>
      <c r="D220" s="7" t="n">
        <v>2284</v>
      </c>
      <c r="E220" s="7" t="s">
        <v>50</v>
      </c>
      <c r="F220" s="7" t="n">
        <v>-32.962652</v>
      </c>
      <c r="G220" s="7" t="n">
        <v>151.618953</v>
      </c>
      <c r="H220" s="7" t="s">
        <v>7018</v>
      </c>
    </row>
    <row r="221" customFormat="false" ht="15" hidden="false" customHeight="false" outlineLevel="0" collapsed="false">
      <c r="A221" s="7" t="s">
        <v>6947</v>
      </c>
      <c r="B221" s="7" t="s">
        <v>6977</v>
      </c>
      <c r="C221" s="7" t="s">
        <v>415</v>
      </c>
      <c r="D221" s="7" t="n">
        <v>2026</v>
      </c>
      <c r="E221" s="7" t="s">
        <v>50</v>
      </c>
      <c r="F221" s="7" t="n">
        <v>-33.884344</v>
      </c>
      <c r="G221" s="7" t="n">
        <v>151.271299</v>
      </c>
      <c r="H221" s="7" t="s">
        <v>6991</v>
      </c>
    </row>
    <row r="222" customFormat="false" ht="15" hidden="false" customHeight="false" outlineLevel="0" collapsed="false">
      <c r="A222" s="7" t="s">
        <v>6947</v>
      </c>
      <c r="B222" s="7" t="s">
        <v>6962</v>
      </c>
      <c r="C222" s="7" t="s">
        <v>416</v>
      </c>
      <c r="D222" s="7" t="n">
        <v>2026</v>
      </c>
      <c r="E222" s="7" t="s">
        <v>50</v>
      </c>
      <c r="F222" s="7" t="n">
        <v>-33.887066</v>
      </c>
      <c r="G222" s="7" t="n">
        <v>151.272344</v>
      </c>
      <c r="H222" s="7" t="s">
        <v>6969</v>
      </c>
    </row>
    <row r="223" customFormat="false" ht="15" hidden="false" customHeight="false" outlineLevel="0" collapsed="false">
      <c r="A223" s="7" t="s">
        <v>6947</v>
      </c>
      <c r="B223" s="7" t="s">
        <v>6967</v>
      </c>
      <c r="C223" s="7" t="s">
        <v>417</v>
      </c>
      <c r="D223" s="7" t="n">
        <v>2577</v>
      </c>
      <c r="E223" s="7" t="s">
        <v>50</v>
      </c>
      <c r="F223" s="7" t="n">
        <v>-34.607219</v>
      </c>
      <c r="G223" s="7" t="n">
        <v>150.225163</v>
      </c>
      <c r="H223" s="7" t="s">
        <v>7012</v>
      </c>
    </row>
    <row r="224" customFormat="false" ht="15" hidden="false" customHeight="false" outlineLevel="0" collapsed="false">
      <c r="A224" s="7" t="s">
        <v>6947</v>
      </c>
      <c r="B224" s="7" t="s">
        <v>6962</v>
      </c>
      <c r="C224" s="7" t="s">
        <v>418</v>
      </c>
      <c r="D224" s="7" t="n">
        <v>2026</v>
      </c>
      <c r="E224" s="7" t="s">
        <v>50</v>
      </c>
      <c r="F224" s="7" t="n">
        <v>-33.893471</v>
      </c>
      <c r="G224" s="7" t="n">
        <v>151.267712</v>
      </c>
      <c r="H224" s="7" t="s">
        <v>6983</v>
      </c>
    </row>
    <row r="225" customFormat="false" ht="15" hidden="false" customHeight="false" outlineLevel="0" collapsed="false">
      <c r="A225" s="7" t="s">
        <v>6947</v>
      </c>
      <c r="B225" s="7" t="s">
        <v>6967</v>
      </c>
      <c r="C225" s="7" t="s">
        <v>419</v>
      </c>
      <c r="D225" s="7" t="n">
        <v>2527</v>
      </c>
      <c r="E225" s="7" t="s">
        <v>50</v>
      </c>
      <c r="F225" s="7" t="n">
        <v>-34.550435</v>
      </c>
      <c r="G225" s="7" t="n">
        <v>150.787781</v>
      </c>
      <c r="H225" s="7" t="s">
        <v>7019</v>
      </c>
    </row>
    <row r="226" customFormat="false" ht="15" hidden="false" customHeight="false" outlineLevel="0" collapsed="false">
      <c r="A226" s="7" t="s">
        <v>6947</v>
      </c>
      <c r="B226" s="7" t="s">
        <v>6987</v>
      </c>
      <c r="C226" s="7" t="s">
        <v>420</v>
      </c>
      <c r="D226" s="7" t="n">
        <v>2134</v>
      </c>
      <c r="E226" s="7" t="s">
        <v>50</v>
      </c>
      <c r="F226" s="7" t="n">
        <v>-33.887249</v>
      </c>
      <c r="G226" s="7" t="n">
        <v>151.099335</v>
      </c>
      <c r="H226" s="7" t="s">
        <v>6988</v>
      </c>
    </row>
    <row r="227" customFormat="false" ht="15" hidden="false" customHeight="false" outlineLevel="0" collapsed="false">
      <c r="A227" s="7" t="s">
        <v>6947</v>
      </c>
      <c r="B227" s="7" t="s">
        <v>6962</v>
      </c>
      <c r="C227" s="7" t="s">
        <v>422</v>
      </c>
      <c r="D227" s="7" t="n">
        <v>2155</v>
      </c>
      <c r="E227" s="7" t="s">
        <v>50</v>
      </c>
      <c r="F227" s="7" t="n">
        <v>-33.699818</v>
      </c>
      <c r="G227" s="7" t="n">
        <v>150.957798</v>
      </c>
      <c r="H227" s="7" t="s">
        <v>6983</v>
      </c>
    </row>
    <row r="228" customFormat="false" ht="15" hidden="false" customHeight="false" outlineLevel="0" collapsed="false">
      <c r="A228" s="7" t="s">
        <v>6947</v>
      </c>
      <c r="B228" s="7" t="s">
        <v>7003</v>
      </c>
      <c r="C228" s="7" t="s">
        <v>423</v>
      </c>
      <c r="D228" s="7" t="n">
        <v>2015</v>
      </c>
      <c r="E228" s="7" t="s">
        <v>50</v>
      </c>
      <c r="F228" s="7" t="n">
        <v>-33.902017</v>
      </c>
      <c r="G228" s="7" t="n">
        <v>151.20001</v>
      </c>
      <c r="H228" s="7" t="s">
        <v>7004</v>
      </c>
    </row>
    <row r="229" customFormat="false" ht="15" hidden="false" customHeight="false" outlineLevel="0" collapsed="false">
      <c r="A229" s="7" t="s">
        <v>6947</v>
      </c>
      <c r="B229" s="7" t="s">
        <v>6964</v>
      </c>
      <c r="C229" s="7" t="s">
        <v>424</v>
      </c>
      <c r="D229" s="7" t="n">
        <v>2800</v>
      </c>
      <c r="E229" s="7" t="s">
        <v>50</v>
      </c>
      <c r="F229" s="7" t="n">
        <v>-33.333459</v>
      </c>
      <c r="G229" s="7" t="n">
        <v>149.043623</v>
      </c>
      <c r="H229" s="7" t="s">
        <v>6975</v>
      </c>
    </row>
    <row r="230" customFormat="false" ht="15" hidden="false" customHeight="false" outlineLevel="0" collapsed="false">
      <c r="A230" s="7" t="s">
        <v>6947</v>
      </c>
      <c r="B230" s="7" t="s">
        <v>6960</v>
      </c>
      <c r="C230" s="7" t="s">
        <v>425</v>
      </c>
      <c r="D230" s="7" t="n">
        <v>2450</v>
      </c>
      <c r="E230" s="7" t="s">
        <v>50</v>
      </c>
      <c r="F230" s="7" t="n">
        <v>-30.291569</v>
      </c>
      <c r="G230" s="7" t="n">
        <v>153.118371</v>
      </c>
      <c r="H230" s="7" t="s">
        <v>7020</v>
      </c>
    </row>
    <row r="231" customFormat="false" ht="15" hidden="false" customHeight="false" outlineLevel="0" collapsed="false">
      <c r="A231" s="7" t="s">
        <v>6947</v>
      </c>
      <c r="B231" s="7" t="s">
        <v>6962</v>
      </c>
      <c r="C231" s="7" t="s">
        <v>426</v>
      </c>
      <c r="D231" s="7" t="n">
        <v>2026</v>
      </c>
      <c r="E231" s="7" t="s">
        <v>50</v>
      </c>
      <c r="F231" s="7" t="n">
        <v>-33.888368</v>
      </c>
      <c r="G231" s="7" t="n">
        <v>151.263325</v>
      </c>
      <c r="H231" s="7" t="s">
        <v>6983</v>
      </c>
    </row>
    <row r="232" customFormat="false" ht="15" hidden="false" customHeight="false" outlineLevel="0" collapsed="false">
      <c r="A232" s="7" t="s">
        <v>6947</v>
      </c>
      <c r="B232" s="7" t="s">
        <v>6964</v>
      </c>
      <c r="C232" s="7" t="s">
        <v>427</v>
      </c>
      <c r="D232" s="7" t="n">
        <v>2000</v>
      </c>
      <c r="E232" s="7" t="s">
        <v>50</v>
      </c>
      <c r="F232" s="7" t="n">
        <v>-33.869059</v>
      </c>
      <c r="G232" s="7" t="n">
        <v>151.208854</v>
      </c>
      <c r="H232" s="7" t="s">
        <v>6975</v>
      </c>
    </row>
    <row r="233" customFormat="false" ht="15" hidden="false" customHeight="false" outlineLevel="0" collapsed="false">
      <c r="A233" s="7" t="s">
        <v>6947</v>
      </c>
      <c r="B233" s="7" t="s">
        <v>6977</v>
      </c>
      <c r="C233" s="7" t="s">
        <v>428</v>
      </c>
      <c r="D233" s="7" t="n">
        <v>2194</v>
      </c>
      <c r="E233" s="7" t="s">
        <v>50</v>
      </c>
      <c r="F233" s="7" t="n">
        <v>-33.90774</v>
      </c>
      <c r="G233" s="7" t="n">
        <v>151.103869</v>
      </c>
      <c r="H233" s="7" t="s">
        <v>6984</v>
      </c>
    </row>
    <row r="234" customFormat="false" ht="15" hidden="false" customHeight="false" outlineLevel="0" collapsed="false">
      <c r="A234" s="7" t="s">
        <v>6947</v>
      </c>
      <c r="B234" s="7" t="s">
        <v>6977</v>
      </c>
      <c r="C234" s="7" t="s">
        <v>429</v>
      </c>
      <c r="D234" s="7" t="n">
        <v>2022</v>
      </c>
      <c r="E234" s="7" t="s">
        <v>50</v>
      </c>
      <c r="F234" s="7" t="n">
        <v>-33.897159</v>
      </c>
      <c r="G234" s="7" t="n">
        <v>151.251344</v>
      </c>
      <c r="H234" s="7" t="s">
        <v>6991</v>
      </c>
    </row>
    <row r="235" customFormat="false" ht="15" hidden="false" customHeight="false" outlineLevel="0" collapsed="false">
      <c r="A235" s="7" t="s">
        <v>6947</v>
      </c>
      <c r="B235" s="7" t="s">
        <v>6993</v>
      </c>
      <c r="C235" s="7" t="s">
        <v>430</v>
      </c>
      <c r="D235" s="7" t="n">
        <v>2086</v>
      </c>
      <c r="E235" s="7" t="s">
        <v>50</v>
      </c>
      <c r="F235" s="7" t="n">
        <v>-33.754253</v>
      </c>
      <c r="G235" s="7" t="n">
        <v>151.236031</v>
      </c>
      <c r="H235" s="7" t="s">
        <v>7021</v>
      </c>
    </row>
    <row r="236" customFormat="false" ht="15" hidden="false" customHeight="false" outlineLevel="0" collapsed="false">
      <c r="A236" s="7" t="s">
        <v>6947</v>
      </c>
      <c r="B236" s="7" t="s">
        <v>6964</v>
      </c>
      <c r="C236" s="7" t="s">
        <v>431</v>
      </c>
      <c r="D236" s="7" t="n">
        <v>2871</v>
      </c>
      <c r="E236" s="7" t="s">
        <v>50</v>
      </c>
      <c r="F236" s="7" t="n">
        <v>-33.383658</v>
      </c>
      <c r="G236" s="7" t="n">
        <v>148.009946</v>
      </c>
      <c r="H236" s="7" t="s">
        <v>6965</v>
      </c>
    </row>
    <row r="237" customFormat="false" ht="15" hidden="false" customHeight="false" outlineLevel="0" collapsed="false">
      <c r="A237" s="7" t="s">
        <v>6947</v>
      </c>
      <c r="B237" s="7" t="s">
        <v>6987</v>
      </c>
      <c r="C237" s="7" t="s">
        <v>433</v>
      </c>
      <c r="D237" s="7" t="n">
        <v>2135</v>
      </c>
      <c r="E237" s="7" t="s">
        <v>50</v>
      </c>
      <c r="F237" s="7" t="n">
        <v>-33.872049</v>
      </c>
      <c r="G237" s="7" t="n">
        <v>151.095446</v>
      </c>
      <c r="H237" s="7" t="s">
        <v>6988</v>
      </c>
    </row>
    <row r="238" customFormat="false" ht="15" hidden="false" customHeight="false" outlineLevel="0" collapsed="false">
      <c r="A238" s="7" t="s">
        <v>6947</v>
      </c>
      <c r="B238" s="7" t="s">
        <v>6993</v>
      </c>
      <c r="C238" s="7" t="s">
        <v>434</v>
      </c>
      <c r="D238" s="7" t="n">
        <v>2500</v>
      </c>
      <c r="E238" s="7" t="s">
        <v>50</v>
      </c>
      <c r="F238" s="7" t="n">
        <v>-34.428262</v>
      </c>
      <c r="G238" s="7" t="n">
        <v>150.895417</v>
      </c>
      <c r="H238" s="7" t="s">
        <v>6994</v>
      </c>
    </row>
    <row r="239" customFormat="false" ht="15" hidden="false" customHeight="false" outlineLevel="0" collapsed="false">
      <c r="A239" s="7" t="s">
        <v>6947</v>
      </c>
      <c r="B239" s="7" t="s">
        <v>435</v>
      </c>
      <c r="C239" s="7" t="s">
        <v>436</v>
      </c>
      <c r="D239" s="7" t="n">
        <v>2328</v>
      </c>
      <c r="E239" s="7" t="s">
        <v>50</v>
      </c>
      <c r="F239" s="7" t="n">
        <v>-32.394325</v>
      </c>
      <c r="G239" s="7" t="n">
        <v>150.684767</v>
      </c>
      <c r="H239" s="7" t="s">
        <v>7022</v>
      </c>
    </row>
    <row r="240" customFormat="false" ht="15" hidden="false" customHeight="false" outlineLevel="0" collapsed="false">
      <c r="A240" s="7" t="s">
        <v>6947</v>
      </c>
      <c r="B240" s="7" t="s">
        <v>6977</v>
      </c>
      <c r="C240" s="7" t="s">
        <v>437</v>
      </c>
      <c r="D240" s="7" t="n">
        <v>2036</v>
      </c>
      <c r="E240" s="7" t="s">
        <v>50</v>
      </c>
      <c r="F240" s="7" t="n">
        <v>-33.949168</v>
      </c>
      <c r="G240" s="7" t="n">
        <v>151.224796</v>
      </c>
      <c r="H240" s="7" t="s">
        <v>6989</v>
      </c>
    </row>
    <row r="241" customFormat="false" ht="15" hidden="false" customHeight="false" outlineLevel="0" collapsed="false">
      <c r="A241" s="7" t="s">
        <v>6947</v>
      </c>
      <c r="B241" s="7" t="s">
        <v>6987</v>
      </c>
      <c r="C241" s="7" t="s">
        <v>439</v>
      </c>
      <c r="D241" s="7" t="n">
        <v>2209</v>
      </c>
      <c r="E241" s="7" t="s">
        <v>50</v>
      </c>
      <c r="F241" s="7" t="n">
        <v>-33.94925</v>
      </c>
      <c r="G241" s="7" t="n">
        <v>151.08125</v>
      </c>
      <c r="H241" s="7" t="s">
        <v>6988</v>
      </c>
    </row>
    <row r="242" customFormat="false" ht="15" hidden="false" customHeight="false" outlineLevel="0" collapsed="false">
      <c r="A242" s="7" t="s">
        <v>6947</v>
      </c>
      <c r="B242" s="7" t="s">
        <v>7008</v>
      </c>
      <c r="C242" s="7" t="s">
        <v>440</v>
      </c>
      <c r="D242" s="7" t="n">
        <v>2196</v>
      </c>
      <c r="E242" s="7" t="s">
        <v>50</v>
      </c>
      <c r="F242" s="7" t="n">
        <v>-33.935442</v>
      </c>
      <c r="G242" s="7" t="n">
        <v>151.068525</v>
      </c>
      <c r="H242" s="7" t="s">
        <v>7009</v>
      </c>
    </row>
    <row r="243" customFormat="false" ht="15" hidden="false" customHeight="false" outlineLevel="0" collapsed="false">
      <c r="A243" s="7" t="s">
        <v>6947</v>
      </c>
      <c r="B243" s="7" t="s">
        <v>6962</v>
      </c>
      <c r="C243" s="7" t="s">
        <v>441</v>
      </c>
      <c r="D243" s="7" t="n">
        <v>2648</v>
      </c>
      <c r="E243" s="7" t="s">
        <v>50</v>
      </c>
      <c r="F243" s="7" t="n">
        <v>-34.109613</v>
      </c>
      <c r="G243" s="7" t="n">
        <v>141.920106</v>
      </c>
      <c r="H243" s="7" t="s">
        <v>6983</v>
      </c>
    </row>
    <row r="244" customFormat="false" ht="15" hidden="false" customHeight="false" outlineLevel="0" collapsed="false">
      <c r="A244" s="7" t="s">
        <v>6947</v>
      </c>
      <c r="B244" s="7" t="s">
        <v>6973</v>
      </c>
      <c r="C244" s="7" t="s">
        <v>442</v>
      </c>
      <c r="D244" s="7" t="n">
        <v>2204</v>
      </c>
      <c r="E244" s="7" t="s">
        <v>50</v>
      </c>
      <c r="F244" s="7" t="n">
        <v>-33.902144</v>
      </c>
      <c r="G244" s="7" t="n">
        <v>151.1613</v>
      </c>
      <c r="H244" s="7" t="s">
        <v>7018</v>
      </c>
    </row>
    <row r="245" customFormat="false" ht="15" hidden="false" customHeight="false" outlineLevel="0" collapsed="false">
      <c r="A245" s="7" t="s">
        <v>6947</v>
      </c>
      <c r="B245" s="7" t="s">
        <v>6962</v>
      </c>
      <c r="C245" s="7" t="s">
        <v>443</v>
      </c>
      <c r="D245" s="7" t="n">
        <v>2026</v>
      </c>
      <c r="E245" s="7" t="s">
        <v>50</v>
      </c>
      <c r="F245" s="7" t="n">
        <v>-33.887984</v>
      </c>
      <c r="G245" s="7" t="n">
        <v>151.271473</v>
      </c>
      <c r="H245" s="7" t="s">
        <v>6969</v>
      </c>
    </row>
    <row r="246" customFormat="false" ht="15" hidden="false" customHeight="false" outlineLevel="0" collapsed="false">
      <c r="A246" s="7" t="s">
        <v>6947</v>
      </c>
      <c r="B246" s="7" t="s">
        <v>6958</v>
      </c>
      <c r="C246" s="7" t="s">
        <v>444</v>
      </c>
      <c r="D246" s="7" t="n">
        <v>2470</v>
      </c>
      <c r="E246" s="7" t="s">
        <v>50</v>
      </c>
      <c r="F246" s="7" t="n">
        <v>-28.862278</v>
      </c>
      <c r="G246" s="7" t="n">
        <v>153.067609</v>
      </c>
      <c r="H246" s="7" t="s">
        <v>7023</v>
      </c>
    </row>
    <row r="247" customFormat="false" ht="15" hidden="false" customHeight="false" outlineLevel="0" collapsed="false">
      <c r="A247" s="7" t="s">
        <v>6947</v>
      </c>
      <c r="B247" s="7" t="s">
        <v>6962</v>
      </c>
      <c r="C247" s="7" t="s">
        <v>445</v>
      </c>
      <c r="D247" s="7" t="n">
        <v>2533</v>
      </c>
      <c r="E247" s="7" t="s">
        <v>50</v>
      </c>
      <c r="F247" s="7" t="n">
        <v>-34.667237</v>
      </c>
      <c r="G247" s="7" t="n">
        <v>150.849938</v>
      </c>
      <c r="H247" s="7" t="s">
        <v>6979</v>
      </c>
    </row>
    <row r="248" customFormat="false" ht="15" hidden="false" customHeight="false" outlineLevel="0" collapsed="false">
      <c r="A248" s="7" t="s">
        <v>6947</v>
      </c>
      <c r="B248" s="7" t="s">
        <v>6964</v>
      </c>
      <c r="C248" s="7" t="s">
        <v>447</v>
      </c>
      <c r="D248" s="7" t="n">
        <v>2250</v>
      </c>
      <c r="E248" s="7" t="s">
        <v>50</v>
      </c>
      <c r="F248" s="7" t="n">
        <v>-33.198622</v>
      </c>
      <c r="G248" s="7" t="n">
        <v>151.199975</v>
      </c>
      <c r="H248" s="7" t="s">
        <v>6992</v>
      </c>
    </row>
    <row r="249" customFormat="false" ht="15" hidden="false" customHeight="false" outlineLevel="0" collapsed="false">
      <c r="A249" s="7" t="s">
        <v>6947</v>
      </c>
      <c r="B249" s="7" t="s">
        <v>6964</v>
      </c>
      <c r="C249" s="7" t="s">
        <v>448</v>
      </c>
      <c r="D249" s="7" t="n">
        <v>2100</v>
      </c>
      <c r="E249" s="7" t="s">
        <v>50</v>
      </c>
      <c r="F249" s="7" t="n">
        <v>-33.766578</v>
      </c>
      <c r="G249" s="7" t="n">
        <v>151.264445</v>
      </c>
      <c r="H249" s="7" t="s">
        <v>6982</v>
      </c>
    </row>
    <row r="250" customFormat="false" ht="15" hidden="false" customHeight="false" outlineLevel="0" collapsed="false">
      <c r="A250" s="7" t="s">
        <v>6947</v>
      </c>
      <c r="B250" s="7" t="s">
        <v>7006</v>
      </c>
      <c r="C250" s="7" t="s">
        <v>449</v>
      </c>
      <c r="D250" s="7" t="n">
        <v>2545</v>
      </c>
      <c r="E250" s="7" t="s">
        <v>50</v>
      </c>
      <c r="F250" s="7" t="n">
        <v>-36.095825</v>
      </c>
      <c r="G250" s="7" t="n">
        <v>150.051763</v>
      </c>
      <c r="H250" s="7" t="s">
        <v>7024</v>
      </c>
    </row>
    <row r="251" customFormat="false" ht="15" hidden="false" customHeight="false" outlineLevel="0" collapsed="false">
      <c r="A251" s="7" t="s">
        <v>6947</v>
      </c>
      <c r="B251" s="7" t="s">
        <v>6964</v>
      </c>
      <c r="C251" s="7" t="s">
        <v>450</v>
      </c>
      <c r="D251" s="7" t="n">
        <v>2317</v>
      </c>
      <c r="E251" s="7" t="s">
        <v>50</v>
      </c>
      <c r="F251" s="7" t="n">
        <v>-32.711459</v>
      </c>
      <c r="G251" s="7" t="n">
        <v>152.071401</v>
      </c>
      <c r="H251" s="7" t="s">
        <v>6975</v>
      </c>
    </row>
    <row r="252" customFormat="false" ht="15" hidden="false" customHeight="false" outlineLevel="0" collapsed="false">
      <c r="A252" s="7" t="s">
        <v>6947</v>
      </c>
      <c r="B252" s="7" t="s">
        <v>6987</v>
      </c>
      <c r="C252" s="7" t="s">
        <v>451</v>
      </c>
      <c r="D252" s="7" t="n">
        <v>2031</v>
      </c>
      <c r="E252" s="7" t="s">
        <v>50</v>
      </c>
      <c r="F252" s="7" t="n">
        <v>-33.913076</v>
      </c>
      <c r="G252" s="7" t="n">
        <v>151.238795</v>
      </c>
      <c r="H252" s="7" t="s">
        <v>6988</v>
      </c>
    </row>
    <row r="253" customFormat="false" ht="15" hidden="false" customHeight="false" outlineLevel="0" collapsed="false">
      <c r="A253" s="7" t="s">
        <v>6947</v>
      </c>
      <c r="B253" s="7" t="s">
        <v>6977</v>
      </c>
      <c r="C253" s="7" t="s">
        <v>452</v>
      </c>
      <c r="D253" s="7" t="n">
        <v>2020</v>
      </c>
      <c r="E253" s="7" t="s">
        <v>50</v>
      </c>
      <c r="F253" s="7" t="n">
        <v>-33.925507</v>
      </c>
      <c r="G253" s="7" t="n">
        <v>151.193883</v>
      </c>
      <c r="H253" s="7" t="s">
        <v>6991</v>
      </c>
    </row>
    <row r="254" customFormat="false" ht="15" hidden="false" customHeight="false" outlineLevel="0" collapsed="false">
      <c r="A254" s="7" t="s">
        <v>6947</v>
      </c>
      <c r="B254" s="7" t="s">
        <v>6977</v>
      </c>
      <c r="C254" s="7" t="s">
        <v>453</v>
      </c>
      <c r="D254" s="7" t="n">
        <v>2588</v>
      </c>
      <c r="E254" s="7" t="s">
        <v>50</v>
      </c>
      <c r="F254" s="7" t="n">
        <v>-34.544356</v>
      </c>
      <c r="G254" s="7" t="n">
        <v>148.166837</v>
      </c>
      <c r="H254" s="7" t="s">
        <v>6991</v>
      </c>
    </row>
    <row r="255" customFormat="false" ht="15" hidden="false" customHeight="false" outlineLevel="0" collapsed="false">
      <c r="A255" s="7" t="s">
        <v>6947</v>
      </c>
      <c r="B255" s="7" t="s">
        <v>6964</v>
      </c>
      <c r="C255" s="7" t="s">
        <v>455</v>
      </c>
      <c r="D255" s="7" t="n">
        <v>2720</v>
      </c>
      <c r="E255" s="7" t="s">
        <v>50</v>
      </c>
      <c r="F255" s="7" t="n">
        <v>-35.295273</v>
      </c>
      <c r="G255" s="7" t="n">
        <v>148.215198</v>
      </c>
      <c r="H255" s="7" t="s">
        <v>6965</v>
      </c>
    </row>
    <row r="256" customFormat="false" ht="15" hidden="false" customHeight="false" outlineLevel="0" collapsed="false">
      <c r="A256" s="7" t="s">
        <v>6947</v>
      </c>
      <c r="B256" s="7" t="s">
        <v>6964</v>
      </c>
      <c r="C256" s="7" t="s">
        <v>457</v>
      </c>
      <c r="D256" s="7" t="n">
        <v>2444</v>
      </c>
      <c r="E256" s="7" t="s">
        <v>50</v>
      </c>
      <c r="F256" s="7" t="n">
        <v>-31.457752</v>
      </c>
      <c r="G256" s="7" t="n">
        <v>152.826791</v>
      </c>
      <c r="H256" s="7" t="s">
        <v>7001</v>
      </c>
    </row>
    <row r="257" customFormat="false" ht="15" hidden="false" customHeight="false" outlineLevel="0" collapsed="false">
      <c r="A257" s="7" t="s">
        <v>6947</v>
      </c>
      <c r="B257" s="7" t="s">
        <v>6964</v>
      </c>
      <c r="C257" s="7" t="s">
        <v>458</v>
      </c>
      <c r="D257" s="7" t="n">
        <v>2127</v>
      </c>
      <c r="E257" s="7" t="s">
        <v>50</v>
      </c>
      <c r="F257" s="7" t="n">
        <v>-33.845901</v>
      </c>
      <c r="G257" s="7" t="n">
        <v>151.060861</v>
      </c>
      <c r="H257" s="7" t="s">
        <v>6965</v>
      </c>
    </row>
    <row r="258" customFormat="false" ht="15" hidden="false" customHeight="false" outlineLevel="0" collapsed="false">
      <c r="A258" s="7" t="s">
        <v>6947</v>
      </c>
      <c r="B258" s="7" t="s">
        <v>6993</v>
      </c>
      <c r="C258" s="7" t="s">
        <v>459</v>
      </c>
      <c r="D258" s="7" t="n">
        <v>2065</v>
      </c>
      <c r="E258" s="7" t="s">
        <v>50</v>
      </c>
      <c r="F258" s="7" t="n">
        <v>-33.825559</v>
      </c>
      <c r="G258" s="7" t="n">
        <v>151.187957</v>
      </c>
      <c r="H258" s="7" t="s">
        <v>6994</v>
      </c>
    </row>
    <row r="259" customFormat="false" ht="15" hidden="false" customHeight="false" outlineLevel="0" collapsed="false">
      <c r="A259" s="7" t="s">
        <v>6947</v>
      </c>
      <c r="B259" s="7" t="s">
        <v>6977</v>
      </c>
      <c r="C259" s="7" t="s">
        <v>460</v>
      </c>
      <c r="D259" s="7" t="n">
        <v>2066</v>
      </c>
      <c r="E259" s="7" t="s">
        <v>50</v>
      </c>
      <c r="F259" s="7" t="n">
        <v>-33.814607</v>
      </c>
      <c r="G259" s="7" t="n">
        <v>151.171302</v>
      </c>
      <c r="H259" s="7" t="s">
        <v>6991</v>
      </c>
    </row>
    <row r="260" customFormat="false" ht="15" hidden="false" customHeight="false" outlineLevel="0" collapsed="false">
      <c r="A260" s="7" t="s">
        <v>6947</v>
      </c>
      <c r="B260" s="7" t="s">
        <v>6987</v>
      </c>
      <c r="C260" s="7" t="s">
        <v>461</v>
      </c>
      <c r="D260" s="7" t="n">
        <v>2155</v>
      </c>
      <c r="E260" s="7" t="s">
        <v>50</v>
      </c>
      <c r="F260" s="7" t="n">
        <v>-33.700403</v>
      </c>
      <c r="G260" s="7" t="n">
        <v>150.928312</v>
      </c>
      <c r="H260" s="7" t="s">
        <v>6988</v>
      </c>
    </row>
    <row r="261" customFormat="false" ht="15" hidden="false" customHeight="false" outlineLevel="0" collapsed="false">
      <c r="A261" s="7" t="s">
        <v>6947</v>
      </c>
      <c r="B261" s="7" t="s">
        <v>6987</v>
      </c>
      <c r="C261" s="7" t="s">
        <v>461</v>
      </c>
      <c r="D261" s="7" t="n">
        <v>2155</v>
      </c>
      <c r="E261" s="7" t="s">
        <v>50</v>
      </c>
      <c r="F261" s="7" t="n">
        <v>-33.700518</v>
      </c>
      <c r="G261" s="7" t="n">
        <v>150.928108</v>
      </c>
      <c r="H261" s="7" t="s">
        <v>6988</v>
      </c>
    </row>
    <row r="262" customFormat="false" ht="15" hidden="false" customHeight="false" outlineLevel="0" collapsed="false">
      <c r="A262" s="7" t="s">
        <v>6947</v>
      </c>
      <c r="B262" s="7" t="s">
        <v>6964</v>
      </c>
      <c r="C262" s="7" t="s">
        <v>462</v>
      </c>
      <c r="D262" s="7" t="n">
        <v>2444</v>
      </c>
      <c r="E262" s="7" t="s">
        <v>50</v>
      </c>
      <c r="F262" s="7" t="n">
        <v>-31.431571</v>
      </c>
      <c r="G262" s="7" t="n">
        <v>152.896476</v>
      </c>
      <c r="H262" s="7" t="s">
        <v>6965</v>
      </c>
    </row>
    <row r="263" customFormat="false" ht="15" hidden="false" customHeight="false" outlineLevel="0" collapsed="false">
      <c r="A263" s="7" t="s">
        <v>6947</v>
      </c>
      <c r="B263" s="7" t="s">
        <v>6967</v>
      </c>
      <c r="C263" s="7" t="s">
        <v>463</v>
      </c>
      <c r="D263" s="7" t="n">
        <v>2060</v>
      </c>
      <c r="E263" s="7" t="s">
        <v>50</v>
      </c>
      <c r="F263" s="7" t="n">
        <v>-33.83275</v>
      </c>
      <c r="G263" s="7" t="n">
        <v>151.206426</v>
      </c>
      <c r="H263" s="7" t="s">
        <v>6968</v>
      </c>
    </row>
    <row r="264" customFormat="false" ht="15" hidden="false" customHeight="false" outlineLevel="0" collapsed="false">
      <c r="A264" s="7" t="s">
        <v>6947</v>
      </c>
      <c r="B264" s="7" t="s">
        <v>6977</v>
      </c>
      <c r="C264" s="7" t="s">
        <v>464</v>
      </c>
      <c r="D264" s="7" t="n">
        <v>2019</v>
      </c>
      <c r="E264" s="7" t="s">
        <v>50</v>
      </c>
      <c r="F264" s="7" t="n">
        <v>-33.946132</v>
      </c>
      <c r="G264" s="7" t="n">
        <v>151.207559</v>
      </c>
      <c r="H264" s="7" t="s">
        <v>6991</v>
      </c>
    </row>
    <row r="265" customFormat="false" ht="15" hidden="false" customHeight="false" outlineLevel="0" collapsed="false">
      <c r="A265" s="7" t="s">
        <v>6947</v>
      </c>
      <c r="B265" s="7" t="s">
        <v>7003</v>
      </c>
      <c r="C265" s="7" t="s">
        <v>465</v>
      </c>
      <c r="D265" s="7" t="n">
        <v>2101</v>
      </c>
      <c r="E265" s="7" t="s">
        <v>50</v>
      </c>
      <c r="F265" s="7" t="n">
        <v>-33.704449</v>
      </c>
      <c r="G265" s="7" t="n">
        <v>151.296851</v>
      </c>
      <c r="H265" s="7" t="s">
        <v>7004</v>
      </c>
    </row>
    <row r="266" customFormat="false" ht="15" hidden="false" customHeight="false" outlineLevel="0" collapsed="false">
      <c r="A266" s="7" t="s">
        <v>6947</v>
      </c>
      <c r="B266" s="7" t="s">
        <v>6987</v>
      </c>
      <c r="C266" s="7" t="s">
        <v>466</v>
      </c>
      <c r="D266" s="7" t="n">
        <v>2036</v>
      </c>
      <c r="E266" s="7" t="s">
        <v>50</v>
      </c>
      <c r="F266" s="7" t="n">
        <v>-33.956331</v>
      </c>
      <c r="G266" s="7" t="n">
        <v>151.226599</v>
      </c>
      <c r="H266" s="7" t="s">
        <v>6988</v>
      </c>
    </row>
    <row r="267" customFormat="false" ht="15" hidden="false" customHeight="false" outlineLevel="0" collapsed="false">
      <c r="A267" s="7" t="s">
        <v>6947</v>
      </c>
      <c r="B267" s="7" t="s">
        <v>6958</v>
      </c>
      <c r="C267" s="7" t="s">
        <v>467</v>
      </c>
      <c r="D267" s="7" t="n">
        <v>2370</v>
      </c>
      <c r="E267" s="7" t="s">
        <v>50</v>
      </c>
      <c r="F267" s="7" t="n">
        <v>-29.738166</v>
      </c>
      <c r="G267" s="7" t="n">
        <v>151.735442</v>
      </c>
      <c r="H267" s="7" t="s">
        <v>7025</v>
      </c>
    </row>
    <row r="268" customFormat="false" ht="15" hidden="false" customHeight="false" outlineLevel="0" collapsed="false">
      <c r="A268" s="7" t="s">
        <v>6947</v>
      </c>
      <c r="B268" s="7" t="s">
        <v>6964</v>
      </c>
      <c r="C268" s="7" t="s">
        <v>467</v>
      </c>
      <c r="D268" s="7" t="n">
        <v>2370</v>
      </c>
      <c r="E268" s="7" t="s">
        <v>50</v>
      </c>
      <c r="F268" s="7" t="n">
        <v>-29.738356</v>
      </c>
      <c r="G268" s="7" t="n">
        <v>151.737836</v>
      </c>
      <c r="H268" s="7" t="s">
        <v>6965</v>
      </c>
    </row>
    <row r="269" customFormat="false" ht="15" hidden="false" customHeight="false" outlineLevel="0" collapsed="false">
      <c r="A269" s="7" t="s">
        <v>6947</v>
      </c>
      <c r="B269" s="7" t="s">
        <v>6977</v>
      </c>
      <c r="C269" s="7" t="s">
        <v>468</v>
      </c>
      <c r="D269" s="7" t="n">
        <v>2656</v>
      </c>
      <c r="E269" s="7" t="s">
        <v>50</v>
      </c>
      <c r="F269" s="7" t="n">
        <v>-35.220924</v>
      </c>
      <c r="G269" s="7" t="n">
        <v>146.712054</v>
      </c>
      <c r="H269" s="7" t="s">
        <v>6984</v>
      </c>
    </row>
    <row r="270" customFormat="false" ht="15" hidden="false" customHeight="false" outlineLevel="0" collapsed="false">
      <c r="A270" s="7" t="s">
        <v>6947</v>
      </c>
      <c r="B270" s="7" t="s">
        <v>6967</v>
      </c>
      <c r="C270" s="7" t="s">
        <v>470</v>
      </c>
      <c r="D270" s="7" t="n">
        <v>2281</v>
      </c>
      <c r="E270" s="7" t="s">
        <v>50</v>
      </c>
      <c r="F270" s="7" t="n">
        <v>-33.088721</v>
      </c>
      <c r="G270" s="7" t="n">
        <v>151.637587</v>
      </c>
      <c r="H270" s="7" t="s">
        <v>6968</v>
      </c>
    </row>
    <row r="271" customFormat="false" ht="15" hidden="false" customHeight="false" outlineLevel="0" collapsed="false">
      <c r="A271" s="7" t="s">
        <v>6947</v>
      </c>
      <c r="B271" s="7" t="s">
        <v>7003</v>
      </c>
      <c r="C271" s="7" t="s">
        <v>471</v>
      </c>
      <c r="D271" s="7" t="n">
        <v>2750</v>
      </c>
      <c r="E271" s="7" t="s">
        <v>50</v>
      </c>
      <c r="F271" s="7" t="n">
        <v>-33.74281</v>
      </c>
      <c r="G271" s="7" t="n">
        <v>150.692929</v>
      </c>
      <c r="H271" s="7" t="s">
        <v>7004</v>
      </c>
    </row>
    <row r="272" customFormat="false" ht="15" hidden="false" customHeight="false" outlineLevel="0" collapsed="false">
      <c r="A272" s="7" t="s">
        <v>6947</v>
      </c>
      <c r="B272" s="7" t="s">
        <v>6964</v>
      </c>
      <c r="C272" s="7" t="s">
        <v>473</v>
      </c>
      <c r="D272" s="7" t="n">
        <v>2650</v>
      </c>
      <c r="E272" s="7" t="s">
        <v>50</v>
      </c>
      <c r="F272" s="7" t="n">
        <v>-35.103026</v>
      </c>
      <c r="G272" s="7" t="n">
        <v>147.368699</v>
      </c>
      <c r="H272" s="7" t="s">
        <v>6975</v>
      </c>
    </row>
    <row r="273" customFormat="false" ht="15" hidden="false" customHeight="false" outlineLevel="0" collapsed="false">
      <c r="A273" s="7" t="s">
        <v>6947</v>
      </c>
      <c r="B273" s="7" t="s">
        <v>6993</v>
      </c>
      <c r="C273" s="7" t="s">
        <v>474</v>
      </c>
      <c r="D273" s="7" t="n">
        <v>2470</v>
      </c>
      <c r="E273" s="7" t="s">
        <v>50</v>
      </c>
      <c r="F273" s="7" t="n">
        <v>-28.862709</v>
      </c>
      <c r="G273" s="7" t="n">
        <v>153.048037</v>
      </c>
      <c r="H273" s="7" t="s">
        <v>6994</v>
      </c>
    </row>
    <row r="274" customFormat="false" ht="15" hidden="false" customHeight="false" outlineLevel="0" collapsed="false">
      <c r="A274" s="7" t="s">
        <v>6947</v>
      </c>
      <c r="B274" s="7" t="s">
        <v>6964</v>
      </c>
      <c r="C274" s="7" t="s">
        <v>475</v>
      </c>
      <c r="D274" s="7" t="n">
        <v>2170</v>
      </c>
      <c r="E274" s="7" t="s">
        <v>50</v>
      </c>
      <c r="F274" s="7" t="n">
        <v>-33.914337</v>
      </c>
      <c r="G274" s="7" t="n">
        <v>150.945617</v>
      </c>
      <c r="H274" s="7" t="s">
        <v>6992</v>
      </c>
    </row>
    <row r="275" customFormat="false" ht="15" hidden="false" customHeight="false" outlineLevel="0" collapsed="false">
      <c r="A275" s="7" t="s">
        <v>6947</v>
      </c>
      <c r="B275" s="7" t="s">
        <v>7026</v>
      </c>
      <c r="C275" s="7" t="s">
        <v>476</v>
      </c>
      <c r="D275" s="7" t="n">
        <v>2647</v>
      </c>
      <c r="E275" s="7" t="s">
        <v>50</v>
      </c>
      <c r="F275" s="7" t="n">
        <v>-35.994991</v>
      </c>
      <c r="G275" s="7" t="n">
        <v>146.001983</v>
      </c>
      <c r="H275" s="7" t="s">
        <v>7027</v>
      </c>
    </row>
    <row r="276" customFormat="false" ht="15" hidden="false" customHeight="false" outlineLevel="0" collapsed="false">
      <c r="A276" s="7" t="s">
        <v>6947</v>
      </c>
      <c r="B276" s="7" t="s">
        <v>6960</v>
      </c>
      <c r="C276" s="7" t="s">
        <v>480</v>
      </c>
      <c r="D276" s="7" t="n">
        <v>2579</v>
      </c>
      <c r="E276" s="7" t="s">
        <v>50</v>
      </c>
      <c r="F276" s="7" t="n">
        <v>-34.718523</v>
      </c>
      <c r="G276" s="7" t="n">
        <v>150.000388</v>
      </c>
      <c r="H276" s="7" t="s">
        <v>7020</v>
      </c>
    </row>
    <row r="277" customFormat="false" ht="15" hidden="false" customHeight="false" outlineLevel="0" collapsed="false">
      <c r="A277" s="7" t="s">
        <v>6947</v>
      </c>
      <c r="B277" s="7" t="s">
        <v>6960</v>
      </c>
      <c r="C277" s="7" t="s">
        <v>482</v>
      </c>
      <c r="D277" s="7" t="n">
        <v>2579</v>
      </c>
      <c r="E277" s="7" t="s">
        <v>50</v>
      </c>
      <c r="F277" s="7" t="n">
        <v>-34.719221</v>
      </c>
      <c r="G277" s="7" t="n">
        <v>149.995327</v>
      </c>
      <c r="H277" s="7" t="s">
        <v>7020</v>
      </c>
    </row>
    <row r="278" customFormat="false" ht="15" hidden="false" customHeight="false" outlineLevel="0" collapsed="false">
      <c r="A278" s="7" t="s">
        <v>6947</v>
      </c>
      <c r="B278" s="7" t="s">
        <v>6964</v>
      </c>
      <c r="C278" s="7" t="s">
        <v>483</v>
      </c>
      <c r="D278" s="7" t="n">
        <v>2320</v>
      </c>
      <c r="E278" s="7" t="s">
        <v>50</v>
      </c>
      <c r="F278" s="7" t="n">
        <v>-32.759004</v>
      </c>
      <c r="G278" s="7" t="n">
        <v>151.252347</v>
      </c>
      <c r="H278" s="7" t="s">
        <v>6965</v>
      </c>
    </row>
    <row r="279" customFormat="false" ht="15" hidden="false" customHeight="false" outlineLevel="0" collapsed="false">
      <c r="A279" s="7" t="s">
        <v>6947</v>
      </c>
      <c r="B279" s="7" t="s">
        <v>6962</v>
      </c>
      <c r="C279" s="7" t="s">
        <v>484</v>
      </c>
      <c r="D279" s="7" t="n">
        <v>2036</v>
      </c>
      <c r="E279" s="7" t="s">
        <v>50</v>
      </c>
      <c r="F279" s="7" t="n">
        <v>-33.957236</v>
      </c>
      <c r="G279" s="7" t="n">
        <v>151.237237</v>
      </c>
      <c r="H279" s="7" t="s">
        <v>6983</v>
      </c>
    </row>
    <row r="280" customFormat="false" ht="15" hidden="false" customHeight="false" outlineLevel="0" collapsed="false">
      <c r="A280" s="7" t="s">
        <v>6947</v>
      </c>
      <c r="B280" s="7" t="s">
        <v>6964</v>
      </c>
      <c r="C280" s="7" t="s">
        <v>486</v>
      </c>
      <c r="D280" s="7" t="n">
        <v>2261</v>
      </c>
      <c r="E280" s="7" t="s">
        <v>50</v>
      </c>
      <c r="F280" s="7" t="n">
        <v>-33.360825</v>
      </c>
      <c r="G280" s="7" t="n">
        <v>151.499553</v>
      </c>
      <c r="H280" s="7" t="s">
        <v>6965</v>
      </c>
    </row>
    <row r="281" customFormat="false" ht="15" hidden="false" customHeight="false" outlineLevel="0" collapsed="false">
      <c r="A281" s="7" t="s">
        <v>6947</v>
      </c>
      <c r="B281" s="7" t="s">
        <v>6993</v>
      </c>
      <c r="C281" s="7" t="s">
        <v>487</v>
      </c>
      <c r="D281" s="7" t="n">
        <v>2000</v>
      </c>
      <c r="E281" s="7" t="s">
        <v>50</v>
      </c>
      <c r="F281" s="7" t="n">
        <v>-33.858666</v>
      </c>
      <c r="G281" s="7" t="n">
        <v>151.203668</v>
      </c>
      <c r="H281" s="7" t="s">
        <v>6994</v>
      </c>
    </row>
    <row r="282" customFormat="false" ht="15" hidden="false" customHeight="false" outlineLevel="0" collapsed="false">
      <c r="A282" s="7" t="s">
        <v>6947</v>
      </c>
      <c r="B282" s="7" t="s">
        <v>6964</v>
      </c>
      <c r="C282" s="7" t="s">
        <v>488</v>
      </c>
      <c r="D282" s="7" t="n">
        <v>2627</v>
      </c>
      <c r="E282" s="7" t="s">
        <v>50</v>
      </c>
      <c r="F282" s="7" t="n">
        <v>-36.417329</v>
      </c>
      <c r="G282" s="7" t="n">
        <v>148.607657</v>
      </c>
      <c r="H282" s="7" t="s">
        <v>6965</v>
      </c>
    </row>
    <row r="283" customFormat="false" ht="15" hidden="false" customHeight="false" outlineLevel="0" collapsed="false">
      <c r="A283" s="7" t="s">
        <v>6947</v>
      </c>
      <c r="B283" s="7" t="s">
        <v>6987</v>
      </c>
      <c r="C283" s="7" t="s">
        <v>489</v>
      </c>
      <c r="D283" s="7" t="n">
        <v>2099</v>
      </c>
      <c r="E283" s="7" t="s">
        <v>50</v>
      </c>
      <c r="F283" s="7" t="n">
        <v>-33.753702</v>
      </c>
      <c r="G283" s="7" t="n">
        <v>151.287</v>
      </c>
      <c r="H283" s="7" t="s">
        <v>6988</v>
      </c>
    </row>
    <row r="284" customFormat="false" ht="15" hidden="false" customHeight="false" outlineLevel="0" collapsed="false">
      <c r="A284" s="7" t="s">
        <v>6947</v>
      </c>
      <c r="B284" s="7" t="s">
        <v>6964</v>
      </c>
      <c r="C284" s="7" t="s">
        <v>490</v>
      </c>
      <c r="D284" s="7" t="n">
        <v>2000</v>
      </c>
      <c r="E284" s="7" t="s">
        <v>50</v>
      </c>
      <c r="F284" s="7" t="n">
        <v>-33.871922</v>
      </c>
      <c r="G284" s="7" t="n">
        <v>151.209721</v>
      </c>
      <c r="H284" s="7" t="s">
        <v>6965</v>
      </c>
    </row>
    <row r="285" customFormat="false" ht="15" hidden="false" customHeight="false" outlineLevel="0" collapsed="false">
      <c r="A285" s="7" t="s">
        <v>6947</v>
      </c>
      <c r="B285" s="7" t="s">
        <v>6977</v>
      </c>
      <c r="C285" s="7" t="s">
        <v>491</v>
      </c>
      <c r="D285" s="7" t="n">
        <v>2000</v>
      </c>
      <c r="E285" s="7" t="s">
        <v>50</v>
      </c>
      <c r="F285" s="7" t="n">
        <v>-33.871529</v>
      </c>
      <c r="G285" s="7" t="n">
        <v>151.209821</v>
      </c>
      <c r="H285" s="7" t="s">
        <v>7028</v>
      </c>
    </row>
    <row r="286" customFormat="false" ht="15" hidden="false" customHeight="false" outlineLevel="0" collapsed="false">
      <c r="A286" s="7" t="s">
        <v>6947</v>
      </c>
      <c r="B286" s="7" t="s">
        <v>6962</v>
      </c>
      <c r="C286" s="7" t="s">
        <v>492</v>
      </c>
      <c r="D286" s="7" t="n">
        <v>2021</v>
      </c>
      <c r="E286" s="7" t="s">
        <v>50</v>
      </c>
      <c r="F286" s="7" t="n">
        <v>-33.881812</v>
      </c>
      <c r="G286" s="7" t="n">
        <v>151.228318</v>
      </c>
      <c r="H286" s="7" t="s">
        <v>6980</v>
      </c>
    </row>
    <row r="287" customFormat="false" ht="15" hidden="false" customHeight="false" outlineLevel="0" collapsed="false">
      <c r="A287" s="7" t="s">
        <v>6947</v>
      </c>
      <c r="B287" s="7" t="s">
        <v>6962</v>
      </c>
      <c r="C287" s="7" t="s">
        <v>494</v>
      </c>
      <c r="D287" s="7" t="n">
        <v>2478</v>
      </c>
      <c r="E287" s="7" t="s">
        <v>50</v>
      </c>
      <c r="F287" s="7" t="n">
        <v>-28.778375</v>
      </c>
      <c r="G287" s="7" t="n">
        <v>153.592686</v>
      </c>
      <c r="H287" s="7" t="s">
        <v>6983</v>
      </c>
    </row>
    <row r="288" customFormat="false" ht="15" hidden="false" customHeight="false" outlineLevel="0" collapsed="false">
      <c r="A288" s="7" t="s">
        <v>6947</v>
      </c>
      <c r="B288" s="7" t="s">
        <v>7003</v>
      </c>
      <c r="C288" s="7" t="s">
        <v>496</v>
      </c>
      <c r="D288" s="7" t="n">
        <v>2075</v>
      </c>
      <c r="E288" s="7" t="s">
        <v>50</v>
      </c>
      <c r="F288" s="7" t="n">
        <v>-33.730776</v>
      </c>
      <c r="G288" s="7" t="n">
        <v>151.157011</v>
      </c>
      <c r="H288" s="7" t="s">
        <v>7004</v>
      </c>
    </row>
    <row r="289" customFormat="false" ht="15" hidden="false" customHeight="false" outlineLevel="0" collapsed="false">
      <c r="A289" s="7" t="s">
        <v>6947</v>
      </c>
      <c r="B289" s="7" t="s">
        <v>6977</v>
      </c>
      <c r="C289" s="7" t="s">
        <v>497</v>
      </c>
      <c r="D289" s="7" t="n">
        <v>2034</v>
      </c>
      <c r="E289" s="7" t="s">
        <v>50</v>
      </c>
      <c r="F289" s="7" t="n">
        <v>-33.925865</v>
      </c>
      <c r="G289" s="7" t="n">
        <v>151.250423</v>
      </c>
      <c r="H289" s="7" t="s">
        <v>6991</v>
      </c>
    </row>
    <row r="290" customFormat="false" ht="15" hidden="false" customHeight="false" outlineLevel="0" collapsed="false">
      <c r="A290" s="7" t="s">
        <v>6947</v>
      </c>
      <c r="B290" s="7" t="s">
        <v>6962</v>
      </c>
      <c r="C290" s="7" t="s">
        <v>498</v>
      </c>
      <c r="D290" s="7" t="n">
        <v>2627</v>
      </c>
      <c r="E290" s="7" t="s">
        <v>50</v>
      </c>
      <c r="F290" s="7" t="n">
        <v>-36.445084</v>
      </c>
      <c r="G290" s="7" t="n">
        <v>148.449913</v>
      </c>
      <c r="H290" s="7" t="s">
        <v>6983</v>
      </c>
    </row>
    <row r="291" customFormat="false" ht="15" hidden="false" customHeight="false" outlineLevel="0" collapsed="false">
      <c r="A291" s="7" t="s">
        <v>6947</v>
      </c>
      <c r="B291" s="7" t="s">
        <v>6962</v>
      </c>
      <c r="C291" s="7" t="s">
        <v>499</v>
      </c>
      <c r="D291" s="7" t="n">
        <v>2075</v>
      </c>
      <c r="E291" s="7" t="s">
        <v>50</v>
      </c>
      <c r="F291" s="7" t="n">
        <v>-33.730073</v>
      </c>
      <c r="G291" s="7" t="n">
        <v>151.158559</v>
      </c>
      <c r="H291" s="7" t="s">
        <v>6983</v>
      </c>
    </row>
    <row r="292" customFormat="false" ht="15" hidden="false" customHeight="false" outlineLevel="0" collapsed="false">
      <c r="A292" s="7" t="s">
        <v>6947</v>
      </c>
      <c r="B292" s="7" t="s">
        <v>6960</v>
      </c>
      <c r="C292" s="7" t="s">
        <v>500</v>
      </c>
      <c r="D292" s="7" t="n">
        <v>2065</v>
      </c>
      <c r="E292" s="7" t="s">
        <v>50</v>
      </c>
      <c r="F292" s="7" t="n">
        <v>-33.820152</v>
      </c>
      <c r="G292" s="7" t="n">
        <v>151.20119</v>
      </c>
      <c r="H292" s="7" t="s">
        <v>7020</v>
      </c>
    </row>
    <row r="293" customFormat="false" ht="15" hidden="false" customHeight="false" outlineLevel="0" collapsed="false">
      <c r="A293" s="7" t="s">
        <v>6947</v>
      </c>
      <c r="B293" s="7" t="s">
        <v>6964</v>
      </c>
      <c r="C293" s="7" t="s">
        <v>501</v>
      </c>
      <c r="D293" s="7" t="n">
        <v>2000</v>
      </c>
      <c r="E293" s="7" t="s">
        <v>50</v>
      </c>
      <c r="F293" s="7" t="n">
        <v>-33.881855</v>
      </c>
      <c r="G293" s="7" t="n">
        <v>151.202419</v>
      </c>
      <c r="H293" s="7" t="s">
        <v>6965</v>
      </c>
    </row>
    <row r="294" customFormat="false" ht="15" hidden="false" customHeight="false" outlineLevel="0" collapsed="false">
      <c r="A294" s="7" t="s">
        <v>6947</v>
      </c>
      <c r="B294" s="7" t="s">
        <v>6977</v>
      </c>
      <c r="C294" s="7" t="s">
        <v>502</v>
      </c>
      <c r="D294" s="7" t="n">
        <v>2766</v>
      </c>
      <c r="E294" s="7" t="s">
        <v>50</v>
      </c>
      <c r="F294" s="7" t="n">
        <v>-33.817281</v>
      </c>
      <c r="G294" s="7" t="n">
        <v>150.83814</v>
      </c>
      <c r="H294" s="7" t="s">
        <v>7014</v>
      </c>
    </row>
    <row r="295" customFormat="false" ht="15" hidden="false" customHeight="false" outlineLevel="0" collapsed="false">
      <c r="A295" s="7" t="s">
        <v>6947</v>
      </c>
      <c r="B295" s="7" t="s">
        <v>6962</v>
      </c>
      <c r="C295" s="7" t="s">
        <v>503</v>
      </c>
      <c r="D295" s="7" t="n">
        <v>2067</v>
      </c>
      <c r="E295" s="7" t="s">
        <v>50</v>
      </c>
      <c r="F295" s="7" t="n">
        <v>-33.786013</v>
      </c>
      <c r="G295" s="7" t="n">
        <v>151.198083</v>
      </c>
      <c r="H295" s="7" t="s">
        <v>7029</v>
      </c>
    </row>
    <row r="296" customFormat="false" ht="15" hidden="false" customHeight="false" outlineLevel="0" collapsed="false">
      <c r="A296" s="7" t="s">
        <v>6947</v>
      </c>
      <c r="B296" s="7" t="s">
        <v>6987</v>
      </c>
      <c r="C296" s="7" t="s">
        <v>504</v>
      </c>
      <c r="D296" s="7" t="n">
        <v>2210</v>
      </c>
      <c r="E296" s="7" t="s">
        <v>50</v>
      </c>
      <c r="F296" s="7" t="n">
        <v>-33.962122</v>
      </c>
      <c r="G296" s="7" t="n">
        <v>151.063574</v>
      </c>
      <c r="H296" s="7" t="s">
        <v>6988</v>
      </c>
    </row>
    <row r="297" customFormat="false" ht="15" hidden="false" customHeight="false" outlineLevel="0" collapsed="false">
      <c r="A297" s="7" t="s">
        <v>6947</v>
      </c>
      <c r="B297" s="7" t="s">
        <v>6964</v>
      </c>
      <c r="C297" s="7" t="s">
        <v>505</v>
      </c>
      <c r="D297" s="7" t="n">
        <v>2540</v>
      </c>
      <c r="E297" s="7" t="s">
        <v>50</v>
      </c>
      <c r="F297" s="7" t="n">
        <v>-34.86498</v>
      </c>
      <c r="G297" s="7" t="n">
        <v>150.49251</v>
      </c>
      <c r="H297" s="7" t="s">
        <v>6982</v>
      </c>
    </row>
    <row r="298" customFormat="false" ht="15" hidden="false" customHeight="false" outlineLevel="0" collapsed="false">
      <c r="A298" s="7" t="s">
        <v>6947</v>
      </c>
      <c r="B298" s="7" t="s">
        <v>6977</v>
      </c>
      <c r="C298" s="7" t="s">
        <v>506</v>
      </c>
      <c r="D298" s="7" t="n">
        <v>2581</v>
      </c>
      <c r="E298" s="7" t="s">
        <v>50</v>
      </c>
      <c r="F298" s="7" t="n">
        <v>-34.99683</v>
      </c>
      <c r="G298" s="7" t="n">
        <v>149.38484</v>
      </c>
      <c r="H298" s="7" t="s">
        <v>6989</v>
      </c>
    </row>
    <row r="299" customFormat="false" ht="15" hidden="false" customHeight="false" outlineLevel="0" collapsed="false">
      <c r="A299" s="7" t="s">
        <v>6947</v>
      </c>
      <c r="B299" s="7" t="s">
        <v>6977</v>
      </c>
      <c r="C299" s="7" t="s">
        <v>507</v>
      </c>
      <c r="D299" s="7" t="n">
        <v>2021</v>
      </c>
      <c r="E299" s="7" t="s">
        <v>50</v>
      </c>
      <c r="F299" s="7" t="n">
        <v>-33.88436</v>
      </c>
      <c r="G299" s="7" t="n">
        <v>151.235985</v>
      </c>
      <c r="H299" s="7" t="s">
        <v>6991</v>
      </c>
    </row>
    <row r="300" customFormat="false" ht="15" hidden="false" customHeight="false" outlineLevel="0" collapsed="false">
      <c r="A300" s="7" t="s">
        <v>6947</v>
      </c>
      <c r="B300" s="7" t="s">
        <v>6964</v>
      </c>
      <c r="C300" s="7" t="s">
        <v>508</v>
      </c>
      <c r="D300" s="7" t="n">
        <v>2575</v>
      </c>
      <c r="E300" s="7" t="s">
        <v>50</v>
      </c>
      <c r="F300" s="7" t="n">
        <v>-34.405888</v>
      </c>
      <c r="G300" s="7" t="n">
        <v>150.222651</v>
      </c>
      <c r="H300" s="7" t="s">
        <v>6975</v>
      </c>
    </row>
    <row r="301" customFormat="false" ht="15" hidden="false" customHeight="false" outlineLevel="0" collapsed="false">
      <c r="A301" s="7" t="s">
        <v>6947</v>
      </c>
      <c r="B301" s="7" t="s">
        <v>6962</v>
      </c>
      <c r="C301" s="7" t="s">
        <v>509</v>
      </c>
      <c r="D301" s="7" t="n">
        <v>2026</v>
      </c>
      <c r="E301" s="7" t="s">
        <v>50</v>
      </c>
      <c r="F301" s="7" t="n">
        <v>-33.888604</v>
      </c>
      <c r="G301" s="7" t="n">
        <v>151.270699</v>
      </c>
      <c r="H301" s="7" t="s">
        <v>6969</v>
      </c>
    </row>
    <row r="302" customFormat="false" ht="15" hidden="false" customHeight="false" outlineLevel="0" collapsed="false">
      <c r="A302" s="7" t="s">
        <v>6947</v>
      </c>
      <c r="B302" s="7" t="s">
        <v>6977</v>
      </c>
      <c r="C302" s="7" t="s">
        <v>510</v>
      </c>
      <c r="D302" s="7" t="n">
        <v>2320</v>
      </c>
      <c r="E302" s="7" t="s">
        <v>50</v>
      </c>
      <c r="F302" s="7" t="n">
        <v>-32.764056</v>
      </c>
      <c r="G302" s="7" t="n">
        <v>151.2916</v>
      </c>
      <c r="H302" s="7" t="s">
        <v>6991</v>
      </c>
    </row>
    <row r="303" customFormat="false" ht="15" hidden="false" customHeight="false" outlineLevel="0" collapsed="false">
      <c r="A303" s="7" t="s">
        <v>6947</v>
      </c>
      <c r="B303" s="7" t="s">
        <v>6964</v>
      </c>
      <c r="C303" s="7" t="s">
        <v>511</v>
      </c>
      <c r="D303" s="7" t="n">
        <v>2444</v>
      </c>
      <c r="E303" s="7" t="s">
        <v>50</v>
      </c>
      <c r="F303" s="7" t="n">
        <v>-31.435</v>
      </c>
      <c r="G303" s="7" t="n">
        <v>152.897943</v>
      </c>
      <c r="H303" s="7" t="s">
        <v>6965</v>
      </c>
    </row>
    <row r="304" customFormat="false" ht="15" hidden="false" customHeight="false" outlineLevel="0" collapsed="false">
      <c r="A304" s="7" t="s">
        <v>6947</v>
      </c>
      <c r="B304" s="7" t="s">
        <v>6962</v>
      </c>
      <c r="C304" s="7" t="s">
        <v>512</v>
      </c>
      <c r="D304" s="7" t="n">
        <v>2830</v>
      </c>
      <c r="E304" s="7" t="s">
        <v>50</v>
      </c>
      <c r="F304" s="7" t="n">
        <v>-32.245591</v>
      </c>
      <c r="G304" s="7" t="n">
        <v>148.5961</v>
      </c>
      <c r="H304" s="7" t="s">
        <v>7015</v>
      </c>
    </row>
    <row r="305" customFormat="false" ht="15" hidden="false" customHeight="false" outlineLevel="0" collapsed="false">
      <c r="A305" s="7" t="s">
        <v>6947</v>
      </c>
      <c r="B305" s="7" t="s">
        <v>6964</v>
      </c>
      <c r="C305" s="7" t="s">
        <v>513</v>
      </c>
      <c r="D305" s="7" t="n">
        <v>2537</v>
      </c>
      <c r="E305" s="7" t="s">
        <v>50</v>
      </c>
      <c r="F305" s="7" t="n">
        <v>-35.855909</v>
      </c>
      <c r="G305" s="7" t="n">
        <v>150.172222</v>
      </c>
      <c r="H305" s="7" t="s">
        <v>6965</v>
      </c>
    </row>
    <row r="306" customFormat="false" ht="15" hidden="false" customHeight="false" outlineLevel="0" collapsed="false">
      <c r="A306" s="7" t="s">
        <v>6947</v>
      </c>
      <c r="B306" s="7" t="s">
        <v>6962</v>
      </c>
      <c r="C306" s="7" t="s">
        <v>514</v>
      </c>
      <c r="D306" s="7" t="n">
        <v>2031</v>
      </c>
      <c r="E306" s="7" t="s">
        <v>50</v>
      </c>
      <c r="F306" s="7" t="n">
        <v>-33.913746</v>
      </c>
      <c r="G306" s="7" t="n">
        <v>151.239061</v>
      </c>
      <c r="H306" s="7" t="s">
        <v>6980</v>
      </c>
    </row>
    <row r="307" customFormat="false" ht="15" hidden="false" customHeight="false" outlineLevel="0" collapsed="false">
      <c r="A307" s="7" t="s">
        <v>6947</v>
      </c>
      <c r="B307" s="7" t="s">
        <v>6962</v>
      </c>
      <c r="C307" s="7" t="s">
        <v>516</v>
      </c>
      <c r="D307" s="7" t="n">
        <v>2766</v>
      </c>
      <c r="E307" s="7" t="s">
        <v>50</v>
      </c>
      <c r="F307" s="7" t="n">
        <v>-33.771054</v>
      </c>
      <c r="G307" s="7" t="n">
        <v>150.844904</v>
      </c>
      <c r="H307" s="7" t="s">
        <v>7030</v>
      </c>
    </row>
    <row r="308" customFormat="false" ht="15" hidden="false" customHeight="false" outlineLevel="0" collapsed="false">
      <c r="A308" s="7" t="s">
        <v>6947</v>
      </c>
      <c r="B308" s="7" t="s">
        <v>6967</v>
      </c>
      <c r="C308" s="7" t="s">
        <v>517</v>
      </c>
      <c r="D308" s="7" t="n">
        <v>2154</v>
      </c>
      <c r="E308" s="7" t="s">
        <v>50</v>
      </c>
      <c r="F308" s="7" t="n">
        <v>-33.727803</v>
      </c>
      <c r="G308" s="7" t="n">
        <v>150.976049</v>
      </c>
      <c r="H308" s="7" t="s">
        <v>6968</v>
      </c>
    </row>
    <row r="309" customFormat="false" ht="15" hidden="false" customHeight="false" outlineLevel="0" collapsed="false">
      <c r="A309" s="7" t="s">
        <v>6947</v>
      </c>
      <c r="B309" s="7" t="s">
        <v>6977</v>
      </c>
      <c r="C309" s="7" t="s">
        <v>518</v>
      </c>
      <c r="D309" s="7" t="n">
        <v>2325</v>
      </c>
      <c r="E309" s="7" t="s">
        <v>50</v>
      </c>
      <c r="F309" s="7" t="n">
        <v>-32.831744</v>
      </c>
      <c r="G309" s="7" t="n">
        <v>151.35968</v>
      </c>
      <c r="H309" s="7" t="s">
        <v>6981</v>
      </c>
    </row>
    <row r="310" customFormat="false" ht="15" hidden="false" customHeight="false" outlineLevel="0" collapsed="false">
      <c r="A310" s="7" t="s">
        <v>6947</v>
      </c>
      <c r="B310" s="7" t="s">
        <v>6964</v>
      </c>
      <c r="C310" s="7" t="s">
        <v>519</v>
      </c>
      <c r="D310" s="7" t="n">
        <v>2026</v>
      </c>
      <c r="E310" s="7" t="s">
        <v>50</v>
      </c>
      <c r="F310" s="7" t="n">
        <v>-33.888968</v>
      </c>
      <c r="G310" s="7" t="n">
        <v>151.275949</v>
      </c>
      <c r="H310" s="7" t="s">
        <v>6965</v>
      </c>
    </row>
    <row r="311" customFormat="false" ht="15" hidden="false" customHeight="false" outlineLevel="0" collapsed="false">
      <c r="A311" s="7" t="s">
        <v>6947</v>
      </c>
      <c r="B311" s="7" t="s">
        <v>6962</v>
      </c>
      <c r="C311" s="7" t="s">
        <v>520</v>
      </c>
      <c r="D311" s="7" t="n">
        <v>2150</v>
      </c>
      <c r="E311" s="7" t="s">
        <v>50</v>
      </c>
      <c r="F311" s="7" t="n">
        <v>-33.814439</v>
      </c>
      <c r="G311" s="7" t="n">
        <v>151.010268</v>
      </c>
      <c r="H311" s="7" t="s">
        <v>7015</v>
      </c>
    </row>
    <row r="312" customFormat="false" ht="15" hidden="false" customHeight="false" outlineLevel="0" collapsed="false">
      <c r="A312" s="7" t="s">
        <v>6947</v>
      </c>
      <c r="B312" s="7" t="s">
        <v>6995</v>
      </c>
      <c r="C312" s="7" t="s">
        <v>521</v>
      </c>
      <c r="D312" s="7" t="n">
        <v>2010</v>
      </c>
      <c r="E312" s="7" t="s">
        <v>50</v>
      </c>
      <c r="F312" s="7" t="n">
        <v>-33.875673</v>
      </c>
      <c r="G312" s="7" t="n">
        <v>151.219284</v>
      </c>
      <c r="H312" s="7" t="s">
        <v>7031</v>
      </c>
    </row>
    <row r="313" customFormat="false" ht="15" hidden="false" customHeight="false" outlineLevel="0" collapsed="false">
      <c r="A313" s="7" t="s">
        <v>6947</v>
      </c>
      <c r="B313" s="7" t="s">
        <v>6964</v>
      </c>
      <c r="C313" s="7" t="s">
        <v>522</v>
      </c>
      <c r="D313" s="7" t="n">
        <v>2150</v>
      </c>
      <c r="E313" s="7" t="s">
        <v>50</v>
      </c>
      <c r="F313" s="7" t="n">
        <v>-33.820708</v>
      </c>
      <c r="G313" s="7" t="n">
        <v>151.005215</v>
      </c>
      <c r="H313" s="7" t="s">
        <v>6982</v>
      </c>
    </row>
    <row r="314" customFormat="false" ht="15" hidden="false" customHeight="false" outlineLevel="0" collapsed="false">
      <c r="A314" s="7" t="s">
        <v>6947</v>
      </c>
      <c r="B314" s="7" t="s">
        <v>6977</v>
      </c>
      <c r="C314" s="7" t="s">
        <v>523</v>
      </c>
      <c r="D314" s="7" t="n">
        <v>2020</v>
      </c>
      <c r="E314" s="7" t="s">
        <v>50</v>
      </c>
      <c r="F314" s="7" t="n">
        <v>-33.926974</v>
      </c>
      <c r="G314" s="7" t="n">
        <v>151.186465</v>
      </c>
      <c r="H314" s="7" t="s">
        <v>6981</v>
      </c>
    </row>
    <row r="315" customFormat="false" ht="15" hidden="false" customHeight="false" outlineLevel="0" collapsed="false">
      <c r="A315" s="7" t="s">
        <v>6947</v>
      </c>
      <c r="B315" s="7" t="s">
        <v>6964</v>
      </c>
      <c r="C315" s="7" t="s">
        <v>524</v>
      </c>
      <c r="D315" s="7" t="n">
        <v>2546</v>
      </c>
      <c r="E315" s="7" t="s">
        <v>50</v>
      </c>
      <c r="F315" s="7" t="n">
        <v>-36.223136</v>
      </c>
      <c r="G315" s="7" t="n">
        <v>150.128346</v>
      </c>
      <c r="H315" s="7" t="s">
        <v>7032</v>
      </c>
    </row>
    <row r="316" customFormat="false" ht="15" hidden="false" customHeight="false" outlineLevel="0" collapsed="false">
      <c r="A316" s="7" t="s">
        <v>6947</v>
      </c>
      <c r="B316" s="7" t="s">
        <v>6962</v>
      </c>
      <c r="C316" s="7" t="s">
        <v>525</v>
      </c>
      <c r="D316" s="7" t="n">
        <v>2179</v>
      </c>
      <c r="E316" s="7" t="s">
        <v>50</v>
      </c>
      <c r="F316" s="7" t="n">
        <v>-33.953532</v>
      </c>
      <c r="G316" s="7" t="n">
        <v>150.808773</v>
      </c>
      <c r="H316" s="7" t="s">
        <v>7030</v>
      </c>
    </row>
    <row r="317" customFormat="false" ht="15" hidden="false" customHeight="false" outlineLevel="0" collapsed="false">
      <c r="A317" s="7" t="s">
        <v>6947</v>
      </c>
      <c r="B317" s="7" t="s">
        <v>6964</v>
      </c>
      <c r="C317" s="7" t="s">
        <v>526</v>
      </c>
      <c r="D317" s="7" t="n">
        <v>2650</v>
      </c>
      <c r="E317" s="7" t="s">
        <v>50</v>
      </c>
      <c r="F317" s="7" t="n">
        <v>-35.130909</v>
      </c>
      <c r="G317" s="7" t="n">
        <v>147.340409</v>
      </c>
      <c r="H317" s="7" t="s">
        <v>6975</v>
      </c>
    </row>
    <row r="318" customFormat="false" ht="15" hidden="false" customHeight="false" outlineLevel="0" collapsed="false">
      <c r="A318" s="7" t="s">
        <v>6947</v>
      </c>
      <c r="B318" s="7" t="s">
        <v>6967</v>
      </c>
      <c r="C318" s="7" t="s">
        <v>527</v>
      </c>
      <c r="D318" s="7" t="n">
        <v>2088</v>
      </c>
      <c r="E318" s="7" t="s">
        <v>50</v>
      </c>
      <c r="F318" s="7" t="n">
        <v>-33.831084</v>
      </c>
      <c r="G318" s="7" t="n">
        <v>151.243659</v>
      </c>
      <c r="H318" s="7" t="s">
        <v>6968</v>
      </c>
    </row>
    <row r="319" customFormat="false" ht="15" hidden="false" customHeight="false" outlineLevel="0" collapsed="false">
      <c r="A319" s="7" t="s">
        <v>6947</v>
      </c>
      <c r="B319" s="7" t="s">
        <v>7033</v>
      </c>
      <c r="C319" s="7" t="s">
        <v>528</v>
      </c>
      <c r="D319" s="7" t="n">
        <v>2299</v>
      </c>
      <c r="E319" s="7" t="s">
        <v>50</v>
      </c>
      <c r="F319" s="7" t="n">
        <v>-32.905491</v>
      </c>
      <c r="G319" s="7" t="n">
        <v>151.6911</v>
      </c>
      <c r="H319" s="7" t="s">
        <v>7034</v>
      </c>
    </row>
    <row r="320" customFormat="false" ht="15" hidden="false" customHeight="false" outlineLevel="0" collapsed="false">
      <c r="A320" s="7" t="s">
        <v>6947</v>
      </c>
      <c r="B320" s="7" t="s">
        <v>6977</v>
      </c>
      <c r="C320" s="7" t="s">
        <v>530</v>
      </c>
      <c r="D320" s="7" t="n">
        <v>2319</v>
      </c>
      <c r="E320" s="7" t="s">
        <v>50</v>
      </c>
      <c r="F320" s="7" t="n">
        <v>-32.733602</v>
      </c>
      <c r="G320" s="7" t="n">
        <v>152.033681</v>
      </c>
      <c r="H320" s="7" t="s">
        <v>6981</v>
      </c>
    </row>
    <row r="321" customFormat="false" ht="15" hidden="false" customHeight="false" outlineLevel="0" collapsed="false">
      <c r="A321" s="7" t="s">
        <v>6947</v>
      </c>
      <c r="B321" s="7" t="s">
        <v>6964</v>
      </c>
      <c r="C321" s="7" t="s">
        <v>531</v>
      </c>
      <c r="D321" s="7" t="n">
        <v>2020</v>
      </c>
      <c r="E321" s="7" t="s">
        <v>50</v>
      </c>
      <c r="F321" s="7" t="n">
        <v>-33.926155</v>
      </c>
      <c r="G321" s="7" t="n">
        <v>151.187957</v>
      </c>
      <c r="H321" s="7" t="s">
        <v>6982</v>
      </c>
    </row>
    <row r="322" customFormat="false" ht="15" hidden="false" customHeight="false" outlineLevel="0" collapsed="false">
      <c r="A322" s="7" t="s">
        <v>6947</v>
      </c>
      <c r="B322" s="7" t="s">
        <v>6977</v>
      </c>
      <c r="C322" s="7" t="s">
        <v>532</v>
      </c>
      <c r="D322" s="7" t="n">
        <v>2431</v>
      </c>
      <c r="E322" s="7" t="s">
        <v>50</v>
      </c>
      <c r="F322" s="7" t="n">
        <v>-30.886531</v>
      </c>
      <c r="G322" s="7" t="n">
        <v>153.037958</v>
      </c>
      <c r="H322" s="7" t="s">
        <v>6984</v>
      </c>
    </row>
    <row r="323" customFormat="false" ht="15" hidden="false" customHeight="false" outlineLevel="0" collapsed="false">
      <c r="A323" s="7" t="s">
        <v>6947</v>
      </c>
      <c r="B323" s="7" t="s">
        <v>6977</v>
      </c>
      <c r="C323" s="7" t="s">
        <v>534</v>
      </c>
      <c r="D323" s="7" t="n">
        <v>2290</v>
      </c>
      <c r="E323" s="7" t="s">
        <v>50</v>
      </c>
      <c r="F323" s="7" t="n">
        <v>-33.012717</v>
      </c>
      <c r="G323" s="7" t="n">
        <v>151.719038</v>
      </c>
      <c r="H323" s="7" t="s">
        <v>6991</v>
      </c>
    </row>
    <row r="324" customFormat="false" ht="15" hidden="false" customHeight="false" outlineLevel="0" collapsed="false">
      <c r="A324" s="7" t="s">
        <v>6947</v>
      </c>
      <c r="B324" s="7" t="s">
        <v>6995</v>
      </c>
      <c r="C324" s="7" t="s">
        <v>535</v>
      </c>
      <c r="D324" s="7" t="n">
        <v>2085</v>
      </c>
      <c r="E324" s="7" t="s">
        <v>50</v>
      </c>
      <c r="F324" s="7" t="n">
        <v>-33.707356</v>
      </c>
      <c r="G324" s="7" t="n">
        <v>151.212124</v>
      </c>
      <c r="H324" s="7" t="s">
        <v>6996</v>
      </c>
    </row>
    <row r="325" customFormat="false" ht="15" hidden="false" customHeight="false" outlineLevel="0" collapsed="false">
      <c r="A325" s="7" t="s">
        <v>6947</v>
      </c>
      <c r="B325" s="7" t="s">
        <v>6964</v>
      </c>
      <c r="C325" s="7" t="s">
        <v>536</v>
      </c>
      <c r="D325" s="7" t="n">
        <v>2525</v>
      </c>
      <c r="E325" s="7" t="s">
        <v>50</v>
      </c>
      <c r="F325" s="7" t="n">
        <v>-34.436615</v>
      </c>
      <c r="G325" s="7" t="n">
        <v>150.863298</v>
      </c>
      <c r="H325" s="7" t="s">
        <v>6997</v>
      </c>
    </row>
    <row r="326" customFormat="false" ht="15" hidden="false" customHeight="false" outlineLevel="0" collapsed="false">
      <c r="A326" s="7" t="s">
        <v>6947</v>
      </c>
      <c r="B326" s="7" t="s">
        <v>6967</v>
      </c>
      <c r="C326" s="7" t="s">
        <v>537</v>
      </c>
      <c r="D326" s="7" t="n">
        <v>2217</v>
      </c>
      <c r="E326" s="7" t="s">
        <v>50</v>
      </c>
      <c r="F326" s="7" t="n">
        <v>-33.961681</v>
      </c>
      <c r="G326" s="7" t="n">
        <v>151.13259</v>
      </c>
      <c r="H326" s="7" t="s">
        <v>6968</v>
      </c>
    </row>
    <row r="327" customFormat="false" ht="15" hidden="false" customHeight="false" outlineLevel="0" collapsed="false">
      <c r="A327" s="7" t="s">
        <v>6947</v>
      </c>
      <c r="B327" s="7" t="s">
        <v>6987</v>
      </c>
      <c r="C327" s="7" t="s">
        <v>538</v>
      </c>
      <c r="D327" s="7" t="n">
        <v>2140</v>
      </c>
      <c r="E327" s="7" t="s">
        <v>50</v>
      </c>
      <c r="F327" s="7" t="n">
        <v>-33.866038</v>
      </c>
      <c r="G327" s="7" t="n">
        <v>151.064452</v>
      </c>
      <c r="H327" s="7" t="s">
        <v>6988</v>
      </c>
    </row>
    <row r="328" customFormat="false" ht="15" hidden="false" customHeight="false" outlineLevel="0" collapsed="false">
      <c r="A328" s="7" t="s">
        <v>6947</v>
      </c>
      <c r="B328" s="7" t="s">
        <v>6960</v>
      </c>
      <c r="C328" s="7" t="s">
        <v>540</v>
      </c>
      <c r="D328" s="7" t="n">
        <v>2155</v>
      </c>
      <c r="E328" s="7" t="s">
        <v>50</v>
      </c>
      <c r="F328" s="7" t="n">
        <v>-33.712747</v>
      </c>
      <c r="G328" s="7" t="n">
        <v>150.95916</v>
      </c>
      <c r="H328" s="7" t="s">
        <v>7020</v>
      </c>
    </row>
    <row r="329" customFormat="false" ht="15" hidden="false" customHeight="false" outlineLevel="0" collapsed="false">
      <c r="A329" s="7" t="s">
        <v>6947</v>
      </c>
      <c r="B329" s="7" t="s">
        <v>6977</v>
      </c>
      <c r="C329" s="7" t="s">
        <v>541</v>
      </c>
      <c r="D329" s="7" t="n">
        <v>2116</v>
      </c>
      <c r="E329" s="7" t="s">
        <v>50</v>
      </c>
      <c r="F329" s="7" t="n">
        <v>-33.812112</v>
      </c>
      <c r="G329" s="7" t="n">
        <v>151.03551</v>
      </c>
      <c r="H329" s="7" t="s">
        <v>7000</v>
      </c>
    </row>
    <row r="330" customFormat="false" ht="15" hidden="false" customHeight="false" outlineLevel="0" collapsed="false">
      <c r="A330" s="7" t="s">
        <v>6947</v>
      </c>
      <c r="B330" s="7" t="s">
        <v>6962</v>
      </c>
      <c r="C330" s="7" t="s">
        <v>542</v>
      </c>
      <c r="D330" s="7" t="n">
        <v>2285</v>
      </c>
      <c r="E330" s="7" t="s">
        <v>50</v>
      </c>
      <c r="F330" s="7" t="n">
        <v>-32.916015</v>
      </c>
      <c r="G330" s="7" t="n">
        <v>151.597787</v>
      </c>
      <c r="H330" s="7" t="s">
        <v>6979</v>
      </c>
    </row>
    <row r="331" customFormat="false" ht="15" hidden="false" customHeight="false" outlineLevel="0" collapsed="false">
      <c r="A331" s="7" t="s">
        <v>6947</v>
      </c>
      <c r="B331" s="7" t="s">
        <v>6964</v>
      </c>
      <c r="C331" s="7" t="s">
        <v>543</v>
      </c>
      <c r="D331" s="7" t="n">
        <v>2539</v>
      </c>
      <c r="E331" s="7" t="s">
        <v>50</v>
      </c>
      <c r="F331" s="7" t="n">
        <v>-35.322723</v>
      </c>
      <c r="G331" s="7" t="n">
        <v>150.482015</v>
      </c>
      <c r="H331" s="7" t="s">
        <v>6975</v>
      </c>
    </row>
    <row r="332" customFormat="false" ht="15" hidden="false" customHeight="false" outlineLevel="0" collapsed="false">
      <c r="A332" s="7" t="s">
        <v>6947</v>
      </c>
      <c r="B332" s="7" t="s">
        <v>6977</v>
      </c>
      <c r="C332" s="7" t="s">
        <v>544</v>
      </c>
      <c r="D332" s="7" t="n">
        <v>2343</v>
      </c>
      <c r="E332" s="7" t="s">
        <v>50</v>
      </c>
      <c r="F332" s="7" t="n">
        <v>-31.507373</v>
      </c>
      <c r="G332" s="7" t="n">
        <v>150.680478</v>
      </c>
      <c r="H332" s="7" t="s">
        <v>6984</v>
      </c>
    </row>
    <row r="333" customFormat="false" ht="15" hidden="false" customHeight="false" outlineLevel="0" collapsed="false">
      <c r="A333" s="7" t="s">
        <v>6947</v>
      </c>
      <c r="B333" s="7" t="s">
        <v>6964</v>
      </c>
      <c r="C333" s="7" t="s">
        <v>546</v>
      </c>
      <c r="D333" s="7" t="n">
        <v>2093</v>
      </c>
      <c r="E333" s="7" t="s">
        <v>50</v>
      </c>
      <c r="F333" s="7" t="n">
        <v>-33.793034</v>
      </c>
      <c r="G333" s="7" t="n">
        <v>151.264143</v>
      </c>
      <c r="H333" s="7" t="s">
        <v>6997</v>
      </c>
    </row>
    <row r="334" customFormat="false" ht="15" hidden="false" customHeight="false" outlineLevel="0" collapsed="false">
      <c r="A334" s="7" t="s">
        <v>6947</v>
      </c>
      <c r="B334" s="7" t="s">
        <v>6964</v>
      </c>
      <c r="C334" s="7" t="s">
        <v>548</v>
      </c>
      <c r="D334" s="7" t="n">
        <v>2093</v>
      </c>
      <c r="E334" s="7" t="s">
        <v>50</v>
      </c>
      <c r="F334" s="7" t="n">
        <v>-33.793153</v>
      </c>
      <c r="G334" s="7" t="n">
        <v>151.264116</v>
      </c>
      <c r="H334" s="7" t="s">
        <v>6982</v>
      </c>
    </row>
    <row r="335" customFormat="false" ht="15" hidden="false" customHeight="false" outlineLevel="0" collapsed="false">
      <c r="A335" s="7" t="s">
        <v>6947</v>
      </c>
      <c r="B335" s="7" t="s">
        <v>7003</v>
      </c>
      <c r="C335" s="7" t="s">
        <v>549</v>
      </c>
      <c r="D335" s="7" t="n">
        <v>2779</v>
      </c>
      <c r="E335" s="7" t="s">
        <v>50</v>
      </c>
      <c r="F335" s="7" t="n">
        <v>-33.721133</v>
      </c>
      <c r="G335" s="7" t="n">
        <v>150.452107</v>
      </c>
      <c r="H335" s="7" t="s">
        <v>7004</v>
      </c>
    </row>
    <row r="336" customFormat="false" ht="15" hidden="false" customHeight="false" outlineLevel="0" collapsed="false">
      <c r="A336" s="7" t="s">
        <v>6947</v>
      </c>
      <c r="B336" s="7" t="s">
        <v>6967</v>
      </c>
      <c r="C336" s="7" t="s">
        <v>550</v>
      </c>
      <c r="D336" s="7" t="n">
        <v>2170</v>
      </c>
      <c r="E336" s="7" t="s">
        <v>50</v>
      </c>
      <c r="F336" s="7" t="n">
        <v>-33.952248</v>
      </c>
      <c r="G336" s="7" t="n">
        <v>150.855753</v>
      </c>
      <c r="H336" s="7" t="s">
        <v>6968</v>
      </c>
    </row>
    <row r="337" customFormat="false" ht="15" hidden="false" customHeight="false" outlineLevel="0" collapsed="false">
      <c r="A337" s="7" t="s">
        <v>6947</v>
      </c>
      <c r="B337" s="7" t="s">
        <v>6977</v>
      </c>
      <c r="C337" s="7" t="s">
        <v>551</v>
      </c>
      <c r="D337" s="7" t="n">
        <v>2066</v>
      </c>
      <c r="E337" s="7" t="s">
        <v>50</v>
      </c>
      <c r="F337" s="7" t="n">
        <v>-33.810182</v>
      </c>
      <c r="G337" s="7" t="n">
        <v>151.146065</v>
      </c>
      <c r="H337" s="7" t="s">
        <v>6991</v>
      </c>
    </row>
    <row r="338" customFormat="false" ht="15" hidden="false" customHeight="false" outlineLevel="0" collapsed="false">
      <c r="A338" s="7" t="s">
        <v>6947</v>
      </c>
      <c r="B338" s="7" t="s">
        <v>6977</v>
      </c>
      <c r="C338" s="7" t="s">
        <v>552</v>
      </c>
      <c r="D338" s="7" t="n">
        <v>2534</v>
      </c>
      <c r="E338" s="7" t="s">
        <v>50</v>
      </c>
      <c r="F338" s="7" t="n">
        <v>-34.742446</v>
      </c>
      <c r="G338" s="7" t="n">
        <v>150.831547</v>
      </c>
      <c r="H338" s="7" t="s">
        <v>6984</v>
      </c>
    </row>
    <row r="339" customFormat="false" ht="15" hidden="false" customHeight="false" outlineLevel="0" collapsed="false">
      <c r="A339" s="7" t="s">
        <v>6947</v>
      </c>
      <c r="B339" s="7" t="s">
        <v>6964</v>
      </c>
      <c r="C339" s="7" t="s">
        <v>553</v>
      </c>
      <c r="D339" s="7" t="n">
        <v>2144</v>
      </c>
      <c r="E339" s="7" t="s">
        <v>50</v>
      </c>
      <c r="F339" s="7" t="n">
        <v>-33.836954</v>
      </c>
      <c r="G339" s="7" t="n">
        <v>151.027035</v>
      </c>
      <c r="H339" s="7" t="s">
        <v>6965</v>
      </c>
    </row>
    <row r="340" customFormat="false" ht="15" hidden="false" customHeight="false" outlineLevel="0" collapsed="false">
      <c r="A340" s="7" t="s">
        <v>6947</v>
      </c>
      <c r="B340" s="7" t="s">
        <v>7035</v>
      </c>
      <c r="C340" s="7" t="s">
        <v>555</v>
      </c>
      <c r="D340" s="7" t="n">
        <v>2203</v>
      </c>
      <c r="E340" s="7" t="s">
        <v>50</v>
      </c>
      <c r="F340" s="7" t="n">
        <v>-33.909859</v>
      </c>
      <c r="G340" s="7" t="n">
        <v>151.141688</v>
      </c>
      <c r="H340" s="7" t="s">
        <v>7036</v>
      </c>
    </row>
    <row r="341" customFormat="false" ht="15" hidden="false" customHeight="false" outlineLevel="0" collapsed="false">
      <c r="A341" s="7" t="s">
        <v>6947</v>
      </c>
      <c r="B341" s="7" t="s">
        <v>6977</v>
      </c>
      <c r="C341" s="7" t="s">
        <v>558</v>
      </c>
      <c r="D341" s="7" t="n">
        <v>2016</v>
      </c>
      <c r="E341" s="7" t="s">
        <v>50</v>
      </c>
      <c r="F341" s="7" t="n">
        <v>-33.893462</v>
      </c>
      <c r="G341" s="7" t="n">
        <v>151.212338</v>
      </c>
      <c r="H341" s="7" t="s">
        <v>6978</v>
      </c>
    </row>
    <row r="342" customFormat="false" ht="15" hidden="false" customHeight="false" outlineLevel="0" collapsed="false">
      <c r="A342" s="7" t="s">
        <v>6947</v>
      </c>
      <c r="B342" s="7" t="s">
        <v>6964</v>
      </c>
      <c r="C342" s="7" t="s">
        <v>559</v>
      </c>
      <c r="D342" s="7" t="n">
        <v>2015</v>
      </c>
      <c r="E342" s="7" t="s">
        <v>50</v>
      </c>
      <c r="F342" s="7" t="n">
        <v>-33.89589</v>
      </c>
      <c r="G342" s="7" t="n">
        <v>151.196056</v>
      </c>
      <c r="H342" s="7" t="s">
        <v>6975</v>
      </c>
    </row>
    <row r="343" customFormat="false" ht="15" hidden="false" customHeight="false" outlineLevel="0" collapsed="false">
      <c r="A343" s="7" t="s">
        <v>6947</v>
      </c>
      <c r="B343" s="7" t="s">
        <v>6967</v>
      </c>
      <c r="C343" s="7" t="s">
        <v>560</v>
      </c>
      <c r="D343" s="7" t="n">
        <v>2036</v>
      </c>
      <c r="E343" s="7" t="s">
        <v>50</v>
      </c>
      <c r="F343" s="7" t="n">
        <v>-33.981025</v>
      </c>
      <c r="G343" s="7" t="n">
        <v>151.249709</v>
      </c>
      <c r="H343" s="7" t="s">
        <v>7019</v>
      </c>
    </row>
    <row r="344" customFormat="false" ht="15" hidden="false" customHeight="false" outlineLevel="0" collapsed="false">
      <c r="A344" s="7" t="s">
        <v>6947</v>
      </c>
      <c r="B344" s="7" t="s">
        <v>6960</v>
      </c>
      <c r="C344" s="7" t="s">
        <v>561</v>
      </c>
      <c r="D344" s="7" t="n">
        <v>2448</v>
      </c>
      <c r="E344" s="7" t="s">
        <v>50</v>
      </c>
      <c r="F344" s="7" t="n">
        <v>-30.626753</v>
      </c>
      <c r="G344" s="7" t="n">
        <v>152.972473</v>
      </c>
      <c r="H344" s="7" t="s">
        <v>7020</v>
      </c>
    </row>
    <row r="345" customFormat="false" ht="15" hidden="false" customHeight="false" outlineLevel="0" collapsed="false">
      <c r="A345" s="7" t="s">
        <v>6947</v>
      </c>
      <c r="B345" s="7" t="s">
        <v>6977</v>
      </c>
      <c r="C345" s="7" t="s">
        <v>563</v>
      </c>
      <c r="D345" s="7" t="n">
        <v>2220</v>
      </c>
      <c r="E345" s="7" t="s">
        <v>50</v>
      </c>
      <c r="F345" s="7" t="n">
        <v>-33.966037</v>
      </c>
      <c r="G345" s="7" t="n">
        <v>151.103671</v>
      </c>
      <c r="H345" s="7" t="s">
        <v>6981</v>
      </c>
    </row>
    <row r="346" customFormat="false" ht="15" hidden="false" customHeight="false" outlineLevel="0" collapsed="false">
      <c r="A346" s="7" t="s">
        <v>6947</v>
      </c>
      <c r="B346" s="7" t="s">
        <v>6958</v>
      </c>
      <c r="C346" s="7" t="s">
        <v>564</v>
      </c>
      <c r="D346" s="7" t="n">
        <v>2100</v>
      </c>
      <c r="E346" s="7" t="s">
        <v>50</v>
      </c>
      <c r="F346" s="7" t="n">
        <v>-33.765559</v>
      </c>
      <c r="G346" s="7" t="n">
        <v>151.267214</v>
      </c>
      <c r="H346" s="7" t="s">
        <v>7023</v>
      </c>
    </row>
    <row r="347" customFormat="false" ht="15" hidden="false" customHeight="false" outlineLevel="0" collapsed="false">
      <c r="A347" s="7" t="s">
        <v>6947</v>
      </c>
      <c r="B347" s="7" t="s">
        <v>6977</v>
      </c>
      <c r="C347" s="7" t="s">
        <v>565</v>
      </c>
      <c r="D347" s="7" t="n">
        <v>2756</v>
      </c>
      <c r="E347" s="7" t="s">
        <v>50</v>
      </c>
      <c r="F347" s="7" t="n">
        <v>-33.626763</v>
      </c>
      <c r="G347" s="7" t="n">
        <v>150.835348</v>
      </c>
      <c r="H347" s="7" t="s">
        <v>6989</v>
      </c>
    </row>
    <row r="348" customFormat="false" ht="15" hidden="false" customHeight="false" outlineLevel="0" collapsed="false">
      <c r="A348" s="7" t="s">
        <v>6947</v>
      </c>
      <c r="B348" s="7" t="s">
        <v>6962</v>
      </c>
      <c r="C348" s="7" t="s">
        <v>567</v>
      </c>
      <c r="D348" s="7" t="n">
        <v>2155</v>
      </c>
      <c r="E348" s="7" t="s">
        <v>50</v>
      </c>
      <c r="F348" s="7" t="n">
        <v>-33.719123</v>
      </c>
      <c r="G348" s="7" t="n">
        <v>150.954418</v>
      </c>
      <c r="H348" s="7" t="s">
        <v>6979</v>
      </c>
    </row>
    <row r="349" customFormat="false" ht="15" hidden="false" customHeight="false" outlineLevel="0" collapsed="false">
      <c r="A349" s="7" t="s">
        <v>6947</v>
      </c>
      <c r="B349" s="7" t="s">
        <v>6967</v>
      </c>
      <c r="C349" s="7" t="s">
        <v>568</v>
      </c>
      <c r="D349" s="7" t="n">
        <v>2582</v>
      </c>
      <c r="E349" s="7" t="s">
        <v>50</v>
      </c>
      <c r="F349" s="7" t="n">
        <v>-34.96936</v>
      </c>
      <c r="G349" s="7" t="n">
        <v>149.03</v>
      </c>
      <c r="H349" s="7" t="s">
        <v>7019</v>
      </c>
    </row>
    <row r="350" customFormat="false" ht="15" hidden="false" customHeight="false" outlineLevel="0" collapsed="false">
      <c r="A350" s="7" t="s">
        <v>6947</v>
      </c>
      <c r="B350" s="7" t="s">
        <v>6993</v>
      </c>
      <c r="C350" s="7" t="s">
        <v>569</v>
      </c>
      <c r="D350" s="7" t="n">
        <v>2015</v>
      </c>
      <c r="E350" s="7" t="s">
        <v>50</v>
      </c>
      <c r="F350" s="7" t="n">
        <v>-33.910453</v>
      </c>
      <c r="G350" s="7" t="n">
        <v>151.194203</v>
      </c>
      <c r="H350" s="7" t="s">
        <v>6994</v>
      </c>
    </row>
    <row r="351" customFormat="false" ht="15" hidden="false" customHeight="false" outlineLevel="0" collapsed="false">
      <c r="A351" s="7" t="s">
        <v>6947</v>
      </c>
      <c r="B351" s="7" t="s">
        <v>6962</v>
      </c>
      <c r="C351" s="7" t="s">
        <v>570</v>
      </c>
      <c r="D351" s="7" t="n">
        <v>2529</v>
      </c>
      <c r="E351" s="7" t="s">
        <v>50</v>
      </c>
      <c r="F351" s="7" t="n">
        <v>-34.581151</v>
      </c>
      <c r="G351" s="7" t="n">
        <v>150.873067</v>
      </c>
      <c r="H351" s="7" t="s">
        <v>6969</v>
      </c>
    </row>
    <row r="352" customFormat="false" ht="15" hidden="false" customHeight="false" outlineLevel="0" collapsed="false">
      <c r="A352" s="7" t="s">
        <v>6947</v>
      </c>
      <c r="B352" s="7" t="s">
        <v>7037</v>
      </c>
      <c r="C352" s="7" t="s">
        <v>571</v>
      </c>
      <c r="D352" s="7" t="n">
        <v>2794</v>
      </c>
      <c r="E352" s="7" t="s">
        <v>50</v>
      </c>
      <c r="F352" s="7" t="n">
        <v>-33.835275</v>
      </c>
      <c r="G352" s="7" t="n">
        <v>148.681179</v>
      </c>
      <c r="H352" s="7" t="s">
        <v>7022</v>
      </c>
    </row>
    <row r="353" customFormat="false" ht="15" hidden="false" customHeight="false" outlineLevel="0" collapsed="false">
      <c r="A353" s="7" t="s">
        <v>6947</v>
      </c>
      <c r="B353" s="7" t="s">
        <v>6964</v>
      </c>
      <c r="C353" s="7" t="s">
        <v>571</v>
      </c>
      <c r="D353" s="7" t="n">
        <v>2794</v>
      </c>
      <c r="E353" s="7" t="s">
        <v>50</v>
      </c>
      <c r="F353" s="7" t="n">
        <v>-33.835479</v>
      </c>
      <c r="G353" s="7" t="n">
        <v>148.681728</v>
      </c>
      <c r="H353" s="7" t="s">
        <v>6965</v>
      </c>
    </row>
    <row r="354" customFormat="false" ht="15" hidden="false" customHeight="false" outlineLevel="0" collapsed="false">
      <c r="A354" s="7" t="s">
        <v>6947</v>
      </c>
      <c r="B354" s="7" t="s">
        <v>6977</v>
      </c>
      <c r="C354" s="7" t="s">
        <v>572</v>
      </c>
      <c r="D354" s="7" t="n">
        <v>2066</v>
      </c>
      <c r="E354" s="7" t="s">
        <v>50</v>
      </c>
      <c r="F354" s="7" t="n">
        <v>-33.813891</v>
      </c>
      <c r="G354" s="7" t="n">
        <v>151.170788</v>
      </c>
      <c r="H354" s="7" t="s">
        <v>6984</v>
      </c>
    </row>
    <row r="355" customFormat="false" ht="15" hidden="false" customHeight="false" outlineLevel="0" collapsed="false">
      <c r="A355" s="7" t="s">
        <v>6947</v>
      </c>
      <c r="B355" s="7" t="s">
        <v>6964</v>
      </c>
      <c r="C355" s="7" t="s">
        <v>573</v>
      </c>
      <c r="D355" s="7" t="n">
        <v>2444</v>
      </c>
      <c r="E355" s="7" t="s">
        <v>50</v>
      </c>
      <c r="F355" s="7" t="n">
        <v>-31.428139</v>
      </c>
      <c r="G355" s="7" t="n">
        <v>152.910901</v>
      </c>
      <c r="H355" s="7" t="s">
        <v>6965</v>
      </c>
    </row>
    <row r="356" customFormat="false" ht="15" hidden="false" customHeight="false" outlineLevel="0" collapsed="false">
      <c r="A356" s="7" t="s">
        <v>6947</v>
      </c>
      <c r="B356" s="7" t="s">
        <v>6964</v>
      </c>
      <c r="C356" s="7" t="s">
        <v>574</v>
      </c>
      <c r="D356" s="7" t="n">
        <v>2439</v>
      </c>
      <c r="E356" s="7" t="s">
        <v>50</v>
      </c>
      <c r="F356" s="7" t="n">
        <v>-31.63426</v>
      </c>
      <c r="G356" s="7" t="n">
        <v>152.72505</v>
      </c>
      <c r="H356" s="7" t="s">
        <v>7032</v>
      </c>
    </row>
    <row r="357" customFormat="false" ht="15" hidden="false" customHeight="false" outlineLevel="0" collapsed="false">
      <c r="A357" s="7" t="s">
        <v>6947</v>
      </c>
      <c r="B357" s="7" t="s">
        <v>6987</v>
      </c>
      <c r="C357" s="7" t="s">
        <v>575</v>
      </c>
      <c r="D357" s="7" t="n">
        <v>2217</v>
      </c>
      <c r="E357" s="7" t="s">
        <v>50</v>
      </c>
      <c r="F357" s="7" t="n">
        <v>-33.962422</v>
      </c>
      <c r="G357" s="7" t="n">
        <v>151.134321</v>
      </c>
      <c r="H357" s="7" t="s">
        <v>6988</v>
      </c>
    </row>
    <row r="358" customFormat="false" ht="15" hidden="false" customHeight="false" outlineLevel="0" collapsed="false">
      <c r="A358" s="7" t="s">
        <v>6947</v>
      </c>
      <c r="B358" s="7" t="s">
        <v>6964</v>
      </c>
      <c r="C358" s="7" t="s">
        <v>576</v>
      </c>
      <c r="D358" s="7" t="n">
        <v>2000</v>
      </c>
      <c r="E358" s="7" t="s">
        <v>50</v>
      </c>
      <c r="F358" s="7" t="n">
        <v>-33.879692</v>
      </c>
      <c r="G358" s="7" t="n">
        <v>151.202719</v>
      </c>
      <c r="H358" s="7" t="s">
        <v>7038</v>
      </c>
    </row>
    <row r="359" customFormat="false" ht="15" hidden="false" customHeight="false" outlineLevel="0" collapsed="false">
      <c r="A359" s="7" t="s">
        <v>6947</v>
      </c>
      <c r="B359" s="7" t="s">
        <v>6962</v>
      </c>
      <c r="C359" s="7" t="s">
        <v>577</v>
      </c>
      <c r="D359" s="7" t="n">
        <v>2023</v>
      </c>
      <c r="E359" s="7" t="s">
        <v>50</v>
      </c>
      <c r="F359" s="7" t="n">
        <v>-33.885789</v>
      </c>
      <c r="G359" s="7" t="n">
        <v>151.257326</v>
      </c>
      <c r="H359" s="7" t="s">
        <v>6980</v>
      </c>
    </row>
    <row r="360" customFormat="false" ht="15" hidden="false" customHeight="false" outlineLevel="0" collapsed="false">
      <c r="A360" s="7" t="s">
        <v>6947</v>
      </c>
      <c r="B360" s="7" t="s">
        <v>6962</v>
      </c>
      <c r="C360" s="7" t="s">
        <v>579</v>
      </c>
      <c r="D360" s="7" t="n">
        <v>2500</v>
      </c>
      <c r="E360" s="7" t="s">
        <v>50</v>
      </c>
      <c r="F360" s="7" t="n">
        <v>-34.404056</v>
      </c>
      <c r="G360" s="7" t="n">
        <v>150.874529</v>
      </c>
      <c r="H360" s="7" t="s">
        <v>6979</v>
      </c>
    </row>
    <row r="361" customFormat="false" ht="15" hidden="false" customHeight="false" outlineLevel="0" collapsed="false">
      <c r="A361" s="7" t="s">
        <v>6947</v>
      </c>
      <c r="B361" s="7" t="s">
        <v>6967</v>
      </c>
      <c r="C361" s="7" t="s">
        <v>580</v>
      </c>
      <c r="D361" s="7" t="n">
        <v>2066</v>
      </c>
      <c r="E361" s="7" t="s">
        <v>50</v>
      </c>
      <c r="F361" s="7" t="n">
        <v>-33.813936</v>
      </c>
      <c r="G361" s="7" t="n">
        <v>151.169298</v>
      </c>
      <c r="H361" s="7" t="s">
        <v>6968</v>
      </c>
    </row>
    <row r="362" customFormat="false" ht="15" hidden="false" customHeight="false" outlineLevel="0" collapsed="false">
      <c r="A362" s="7" t="s">
        <v>6947</v>
      </c>
      <c r="B362" s="7" t="s">
        <v>6964</v>
      </c>
      <c r="C362" s="7" t="s">
        <v>581</v>
      </c>
      <c r="D362" s="7" t="n">
        <v>2066</v>
      </c>
      <c r="E362" s="7" t="s">
        <v>50</v>
      </c>
      <c r="F362" s="7" t="n">
        <v>-33.813751</v>
      </c>
      <c r="G362" s="7" t="n">
        <v>151.168779</v>
      </c>
      <c r="H362" s="7" t="s">
        <v>6992</v>
      </c>
    </row>
    <row r="363" customFormat="false" ht="15" hidden="false" customHeight="false" outlineLevel="0" collapsed="false">
      <c r="A363" s="7" t="s">
        <v>6947</v>
      </c>
      <c r="B363" s="7" t="s">
        <v>6964</v>
      </c>
      <c r="C363" s="7" t="s">
        <v>582</v>
      </c>
      <c r="D363" s="7" t="n">
        <v>2768</v>
      </c>
      <c r="E363" s="7" t="s">
        <v>50</v>
      </c>
      <c r="F363" s="7" t="n">
        <v>-33.718792</v>
      </c>
      <c r="G363" s="7" t="n">
        <v>150.920671</v>
      </c>
      <c r="H363" s="7" t="s">
        <v>6992</v>
      </c>
    </row>
    <row r="364" customFormat="false" ht="15" hidden="false" customHeight="false" outlineLevel="0" collapsed="false">
      <c r="A364" s="7" t="s">
        <v>6947</v>
      </c>
      <c r="B364" s="7" t="s">
        <v>6962</v>
      </c>
      <c r="C364" s="7" t="s">
        <v>582</v>
      </c>
      <c r="D364" s="7" t="n">
        <v>2768</v>
      </c>
      <c r="E364" s="7" t="s">
        <v>50</v>
      </c>
      <c r="F364" s="7" t="n">
        <v>-33.719844</v>
      </c>
      <c r="G364" s="7" t="n">
        <v>150.918979</v>
      </c>
      <c r="H364" s="7" t="s">
        <v>7005</v>
      </c>
    </row>
    <row r="365" customFormat="false" ht="15" hidden="false" customHeight="false" outlineLevel="0" collapsed="false">
      <c r="A365" s="7" t="s">
        <v>6947</v>
      </c>
      <c r="B365" s="7" t="s">
        <v>6964</v>
      </c>
      <c r="C365" s="7" t="s">
        <v>583</v>
      </c>
      <c r="D365" s="7" t="n">
        <v>2539</v>
      </c>
      <c r="E365" s="7" t="s">
        <v>50</v>
      </c>
      <c r="F365" s="7" t="n">
        <v>-35.339701</v>
      </c>
      <c r="G365" s="7" t="n">
        <v>150.472731</v>
      </c>
      <c r="H365" s="7" t="s">
        <v>6992</v>
      </c>
    </row>
    <row r="366" customFormat="false" ht="15" hidden="false" customHeight="false" outlineLevel="0" collapsed="false">
      <c r="A366" s="7" t="s">
        <v>6947</v>
      </c>
      <c r="B366" s="7" t="s">
        <v>6967</v>
      </c>
      <c r="C366" s="7" t="s">
        <v>584</v>
      </c>
      <c r="D366" s="7" t="n">
        <v>2790</v>
      </c>
      <c r="E366" s="7" t="s">
        <v>50</v>
      </c>
      <c r="F366" s="7" t="n">
        <v>-33.481849</v>
      </c>
      <c r="G366" s="7" t="n">
        <v>150.136181</v>
      </c>
      <c r="H366" s="7" t="s">
        <v>6968</v>
      </c>
    </row>
    <row r="367" customFormat="false" ht="15" hidden="false" customHeight="false" outlineLevel="0" collapsed="false">
      <c r="A367" s="7" t="s">
        <v>6947</v>
      </c>
      <c r="B367" s="7" t="s">
        <v>6962</v>
      </c>
      <c r="C367" s="7" t="s">
        <v>585</v>
      </c>
      <c r="D367" s="7" t="n">
        <v>2315</v>
      </c>
      <c r="E367" s="7" t="s">
        <v>50</v>
      </c>
      <c r="F367" s="7" t="n">
        <v>-32.720761</v>
      </c>
      <c r="G367" s="7" t="n">
        <v>152.143499</v>
      </c>
      <c r="H367" s="7" t="s">
        <v>6983</v>
      </c>
    </row>
    <row r="368" customFormat="false" ht="15" hidden="false" customHeight="false" outlineLevel="0" collapsed="false">
      <c r="A368" s="7" t="s">
        <v>6947</v>
      </c>
      <c r="B368" s="7" t="s">
        <v>6964</v>
      </c>
      <c r="C368" s="7" t="s">
        <v>586</v>
      </c>
      <c r="D368" s="7" t="n">
        <v>2869</v>
      </c>
      <c r="E368" s="7" t="s">
        <v>50</v>
      </c>
      <c r="F368" s="7" t="n">
        <v>-32.721249</v>
      </c>
      <c r="G368" s="7" t="n">
        <v>148.190815</v>
      </c>
      <c r="H368" s="7" t="s">
        <v>6975</v>
      </c>
    </row>
    <row r="369" customFormat="false" ht="15" hidden="false" customHeight="false" outlineLevel="0" collapsed="false">
      <c r="A369" s="7" t="s">
        <v>6947</v>
      </c>
      <c r="B369" s="7" t="s">
        <v>6964</v>
      </c>
      <c r="C369" s="7" t="s">
        <v>587</v>
      </c>
      <c r="D369" s="7" t="n">
        <v>2546</v>
      </c>
      <c r="E369" s="7" t="s">
        <v>50</v>
      </c>
      <c r="F369" s="7" t="n">
        <v>-36.425913</v>
      </c>
      <c r="G369" s="7" t="n">
        <v>150.063471</v>
      </c>
      <c r="H369" s="7" t="s">
        <v>6965</v>
      </c>
    </row>
    <row r="370" customFormat="false" ht="15" hidden="false" customHeight="false" outlineLevel="0" collapsed="false">
      <c r="A370" s="7" t="s">
        <v>6947</v>
      </c>
      <c r="B370" s="7" t="s">
        <v>6964</v>
      </c>
      <c r="C370" s="7" t="s">
        <v>589</v>
      </c>
      <c r="D370" s="7" t="n">
        <v>2481</v>
      </c>
      <c r="E370" s="7" t="s">
        <v>50</v>
      </c>
      <c r="F370" s="7" t="n">
        <v>-28.641668</v>
      </c>
      <c r="G370" s="7" t="n">
        <v>153.614685</v>
      </c>
      <c r="H370" s="7" t="s">
        <v>6965</v>
      </c>
    </row>
    <row r="371" customFormat="false" ht="15" hidden="false" customHeight="false" outlineLevel="0" collapsed="false">
      <c r="A371" s="7" t="s">
        <v>6947</v>
      </c>
      <c r="B371" s="7" t="s">
        <v>6962</v>
      </c>
      <c r="C371" s="7" t="s">
        <v>590</v>
      </c>
      <c r="D371" s="7" t="n">
        <v>2073</v>
      </c>
      <c r="E371" s="7" t="s">
        <v>50</v>
      </c>
      <c r="F371" s="7" t="n">
        <v>-33.750684</v>
      </c>
      <c r="G371" s="7" t="n">
        <v>151.144646</v>
      </c>
      <c r="H371" s="7" t="s">
        <v>6983</v>
      </c>
    </row>
    <row r="372" customFormat="false" ht="15" hidden="false" customHeight="false" outlineLevel="0" collapsed="false">
      <c r="A372" s="7" t="s">
        <v>6947</v>
      </c>
      <c r="B372" s="7" t="s">
        <v>6993</v>
      </c>
      <c r="C372" s="7" t="s">
        <v>591</v>
      </c>
      <c r="D372" s="7" t="n">
        <v>2291</v>
      </c>
      <c r="E372" s="7" t="s">
        <v>50</v>
      </c>
      <c r="F372" s="7" t="n">
        <v>-32.944765</v>
      </c>
      <c r="G372" s="7" t="n">
        <v>151.760536</v>
      </c>
      <c r="H372" s="7" t="s">
        <v>7039</v>
      </c>
    </row>
    <row r="373" customFormat="false" ht="15" hidden="false" customHeight="false" outlineLevel="0" collapsed="false">
      <c r="A373" s="7" t="s">
        <v>6947</v>
      </c>
      <c r="B373" s="7" t="s">
        <v>6962</v>
      </c>
      <c r="C373" s="7" t="s">
        <v>592</v>
      </c>
      <c r="D373" s="7" t="n">
        <v>2761</v>
      </c>
      <c r="E373" s="7" t="s">
        <v>50</v>
      </c>
      <c r="F373" s="7" t="n">
        <v>-33.750748</v>
      </c>
      <c r="G373" s="7" t="n">
        <v>150.858075</v>
      </c>
      <c r="H373" s="7" t="s">
        <v>6980</v>
      </c>
    </row>
    <row r="374" customFormat="false" ht="15" hidden="false" customHeight="false" outlineLevel="0" collapsed="false">
      <c r="A374" s="7" t="s">
        <v>6947</v>
      </c>
      <c r="B374" s="7" t="s">
        <v>6964</v>
      </c>
      <c r="C374" s="7" t="s">
        <v>593</v>
      </c>
      <c r="D374" s="7" t="n">
        <v>2444</v>
      </c>
      <c r="E374" s="7" t="s">
        <v>50</v>
      </c>
      <c r="F374" s="7" t="n">
        <v>-31.427596</v>
      </c>
      <c r="G374" s="7" t="n">
        <v>152.897504</v>
      </c>
      <c r="H374" s="7" t="s">
        <v>6965</v>
      </c>
    </row>
    <row r="375" customFormat="false" ht="15" hidden="false" customHeight="false" outlineLevel="0" collapsed="false">
      <c r="A375" s="7" t="s">
        <v>6947</v>
      </c>
      <c r="B375" s="7" t="s">
        <v>6977</v>
      </c>
      <c r="C375" s="7" t="s">
        <v>594</v>
      </c>
      <c r="D375" s="7" t="n">
        <v>2066</v>
      </c>
      <c r="E375" s="7" t="s">
        <v>50</v>
      </c>
      <c r="F375" s="7" t="n">
        <v>-33.813945</v>
      </c>
      <c r="G375" s="7" t="n">
        <v>151.172349</v>
      </c>
      <c r="H375" s="7" t="s">
        <v>6991</v>
      </c>
    </row>
    <row r="376" customFormat="false" ht="15" hidden="false" customHeight="false" outlineLevel="0" collapsed="false">
      <c r="A376" s="7" t="s">
        <v>6947</v>
      </c>
      <c r="B376" s="7" t="s">
        <v>6967</v>
      </c>
      <c r="C376" s="7" t="s">
        <v>595</v>
      </c>
      <c r="D376" s="7" t="n">
        <v>2204</v>
      </c>
      <c r="E376" s="7" t="s">
        <v>50</v>
      </c>
      <c r="F376" s="7" t="n">
        <v>-33.907982</v>
      </c>
      <c r="G376" s="7" t="n">
        <v>151.170899</v>
      </c>
      <c r="H376" s="7" t="s">
        <v>6968</v>
      </c>
    </row>
    <row r="377" customFormat="false" ht="15" hidden="false" customHeight="false" outlineLevel="0" collapsed="false">
      <c r="A377" s="7" t="s">
        <v>6947</v>
      </c>
      <c r="B377" s="7" t="s">
        <v>6964</v>
      </c>
      <c r="C377" s="7" t="s">
        <v>596</v>
      </c>
      <c r="D377" s="7" t="n">
        <v>2142</v>
      </c>
      <c r="E377" s="7" t="s">
        <v>50</v>
      </c>
      <c r="F377" s="7" t="n">
        <v>-33.832692</v>
      </c>
      <c r="G377" s="7" t="n">
        <v>151.021501</v>
      </c>
      <c r="H377" s="7" t="s">
        <v>6965</v>
      </c>
    </row>
    <row r="378" customFormat="false" ht="15" hidden="false" customHeight="false" outlineLevel="0" collapsed="false">
      <c r="A378" s="7" t="s">
        <v>6947</v>
      </c>
      <c r="B378" s="7" t="s">
        <v>6967</v>
      </c>
      <c r="C378" s="7" t="s">
        <v>597</v>
      </c>
      <c r="D378" s="7" t="n">
        <v>2500</v>
      </c>
      <c r="E378" s="7" t="s">
        <v>50</v>
      </c>
      <c r="F378" s="7" t="n">
        <v>-34.423975</v>
      </c>
      <c r="G378" s="7" t="n">
        <v>150.892316</v>
      </c>
      <c r="H378" s="7" t="s">
        <v>6968</v>
      </c>
    </row>
    <row r="379" customFormat="false" ht="15" hidden="false" customHeight="false" outlineLevel="0" collapsed="false">
      <c r="A379" s="7" t="s">
        <v>6947</v>
      </c>
      <c r="B379" s="7" t="s">
        <v>6964</v>
      </c>
      <c r="C379" s="7" t="s">
        <v>598</v>
      </c>
      <c r="D379" s="7" t="n">
        <v>2560</v>
      </c>
      <c r="E379" s="7" t="s">
        <v>50</v>
      </c>
      <c r="F379" s="7" t="n">
        <v>-34.07463</v>
      </c>
      <c r="G379" s="7" t="n">
        <v>150.796807</v>
      </c>
      <c r="H379" s="7" t="s">
        <v>6965</v>
      </c>
    </row>
    <row r="380" customFormat="false" ht="15" hidden="false" customHeight="false" outlineLevel="0" collapsed="false">
      <c r="A380" s="7" t="s">
        <v>6947</v>
      </c>
      <c r="B380" s="7" t="s">
        <v>6964</v>
      </c>
      <c r="C380" s="7" t="s">
        <v>599</v>
      </c>
      <c r="D380" s="7" t="n">
        <v>2576</v>
      </c>
      <c r="E380" s="7" t="s">
        <v>50</v>
      </c>
      <c r="F380" s="7" t="n">
        <v>-34.499128</v>
      </c>
      <c r="G380" s="7" t="n">
        <v>150.481303</v>
      </c>
      <c r="H380" s="7" t="s">
        <v>6975</v>
      </c>
    </row>
    <row r="381" customFormat="false" ht="15" hidden="false" customHeight="false" outlineLevel="0" collapsed="false">
      <c r="A381" s="7" t="s">
        <v>6947</v>
      </c>
      <c r="B381" s="7" t="s">
        <v>6967</v>
      </c>
      <c r="C381" s="7" t="s">
        <v>600</v>
      </c>
      <c r="D381" s="7" t="n">
        <v>2430</v>
      </c>
      <c r="E381" s="7" t="s">
        <v>50</v>
      </c>
      <c r="F381" s="7" t="n">
        <v>-31.943334</v>
      </c>
      <c r="G381" s="7" t="n">
        <v>152.470615</v>
      </c>
      <c r="H381" s="7" t="s">
        <v>6968</v>
      </c>
    </row>
    <row r="382" customFormat="false" ht="15" hidden="false" customHeight="false" outlineLevel="0" collapsed="false">
      <c r="A382" s="7" t="s">
        <v>6947</v>
      </c>
      <c r="B382" s="7" t="s">
        <v>6964</v>
      </c>
      <c r="C382" s="7" t="s">
        <v>601</v>
      </c>
      <c r="D382" s="7" t="n">
        <v>2580</v>
      </c>
      <c r="E382" s="7" t="s">
        <v>50</v>
      </c>
      <c r="F382" s="7" t="n">
        <v>-34.755524</v>
      </c>
      <c r="G382" s="7" t="n">
        <v>149.720998</v>
      </c>
      <c r="H382" s="7" t="s">
        <v>6966</v>
      </c>
    </row>
    <row r="383" customFormat="false" ht="15" hidden="false" customHeight="false" outlineLevel="0" collapsed="false">
      <c r="A383" s="7" t="s">
        <v>6947</v>
      </c>
      <c r="B383" s="7" t="s">
        <v>6962</v>
      </c>
      <c r="C383" s="7" t="s">
        <v>602</v>
      </c>
      <c r="D383" s="7" t="n">
        <v>2000</v>
      </c>
      <c r="E383" s="7" t="s">
        <v>50</v>
      </c>
      <c r="F383" s="7" t="n">
        <v>-33.871959</v>
      </c>
      <c r="G383" s="7" t="n">
        <v>151.203903</v>
      </c>
      <c r="H383" s="7" t="s">
        <v>6983</v>
      </c>
    </row>
    <row r="384" customFormat="false" ht="15" hidden="false" customHeight="false" outlineLevel="0" collapsed="false">
      <c r="A384" s="7" t="s">
        <v>6947</v>
      </c>
      <c r="B384" s="7" t="s">
        <v>6964</v>
      </c>
      <c r="C384" s="7" t="s">
        <v>603</v>
      </c>
      <c r="D384" s="7" t="n">
        <v>2560</v>
      </c>
      <c r="E384" s="7" t="s">
        <v>50</v>
      </c>
      <c r="F384" s="7" t="n">
        <v>-34.072593</v>
      </c>
      <c r="G384" s="7" t="n">
        <v>150.807882</v>
      </c>
      <c r="H384" s="7" t="s">
        <v>7001</v>
      </c>
    </row>
    <row r="385" customFormat="false" ht="15" hidden="false" customHeight="false" outlineLevel="0" collapsed="false">
      <c r="A385" s="7" t="s">
        <v>6947</v>
      </c>
      <c r="B385" s="7" t="s">
        <v>6964</v>
      </c>
      <c r="C385" s="7" t="s">
        <v>604</v>
      </c>
      <c r="D385" s="7" t="n">
        <v>2011</v>
      </c>
      <c r="E385" s="7" t="s">
        <v>50</v>
      </c>
      <c r="F385" s="7" t="n">
        <v>-33.874581</v>
      </c>
      <c r="G385" s="7" t="n">
        <v>151.221857</v>
      </c>
      <c r="H385" s="7" t="s">
        <v>6982</v>
      </c>
    </row>
    <row r="386" customFormat="false" ht="15" hidden="false" customHeight="false" outlineLevel="0" collapsed="false">
      <c r="A386" s="7" t="s">
        <v>6947</v>
      </c>
      <c r="B386" s="7" t="s">
        <v>6977</v>
      </c>
      <c r="C386" s="7" t="s">
        <v>605</v>
      </c>
      <c r="D386" s="7" t="n">
        <v>2174</v>
      </c>
      <c r="E386" s="7" t="s">
        <v>50</v>
      </c>
      <c r="F386" s="7" t="n">
        <v>-33.955083</v>
      </c>
      <c r="G386" s="7" t="n">
        <v>150.862265</v>
      </c>
      <c r="H386" s="7" t="s">
        <v>7028</v>
      </c>
    </row>
    <row r="387" customFormat="false" ht="15" hidden="false" customHeight="false" outlineLevel="0" collapsed="false">
      <c r="A387" s="7" t="s">
        <v>6947</v>
      </c>
      <c r="B387" s="7" t="s">
        <v>6964</v>
      </c>
      <c r="C387" s="7" t="s">
        <v>606</v>
      </c>
      <c r="D387" s="7" t="n">
        <v>2337</v>
      </c>
      <c r="E387" s="7" t="s">
        <v>50</v>
      </c>
      <c r="F387" s="7" t="n">
        <v>-32.051613</v>
      </c>
      <c r="G387" s="7" t="n">
        <v>150.867089</v>
      </c>
      <c r="H387" s="7" t="s">
        <v>6965</v>
      </c>
    </row>
    <row r="388" customFormat="false" ht="15" hidden="false" customHeight="false" outlineLevel="0" collapsed="false">
      <c r="A388" s="7" t="s">
        <v>6947</v>
      </c>
      <c r="B388" s="7" t="s">
        <v>6967</v>
      </c>
      <c r="C388" s="7" t="s">
        <v>607</v>
      </c>
      <c r="D388" s="7" t="n">
        <v>2575</v>
      </c>
      <c r="E388" s="7" t="s">
        <v>50</v>
      </c>
      <c r="F388" s="7" t="n">
        <v>-34.446728</v>
      </c>
      <c r="G388" s="7" t="n">
        <v>150.436991</v>
      </c>
      <c r="H388" s="7" t="s">
        <v>6968</v>
      </c>
    </row>
    <row r="389" customFormat="false" ht="15" hidden="false" customHeight="false" outlineLevel="0" collapsed="false">
      <c r="A389" s="7" t="s">
        <v>6947</v>
      </c>
      <c r="B389" s="7" t="s">
        <v>6964</v>
      </c>
      <c r="C389" s="7" t="s">
        <v>608</v>
      </c>
      <c r="D389" s="7" t="n">
        <v>2020</v>
      </c>
      <c r="E389" s="7" t="s">
        <v>50</v>
      </c>
      <c r="F389" s="7" t="n">
        <v>-33.927953</v>
      </c>
      <c r="G389" s="7" t="n">
        <v>151.187132</v>
      </c>
      <c r="H389" s="7" t="s">
        <v>6982</v>
      </c>
    </row>
    <row r="390" customFormat="false" ht="15" hidden="false" customHeight="false" outlineLevel="0" collapsed="false">
      <c r="A390" s="7" t="s">
        <v>6947</v>
      </c>
      <c r="B390" s="7" t="s">
        <v>7003</v>
      </c>
      <c r="C390" s="7" t="s">
        <v>609</v>
      </c>
      <c r="D390" s="7" t="n">
        <v>2174</v>
      </c>
      <c r="E390" s="7" t="s">
        <v>50</v>
      </c>
      <c r="F390" s="7" t="n">
        <v>-33.955856</v>
      </c>
      <c r="G390" s="7" t="n">
        <v>150.864894</v>
      </c>
      <c r="H390" s="7" t="s">
        <v>7004</v>
      </c>
    </row>
    <row r="391" customFormat="false" ht="15" hidden="false" customHeight="false" outlineLevel="0" collapsed="false">
      <c r="A391" s="7" t="s">
        <v>6947</v>
      </c>
      <c r="B391" s="7" t="s">
        <v>6964</v>
      </c>
      <c r="C391" s="7" t="s">
        <v>610</v>
      </c>
      <c r="D391" s="7" t="n">
        <v>2400</v>
      </c>
      <c r="E391" s="7" t="s">
        <v>50</v>
      </c>
      <c r="F391" s="7" t="n">
        <v>-29.470818</v>
      </c>
      <c r="G391" s="7" t="n">
        <v>149.847045</v>
      </c>
      <c r="H391" s="7" t="s">
        <v>6965</v>
      </c>
    </row>
    <row r="392" customFormat="false" ht="15" hidden="false" customHeight="false" outlineLevel="0" collapsed="false">
      <c r="A392" s="7" t="s">
        <v>6947</v>
      </c>
      <c r="B392" s="7" t="s">
        <v>6958</v>
      </c>
      <c r="C392" s="7" t="s">
        <v>611</v>
      </c>
      <c r="D392" s="7" t="n">
        <v>2304</v>
      </c>
      <c r="E392" s="7" t="s">
        <v>50</v>
      </c>
      <c r="F392" s="7" t="n">
        <v>-32.876899</v>
      </c>
      <c r="G392" s="7" t="n">
        <v>151.711756</v>
      </c>
      <c r="H392" s="7" t="s">
        <v>6959</v>
      </c>
    </row>
    <row r="393" customFormat="false" ht="15" hidden="false" customHeight="false" outlineLevel="0" collapsed="false">
      <c r="A393" s="7" t="s">
        <v>6947</v>
      </c>
      <c r="B393" s="7" t="s">
        <v>6977</v>
      </c>
      <c r="C393" s="7" t="s">
        <v>612</v>
      </c>
      <c r="D393" s="7" t="n">
        <v>2112</v>
      </c>
      <c r="E393" s="7" t="s">
        <v>50</v>
      </c>
      <c r="F393" s="7" t="n">
        <v>-33.814493</v>
      </c>
      <c r="G393" s="7" t="n">
        <v>151.104649</v>
      </c>
      <c r="H393" s="7" t="s">
        <v>6991</v>
      </c>
    </row>
    <row r="394" customFormat="false" ht="15" hidden="false" customHeight="false" outlineLevel="0" collapsed="false">
      <c r="A394" s="7" t="s">
        <v>6947</v>
      </c>
      <c r="B394" s="7" t="s">
        <v>6977</v>
      </c>
      <c r="C394" s="7" t="s">
        <v>613</v>
      </c>
      <c r="D394" s="7" t="n">
        <v>2652</v>
      </c>
      <c r="E394" s="7" t="s">
        <v>50</v>
      </c>
      <c r="F394" s="7" t="n">
        <v>-33.979432</v>
      </c>
      <c r="G394" s="7" t="n">
        <v>145.706942</v>
      </c>
      <c r="H394" s="7" t="s">
        <v>6981</v>
      </c>
    </row>
    <row r="395" customFormat="false" ht="15" hidden="false" customHeight="false" outlineLevel="0" collapsed="false">
      <c r="A395" s="7" t="s">
        <v>6947</v>
      </c>
      <c r="B395" s="7" t="s">
        <v>6977</v>
      </c>
      <c r="C395" s="7" t="s">
        <v>615</v>
      </c>
      <c r="D395" s="7" t="n">
        <v>2640</v>
      </c>
      <c r="E395" s="7" t="s">
        <v>50</v>
      </c>
      <c r="F395" s="7" t="n">
        <v>-36.064706</v>
      </c>
      <c r="G395" s="7" t="n">
        <v>146.934224</v>
      </c>
      <c r="H395" s="7" t="s">
        <v>6991</v>
      </c>
    </row>
    <row r="396" customFormat="false" ht="15" hidden="false" customHeight="false" outlineLevel="0" collapsed="false">
      <c r="A396" s="7" t="s">
        <v>6947</v>
      </c>
      <c r="B396" s="7" t="s">
        <v>6993</v>
      </c>
      <c r="C396" s="7" t="s">
        <v>616</v>
      </c>
      <c r="D396" s="7" t="n">
        <v>2455</v>
      </c>
      <c r="E396" s="7" t="s">
        <v>50</v>
      </c>
      <c r="F396" s="7" t="n">
        <v>-30.49582</v>
      </c>
      <c r="G396" s="7" t="n">
        <v>153.022</v>
      </c>
      <c r="H396" s="7" t="s">
        <v>6994</v>
      </c>
    </row>
    <row r="397" customFormat="false" ht="15" hidden="false" customHeight="false" outlineLevel="0" collapsed="false">
      <c r="A397" s="7" t="s">
        <v>6947</v>
      </c>
      <c r="B397" s="7" t="s">
        <v>6977</v>
      </c>
      <c r="C397" s="7" t="s">
        <v>617</v>
      </c>
      <c r="D397" s="7" t="n">
        <v>2196</v>
      </c>
      <c r="E397" s="7" t="s">
        <v>50</v>
      </c>
      <c r="F397" s="7" t="n">
        <v>-33.935471</v>
      </c>
      <c r="G397" s="7" t="n">
        <v>151.071418</v>
      </c>
      <c r="H397" s="7" t="s">
        <v>6984</v>
      </c>
    </row>
    <row r="398" customFormat="false" ht="15" hidden="false" customHeight="false" outlineLevel="0" collapsed="false">
      <c r="A398" s="7" t="s">
        <v>6947</v>
      </c>
      <c r="B398" s="7" t="s">
        <v>6977</v>
      </c>
      <c r="C398" s="7" t="s">
        <v>618</v>
      </c>
      <c r="D398" s="7" t="n">
        <v>2150</v>
      </c>
      <c r="E398" s="7" t="s">
        <v>50</v>
      </c>
      <c r="F398" s="7" t="n">
        <v>-33.819216</v>
      </c>
      <c r="G398" s="7" t="n">
        <v>151.004706</v>
      </c>
      <c r="H398" s="7" t="s">
        <v>7014</v>
      </c>
    </row>
    <row r="399" customFormat="false" ht="15" hidden="false" customHeight="false" outlineLevel="0" collapsed="false">
      <c r="A399" s="7" t="s">
        <v>6947</v>
      </c>
      <c r="B399" s="7" t="s">
        <v>6964</v>
      </c>
      <c r="C399" s="7" t="s">
        <v>619</v>
      </c>
      <c r="D399" s="7" t="n">
        <v>2529</v>
      </c>
      <c r="E399" s="7" t="s">
        <v>50</v>
      </c>
      <c r="F399" s="7" t="n">
        <v>-34.563905</v>
      </c>
      <c r="G399" s="7" t="n">
        <v>150.838119</v>
      </c>
      <c r="H399" s="7" t="s">
        <v>6982</v>
      </c>
    </row>
    <row r="400" customFormat="false" ht="15" hidden="false" customHeight="false" outlineLevel="0" collapsed="false">
      <c r="A400" s="7" t="s">
        <v>6947</v>
      </c>
      <c r="B400" s="7" t="s">
        <v>7003</v>
      </c>
      <c r="C400" s="7" t="s">
        <v>619</v>
      </c>
      <c r="D400" s="7" t="n">
        <v>2529</v>
      </c>
      <c r="E400" s="7" t="s">
        <v>50</v>
      </c>
      <c r="F400" s="7" t="n">
        <v>-34.566399</v>
      </c>
      <c r="G400" s="7" t="n">
        <v>150.839407</v>
      </c>
      <c r="H400" s="7" t="s">
        <v>7040</v>
      </c>
    </row>
    <row r="401" customFormat="false" ht="15" hidden="false" customHeight="false" outlineLevel="0" collapsed="false">
      <c r="A401" s="7" t="s">
        <v>6947</v>
      </c>
      <c r="B401" s="7" t="s">
        <v>6977</v>
      </c>
      <c r="C401" s="7" t="s">
        <v>620</v>
      </c>
      <c r="D401" s="7" t="n">
        <v>2551</v>
      </c>
      <c r="E401" s="7" t="s">
        <v>50</v>
      </c>
      <c r="F401" s="7" t="n">
        <v>-37.111463</v>
      </c>
      <c r="G401" s="7" t="n">
        <v>149.880207</v>
      </c>
      <c r="H401" s="7" t="s">
        <v>6991</v>
      </c>
    </row>
    <row r="402" customFormat="false" ht="15" hidden="false" customHeight="false" outlineLevel="0" collapsed="false">
      <c r="A402" s="7" t="s">
        <v>6947</v>
      </c>
      <c r="B402" s="7" t="s">
        <v>6964</v>
      </c>
      <c r="C402" s="7" t="s">
        <v>621</v>
      </c>
      <c r="D402" s="7" t="n">
        <v>2500</v>
      </c>
      <c r="E402" s="7" t="s">
        <v>50</v>
      </c>
      <c r="F402" s="7" t="n">
        <v>-34.414584</v>
      </c>
      <c r="G402" s="7" t="n">
        <v>150.900239</v>
      </c>
      <c r="H402" s="7" t="s">
        <v>6982</v>
      </c>
    </row>
    <row r="403" customFormat="false" ht="15" hidden="false" customHeight="false" outlineLevel="0" collapsed="false">
      <c r="A403" s="7" t="s">
        <v>6947</v>
      </c>
      <c r="B403" s="7" t="s">
        <v>6964</v>
      </c>
      <c r="C403" s="7" t="s">
        <v>622</v>
      </c>
      <c r="D403" s="7" t="n">
        <v>2448</v>
      </c>
      <c r="E403" s="7" t="s">
        <v>50</v>
      </c>
      <c r="F403" s="7" t="n">
        <v>-30.654316</v>
      </c>
      <c r="G403" s="7" t="n">
        <v>152.986997</v>
      </c>
      <c r="H403" s="7" t="s">
        <v>6965</v>
      </c>
    </row>
    <row r="404" customFormat="false" ht="15" hidden="false" customHeight="false" outlineLevel="0" collapsed="false">
      <c r="A404" s="7" t="s">
        <v>6947</v>
      </c>
      <c r="B404" s="7" t="s">
        <v>6964</v>
      </c>
      <c r="C404" s="7" t="s">
        <v>623</v>
      </c>
      <c r="D404" s="7" t="n">
        <v>2848</v>
      </c>
      <c r="E404" s="7" t="s">
        <v>50</v>
      </c>
      <c r="F404" s="7" t="n">
        <v>-32.86006</v>
      </c>
      <c r="G404" s="7" t="n">
        <v>149.973097</v>
      </c>
      <c r="H404" s="7" t="s">
        <v>6975</v>
      </c>
    </row>
    <row r="405" customFormat="false" ht="15" hidden="false" customHeight="false" outlineLevel="0" collapsed="false">
      <c r="A405" s="7" t="s">
        <v>6947</v>
      </c>
      <c r="B405" s="7" t="s">
        <v>6993</v>
      </c>
      <c r="C405" s="7" t="s">
        <v>624</v>
      </c>
      <c r="D405" s="7" t="n">
        <v>2042</v>
      </c>
      <c r="E405" s="7" t="s">
        <v>50</v>
      </c>
      <c r="F405" s="7" t="n">
        <v>-33.891232</v>
      </c>
      <c r="G405" s="7" t="n">
        <v>151.186851</v>
      </c>
      <c r="H405" s="7" t="s">
        <v>6994</v>
      </c>
    </row>
    <row r="406" customFormat="false" ht="15" hidden="false" customHeight="false" outlineLevel="0" collapsed="false">
      <c r="A406" s="7" t="s">
        <v>6947</v>
      </c>
      <c r="B406" s="7" t="s">
        <v>6987</v>
      </c>
      <c r="C406" s="7" t="s">
        <v>625</v>
      </c>
      <c r="D406" s="7" t="n">
        <v>2223</v>
      </c>
      <c r="E406" s="7" t="s">
        <v>50</v>
      </c>
      <c r="F406" s="7" t="n">
        <v>-33.97015</v>
      </c>
      <c r="G406" s="7" t="n">
        <v>151.080133</v>
      </c>
      <c r="H406" s="7" t="s">
        <v>6988</v>
      </c>
    </row>
    <row r="407" customFormat="false" ht="15" hidden="false" customHeight="false" outlineLevel="0" collapsed="false">
      <c r="A407" s="7" t="s">
        <v>6947</v>
      </c>
      <c r="B407" s="7" t="s">
        <v>6977</v>
      </c>
      <c r="C407" s="7" t="s">
        <v>626</v>
      </c>
      <c r="D407" s="7" t="n">
        <v>2113</v>
      </c>
      <c r="E407" s="7" t="s">
        <v>50</v>
      </c>
      <c r="F407" s="7" t="n">
        <v>-33.782992</v>
      </c>
      <c r="G407" s="7" t="n">
        <v>151.122791</v>
      </c>
      <c r="H407" s="7" t="s">
        <v>6991</v>
      </c>
    </row>
    <row r="408" customFormat="false" ht="15" hidden="false" customHeight="false" outlineLevel="0" collapsed="false">
      <c r="A408" s="7" t="s">
        <v>6947</v>
      </c>
      <c r="B408" s="7" t="s">
        <v>6967</v>
      </c>
      <c r="C408" s="7" t="s">
        <v>627</v>
      </c>
      <c r="D408" s="7" t="n">
        <v>2229</v>
      </c>
      <c r="E408" s="7" t="s">
        <v>50</v>
      </c>
      <c r="F408" s="7" t="n">
        <v>-34.029273</v>
      </c>
      <c r="G408" s="7" t="n">
        <v>151.122074</v>
      </c>
      <c r="H408" s="7" t="s">
        <v>6968</v>
      </c>
    </row>
    <row r="409" customFormat="false" ht="15" hidden="false" customHeight="false" outlineLevel="0" collapsed="false">
      <c r="A409" s="7" t="s">
        <v>6947</v>
      </c>
      <c r="B409" s="7" t="s">
        <v>6967</v>
      </c>
      <c r="C409" s="7" t="s">
        <v>629</v>
      </c>
      <c r="D409" s="7" t="n">
        <v>2750</v>
      </c>
      <c r="E409" s="7" t="s">
        <v>50</v>
      </c>
      <c r="F409" s="7" t="n">
        <v>-33.770295</v>
      </c>
      <c r="G409" s="7" t="n">
        <v>150.673823</v>
      </c>
      <c r="H409" s="7" t="s">
        <v>6968</v>
      </c>
    </row>
    <row r="410" customFormat="false" ht="15" hidden="false" customHeight="false" outlineLevel="0" collapsed="false">
      <c r="A410" s="7" t="s">
        <v>6947</v>
      </c>
      <c r="B410" s="7" t="s">
        <v>6987</v>
      </c>
      <c r="C410" s="7" t="s">
        <v>630</v>
      </c>
      <c r="D410" s="7" t="n">
        <v>2134</v>
      </c>
      <c r="E410" s="7" t="s">
        <v>50</v>
      </c>
      <c r="F410" s="7" t="n">
        <v>-33.87385</v>
      </c>
      <c r="G410" s="7" t="n">
        <v>151.101945</v>
      </c>
      <c r="H410" s="7" t="s">
        <v>6988</v>
      </c>
    </row>
    <row r="411" customFormat="false" ht="15" hidden="false" customHeight="false" outlineLevel="0" collapsed="false">
      <c r="A411" s="7" t="s">
        <v>6947</v>
      </c>
      <c r="B411" s="7" t="s">
        <v>6960</v>
      </c>
      <c r="C411" s="7" t="s">
        <v>631</v>
      </c>
      <c r="D411" s="7" t="n">
        <v>2519</v>
      </c>
      <c r="E411" s="7" t="s">
        <v>50</v>
      </c>
      <c r="F411" s="7" t="n">
        <v>-34.403325</v>
      </c>
      <c r="G411" s="7" t="n">
        <v>150.891463</v>
      </c>
      <c r="H411" s="7" t="s">
        <v>7020</v>
      </c>
    </row>
    <row r="412" customFormat="false" ht="15" hidden="false" customHeight="false" outlineLevel="0" collapsed="false">
      <c r="A412" s="7" t="s">
        <v>6947</v>
      </c>
      <c r="B412" s="7" t="s">
        <v>6967</v>
      </c>
      <c r="C412" s="7" t="s">
        <v>632</v>
      </c>
      <c r="D412" s="7" t="n">
        <v>2147</v>
      </c>
      <c r="E412" s="7" t="s">
        <v>50</v>
      </c>
      <c r="F412" s="7" t="n">
        <v>-33.77579</v>
      </c>
      <c r="G412" s="7" t="n">
        <v>150.933086</v>
      </c>
      <c r="H412" s="7" t="s">
        <v>6968</v>
      </c>
    </row>
    <row r="413" customFormat="false" ht="15" hidden="false" customHeight="false" outlineLevel="0" collapsed="false">
      <c r="A413" s="7" t="s">
        <v>6947</v>
      </c>
      <c r="B413" s="7" t="s">
        <v>6964</v>
      </c>
      <c r="C413" s="7" t="s">
        <v>633</v>
      </c>
      <c r="D413" s="7" t="n">
        <v>2166</v>
      </c>
      <c r="E413" s="7" t="s">
        <v>50</v>
      </c>
      <c r="F413" s="7" t="n">
        <v>-33.896701</v>
      </c>
      <c r="G413" s="7" t="n">
        <v>150.938</v>
      </c>
      <c r="H413" s="7" t="s">
        <v>6965</v>
      </c>
    </row>
    <row r="414" customFormat="false" ht="15" hidden="false" customHeight="false" outlineLevel="0" collapsed="false">
      <c r="A414" s="7" t="s">
        <v>6947</v>
      </c>
      <c r="B414" s="7" t="s">
        <v>6985</v>
      </c>
      <c r="C414" s="7" t="s">
        <v>634</v>
      </c>
      <c r="D414" s="7" t="n">
        <v>2000</v>
      </c>
      <c r="E414" s="7" t="s">
        <v>50</v>
      </c>
      <c r="F414" s="7" t="n">
        <v>-33.862139</v>
      </c>
      <c r="G414" s="7" t="n">
        <v>151.207299</v>
      </c>
      <c r="H414" s="7" t="s">
        <v>7041</v>
      </c>
    </row>
    <row r="415" customFormat="false" ht="15" hidden="false" customHeight="false" outlineLevel="0" collapsed="false">
      <c r="A415" s="7" t="s">
        <v>6947</v>
      </c>
      <c r="B415" s="7" t="s">
        <v>6995</v>
      </c>
      <c r="C415" s="7" t="s">
        <v>634</v>
      </c>
      <c r="D415" s="7" t="n">
        <v>2000</v>
      </c>
      <c r="E415" s="7" t="s">
        <v>50</v>
      </c>
      <c r="F415" s="7" t="n">
        <v>-33.862629</v>
      </c>
      <c r="G415" s="7" t="n">
        <v>151.207236</v>
      </c>
      <c r="H415" s="7" t="s">
        <v>7042</v>
      </c>
    </row>
    <row r="416" customFormat="false" ht="15" hidden="false" customHeight="false" outlineLevel="0" collapsed="false">
      <c r="A416" s="7" t="s">
        <v>6947</v>
      </c>
      <c r="B416" s="7" t="s">
        <v>6987</v>
      </c>
      <c r="C416" s="7" t="s">
        <v>635</v>
      </c>
      <c r="D416" s="7" t="n">
        <v>2170</v>
      </c>
      <c r="E416" s="7" t="s">
        <v>50</v>
      </c>
      <c r="F416" s="7" t="n">
        <v>-33.958006</v>
      </c>
      <c r="G416" s="7" t="n">
        <v>150.886463</v>
      </c>
      <c r="H416" s="7" t="s">
        <v>6988</v>
      </c>
    </row>
    <row r="417" customFormat="false" ht="15" hidden="false" customHeight="false" outlineLevel="0" collapsed="false">
      <c r="A417" s="7" t="s">
        <v>6947</v>
      </c>
      <c r="B417" s="7" t="s">
        <v>6987</v>
      </c>
      <c r="C417" s="7" t="s">
        <v>635</v>
      </c>
      <c r="D417" s="7" t="n">
        <v>2170</v>
      </c>
      <c r="E417" s="7" t="s">
        <v>50</v>
      </c>
      <c r="F417" s="7" t="n">
        <v>-33.958155</v>
      </c>
      <c r="G417" s="7" t="n">
        <v>150.88663</v>
      </c>
      <c r="H417" s="7" t="s">
        <v>6988</v>
      </c>
    </row>
    <row r="418" customFormat="false" ht="15" hidden="false" customHeight="false" outlineLevel="0" collapsed="false">
      <c r="A418" s="7" t="s">
        <v>6947</v>
      </c>
      <c r="B418" s="7" t="s">
        <v>6967</v>
      </c>
      <c r="C418" s="7" t="s">
        <v>636</v>
      </c>
      <c r="D418" s="7" t="n">
        <v>2762</v>
      </c>
      <c r="E418" s="7" t="s">
        <v>50</v>
      </c>
      <c r="F418" s="7" t="n">
        <v>-33.705677</v>
      </c>
      <c r="G418" s="7" t="n">
        <v>150.876075</v>
      </c>
      <c r="H418" s="7" t="s">
        <v>6968</v>
      </c>
    </row>
    <row r="419" customFormat="false" ht="15" hidden="false" customHeight="false" outlineLevel="0" collapsed="false">
      <c r="A419" s="7" t="s">
        <v>6947</v>
      </c>
      <c r="B419" s="7" t="s">
        <v>6973</v>
      </c>
      <c r="C419" s="7" t="s">
        <v>637</v>
      </c>
      <c r="D419" s="7" t="n">
        <v>2281</v>
      </c>
      <c r="E419" s="7" t="s">
        <v>50</v>
      </c>
      <c r="F419" s="7" t="n">
        <v>-33.091766</v>
      </c>
      <c r="G419" s="7" t="n">
        <v>151.637421</v>
      </c>
      <c r="H419" s="7" t="s">
        <v>7043</v>
      </c>
    </row>
    <row r="420" customFormat="false" ht="15" hidden="false" customHeight="false" outlineLevel="0" collapsed="false">
      <c r="A420" s="7" t="s">
        <v>6947</v>
      </c>
      <c r="B420" s="7" t="s">
        <v>6964</v>
      </c>
      <c r="C420" s="7" t="s">
        <v>638</v>
      </c>
      <c r="D420" s="7" t="n">
        <v>2324</v>
      </c>
      <c r="E420" s="7" t="s">
        <v>50</v>
      </c>
      <c r="F420" s="7" t="n">
        <v>-32.787294</v>
      </c>
      <c r="G420" s="7" t="n">
        <v>151.728353</v>
      </c>
      <c r="H420" s="7" t="s">
        <v>7001</v>
      </c>
    </row>
    <row r="421" customFormat="false" ht="15" hidden="false" customHeight="false" outlineLevel="0" collapsed="false">
      <c r="A421" s="7" t="s">
        <v>6947</v>
      </c>
      <c r="B421" s="7" t="s">
        <v>6977</v>
      </c>
      <c r="C421" s="7" t="s">
        <v>639</v>
      </c>
      <c r="D421" s="7" t="n">
        <v>2031</v>
      </c>
      <c r="E421" s="7" t="s">
        <v>50</v>
      </c>
      <c r="F421" s="7" t="n">
        <v>-33.903637</v>
      </c>
      <c r="G421" s="7" t="n">
        <v>151.242633</v>
      </c>
      <c r="H421" s="7" t="s">
        <v>6991</v>
      </c>
    </row>
    <row r="422" customFormat="false" ht="15" hidden="false" customHeight="false" outlineLevel="0" collapsed="false">
      <c r="A422" s="7" t="s">
        <v>6947</v>
      </c>
      <c r="B422" s="7" t="s">
        <v>6977</v>
      </c>
      <c r="C422" s="7" t="s">
        <v>640</v>
      </c>
      <c r="D422" s="7" t="n">
        <v>2135</v>
      </c>
      <c r="E422" s="7" t="s">
        <v>50</v>
      </c>
      <c r="F422" s="7" t="n">
        <v>-33.874708</v>
      </c>
      <c r="G422" s="7" t="n">
        <v>151.09495</v>
      </c>
      <c r="H422" s="7" t="s">
        <v>6991</v>
      </c>
    </row>
    <row r="423" customFormat="false" ht="15" hidden="false" customHeight="false" outlineLevel="0" collapsed="false">
      <c r="A423" s="7" t="s">
        <v>6947</v>
      </c>
      <c r="B423" s="7" t="s">
        <v>6977</v>
      </c>
      <c r="C423" s="7" t="s">
        <v>641</v>
      </c>
      <c r="D423" s="7" t="n">
        <v>2033</v>
      </c>
      <c r="E423" s="7" t="s">
        <v>50</v>
      </c>
      <c r="F423" s="7" t="n">
        <v>-33.913714</v>
      </c>
      <c r="G423" s="7" t="n">
        <v>151.224291</v>
      </c>
      <c r="H423" s="7" t="s">
        <v>6991</v>
      </c>
    </row>
    <row r="424" customFormat="false" ht="15" hidden="false" customHeight="false" outlineLevel="0" collapsed="false">
      <c r="A424" s="7" t="s">
        <v>6947</v>
      </c>
      <c r="B424" s="7" t="s">
        <v>6987</v>
      </c>
      <c r="C424" s="7" t="s">
        <v>642</v>
      </c>
      <c r="D424" s="7" t="n">
        <v>2034</v>
      </c>
      <c r="E424" s="7" t="s">
        <v>50</v>
      </c>
      <c r="F424" s="7" t="n">
        <v>-33.921595</v>
      </c>
      <c r="G424" s="7" t="n">
        <v>151.256557</v>
      </c>
      <c r="H424" s="7" t="s">
        <v>6988</v>
      </c>
    </row>
    <row r="425" customFormat="false" ht="15" hidden="false" customHeight="false" outlineLevel="0" collapsed="false">
      <c r="A425" s="7" t="s">
        <v>6947</v>
      </c>
      <c r="B425" s="7" t="s">
        <v>6964</v>
      </c>
      <c r="C425" s="7" t="s">
        <v>643</v>
      </c>
      <c r="D425" s="7" t="n">
        <v>2430</v>
      </c>
      <c r="E425" s="7" t="s">
        <v>50</v>
      </c>
      <c r="F425" s="7" t="n">
        <v>-31.902892</v>
      </c>
      <c r="G425" s="7" t="n">
        <v>152.477371</v>
      </c>
      <c r="H425" s="7" t="s">
        <v>6965</v>
      </c>
    </row>
    <row r="426" customFormat="false" ht="15" hidden="false" customHeight="false" outlineLevel="0" collapsed="false">
      <c r="A426" s="7" t="s">
        <v>6947</v>
      </c>
      <c r="B426" s="7" t="s">
        <v>6962</v>
      </c>
      <c r="C426" s="7" t="s">
        <v>644</v>
      </c>
      <c r="D426" s="7" t="n">
        <v>2300</v>
      </c>
      <c r="E426" s="7" t="s">
        <v>50</v>
      </c>
      <c r="F426" s="7" t="n">
        <v>-32.925909</v>
      </c>
      <c r="G426" s="7" t="n">
        <v>151.778968</v>
      </c>
      <c r="H426" s="7" t="s">
        <v>6979</v>
      </c>
    </row>
    <row r="427" customFormat="false" ht="15" hidden="false" customHeight="false" outlineLevel="0" collapsed="false">
      <c r="A427" s="7" t="s">
        <v>6947</v>
      </c>
      <c r="B427" s="7" t="s">
        <v>6964</v>
      </c>
      <c r="C427" s="7" t="s">
        <v>645</v>
      </c>
      <c r="D427" s="7" t="n">
        <v>2537</v>
      </c>
      <c r="E427" s="7" t="s">
        <v>50</v>
      </c>
      <c r="F427" s="7" t="n">
        <v>-35.842653</v>
      </c>
      <c r="G427" s="7" t="n">
        <v>150.167026</v>
      </c>
      <c r="H427" s="7" t="s">
        <v>6975</v>
      </c>
    </row>
    <row r="428" customFormat="false" ht="15" hidden="false" customHeight="false" outlineLevel="0" collapsed="false">
      <c r="A428" s="7" t="s">
        <v>6947</v>
      </c>
      <c r="B428" s="7" t="s">
        <v>6977</v>
      </c>
      <c r="C428" s="7" t="s">
        <v>646</v>
      </c>
      <c r="D428" s="7" t="n">
        <v>2027</v>
      </c>
      <c r="E428" s="7" t="s">
        <v>50</v>
      </c>
      <c r="F428" s="7" t="n">
        <v>-33.879532</v>
      </c>
      <c r="G428" s="7" t="n">
        <v>151.236486</v>
      </c>
      <c r="H428" s="7" t="s">
        <v>6981</v>
      </c>
    </row>
    <row r="429" customFormat="false" ht="15" hidden="false" customHeight="false" outlineLevel="0" collapsed="false">
      <c r="A429" s="7" t="s">
        <v>6947</v>
      </c>
      <c r="B429" s="7" t="s">
        <v>6960</v>
      </c>
      <c r="C429" s="7" t="s">
        <v>647</v>
      </c>
      <c r="D429" s="7" t="n">
        <v>2324</v>
      </c>
      <c r="E429" s="7" t="s">
        <v>50</v>
      </c>
      <c r="F429" s="7" t="n">
        <v>-32.783341</v>
      </c>
      <c r="G429" s="7" t="n">
        <v>151.737059</v>
      </c>
      <c r="H429" s="7" t="s">
        <v>7020</v>
      </c>
    </row>
    <row r="430" customFormat="false" ht="15" hidden="false" customHeight="false" outlineLevel="0" collapsed="false">
      <c r="A430" s="7" t="s">
        <v>6947</v>
      </c>
      <c r="B430" s="7" t="s">
        <v>6977</v>
      </c>
      <c r="C430" s="7" t="s">
        <v>648</v>
      </c>
      <c r="D430" s="7" t="n">
        <v>2021</v>
      </c>
      <c r="E430" s="7" t="s">
        <v>50</v>
      </c>
      <c r="F430" s="7" t="n">
        <v>-33.881783</v>
      </c>
      <c r="G430" s="7" t="n">
        <v>151.233328</v>
      </c>
      <c r="H430" s="7" t="s">
        <v>6991</v>
      </c>
    </row>
    <row r="431" customFormat="false" ht="15" hidden="false" customHeight="false" outlineLevel="0" collapsed="false">
      <c r="A431" s="7" t="s">
        <v>6947</v>
      </c>
      <c r="B431" s="7" t="s">
        <v>6967</v>
      </c>
      <c r="C431" s="7" t="s">
        <v>649</v>
      </c>
      <c r="D431" s="7" t="n">
        <v>2447</v>
      </c>
      <c r="E431" s="7" t="s">
        <v>50</v>
      </c>
      <c r="F431" s="7" t="n">
        <v>-30.71023</v>
      </c>
      <c r="G431" s="7" t="n">
        <v>152.91977</v>
      </c>
      <c r="H431" s="7" t="s">
        <v>6968</v>
      </c>
    </row>
    <row r="432" customFormat="false" ht="15" hidden="false" customHeight="false" outlineLevel="0" collapsed="false">
      <c r="A432" s="7" t="s">
        <v>6947</v>
      </c>
      <c r="B432" s="7" t="s">
        <v>6977</v>
      </c>
      <c r="C432" s="7" t="s">
        <v>650</v>
      </c>
      <c r="D432" s="7" t="n">
        <v>2502</v>
      </c>
      <c r="E432" s="7" t="s">
        <v>50</v>
      </c>
      <c r="F432" s="7" t="n">
        <v>-34.507834</v>
      </c>
      <c r="G432" s="7" t="n">
        <v>150.878241</v>
      </c>
      <c r="H432" s="7" t="s">
        <v>6981</v>
      </c>
    </row>
    <row r="433" customFormat="false" ht="15" hidden="false" customHeight="false" outlineLevel="0" collapsed="false">
      <c r="A433" s="7" t="s">
        <v>6947</v>
      </c>
      <c r="B433" s="7" t="s">
        <v>6964</v>
      </c>
      <c r="C433" s="7" t="s">
        <v>651</v>
      </c>
      <c r="D433" s="7" t="n">
        <v>2539</v>
      </c>
      <c r="E433" s="7" t="s">
        <v>50</v>
      </c>
      <c r="F433" s="7" t="n">
        <v>-35.346201</v>
      </c>
      <c r="G433" s="7" t="n">
        <v>150.470222</v>
      </c>
      <c r="H433" s="7" t="s">
        <v>6965</v>
      </c>
    </row>
    <row r="434" customFormat="false" ht="15" hidden="false" customHeight="false" outlineLevel="0" collapsed="false">
      <c r="A434" s="7" t="s">
        <v>6947</v>
      </c>
      <c r="B434" s="7" t="s">
        <v>6964</v>
      </c>
      <c r="C434" s="7" t="s">
        <v>652</v>
      </c>
      <c r="D434" s="7" t="n">
        <v>2579</v>
      </c>
      <c r="E434" s="7" t="s">
        <v>50</v>
      </c>
      <c r="F434" s="7" t="n">
        <v>-34.609292</v>
      </c>
      <c r="G434" s="7" t="n">
        <v>150.229769</v>
      </c>
      <c r="H434" s="7" t="s">
        <v>6997</v>
      </c>
    </row>
    <row r="435" customFormat="false" ht="15" hidden="false" customHeight="false" outlineLevel="0" collapsed="false">
      <c r="A435" s="7" t="s">
        <v>6947</v>
      </c>
      <c r="B435" s="7" t="s">
        <v>6967</v>
      </c>
      <c r="C435" s="7" t="s">
        <v>653</v>
      </c>
      <c r="D435" s="7" t="n">
        <v>2282</v>
      </c>
      <c r="E435" s="7" t="s">
        <v>50</v>
      </c>
      <c r="F435" s="7" t="n">
        <v>-32.963545</v>
      </c>
      <c r="G435" s="7" t="n">
        <v>151.661741</v>
      </c>
      <c r="H435" s="7" t="s">
        <v>6968</v>
      </c>
    </row>
    <row r="436" customFormat="false" ht="15" hidden="false" customHeight="false" outlineLevel="0" collapsed="false">
      <c r="A436" s="7" t="s">
        <v>6947</v>
      </c>
      <c r="B436" s="7" t="s">
        <v>6964</v>
      </c>
      <c r="C436" s="7" t="s">
        <v>654</v>
      </c>
      <c r="D436" s="7" t="n">
        <v>2480</v>
      </c>
      <c r="E436" s="7" t="s">
        <v>50</v>
      </c>
      <c r="F436" s="7" t="n">
        <v>-28.813238</v>
      </c>
      <c r="G436" s="7" t="n">
        <v>153.275475</v>
      </c>
      <c r="H436" s="7" t="s">
        <v>6965</v>
      </c>
    </row>
    <row r="437" customFormat="false" ht="15" hidden="false" customHeight="false" outlineLevel="0" collapsed="false">
      <c r="A437" s="7" t="s">
        <v>6947</v>
      </c>
      <c r="B437" s="7" t="s">
        <v>7044</v>
      </c>
      <c r="C437" s="7" t="s">
        <v>656</v>
      </c>
      <c r="D437" s="7" t="n">
        <v>2567</v>
      </c>
      <c r="E437" s="7" t="s">
        <v>50</v>
      </c>
      <c r="F437" s="7" t="n">
        <v>-34.049425</v>
      </c>
      <c r="G437" s="7" t="n">
        <v>150.760338</v>
      </c>
      <c r="H437" s="7" t="s">
        <v>7045</v>
      </c>
    </row>
    <row r="438" customFormat="false" ht="15" hidden="false" customHeight="false" outlineLevel="0" collapsed="false">
      <c r="A438" s="7" t="s">
        <v>6947</v>
      </c>
      <c r="B438" s="7" t="s">
        <v>6964</v>
      </c>
      <c r="C438" s="7" t="s">
        <v>659</v>
      </c>
      <c r="D438" s="7" t="n">
        <v>2034</v>
      </c>
      <c r="E438" s="7" t="s">
        <v>50</v>
      </c>
      <c r="F438" s="7" t="n">
        <v>-33.922194</v>
      </c>
      <c r="G438" s="7" t="n">
        <v>151.255878</v>
      </c>
      <c r="H438" s="7" t="s">
        <v>6965</v>
      </c>
    </row>
    <row r="439" customFormat="false" ht="15" hidden="false" customHeight="false" outlineLevel="0" collapsed="false">
      <c r="A439" s="7" t="s">
        <v>6947</v>
      </c>
      <c r="B439" s="7" t="s">
        <v>6977</v>
      </c>
      <c r="C439" s="7" t="s">
        <v>660</v>
      </c>
      <c r="D439" s="7" t="n">
        <v>2066</v>
      </c>
      <c r="E439" s="7" t="s">
        <v>50</v>
      </c>
      <c r="F439" s="7" t="n">
        <v>-33.815245</v>
      </c>
      <c r="G439" s="7" t="n">
        <v>151.16918</v>
      </c>
      <c r="H439" s="7" t="s">
        <v>6981</v>
      </c>
    </row>
    <row r="440" customFormat="false" ht="15" hidden="false" customHeight="false" outlineLevel="0" collapsed="false">
      <c r="A440" s="7" t="s">
        <v>6947</v>
      </c>
      <c r="B440" s="7" t="s">
        <v>6995</v>
      </c>
      <c r="C440" s="7" t="s">
        <v>661</v>
      </c>
      <c r="D440" s="7" t="n">
        <v>2010</v>
      </c>
      <c r="E440" s="7" t="s">
        <v>50</v>
      </c>
      <c r="F440" s="7" t="n">
        <v>-33.877524</v>
      </c>
      <c r="G440" s="7" t="n">
        <v>151.215113</v>
      </c>
      <c r="H440" s="7" t="s">
        <v>7031</v>
      </c>
    </row>
    <row r="441" customFormat="false" ht="15" hidden="false" customHeight="false" outlineLevel="0" collapsed="false">
      <c r="A441" s="7" t="s">
        <v>6947</v>
      </c>
      <c r="B441" s="7" t="s">
        <v>6960</v>
      </c>
      <c r="C441" s="7" t="s">
        <v>662</v>
      </c>
      <c r="D441" s="7" t="n">
        <v>2195</v>
      </c>
      <c r="E441" s="7" t="s">
        <v>50</v>
      </c>
      <c r="F441" s="7" t="n">
        <v>-33.919601</v>
      </c>
      <c r="G441" s="7" t="n">
        <v>151.066852</v>
      </c>
      <c r="H441" s="7" t="s">
        <v>7020</v>
      </c>
    </row>
    <row r="442" customFormat="false" ht="15" hidden="false" customHeight="false" outlineLevel="0" collapsed="false">
      <c r="A442" s="7" t="s">
        <v>6947</v>
      </c>
      <c r="B442" s="7" t="s">
        <v>6964</v>
      </c>
      <c r="C442" s="7" t="s">
        <v>663</v>
      </c>
      <c r="D442" s="7" t="n">
        <v>2320</v>
      </c>
      <c r="E442" s="7" t="s">
        <v>50</v>
      </c>
      <c r="F442" s="7" t="n">
        <v>-32.77576</v>
      </c>
      <c r="G442" s="7" t="n">
        <v>151.338283</v>
      </c>
      <c r="H442" s="7" t="s">
        <v>6975</v>
      </c>
    </row>
    <row r="443" customFormat="false" ht="15" hidden="false" customHeight="false" outlineLevel="0" collapsed="false">
      <c r="A443" s="7" t="s">
        <v>6947</v>
      </c>
      <c r="B443" s="7" t="s">
        <v>6967</v>
      </c>
      <c r="C443" s="7" t="s">
        <v>664</v>
      </c>
      <c r="D443" s="7" t="n">
        <v>2210</v>
      </c>
      <c r="E443" s="7" t="s">
        <v>50</v>
      </c>
      <c r="F443" s="7" t="n">
        <v>-33.952562</v>
      </c>
      <c r="G443" s="7" t="n">
        <v>151.05103</v>
      </c>
      <c r="H443" s="7" t="s">
        <v>6968</v>
      </c>
    </row>
    <row r="444" customFormat="false" ht="15" hidden="false" customHeight="false" outlineLevel="0" collapsed="false">
      <c r="A444" s="7" t="s">
        <v>6947</v>
      </c>
      <c r="B444" s="7" t="s">
        <v>6977</v>
      </c>
      <c r="C444" s="7" t="s">
        <v>665</v>
      </c>
      <c r="D444" s="7" t="n">
        <v>2095</v>
      </c>
      <c r="E444" s="7" t="s">
        <v>50</v>
      </c>
      <c r="F444" s="7" t="n">
        <v>-33.80041</v>
      </c>
      <c r="G444" s="7" t="n">
        <v>151.28886</v>
      </c>
      <c r="H444" s="7" t="s">
        <v>6991</v>
      </c>
    </row>
    <row r="445" customFormat="false" ht="15" hidden="false" customHeight="false" outlineLevel="0" collapsed="false">
      <c r="A445" s="7" t="s">
        <v>6947</v>
      </c>
      <c r="B445" s="7" t="s">
        <v>6993</v>
      </c>
      <c r="C445" s="7" t="s">
        <v>666</v>
      </c>
      <c r="D445" s="7" t="n">
        <v>2481</v>
      </c>
      <c r="E445" s="7" t="s">
        <v>50</v>
      </c>
      <c r="F445" s="7" t="n">
        <v>-28.6343</v>
      </c>
      <c r="G445" s="7" t="n">
        <v>153.598952</v>
      </c>
      <c r="H445" s="7" t="s">
        <v>6994</v>
      </c>
    </row>
    <row r="446" customFormat="false" ht="15" hidden="false" customHeight="false" outlineLevel="0" collapsed="false">
      <c r="A446" s="7" t="s">
        <v>6947</v>
      </c>
      <c r="B446" s="7" t="s">
        <v>6967</v>
      </c>
      <c r="C446" s="7" t="s">
        <v>667</v>
      </c>
      <c r="D446" s="7" t="n">
        <v>2086</v>
      </c>
      <c r="E446" s="7" t="s">
        <v>50</v>
      </c>
      <c r="F446" s="7" t="n">
        <v>-33.751337</v>
      </c>
      <c r="G446" s="7" t="n">
        <v>151.243469</v>
      </c>
      <c r="H446" s="7" t="s">
        <v>6968</v>
      </c>
    </row>
    <row r="447" customFormat="false" ht="15" hidden="false" customHeight="false" outlineLevel="0" collapsed="false">
      <c r="A447" s="7" t="s">
        <v>6947</v>
      </c>
      <c r="B447" s="7" t="s">
        <v>6962</v>
      </c>
      <c r="C447" s="7" t="s">
        <v>668</v>
      </c>
      <c r="D447" s="7" t="n">
        <v>2582</v>
      </c>
      <c r="E447" s="7" t="s">
        <v>50</v>
      </c>
      <c r="F447" s="7" t="n">
        <v>-34.845511</v>
      </c>
      <c r="G447" s="7" t="n">
        <v>148.915189</v>
      </c>
      <c r="H447" s="7" t="s">
        <v>7005</v>
      </c>
    </row>
    <row r="448" customFormat="false" ht="15" hidden="false" customHeight="false" outlineLevel="0" collapsed="false">
      <c r="A448" s="7" t="s">
        <v>6947</v>
      </c>
      <c r="B448" s="7" t="s">
        <v>6964</v>
      </c>
      <c r="C448" s="7" t="s">
        <v>669</v>
      </c>
      <c r="D448" s="7" t="n">
        <v>2140</v>
      </c>
      <c r="E448" s="7" t="s">
        <v>50</v>
      </c>
      <c r="F448" s="7" t="n">
        <v>-33.861384</v>
      </c>
      <c r="G448" s="7" t="n">
        <v>151.069551</v>
      </c>
      <c r="H448" s="7" t="s">
        <v>6965</v>
      </c>
    </row>
    <row r="449" customFormat="false" ht="15" hidden="false" customHeight="false" outlineLevel="0" collapsed="false">
      <c r="A449" s="7" t="s">
        <v>6947</v>
      </c>
      <c r="B449" s="7" t="s">
        <v>6993</v>
      </c>
      <c r="C449" s="7" t="s">
        <v>671</v>
      </c>
      <c r="D449" s="7" t="n">
        <v>2025</v>
      </c>
      <c r="E449" s="7" t="s">
        <v>50</v>
      </c>
      <c r="F449" s="7" t="n">
        <v>-33.888574</v>
      </c>
      <c r="G449" s="7" t="n">
        <v>151.24441</v>
      </c>
      <c r="H449" s="7" t="s">
        <v>6994</v>
      </c>
    </row>
    <row r="450" customFormat="false" ht="15" hidden="false" customHeight="false" outlineLevel="0" collapsed="false">
      <c r="A450" s="7" t="s">
        <v>6947</v>
      </c>
      <c r="B450" s="7" t="s">
        <v>6964</v>
      </c>
      <c r="C450" s="7" t="s">
        <v>672</v>
      </c>
      <c r="D450" s="7" t="n">
        <v>2576</v>
      </c>
      <c r="E450" s="7" t="s">
        <v>50</v>
      </c>
      <c r="F450" s="7" t="n">
        <v>-34.463038</v>
      </c>
      <c r="G450" s="7" t="n">
        <v>150.401489</v>
      </c>
      <c r="H450" s="7" t="s">
        <v>6982</v>
      </c>
    </row>
    <row r="451" customFormat="false" ht="15" hidden="false" customHeight="false" outlineLevel="0" collapsed="false">
      <c r="A451" s="7" t="s">
        <v>6947</v>
      </c>
      <c r="B451" s="7" t="s">
        <v>6964</v>
      </c>
      <c r="C451" s="7" t="s">
        <v>673</v>
      </c>
      <c r="D451" s="7" t="n">
        <v>2450</v>
      </c>
      <c r="E451" s="7" t="s">
        <v>50</v>
      </c>
      <c r="F451" s="7" t="n">
        <v>-30.281439</v>
      </c>
      <c r="G451" s="7" t="n">
        <v>153.131667</v>
      </c>
      <c r="H451" s="7" t="s">
        <v>7001</v>
      </c>
    </row>
    <row r="452" customFormat="false" ht="15" hidden="false" customHeight="false" outlineLevel="0" collapsed="false">
      <c r="A452" s="7" t="s">
        <v>6947</v>
      </c>
      <c r="B452" s="7" t="s">
        <v>6987</v>
      </c>
      <c r="C452" s="7" t="s">
        <v>674</v>
      </c>
      <c r="D452" s="7" t="n">
        <v>2101</v>
      </c>
      <c r="E452" s="7" t="s">
        <v>50</v>
      </c>
      <c r="F452" s="7" t="n">
        <v>-33.719434</v>
      </c>
      <c r="G452" s="7" t="n">
        <v>151.298662</v>
      </c>
      <c r="H452" s="7" t="s">
        <v>6988</v>
      </c>
    </row>
    <row r="453" customFormat="false" ht="15" hidden="false" customHeight="false" outlineLevel="0" collapsed="false">
      <c r="A453" s="7" t="s">
        <v>6947</v>
      </c>
      <c r="B453" s="7" t="s">
        <v>6964</v>
      </c>
      <c r="C453" s="7" t="s">
        <v>675</v>
      </c>
      <c r="D453" s="7" t="n">
        <v>2000</v>
      </c>
      <c r="E453" s="7" t="s">
        <v>50</v>
      </c>
      <c r="F453" s="7" t="n">
        <v>-33.871961</v>
      </c>
      <c r="G453" s="7" t="n">
        <v>151.208024</v>
      </c>
      <c r="H453" s="7" t="s">
        <v>6982</v>
      </c>
    </row>
    <row r="454" customFormat="false" ht="15" hidden="false" customHeight="false" outlineLevel="0" collapsed="false">
      <c r="A454" s="7" t="s">
        <v>6947</v>
      </c>
      <c r="B454" s="7" t="s">
        <v>6964</v>
      </c>
      <c r="C454" s="7" t="s">
        <v>676</v>
      </c>
      <c r="D454" s="7" t="n">
        <v>2450</v>
      </c>
      <c r="E454" s="7" t="s">
        <v>50</v>
      </c>
      <c r="F454" s="7" t="n">
        <v>-30.275222</v>
      </c>
      <c r="G454" s="7" t="n">
        <v>153.131939</v>
      </c>
      <c r="H454" s="7" t="s">
        <v>6972</v>
      </c>
    </row>
    <row r="455" customFormat="false" ht="15" hidden="false" customHeight="false" outlineLevel="0" collapsed="false">
      <c r="A455" s="7" t="s">
        <v>6947</v>
      </c>
      <c r="B455" s="7" t="s">
        <v>6967</v>
      </c>
      <c r="C455" s="7" t="s">
        <v>677</v>
      </c>
      <c r="D455" s="7" t="n">
        <v>2137</v>
      </c>
      <c r="E455" s="7" t="s">
        <v>50</v>
      </c>
      <c r="F455" s="7" t="n">
        <v>-33.854378</v>
      </c>
      <c r="G455" s="7" t="n">
        <v>151.103997</v>
      </c>
      <c r="H455" s="7" t="s">
        <v>7019</v>
      </c>
    </row>
    <row r="456" customFormat="false" ht="15" hidden="false" customHeight="false" outlineLevel="0" collapsed="false">
      <c r="A456" s="7" t="s">
        <v>6947</v>
      </c>
      <c r="B456" s="7" t="s">
        <v>6993</v>
      </c>
      <c r="C456" s="7" t="s">
        <v>678</v>
      </c>
      <c r="D456" s="7" t="n">
        <v>2041</v>
      </c>
      <c r="E456" s="7" t="s">
        <v>50</v>
      </c>
      <c r="F456" s="7" t="n">
        <v>-33.857838</v>
      </c>
      <c r="G456" s="7" t="n">
        <v>151.171049</v>
      </c>
      <c r="H456" s="7" t="s">
        <v>6994</v>
      </c>
    </row>
    <row r="457" customFormat="false" ht="15" hidden="false" customHeight="false" outlineLevel="0" collapsed="false">
      <c r="A457" s="7" t="s">
        <v>6947</v>
      </c>
      <c r="B457" s="7" t="s">
        <v>6964</v>
      </c>
      <c r="C457" s="7" t="s">
        <v>679</v>
      </c>
      <c r="D457" s="7" t="n">
        <v>2304</v>
      </c>
      <c r="E457" s="7" t="s">
        <v>50</v>
      </c>
      <c r="F457" s="7" t="n">
        <v>-32.891822</v>
      </c>
      <c r="G457" s="7" t="n">
        <v>151.744469</v>
      </c>
      <c r="H457" s="7" t="s">
        <v>6992</v>
      </c>
    </row>
    <row r="458" customFormat="false" ht="15" hidden="false" customHeight="false" outlineLevel="0" collapsed="false">
      <c r="A458" s="7" t="s">
        <v>6947</v>
      </c>
      <c r="B458" s="7" t="s">
        <v>6964</v>
      </c>
      <c r="C458" s="7" t="s">
        <v>680</v>
      </c>
      <c r="D458" s="7" t="n">
        <v>2325</v>
      </c>
      <c r="E458" s="7" t="s">
        <v>50</v>
      </c>
      <c r="F458" s="7" t="n">
        <v>-32.950658</v>
      </c>
      <c r="G458" s="7" t="n">
        <v>151.177976</v>
      </c>
      <c r="H458" s="7" t="s">
        <v>6965</v>
      </c>
    </row>
    <row r="459" customFormat="false" ht="15" hidden="false" customHeight="false" outlineLevel="0" collapsed="false">
      <c r="A459" s="7" t="s">
        <v>6947</v>
      </c>
      <c r="B459" s="7" t="s">
        <v>6967</v>
      </c>
      <c r="C459" s="7" t="s">
        <v>681</v>
      </c>
      <c r="D459" s="7" t="n">
        <v>2761</v>
      </c>
      <c r="E459" s="7" t="s">
        <v>50</v>
      </c>
      <c r="F459" s="7" t="n">
        <v>-33.745983</v>
      </c>
      <c r="G459" s="7" t="n">
        <v>150.83573</v>
      </c>
      <c r="H459" s="7" t="s">
        <v>6968</v>
      </c>
    </row>
    <row r="460" customFormat="false" ht="15" hidden="false" customHeight="false" outlineLevel="0" collapsed="false">
      <c r="A460" s="7" t="s">
        <v>6947</v>
      </c>
      <c r="B460" s="7" t="s">
        <v>6967</v>
      </c>
      <c r="C460" s="7" t="s">
        <v>682</v>
      </c>
      <c r="D460" s="7" t="n">
        <v>2131</v>
      </c>
      <c r="E460" s="7" t="s">
        <v>50</v>
      </c>
      <c r="F460" s="7" t="n">
        <v>-33.889564</v>
      </c>
      <c r="G460" s="7" t="n">
        <v>151.123599</v>
      </c>
      <c r="H460" s="7" t="s">
        <v>6968</v>
      </c>
    </row>
    <row r="461" customFormat="false" ht="15" hidden="false" customHeight="false" outlineLevel="0" collapsed="false">
      <c r="A461" s="7" t="s">
        <v>6947</v>
      </c>
      <c r="B461" s="7" t="s">
        <v>6977</v>
      </c>
      <c r="C461" s="7" t="s">
        <v>683</v>
      </c>
      <c r="D461" s="7" t="n">
        <v>2204</v>
      </c>
      <c r="E461" s="7" t="s">
        <v>50</v>
      </c>
      <c r="F461" s="7" t="n">
        <v>-33.912016</v>
      </c>
      <c r="G461" s="7" t="n">
        <v>151.142744</v>
      </c>
      <c r="H461" s="7" t="s">
        <v>6984</v>
      </c>
    </row>
    <row r="462" customFormat="false" ht="15" hidden="false" customHeight="false" outlineLevel="0" collapsed="false">
      <c r="A462" s="7" t="s">
        <v>6947</v>
      </c>
      <c r="B462" s="7" t="s">
        <v>6977</v>
      </c>
      <c r="C462" s="7" t="s">
        <v>684</v>
      </c>
      <c r="D462" s="7" t="n">
        <v>2710</v>
      </c>
      <c r="E462" s="7" t="s">
        <v>50</v>
      </c>
      <c r="F462" s="7" t="n">
        <v>-35.531446</v>
      </c>
      <c r="G462" s="7" t="n">
        <v>144.964769</v>
      </c>
      <c r="H462" s="7" t="s">
        <v>6981</v>
      </c>
    </row>
    <row r="463" customFormat="false" ht="15" hidden="false" customHeight="false" outlineLevel="0" collapsed="false">
      <c r="A463" s="7" t="s">
        <v>6947</v>
      </c>
      <c r="B463" s="7" t="s">
        <v>6964</v>
      </c>
      <c r="C463" s="7" t="s">
        <v>685</v>
      </c>
      <c r="D463" s="7" t="n">
        <v>2577</v>
      </c>
      <c r="E463" s="7" t="s">
        <v>50</v>
      </c>
      <c r="F463" s="7" t="n">
        <v>-34.554131</v>
      </c>
      <c r="G463" s="7" t="n">
        <v>150.371843</v>
      </c>
      <c r="H463" s="7" t="s">
        <v>6975</v>
      </c>
    </row>
    <row r="464" customFormat="false" ht="15" hidden="false" customHeight="false" outlineLevel="0" collapsed="false">
      <c r="A464" s="7" t="s">
        <v>6947</v>
      </c>
      <c r="B464" s="7" t="s">
        <v>6977</v>
      </c>
      <c r="C464" s="7" t="s">
        <v>686</v>
      </c>
      <c r="D464" s="7" t="n">
        <v>2021</v>
      </c>
      <c r="E464" s="7" t="s">
        <v>50</v>
      </c>
      <c r="F464" s="7" t="n">
        <v>-33.881035</v>
      </c>
      <c r="G464" s="7" t="n">
        <v>151.222798</v>
      </c>
      <c r="H464" s="7" t="s">
        <v>6991</v>
      </c>
    </row>
    <row r="465" customFormat="false" ht="15" hidden="false" customHeight="false" outlineLevel="0" collapsed="false">
      <c r="A465" s="7" t="s">
        <v>6947</v>
      </c>
      <c r="B465" s="7" t="s">
        <v>6964</v>
      </c>
      <c r="C465" s="7" t="s">
        <v>687</v>
      </c>
      <c r="D465" s="7" t="n">
        <v>2460</v>
      </c>
      <c r="E465" s="7" t="s">
        <v>50</v>
      </c>
      <c r="F465" s="7" t="n">
        <v>-29.694221</v>
      </c>
      <c r="G465" s="7" t="n">
        <v>152.937854</v>
      </c>
      <c r="H465" s="7" t="s">
        <v>6965</v>
      </c>
    </row>
    <row r="466" customFormat="false" ht="15" hidden="false" customHeight="false" outlineLevel="0" collapsed="false">
      <c r="A466" s="7" t="s">
        <v>6947</v>
      </c>
      <c r="B466" s="7" t="s">
        <v>6962</v>
      </c>
      <c r="C466" s="7" t="s">
        <v>688</v>
      </c>
      <c r="D466" s="7" t="n">
        <v>2031</v>
      </c>
      <c r="E466" s="7" t="s">
        <v>50</v>
      </c>
      <c r="F466" s="7" t="n">
        <v>-33.930625</v>
      </c>
      <c r="G466" s="7" t="n">
        <v>151.246469</v>
      </c>
      <c r="H466" s="7" t="s">
        <v>6983</v>
      </c>
    </row>
    <row r="467" customFormat="false" ht="15" hidden="false" customHeight="false" outlineLevel="0" collapsed="false">
      <c r="A467" s="7" t="s">
        <v>6947</v>
      </c>
      <c r="B467" s="7" t="s">
        <v>6977</v>
      </c>
      <c r="C467" s="7" t="s">
        <v>689</v>
      </c>
      <c r="D467" s="7" t="n">
        <v>2264</v>
      </c>
      <c r="E467" s="7" t="s">
        <v>50</v>
      </c>
      <c r="F467" s="7" t="n">
        <v>-33.123307</v>
      </c>
      <c r="G467" s="7" t="n">
        <v>151.477949</v>
      </c>
      <c r="H467" s="7" t="s">
        <v>6984</v>
      </c>
    </row>
    <row r="468" customFormat="false" ht="15" hidden="false" customHeight="false" outlineLevel="0" collapsed="false">
      <c r="A468" s="7" t="s">
        <v>6947</v>
      </c>
      <c r="B468" s="7" t="s">
        <v>6967</v>
      </c>
      <c r="C468" s="7" t="s">
        <v>690</v>
      </c>
      <c r="D468" s="7" t="n">
        <v>2099</v>
      </c>
      <c r="E468" s="7" t="s">
        <v>50</v>
      </c>
      <c r="F468" s="7" t="n">
        <v>-33.754421</v>
      </c>
      <c r="G468" s="7" t="n">
        <v>151.287333</v>
      </c>
      <c r="H468" s="7" t="s">
        <v>6968</v>
      </c>
    </row>
    <row r="469" customFormat="false" ht="15" hidden="false" customHeight="false" outlineLevel="0" collapsed="false">
      <c r="A469" s="7" t="s">
        <v>6947</v>
      </c>
      <c r="B469" s="7" t="s">
        <v>6977</v>
      </c>
      <c r="C469" s="7" t="s">
        <v>691</v>
      </c>
      <c r="D469" s="7" t="n">
        <v>2010</v>
      </c>
      <c r="E469" s="7" t="s">
        <v>50</v>
      </c>
      <c r="F469" s="7" t="n">
        <v>-33.881921</v>
      </c>
      <c r="G469" s="7" t="n">
        <v>151.209762</v>
      </c>
      <c r="H469" s="7" t="s">
        <v>6984</v>
      </c>
    </row>
    <row r="470" customFormat="false" ht="15" hidden="false" customHeight="false" outlineLevel="0" collapsed="false">
      <c r="A470" s="7" t="s">
        <v>6947</v>
      </c>
      <c r="B470" s="7" t="s">
        <v>6964</v>
      </c>
      <c r="C470" s="7" t="s">
        <v>692</v>
      </c>
      <c r="D470" s="7" t="n">
        <v>2299</v>
      </c>
      <c r="E470" s="7" t="s">
        <v>50</v>
      </c>
      <c r="F470" s="7" t="n">
        <v>-32.902965</v>
      </c>
      <c r="G470" s="7" t="n">
        <v>151.689852</v>
      </c>
      <c r="H470" s="7" t="s">
        <v>6975</v>
      </c>
    </row>
    <row r="471" customFormat="false" ht="15" hidden="false" customHeight="false" outlineLevel="0" collapsed="false">
      <c r="A471" s="7" t="s">
        <v>6947</v>
      </c>
      <c r="B471" s="7" t="s">
        <v>6958</v>
      </c>
      <c r="C471" s="7" t="s">
        <v>693</v>
      </c>
      <c r="D471" s="7" t="n">
        <v>2481</v>
      </c>
      <c r="E471" s="7" t="s">
        <v>50</v>
      </c>
      <c r="F471" s="7" t="n">
        <v>-28.643274</v>
      </c>
      <c r="G471" s="7" t="n">
        <v>153.615875</v>
      </c>
      <c r="H471" s="7" t="s">
        <v>7046</v>
      </c>
    </row>
    <row r="472" customFormat="false" ht="15" hidden="false" customHeight="false" outlineLevel="0" collapsed="false">
      <c r="A472" s="7" t="s">
        <v>6947</v>
      </c>
      <c r="B472" s="7" t="s">
        <v>6964</v>
      </c>
      <c r="C472" s="7" t="s">
        <v>695</v>
      </c>
      <c r="D472" s="7" t="n">
        <v>2320</v>
      </c>
      <c r="E472" s="7" t="s">
        <v>50</v>
      </c>
      <c r="F472" s="7" t="n">
        <v>-32.73733</v>
      </c>
      <c r="G472" s="7" t="n">
        <v>151.317818</v>
      </c>
      <c r="H472" s="7" t="s">
        <v>6965</v>
      </c>
    </row>
    <row r="473" customFormat="false" ht="15" hidden="false" customHeight="false" outlineLevel="0" collapsed="false">
      <c r="A473" s="7" t="s">
        <v>6947</v>
      </c>
      <c r="B473" s="7" t="s">
        <v>6967</v>
      </c>
      <c r="C473" s="7" t="s">
        <v>697</v>
      </c>
      <c r="D473" s="7" t="n">
        <v>2074</v>
      </c>
      <c r="E473" s="7" t="s">
        <v>50</v>
      </c>
      <c r="F473" s="7" t="n">
        <v>-33.732351</v>
      </c>
      <c r="G473" s="7" t="n">
        <v>151.13071</v>
      </c>
      <c r="H473" s="7" t="s">
        <v>6968</v>
      </c>
    </row>
    <row r="474" customFormat="false" ht="15" hidden="false" customHeight="false" outlineLevel="0" collapsed="false">
      <c r="A474" s="7" t="s">
        <v>6947</v>
      </c>
      <c r="B474" s="7" t="s">
        <v>6977</v>
      </c>
      <c r="C474" s="7" t="s">
        <v>698</v>
      </c>
      <c r="D474" s="7" t="n">
        <v>2540</v>
      </c>
      <c r="E474" s="7" t="s">
        <v>50</v>
      </c>
      <c r="F474" s="7" t="n">
        <v>-35.04138</v>
      </c>
      <c r="G474" s="7" t="n">
        <v>150.672272</v>
      </c>
      <c r="H474" s="7" t="s">
        <v>6991</v>
      </c>
    </row>
    <row r="475" customFormat="false" ht="15" hidden="false" customHeight="false" outlineLevel="0" collapsed="false">
      <c r="A475" s="7" t="s">
        <v>6947</v>
      </c>
      <c r="B475" s="7" t="s">
        <v>6962</v>
      </c>
      <c r="C475" s="7" t="s">
        <v>699</v>
      </c>
      <c r="D475" s="7" t="n">
        <v>2140</v>
      </c>
      <c r="E475" s="7" t="s">
        <v>50</v>
      </c>
      <c r="F475" s="7" t="n">
        <v>-33.86413</v>
      </c>
      <c r="G475" s="7" t="n">
        <v>151.084538</v>
      </c>
      <c r="H475" s="7" t="s">
        <v>7015</v>
      </c>
    </row>
    <row r="476" customFormat="false" ht="15" hidden="false" customHeight="false" outlineLevel="0" collapsed="false">
      <c r="A476" s="7" t="s">
        <v>6947</v>
      </c>
      <c r="B476" s="7" t="s">
        <v>6967</v>
      </c>
      <c r="C476" s="7" t="s">
        <v>700</v>
      </c>
      <c r="D476" s="7" t="n">
        <v>2464</v>
      </c>
      <c r="E476" s="7" t="s">
        <v>50</v>
      </c>
      <c r="F476" s="7" t="n">
        <v>-29.561229</v>
      </c>
      <c r="G476" s="7" t="n">
        <v>153.149277</v>
      </c>
      <c r="H476" s="7" t="s">
        <v>6968</v>
      </c>
    </row>
    <row r="477" customFormat="false" ht="15" hidden="false" customHeight="false" outlineLevel="0" collapsed="false">
      <c r="A477" s="7" t="s">
        <v>6947</v>
      </c>
      <c r="B477" s="7" t="s">
        <v>6962</v>
      </c>
      <c r="C477" s="7" t="s">
        <v>701</v>
      </c>
      <c r="D477" s="7" t="n">
        <v>2158</v>
      </c>
      <c r="E477" s="7" t="s">
        <v>50</v>
      </c>
      <c r="F477" s="7" t="n">
        <v>-33.69571</v>
      </c>
      <c r="G477" s="7" t="n">
        <v>151.031465</v>
      </c>
      <c r="H477" s="7" t="s">
        <v>6983</v>
      </c>
    </row>
    <row r="478" customFormat="false" ht="15" hidden="false" customHeight="false" outlineLevel="0" collapsed="false">
      <c r="A478" s="7" t="s">
        <v>6947</v>
      </c>
      <c r="B478" s="7" t="s">
        <v>6964</v>
      </c>
      <c r="C478" s="7" t="s">
        <v>702</v>
      </c>
      <c r="D478" s="7" t="n">
        <v>2084</v>
      </c>
      <c r="E478" s="7" t="s">
        <v>50</v>
      </c>
      <c r="F478" s="7" t="n">
        <v>-33.689115</v>
      </c>
      <c r="G478" s="7" t="n">
        <v>151.223974</v>
      </c>
      <c r="H478" s="7" t="s">
        <v>6965</v>
      </c>
    </row>
    <row r="479" customFormat="false" ht="15" hidden="false" customHeight="false" outlineLevel="0" collapsed="false">
      <c r="A479" s="7" t="s">
        <v>6947</v>
      </c>
      <c r="B479" s="7" t="s">
        <v>6987</v>
      </c>
      <c r="C479" s="7" t="s">
        <v>703</v>
      </c>
      <c r="D479" s="7" t="n">
        <v>2155</v>
      </c>
      <c r="E479" s="7" t="s">
        <v>50</v>
      </c>
      <c r="F479" s="7" t="n">
        <v>-33.712525</v>
      </c>
      <c r="G479" s="7" t="n">
        <v>150.958341</v>
      </c>
      <c r="H479" s="7" t="s">
        <v>6988</v>
      </c>
    </row>
    <row r="480" customFormat="false" ht="15" hidden="false" customHeight="false" outlineLevel="0" collapsed="false">
      <c r="A480" s="7" t="s">
        <v>6947</v>
      </c>
      <c r="B480" s="7" t="s">
        <v>6964</v>
      </c>
      <c r="C480" s="7" t="s">
        <v>704</v>
      </c>
      <c r="D480" s="7" t="n">
        <v>2290</v>
      </c>
      <c r="E480" s="7" t="s">
        <v>50</v>
      </c>
      <c r="F480" s="7" t="n">
        <v>-32.956943</v>
      </c>
      <c r="G480" s="7" t="n">
        <v>151.701021</v>
      </c>
      <c r="H480" s="7" t="s">
        <v>6965</v>
      </c>
    </row>
    <row r="481" customFormat="false" ht="15" hidden="false" customHeight="false" outlineLevel="0" collapsed="false">
      <c r="A481" s="7" t="s">
        <v>6947</v>
      </c>
      <c r="B481" s="7" t="s">
        <v>7033</v>
      </c>
      <c r="C481" s="7" t="s">
        <v>705</v>
      </c>
      <c r="D481" s="7" t="n">
        <v>2300</v>
      </c>
      <c r="E481" s="7" t="s">
        <v>50</v>
      </c>
      <c r="F481" s="7" t="n">
        <v>-32.928821</v>
      </c>
      <c r="G481" s="7" t="n">
        <v>151.76801</v>
      </c>
      <c r="H481" s="7" t="s">
        <v>7047</v>
      </c>
    </row>
    <row r="482" customFormat="false" ht="15" hidden="false" customHeight="false" outlineLevel="0" collapsed="false">
      <c r="A482" s="7" t="s">
        <v>6947</v>
      </c>
      <c r="B482" s="7" t="s">
        <v>6987</v>
      </c>
      <c r="C482" s="7" t="s">
        <v>706</v>
      </c>
      <c r="D482" s="7" t="n">
        <v>2210</v>
      </c>
      <c r="E482" s="7" t="s">
        <v>50</v>
      </c>
      <c r="F482" s="7" t="n">
        <v>-33.950772</v>
      </c>
      <c r="G482" s="7" t="n">
        <v>151.051971</v>
      </c>
      <c r="H482" s="7" t="s">
        <v>6988</v>
      </c>
    </row>
    <row r="483" customFormat="false" ht="15" hidden="false" customHeight="false" outlineLevel="0" collapsed="false">
      <c r="A483" s="7" t="s">
        <v>6947</v>
      </c>
      <c r="B483" s="7" t="s">
        <v>6964</v>
      </c>
      <c r="C483" s="7" t="s">
        <v>707</v>
      </c>
      <c r="D483" s="7" t="n">
        <v>2800</v>
      </c>
      <c r="E483" s="7" t="s">
        <v>50</v>
      </c>
      <c r="F483" s="7" t="n">
        <v>-33.30906</v>
      </c>
      <c r="G483" s="7" t="n">
        <v>149.019651</v>
      </c>
      <c r="H483" s="7" t="s">
        <v>6965</v>
      </c>
    </row>
    <row r="484" customFormat="false" ht="15" hidden="false" customHeight="false" outlineLevel="0" collapsed="false">
      <c r="A484" s="7" t="s">
        <v>6947</v>
      </c>
      <c r="B484" s="7" t="s">
        <v>6964</v>
      </c>
      <c r="C484" s="7" t="s">
        <v>707</v>
      </c>
      <c r="D484" s="7" t="n">
        <v>2800</v>
      </c>
      <c r="E484" s="7" t="s">
        <v>50</v>
      </c>
      <c r="F484" s="7" t="n">
        <v>-33.311782</v>
      </c>
      <c r="G484" s="7" t="n">
        <v>149.021359</v>
      </c>
      <c r="H484" s="7" t="s">
        <v>6975</v>
      </c>
    </row>
    <row r="485" customFormat="false" ht="15" hidden="false" customHeight="false" outlineLevel="0" collapsed="false">
      <c r="A485" s="7" t="s">
        <v>6947</v>
      </c>
      <c r="B485" s="7" t="s">
        <v>6962</v>
      </c>
      <c r="C485" s="7" t="s">
        <v>708</v>
      </c>
      <c r="D485" s="7" t="n">
        <v>2029</v>
      </c>
      <c r="E485" s="7" t="s">
        <v>50</v>
      </c>
      <c r="F485" s="7" t="n">
        <v>-33.871623</v>
      </c>
      <c r="G485" s="7" t="n">
        <v>151.268174</v>
      </c>
      <c r="H485" s="7" t="s">
        <v>6983</v>
      </c>
    </row>
    <row r="486" customFormat="false" ht="15" hidden="false" customHeight="false" outlineLevel="0" collapsed="false">
      <c r="A486" s="7" t="s">
        <v>6947</v>
      </c>
      <c r="B486" s="7" t="s">
        <v>6964</v>
      </c>
      <c r="C486" s="7" t="s">
        <v>709</v>
      </c>
      <c r="D486" s="7" t="n">
        <v>2033</v>
      </c>
      <c r="E486" s="7" t="s">
        <v>50</v>
      </c>
      <c r="F486" s="7" t="n">
        <v>-33.903437</v>
      </c>
      <c r="G486" s="7" t="n">
        <v>151.214948</v>
      </c>
      <c r="H486" s="7" t="s">
        <v>6975</v>
      </c>
    </row>
    <row r="487" customFormat="false" ht="15" hidden="false" customHeight="false" outlineLevel="0" collapsed="false">
      <c r="A487" s="7" t="s">
        <v>6947</v>
      </c>
      <c r="B487" s="7" t="s">
        <v>710</v>
      </c>
      <c r="C487" s="7" t="s">
        <v>711</v>
      </c>
      <c r="D487" s="7" t="n">
        <v>2322</v>
      </c>
      <c r="E487" s="7" t="s">
        <v>50</v>
      </c>
      <c r="F487" s="7" t="n">
        <v>-32.802623</v>
      </c>
      <c r="G487" s="7" t="n">
        <v>151.63329</v>
      </c>
      <c r="H487" s="7" t="s">
        <v>7048</v>
      </c>
    </row>
    <row r="488" customFormat="false" ht="15" hidden="false" customHeight="false" outlineLevel="0" collapsed="false">
      <c r="A488" s="7" t="s">
        <v>6947</v>
      </c>
      <c r="B488" s="7" t="s">
        <v>6993</v>
      </c>
      <c r="C488" s="7" t="s">
        <v>712</v>
      </c>
      <c r="D488" s="7" t="n">
        <v>2042</v>
      </c>
      <c r="E488" s="7" t="s">
        <v>50</v>
      </c>
      <c r="F488" s="7" t="n">
        <v>-33.895295</v>
      </c>
      <c r="G488" s="7" t="n">
        <v>151.182614</v>
      </c>
      <c r="H488" s="7" t="s">
        <v>6994</v>
      </c>
    </row>
    <row r="489" customFormat="false" ht="15" hidden="false" customHeight="false" outlineLevel="0" collapsed="false">
      <c r="A489" s="7" t="s">
        <v>6947</v>
      </c>
      <c r="B489" s="7" t="s">
        <v>6967</v>
      </c>
      <c r="C489" s="7" t="s">
        <v>713</v>
      </c>
      <c r="D489" s="7" t="n">
        <v>2620</v>
      </c>
      <c r="E489" s="7" t="s">
        <v>50</v>
      </c>
      <c r="F489" s="7" t="n">
        <v>-35.347397</v>
      </c>
      <c r="G489" s="7" t="n">
        <v>149.245403</v>
      </c>
      <c r="H489" s="7" t="s">
        <v>6968</v>
      </c>
    </row>
    <row r="490" customFormat="false" ht="15" hidden="false" customHeight="false" outlineLevel="0" collapsed="false">
      <c r="A490" s="7" t="s">
        <v>6947</v>
      </c>
      <c r="B490" s="7" t="s">
        <v>6964</v>
      </c>
      <c r="C490" s="7" t="s">
        <v>714</v>
      </c>
      <c r="D490" s="7" t="n">
        <v>2481</v>
      </c>
      <c r="E490" s="7" t="s">
        <v>50</v>
      </c>
      <c r="F490" s="7" t="n">
        <v>-28.639639</v>
      </c>
      <c r="G490" s="7" t="n">
        <v>153.607712</v>
      </c>
      <c r="H490" s="7" t="s">
        <v>6965</v>
      </c>
    </row>
    <row r="491" customFormat="false" ht="15" hidden="false" customHeight="false" outlineLevel="0" collapsed="false">
      <c r="A491" s="7" t="s">
        <v>6947</v>
      </c>
      <c r="B491" s="7" t="s">
        <v>6977</v>
      </c>
      <c r="C491" s="7" t="s">
        <v>715</v>
      </c>
      <c r="D491" s="7" t="n">
        <v>2153</v>
      </c>
      <c r="E491" s="7" t="s">
        <v>50</v>
      </c>
      <c r="F491" s="7" t="n">
        <v>-33.730529</v>
      </c>
      <c r="G491" s="7" t="n">
        <v>150.971738</v>
      </c>
      <c r="H491" s="7" t="s">
        <v>6981</v>
      </c>
    </row>
    <row r="492" customFormat="false" ht="15" hidden="false" customHeight="false" outlineLevel="0" collapsed="false">
      <c r="A492" s="7" t="s">
        <v>6947</v>
      </c>
      <c r="B492" s="7" t="s">
        <v>6962</v>
      </c>
      <c r="C492" s="7" t="s">
        <v>716</v>
      </c>
      <c r="D492" s="7" t="n">
        <v>2550</v>
      </c>
      <c r="E492" s="7" t="s">
        <v>50</v>
      </c>
      <c r="F492" s="7" t="n">
        <v>-36.697259</v>
      </c>
      <c r="G492" s="7" t="n">
        <v>149.841863</v>
      </c>
      <c r="H492" s="7" t="s">
        <v>6980</v>
      </c>
    </row>
    <row r="493" customFormat="false" ht="15" hidden="false" customHeight="false" outlineLevel="0" collapsed="false">
      <c r="A493" s="7" t="s">
        <v>6947</v>
      </c>
      <c r="B493" s="7" t="s">
        <v>6977</v>
      </c>
      <c r="C493" s="7" t="s">
        <v>717</v>
      </c>
      <c r="D493" s="7" t="n">
        <v>2570</v>
      </c>
      <c r="E493" s="7" t="s">
        <v>50</v>
      </c>
      <c r="F493" s="7" t="n">
        <v>-34.000188</v>
      </c>
      <c r="G493" s="7" t="n">
        <v>150.738844</v>
      </c>
      <c r="H493" s="7" t="s">
        <v>6981</v>
      </c>
    </row>
    <row r="494" customFormat="false" ht="15" hidden="false" customHeight="false" outlineLevel="0" collapsed="false">
      <c r="A494" s="7" t="s">
        <v>6947</v>
      </c>
      <c r="B494" s="7" t="s">
        <v>6967</v>
      </c>
      <c r="C494" s="7" t="s">
        <v>718</v>
      </c>
      <c r="D494" s="7" t="n">
        <v>2137</v>
      </c>
      <c r="E494" s="7" t="s">
        <v>50</v>
      </c>
      <c r="F494" s="7" t="n">
        <v>-33.863902</v>
      </c>
      <c r="G494" s="7" t="n">
        <v>151.089452</v>
      </c>
      <c r="H494" s="7" t="s">
        <v>6968</v>
      </c>
    </row>
    <row r="495" customFormat="false" ht="15" hidden="false" customHeight="false" outlineLevel="0" collapsed="false">
      <c r="A495" s="7" t="s">
        <v>6947</v>
      </c>
      <c r="B495" s="7" t="s">
        <v>6964</v>
      </c>
      <c r="C495" s="7" t="s">
        <v>719</v>
      </c>
      <c r="D495" s="7" t="n">
        <v>2315</v>
      </c>
      <c r="E495" s="7" t="s">
        <v>50</v>
      </c>
      <c r="F495" s="7" t="n">
        <v>-32.720738</v>
      </c>
      <c r="G495" s="7" t="n">
        <v>152.142984</v>
      </c>
      <c r="H495" s="7" t="s">
        <v>6965</v>
      </c>
    </row>
    <row r="496" customFormat="false" ht="15" hidden="false" customHeight="false" outlineLevel="0" collapsed="false">
      <c r="A496" s="7" t="s">
        <v>6947</v>
      </c>
      <c r="B496" s="7" t="s">
        <v>6993</v>
      </c>
      <c r="C496" s="7" t="s">
        <v>720</v>
      </c>
      <c r="D496" s="7" t="n">
        <v>2094</v>
      </c>
      <c r="E496" s="7" t="s">
        <v>50</v>
      </c>
      <c r="F496" s="7" t="n">
        <v>-33.796084</v>
      </c>
      <c r="G496" s="7" t="n">
        <v>151.275595</v>
      </c>
      <c r="H496" s="7" t="s">
        <v>6994</v>
      </c>
    </row>
    <row r="497" customFormat="false" ht="15" hidden="false" customHeight="false" outlineLevel="0" collapsed="false">
      <c r="A497" s="7" t="s">
        <v>6947</v>
      </c>
      <c r="B497" s="7" t="s">
        <v>6967</v>
      </c>
      <c r="C497" s="7" t="s">
        <v>721</v>
      </c>
      <c r="D497" s="7" t="n">
        <v>2486</v>
      </c>
      <c r="E497" s="7" t="s">
        <v>50</v>
      </c>
      <c r="F497" s="7" t="n">
        <v>-28.215101</v>
      </c>
      <c r="G497" s="7" t="n">
        <v>153.540438</v>
      </c>
      <c r="H497" s="7" t="s">
        <v>6968</v>
      </c>
    </row>
    <row r="498" customFormat="false" ht="15" hidden="false" customHeight="false" outlineLevel="0" collapsed="false">
      <c r="A498" s="7" t="s">
        <v>6947</v>
      </c>
      <c r="B498" s="7" t="s">
        <v>7006</v>
      </c>
      <c r="C498" s="7" t="s">
        <v>722</v>
      </c>
      <c r="D498" s="7" t="n">
        <v>2537</v>
      </c>
      <c r="E498" s="7" t="s">
        <v>50</v>
      </c>
      <c r="F498" s="7" t="n">
        <v>-35.85679</v>
      </c>
      <c r="G498" s="7" t="n">
        <v>150.174882</v>
      </c>
      <c r="H498" s="7" t="s">
        <v>7049</v>
      </c>
    </row>
    <row r="499" customFormat="false" ht="15" hidden="false" customHeight="false" outlineLevel="0" collapsed="false">
      <c r="A499" s="7" t="s">
        <v>6947</v>
      </c>
      <c r="B499" s="7" t="s">
        <v>6977</v>
      </c>
      <c r="C499" s="7" t="s">
        <v>723</v>
      </c>
      <c r="D499" s="7" t="n">
        <v>2135</v>
      </c>
      <c r="E499" s="7" t="s">
        <v>50</v>
      </c>
      <c r="F499" s="7" t="n">
        <v>-33.874248</v>
      </c>
      <c r="G499" s="7" t="n">
        <v>151.092115</v>
      </c>
      <c r="H499" s="7" t="s">
        <v>6981</v>
      </c>
    </row>
    <row r="500" customFormat="false" ht="15" hidden="false" customHeight="false" outlineLevel="0" collapsed="false">
      <c r="A500" s="7" t="s">
        <v>6947</v>
      </c>
      <c r="B500" s="7" t="s">
        <v>6962</v>
      </c>
      <c r="C500" s="7" t="s">
        <v>724</v>
      </c>
      <c r="D500" s="7" t="n">
        <v>2739</v>
      </c>
      <c r="E500" s="7" t="s">
        <v>50</v>
      </c>
      <c r="F500" s="7" t="n">
        <v>-34.174398</v>
      </c>
      <c r="G500" s="7" t="n">
        <v>142.198676</v>
      </c>
      <c r="H500" s="7" t="s">
        <v>6983</v>
      </c>
    </row>
    <row r="501" customFormat="false" ht="15" hidden="false" customHeight="false" outlineLevel="0" collapsed="false">
      <c r="A501" s="7" t="s">
        <v>6947</v>
      </c>
      <c r="B501" s="7" t="s">
        <v>6993</v>
      </c>
      <c r="C501" s="7" t="s">
        <v>725</v>
      </c>
      <c r="D501" s="7" t="n">
        <v>2431</v>
      </c>
      <c r="E501" s="7" t="s">
        <v>50</v>
      </c>
      <c r="F501" s="7" t="n">
        <v>-30.885472</v>
      </c>
      <c r="G501" s="7" t="n">
        <v>153.039447</v>
      </c>
      <c r="H501" s="7" t="s">
        <v>6994</v>
      </c>
    </row>
    <row r="502" customFormat="false" ht="15" hidden="false" customHeight="false" outlineLevel="0" collapsed="false">
      <c r="A502" s="7" t="s">
        <v>6947</v>
      </c>
      <c r="B502" s="7" t="s">
        <v>6977</v>
      </c>
      <c r="C502" s="7" t="s">
        <v>726</v>
      </c>
      <c r="D502" s="7" t="n">
        <v>2113</v>
      </c>
      <c r="E502" s="7" t="s">
        <v>50</v>
      </c>
      <c r="F502" s="7" t="n">
        <v>-33.787448</v>
      </c>
      <c r="G502" s="7" t="n">
        <v>151.128701</v>
      </c>
      <c r="H502" s="7" t="s">
        <v>6981</v>
      </c>
    </row>
    <row r="503" customFormat="false" ht="15" hidden="false" customHeight="false" outlineLevel="0" collapsed="false">
      <c r="A503" s="7" t="s">
        <v>6947</v>
      </c>
      <c r="B503" s="7" t="s">
        <v>6987</v>
      </c>
      <c r="C503" s="7" t="s">
        <v>727</v>
      </c>
      <c r="D503" s="7" t="n">
        <v>2096</v>
      </c>
      <c r="E503" s="7" t="s">
        <v>50</v>
      </c>
      <c r="F503" s="7" t="n">
        <v>-33.778977</v>
      </c>
      <c r="G503" s="7" t="n">
        <v>151.28389</v>
      </c>
      <c r="H503" s="7" t="s">
        <v>6988</v>
      </c>
    </row>
    <row r="504" customFormat="false" ht="15" hidden="false" customHeight="false" outlineLevel="0" collapsed="false">
      <c r="A504" s="7" t="s">
        <v>6947</v>
      </c>
      <c r="B504" s="7" t="s">
        <v>6964</v>
      </c>
      <c r="C504" s="7" t="s">
        <v>728</v>
      </c>
      <c r="D504" s="7" t="n">
        <v>2535</v>
      </c>
      <c r="E504" s="7" t="s">
        <v>50</v>
      </c>
      <c r="F504" s="7" t="n">
        <v>-34.850155</v>
      </c>
      <c r="G504" s="7" t="n">
        <v>150.747815</v>
      </c>
      <c r="H504" s="7" t="s">
        <v>6965</v>
      </c>
    </row>
    <row r="505" customFormat="false" ht="15" hidden="false" customHeight="false" outlineLevel="0" collapsed="false">
      <c r="A505" s="7" t="s">
        <v>6947</v>
      </c>
      <c r="B505" s="7" t="s">
        <v>6987</v>
      </c>
      <c r="C505" s="7" t="s">
        <v>729</v>
      </c>
      <c r="D505" s="7" t="n">
        <v>2134</v>
      </c>
      <c r="E505" s="7" t="s">
        <v>50</v>
      </c>
      <c r="F505" s="7" t="n">
        <v>-33.869422</v>
      </c>
      <c r="G505" s="7" t="n">
        <v>151.108024</v>
      </c>
      <c r="H505" s="7" t="s">
        <v>6988</v>
      </c>
    </row>
    <row r="506" customFormat="false" ht="15" hidden="false" customHeight="false" outlineLevel="0" collapsed="false">
      <c r="A506" s="7" t="s">
        <v>6947</v>
      </c>
      <c r="B506" s="7" t="s">
        <v>6962</v>
      </c>
      <c r="C506" s="7" t="s">
        <v>730</v>
      </c>
      <c r="D506" s="7" t="n">
        <v>2250</v>
      </c>
      <c r="E506" s="7" t="s">
        <v>50</v>
      </c>
      <c r="F506" s="7" t="n">
        <v>-33.409413</v>
      </c>
      <c r="G506" s="7" t="n">
        <v>151.350745</v>
      </c>
      <c r="H506" s="7" t="s">
        <v>6980</v>
      </c>
    </row>
    <row r="507" customFormat="false" ht="15" hidden="false" customHeight="false" outlineLevel="0" collapsed="false">
      <c r="A507" s="7" t="s">
        <v>6947</v>
      </c>
      <c r="B507" s="7" t="s">
        <v>6962</v>
      </c>
      <c r="C507" s="7" t="s">
        <v>731</v>
      </c>
      <c r="D507" s="7" t="n">
        <v>2427</v>
      </c>
      <c r="E507" s="7" t="s">
        <v>50</v>
      </c>
      <c r="F507" s="7" t="n">
        <v>-31.871278</v>
      </c>
      <c r="G507" s="7" t="n">
        <v>152.68597</v>
      </c>
      <c r="H507" s="7" t="s">
        <v>6983</v>
      </c>
    </row>
    <row r="508" customFormat="false" ht="15" hidden="false" customHeight="false" outlineLevel="0" collapsed="false">
      <c r="A508" s="7" t="s">
        <v>6947</v>
      </c>
      <c r="B508" s="7" t="s">
        <v>6964</v>
      </c>
      <c r="C508" s="7" t="s">
        <v>732</v>
      </c>
      <c r="D508" s="7" t="n">
        <v>2450</v>
      </c>
      <c r="E508" s="7" t="s">
        <v>50</v>
      </c>
      <c r="F508" s="7" t="n">
        <v>-30.306104</v>
      </c>
      <c r="G508" s="7" t="n">
        <v>153.137202</v>
      </c>
      <c r="H508" s="7" t="s">
        <v>6965</v>
      </c>
    </row>
    <row r="509" customFormat="false" ht="15" hidden="false" customHeight="false" outlineLevel="0" collapsed="false">
      <c r="A509" s="7" t="s">
        <v>6947</v>
      </c>
      <c r="B509" s="7" t="s">
        <v>6964</v>
      </c>
      <c r="C509" s="7" t="s">
        <v>733</v>
      </c>
      <c r="D509" s="7" t="n">
        <v>2630</v>
      </c>
      <c r="E509" s="7" t="s">
        <v>50</v>
      </c>
      <c r="F509" s="7" t="n">
        <v>-36.232941</v>
      </c>
      <c r="G509" s="7" t="n">
        <v>149.13229</v>
      </c>
      <c r="H509" s="7" t="s">
        <v>7050</v>
      </c>
    </row>
    <row r="510" customFormat="false" ht="15" hidden="false" customHeight="false" outlineLevel="0" collapsed="false">
      <c r="A510" s="7" t="s">
        <v>6947</v>
      </c>
      <c r="B510" s="7" t="s">
        <v>6964</v>
      </c>
      <c r="C510" s="7" t="s">
        <v>734</v>
      </c>
      <c r="D510" s="7" t="n">
        <v>2113</v>
      </c>
      <c r="E510" s="7" t="s">
        <v>50</v>
      </c>
      <c r="F510" s="7" t="n">
        <v>-33.780807</v>
      </c>
      <c r="G510" s="7" t="n">
        <v>151.133811</v>
      </c>
      <c r="H510" s="7" t="s">
        <v>6965</v>
      </c>
    </row>
    <row r="511" customFormat="false" ht="15" hidden="false" customHeight="false" outlineLevel="0" collapsed="false">
      <c r="A511" s="7" t="s">
        <v>6947</v>
      </c>
      <c r="B511" s="7" t="s">
        <v>6977</v>
      </c>
      <c r="C511" s="7" t="s">
        <v>735</v>
      </c>
      <c r="D511" s="7" t="n">
        <v>2208</v>
      </c>
      <c r="E511" s="7" t="s">
        <v>50</v>
      </c>
      <c r="F511" s="7" t="n">
        <v>-33.93524</v>
      </c>
      <c r="G511" s="7" t="n">
        <v>151.098672</v>
      </c>
      <c r="H511" s="7" t="s">
        <v>6989</v>
      </c>
    </row>
    <row r="512" customFormat="false" ht="15" hidden="false" customHeight="false" outlineLevel="0" collapsed="false">
      <c r="A512" s="7" t="s">
        <v>6947</v>
      </c>
      <c r="B512" s="7" t="s">
        <v>6964</v>
      </c>
      <c r="C512" s="7" t="s">
        <v>736</v>
      </c>
      <c r="D512" s="7" t="n">
        <v>2540</v>
      </c>
      <c r="E512" s="7" t="s">
        <v>50</v>
      </c>
      <c r="F512" s="7" t="n">
        <v>-35.209025</v>
      </c>
      <c r="G512" s="7" t="n">
        <v>150.548962</v>
      </c>
      <c r="H512" s="7" t="s">
        <v>6965</v>
      </c>
    </row>
    <row r="513" customFormat="false" ht="15" hidden="false" customHeight="false" outlineLevel="0" collapsed="false">
      <c r="A513" s="7" t="s">
        <v>6947</v>
      </c>
      <c r="B513" s="7" t="s">
        <v>6964</v>
      </c>
      <c r="C513" s="7" t="s">
        <v>737</v>
      </c>
      <c r="D513" s="7" t="n">
        <v>2350</v>
      </c>
      <c r="E513" s="7" t="s">
        <v>50</v>
      </c>
      <c r="F513" s="7" t="n">
        <v>-30.506223</v>
      </c>
      <c r="G513" s="7" t="n">
        <v>151.672875</v>
      </c>
      <c r="H513" s="7" t="s">
        <v>6965</v>
      </c>
    </row>
    <row r="514" customFormat="false" ht="15" hidden="false" customHeight="false" outlineLevel="0" collapsed="false">
      <c r="A514" s="7" t="s">
        <v>6947</v>
      </c>
      <c r="B514" s="7" t="s">
        <v>6964</v>
      </c>
      <c r="C514" s="7" t="s">
        <v>738</v>
      </c>
      <c r="D514" s="7" t="n">
        <v>2508</v>
      </c>
      <c r="E514" s="7" t="s">
        <v>50</v>
      </c>
      <c r="F514" s="7" t="n">
        <v>-34.221246</v>
      </c>
      <c r="G514" s="7" t="n">
        <v>150.978867</v>
      </c>
      <c r="H514" s="7" t="s">
        <v>6965</v>
      </c>
    </row>
    <row r="515" customFormat="false" ht="15" hidden="false" customHeight="false" outlineLevel="0" collapsed="false">
      <c r="A515" s="7" t="s">
        <v>6947</v>
      </c>
      <c r="B515" s="7" t="s">
        <v>6987</v>
      </c>
      <c r="C515" s="7" t="s">
        <v>739</v>
      </c>
      <c r="D515" s="7" t="n">
        <v>2220</v>
      </c>
      <c r="E515" s="7" t="s">
        <v>50</v>
      </c>
      <c r="F515" s="7" t="n">
        <v>-33.967862</v>
      </c>
      <c r="G515" s="7" t="n">
        <v>151.106056</v>
      </c>
      <c r="H515" s="7" t="s">
        <v>6988</v>
      </c>
    </row>
    <row r="516" customFormat="false" ht="15" hidden="false" customHeight="false" outlineLevel="0" collapsed="false">
      <c r="A516" s="7" t="s">
        <v>6947</v>
      </c>
      <c r="B516" s="7" t="s">
        <v>6964</v>
      </c>
      <c r="C516" s="7" t="s">
        <v>740</v>
      </c>
      <c r="D516" s="7" t="n">
        <v>2795</v>
      </c>
      <c r="E516" s="7" t="s">
        <v>50</v>
      </c>
      <c r="F516" s="7" t="n">
        <v>-33.39229</v>
      </c>
      <c r="G516" s="7" t="n">
        <v>149.517674</v>
      </c>
      <c r="H516" s="7" t="s">
        <v>6965</v>
      </c>
    </row>
    <row r="517" customFormat="false" ht="15" hidden="false" customHeight="false" outlineLevel="0" collapsed="false">
      <c r="A517" s="7" t="s">
        <v>6947</v>
      </c>
      <c r="B517" s="7" t="s">
        <v>6962</v>
      </c>
      <c r="C517" s="7" t="s">
        <v>741</v>
      </c>
      <c r="D517" s="7" t="n">
        <v>2340</v>
      </c>
      <c r="E517" s="7" t="s">
        <v>50</v>
      </c>
      <c r="F517" s="7" t="n">
        <v>-31.098718</v>
      </c>
      <c r="G517" s="7" t="n">
        <v>150.939448</v>
      </c>
      <c r="H517" s="7" t="s">
        <v>6983</v>
      </c>
    </row>
    <row r="518" customFormat="false" ht="15" hidden="false" customHeight="false" outlineLevel="0" collapsed="false">
      <c r="A518" s="7" t="s">
        <v>6947</v>
      </c>
      <c r="B518" s="7" t="s">
        <v>6964</v>
      </c>
      <c r="C518" s="7" t="s">
        <v>742</v>
      </c>
      <c r="D518" s="7" t="n">
        <v>2325</v>
      </c>
      <c r="E518" s="7" t="s">
        <v>50</v>
      </c>
      <c r="F518" s="7" t="n">
        <v>-32.830888</v>
      </c>
      <c r="G518" s="7" t="n">
        <v>151.320833</v>
      </c>
      <c r="H518" s="7" t="s">
        <v>6975</v>
      </c>
    </row>
    <row r="519" customFormat="false" ht="15" hidden="false" customHeight="false" outlineLevel="0" collapsed="false">
      <c r="A519" s="7" t="s">
        <v>6947</v>
      </c>
      <c r="B519" s="7" t="s">
        <v>7006</v>
      </c>
      <c r="C519" s="7" t="s">
        <v>743</v>
      </c>
      <c r="D519" s="7" t="n">
        <v>2150</v>
      </c>
      <c r="E519" s="7" t="s">
        <v>50</v>
      </c>
      <c r="F519" s="7" t="n">
        <v>-33.814361</v>
      </c>
      <c r="G519" s="7" t="n">
        <v>151.000606</v>
      </c>
      <c r="H519" s="7" t="s">
        <v>7051</v>
      </c>
    </row>
    <row r="520" customFormat="false" ht="15" hidden="false" customHeight="false" outlineLevel="0" collapsed="false">
      <c r="A520" s="7" t="s">
        <v>6947</v>
      </c>
      <c r="B520" s="7" t="s">
        <v>7006</v>
      </c>
      <c r="C520" s="7" t="s">
        <v>744</v>
      </c>
      <c r="D520" s="7" t="n">
        <v>2142</v>
      </c>
      <c r="E520" s="7" t="s">
        <v>50</v>
      </c>
      <c r="F520" s="7" t="n">
        <v>-33.825575</v>
      </c>
      <c r="G520" s="7" t="n">
        <v>151.005106</v>
      </c>
      <c r="H520" s="7" t="s">
        <v>7024</v>
      </c>
    </row>
    <row r="521" customFormat="false" ht="15" hidden="false" customHeight="false" outlineLevel="0" collapsed="false">
      <c r="A521" s="7" t="s">
        <v>6947</v>
      </c>
      <c r="B521" s="7" t="s">
        <v>6964</v>
      </c>
      <c r="C521" s="7" t="s">
        <v>745</v>
      </c>
      <c r="D521" s="7" t="n">
        <v>2261</v>
      </c>
      <c r="E521" s="7" t="s">
        <v>50</v>
      </c>
      <c r="F521" s="7" t="n">
        <v>-33.352469</v>
      </c>
      <c r="G521" s="7" t="n">
        <v>151.488968</v>
      </c>
      <c r="H521" s="7" t="s">
        <v>6975</v>
      </c>
    </row>
    <row r="522" customFormat="false" ht="15" hidden="false" customHeight="false" outlineLevel="0" collapsed="false">
      <c r="A522" s="7" t="s">
        <v>6947</v>
      </c>
      <c r="B522" s="7" t="s">
        <v>6977</v>
      </c>
      <c r="C522" s="7" t="s">
        <v>746</v>
      </c>
      <c r="D522" s="7" t="n">
        <v>2116</v>
      </c>
      <c r="E522" s="7" t="s">
        <v>50</v>
      </c>
      <c r="F522" s="7" t="n">
        <v>-33.81024</v>
      </c>
      <c r="G522" s="7" t="n">
        <v>151.03424</v>
      </c>
      <c r="H522" s="7" t="s">
        <v>6989</v>
      </c>
    </row>
    <row r="523" customFormat="false" ht="15" hidden="false" customHeight="false" outlineLevel="0" collapsed="false">
      <c r="A523" s="7" t="s">
        <v>6947</v>
      </c>
      <c r="B523" s="7" t="s">
        <v>6993</v>
      </c>
      <c r="C523" s="7" t="s">
        <v>747</v>
      </c>
      <c r="D523" s="7" t="n">
        <v>2010</v>
      </c>
      <c r="E523" s="7" t="s">
        <v>50</v>
      </c>
      <c r="F523" s="7" t="n">
        <v>-33.874948</v>
      </c>
      <c r="G523" s="7" t="n">
        <v>151.214184</v>
      </c>
      <c r="H523" s="7" t="s">
        <v>6994</v>
      </c>
    </row>
    <row r="524" customFormat="false" ht="15" hidden="false" customHeight="false" outlineLevel="0" collapsed="false">
      <c r="A524" s="7" t="s">
        <v>6947</v>
      </c>
      <c r="B524" s="7" t="s">
        <v>6964</v>
      </c>
      <c r="C524" s="7" t="s">
        <v>748</v>
      </c>
      <c r="D524" s="7" t="n">
        <v>2148</v>
      </c>
      <c r="E524" s="7" t="s">
        <v>50</v>
      </c>
      <c r="F524" s="7" t="n">
        <v>-33.806295</v>
      </c>
      <c r="G524" s="7" t="n">
        <v>150.902934</v>
      </c>
      <c r="H524" s="7" t="s">
        <v>6975</v>
      </c>
    </row>
    <row r="525" customFormat="false" ht="15" hidden="false" customHeight="false" outlineLevel="0" collapsed="false">
      <c r="A525" s="7" t="s">
        <v>6947</v>
      </c>
      <c r="B525" s="7" t="s">
        <v>6993</v>
      </c>
      <c r="C525" s="7" t="s">
        <v>749</v>
      </c>
      <c r="D525" s="7" t="n">
        <v>2026</v>
      </c>
      <c r="E525" s="7" t="s">
        <v>50</v>
      </c>
      <c r="F525" s="7" t="n">
        <v>-33.885563</v>
      </c>
      <c r="G525" s="7" t="n">
        <v>151.284044</v>
      </c>
      <c r="H525" s="7" t="s">
        <v>6994</v>
      </c>
    </row>
    <row r="526" customFormat="false" ht="15" hidden="false" customHeight="false" outlineLevel="0" collapsed="false">
      <c r="A526" s="7" t="s">
        <v>6947</v>
      </c>
      <c r="B526" s="7" t="s">
        <v>6967</v>
      </c>
      <c r="C526" s="7" t="s">
        <v>750</v>
      </c>
      <c r="D526" s="7" t="n">
        <v>2652</v>
      </c>
      <c r="E526" s="7" t="s">
        <v>50</v>
      </c>
      <c r="F526" s="7" t="n">
        <v>-35.277151</v>
      </c>
      <c r="G526" s="7" t="n">
        <v>147.736088</v>
      </c>
      <c r="H526" s="7" t="s">
        <v>6968</v>
      </c>
    </row>
    <row r="527" customFormat="false" ht="15" hidden="false" customHeight="false" outlineLevel="0" collapsed="false">
      <c r="A527" s="7" t="s">
        <v>6947</v>
      </c>
      <c r="B527" s="7" t="s">
        <v>6962</v>
      </c>
      <c r="C527" s="7" t="s">
        <v>751</v>
      </c>
      <c r="D527" s="7" t="n">
        <v>2541</v>
      </c>
      <c r="E527" s="7" t="s">
        <v>50</v>
      </c>
      <c r="F527" s="7" t="n">
        <v>-34.843569</v>
      </c>
      <c r="G527" s="7" t="n">
        <v>150.595537</v>
      </c>
      <c r="H527" s="7" t="s">
        <v>7005</v>
      </c>
    </row>
    <row r="528" customFormat="false" ht="15" hidden="false" customHeight="false" outlineLevel="0" collapsed="false">
      <c r="A528" s="7" t="s">
        <v>6947</v>
      </c>
      <c r="B528" s="7" t="s">
        <v>6967</v>
      </c>
      <c r="C528" s="7" t="s">
        <v>752</v>
      </c>
      <c r="D528" s="7" t="n">
        <v>2161</v>
      </c>
      <c r="E528" s="7" t="s">
        <v>50</v>
      </c>
      <c r="F528" s="7" t="n">
        <v>-33.852103</v>
      </c>
      <c r="G528" s="7" t="n">
        <v>150.995584</v>
      </c>
      <c r="H528" s="7" t="s">
        <v>6968</v>
      </c>
    </row>
    <row r="529" customFormat="false" ht="15" hidden="false" customHeight="false" outlineLevel="0" collapsed="false">
      <c r="A529" s="7" t="s">
        <v>6947</v>
      </c>
      <c r="B529" s="7" t="s">
        <v>6964</v>
      </c>
      <c r="C529" s="7" t="s">
        <v>753</v>
      </c>
      <c r="D529" s="7" t="n">
        <v>2729</v>
      </c>
      <c r="E529" s="7" t="s">
        <v>50</v>
      </c>
      <c r="F529" s="7" t="n">
        <v>-35.197012</v>
      </c>
      <c r="G529" s="7" t="n">
        <v>147.821999</v>
      </c>
      <c r="H529" s="7" t="s">
        <v>6965</v>
      </c>
    </row>
    <row r="530" customFormat="false" ht="15" hidden="false" customHeight="false" outlineLevel="0" collapsed="false">
      <c r="A530" s="7" t="s">
        <v>6947</v>
      </c>
      <c r="B530" s="7" t="s">
        <v>6960</v>
      </c>
      <c r="C530" s="7" t="s">
        <v>754</v>
      </c>
      <c r="D530" s="7" t="n">
        <v>2285</v>
      </c>
      <c r="E530" s="7" t="s">
        <v>50</v>
      </c>
      <c r="F530" s="7" t="n">
        <v>-32.93783</v>
      </c>
      <c r="G530" s="7" t="n">
        <v>151.656737</v>
      </c>
      <c r="H530" s="7" t="s">
        <v>6961</v>
      </c>
    </row>
    <row r="531" customFormat="false" ht="15" hidden="false" customHeight="false" outlineLevel="0" collapsed="false">
      <c r="A531" s="7" t="s">
        <v>6947</v>
      </c>
      <c r="B531" s="7" t="s">
        <v>6964</v>
      </c>
      <c r="C531" s="7" t="s">
        <v>755</v>
      </c>
      <c r="D531" s="7" t="n">
        <v>2850</v>
      </c>
      <c r="E531" s="7" t="s">
        <v>50</v>
      </c>
      <c r="F531" s="7" t="n">
        <v>-32.535941</v>
      </c>
      <c r="G531" s="7" t="n">
        <v>149.584216</v>
      </c>
      <c r="H531" s="7" t="s">
        <v>6965</v>
      </c>
    </row>
    <row r="532" customFormat="false" ht="15" hidden="false" customHeight="false" outlineLevel="0" collapsed="false">
      <c r="A532" s="7" t="s">
        <v>6947</v>
      </c>
      <c r="B532" s="7" t="s">
        <v>6960</v>
      </c>
      <c r="C532" s="7" t="s">
        <v>756</v>
      </c>
      <c r="D532" s="7" t="n">
        <v>2044</v>
      </c>
      <c r="E532" s="7" t="s">
        <v>50</v>
      </c>
      <c r="F532" s="7" t="n">
        <v>-33.916115</v>
      </c>
      <c r="G532" s="7" t="n">
        <v>151.172894</v>
      </c>
      <c r="H532" s="7" t="s">
        <v>7020</v>
      </c>
    </row>
    <row r="533" customFormat="false" ht="15" hidden="false" customHeight="false" outlineLevel="0" collapsed="false">
      <c r="A533" s="7" t="s">
        <v>6947</v>
      </c>
      <c r="B533" s="7" t="s">
        <v>7052</v>
      </c>
      <c r="C533" s="7" t="s">
        <v>757</v>
      </c>
      <c r="D533" s="7" t="n">
        <v>2028</v>
      </c>
      <c r="E533" s="7" t="s">
        <v>50</v>
      </c>
      <c r="F533" s="7" t="n">
        <v>-33.87601</v>
      </c>
      <c r="G533" s="7" t="n">
        <v>151.24327</v>
      </c>
      <c r="H533" s="7" t="s">
        <v>7053</v>
      </c>
    </row>
    <row r="534" customFormat="false" ht="15" hidden="false" customHeight="false" outlineLevel="0" collapsed="false">
      <c r="A534" s="7" t="s">
        <v>6947</v>
      </c>
      <c r="B534" s="7" t="s">
        <v>6962</v>
      </c>
      <c r="C534" s="7" t="s">
        <v>759</v>
      </c>
      <c r="D534" s="7" t="n">
        <v>2298</v>
      </c>
      <c r="E534" s="7" t="s">
        <v>50</v>
      </c>
      <c r="F534" s="7" t="n">
        <v>-32.908704</v>
      </c>
      <c r="G534" s="7" t="n">
        <v>151.730465</v>
      </c>
      <c r="H534" s="7" t="s">
        <v>6980</v>
      </c>
    </row>
    <row r="535" customFormat="false" ht="15" hidden="false" customHeight="false" outlineLevel="0" collapsed="false">
      <c r="A535" s="7" t="s">
        <v>6947</v>
      </c>
      <c r="B535" s="7" t="s">
        <v>6977</v>
      </c>
      <c r="C535" s="7" t="s">
        <v>760</v>
      </c>
      <c r="D535" s="7" t="n">
        <v>2290</v>
      </c>
      <c r="E535" s="7" t="s">
        <v>50</v>
      </c>
      <c r="F535" s="7" t="n">
        <v>-32.965476</v>
      </c>
      <c r="G535" s="7" t="n">
        <v>151.696171</v>
      </c>
      <c r="H535" s="7" t="s">
        <v>6991</v>
      </c>
    </row>
    <row r="536" customFormat="false" ht="15" hidden="false" customHeight="false" outlineLevel="0" collapsed="false">
      <c r="A536" s="7" t="s">
        <v>6947</v>
      </c>
      <c r="B536" s="7" t="s">
        <v>6977</v>
      </c>
      <c r="C536" s="7" t="s">
        <v>761</v>
      </c>
      <c r="D536" s="7" t="n">
        <v>2036</v>
      </c>
      <c r="E536" s="7" t="s">
        <v>50</v>
      </c>
      <c r="F536" s="7" t="n">
        <v>-33.948564</v>
      </c>
      <c r="G536" s="7" t="n">
        <v>151.225322</v>
      </c>
      <c r="H536" s="7" t="s">
        <v>6991</v>
      </c>
    </row>
    <row r="537" customFormat="false" ht="15" hidden="false" customHeight="false" outlineLevel="0" collapsed="false">
      <c r="A537" s="7" t="s">
        <v>6947</v>
      </c>
      <c r="B537" s="7" t="s">
        <v>6967</v>
      </c>
      <c r="C537" s="7" t="s">
        <v>762</v>
      </c>
      <c r="D537" s="7" t="n">
        <v>2120</v>
      </c>
      <c r="E537" s="7" t="s">
        <v>50</v>
      </c>
      <c r="F537" s="7" t="n">
        <v>-33.736621</v>
      </c>
      <c r="G537" s="7" t="n">
        <v>151.074339</v>
      </c>
      <c r="H537" s="7" t="s">
        <v>7019</v>
      </c>
    </row>
    <row r="538" customFormat="false" ht="15" hidden="false" customHeight="false" outlineLevel="0" collapsed="false">
      <c r="A538" s="7" t="s">
        <v>6947</v>
      </c>
      <c r="B538" s="7" t="s">
        <v>6964</v>
      </c>
      <c r="C538" s="7" t="s">
        <v>763</v>
      </c>
      <c r="D538" s="7" t="n">
        <v>2320</v>
      </c>
      <c r="E538" s="7" t="s">
        <v>50</v>
      </c>
      <c r="F538" s="7" t="n">
        <v>-32.808812</v>
      </c>
      <c r="G538" s="7" t="n">
        <v>151.306416</v>
      </c>
      <c r="H538" s="7" t="s">
        <v>6965</v>
      </c>
    </row>
    <row r="539" customFormat="false" ht="15" hidden="false" customHeight="false" outlineLevel="0" collapsed="false">
      <c r="A539" s="7" t="s">
        <v>6947</v>
      </c>
      <c r="B539" s="7" t="s">
        <v>6964</v>
      </c>
      <c r="C539" s="7" t="s">
        <v>764</v>
      </c>
      <c r="D539" s="7" t="n">
        <v>2020</v>
      </c>
      <c r="E539" s="7" t="s">
        <v>50</v>
      </c>
      <c r="F539" s="7" t="n">
        <v>-33.928476</v>
      </c>
      <c r="G539" s="7" t="n">
        <v>151.186268</v>
      </c>
      <c r="H539" s="7" t="s">
        <v>6965</v>
      </c>
    </row>
    <row r="540" customFormat="false" ht="15" hidden="false" customHeight="false" outlineLevel="0" collapsed="false">
      <c r="A540" s="7" t="s">
        <v>6947</v>
      </c>
      <c r="B540" s="7" t="s">
        <v>6964</v>
      </c>
      <c r="C540" s="7" t="s">
        <v>765</v>
      </c>
      <c r="D540" s="7" t="n">
        <v>2400</v>
      </c>
      <c r="E540" s="7" t="s">
        <v>50</v>
      </c>
      <c r="F540" s="7" t="n">
        <v>-29.475303</v>
      </c>
      <c r="G540" s="7" t="n">
        <v>149.84564</v>
      </c>
      <c r="H540" s="7" t="s">
        <v>6975</v>
      </c>
    </row>
    <row r="541" customFormat="false" ht="15" hidden="false" customHeight="false" outlineLevel="0" collapsed="false">
      <c r="A541" s="7" t="s">
        <v>6947</v>
      </c>
      <c r="B541" s="7" t="s">
        <v>6964</v>
      </c>
      <c r="C541" s="7" t="s">
        <v>766</v>
      </c>
      <c r="D541" s="7" t="n">
        <v>2722</v>
      </c>
      <c r="E541" s="7" t="s">
        <v>50</v>
      </c>
      <c r="F541" s="7" t="n">
        <v>-35.002121</v>
      </c>
      <c r="G541" s="7" t="n">
        <v>148.109855</v>
      </c>
      <c r="H541" s="7" t="s">
        <v>7001</v>
      </c>
    </row>
    <row r="542" customFormat="false" ht="15" hidden="false" customHeight="false" outlineLevel="0" collapsed="false">
      <c r="A542" s="7" t="s">
        <v>6947</v>
      </c>
      <c r="B542" s="7" t="s">
        <v>6973</v>
      </c>
      <c r="C542" s="7" t="s">
        <v>767</v>
      </c>
      <c r="D542" s="7" t="n">
        <v>2780</v>
      </c>
      <c r="E542" s="7" t="s">
        <v>50</v>
      </c>
      <c r="F542" s="7" t="n">
        <v>-33.730812</v>
      </c>
      <c r="G542" s="7" t="n">
        <v>150.312221</v>
      </c>
      <c r="H542" s="7" t="s">
        <v>7018</v>
      </c>
    </row>
    <row r="543" customFormat="false" ht="15" hidden="false" customHeight="false" outlineLevel="0" collapsed="false">
      <c r="A543" s="7" t="s">
        <v>6947</v>
      </c>
      <c r="B543" s="7" t="s">
        <v>6964</v>
      </c>
      <c r="C543" s="7" t="s">
        <v>768</v>
      </c>
      <c r="D543" s="7" t="n">
        <v>2582</v>
      </c>
      <c r="E543" s="7" t="s">
        <v>50</v>
      </c>
      <c r="F543" s="7" t="n">
        <v>-34.977848</v>
      </c>
      <c r="G543" s="7" t="n">
        <v>149.007929</v>
      </c>
      <c r="H543" s="7" t="s">
        <v>6965</v>
      </c>
    </row>
    <row r="544" customFormat="false" ht="15" hidden="false" customHeight="false" outlineLevel="0" collapsed="false">
      <c r="A544" s="7" t="s">
        <v>6947</v>
      </c>
      <c r="B544" s="7" t="s">
        <v>6977</v>
      </c>
      <c r="C544" s="7" t="s">
        <v>769</v>
      </c>
      <c r="D544" s="7" t="n">
        <v>2024</v>
      </c>
      <c r="E544" s="7" t="s">
        <v>50</v>
      </c>
      <c r="F544" s="7" t="n">
        <v>-33.905402</v>
      </c>
      <c r="G544" s="7" t="n">
        <v>151.257962</v>
      </c>
      <c r="H544" s="7" t="s">
        <v>6991</v>
      </c>
    </row>
    <row r="545" customFormat="false" ht="15" hidden="false" customHeight="false" outlineLevel="0" collapsed="false">
      <c r="A545" s="7" t="s">
        <v>6947</v>
      </c>
      <c r="B545" s="7" t="s">
        <v>6993</v>
      </c>
      <c r="C545" s="7" t="s">
        <v>770</v>
      </c>
      <c r="D545" s="7" t="n">
        <v>2018</v>
      </c>
      <c r="E545" s="7" t="s">
        <v>50</v>
      </c>
      <c r="F545" s="7" t="n">
        <v>-33.915981</v>
      </c>
      <c r="G545" s="7" t="n">
        <v>151.203186</v>
      </c>
      <c r="H545" s="7" t="s">
        <v>6994</v>
      </c>
    </row>
    <row r="546" customFormat="false" ht="15" hidden="false" customHeight="false" outlineLevel="0" collapsed="false">
      <c r="A546" s="7" t="s">
        <v>6947</v>
      </c>
      <c r="B546" s="7" t="s">
        <v>6964</v>
      </c>
      <c r="C546" s="7" t="s">
        <v>771</v>
      </c>
      <c r="D546" s="7" t="n">
        <v>2380</v>
      </c>
      <c r="E546" s="7" t="s">
        <v>50</v>
      </c>
      <c r="F546" s="7" t="n">
        <v>-30.980048</v>
      </c>
      <c r="G546" s="7" t="n">
        <v>150.25766</v>
      </c>
      <c r="H546" s="7" t="s">
        <v>6965</v>
      </c>
    </row>
    <row r="547" customFormat="false" ht="15" hidden="false" customHeight="false" outlineLevel="0" collapsed="false">
      <c r="A547" s="7" t="s">
        <v>6947</v>
      </c>
      <c r="B547" s="7" t="s">
        <v>7003</v>
      </c>
      <c r="C547" s="7" t="s">
        <v>772</v>
      </c>
      <c r="D547" s="7" t="n">
        <v>2530</v>
      </c>
      <c r="E547" s="7" t="s">
        <v>50</v>
      </c>
      <c r="F547" s="7" t="n">
        <v>-34.485966</v>
      </c>
      <c r="G547" s="7" t="n">
        <v>150.806459</v>
      </c>
      <c r="H547" s="7" t="s">
        <v>7004</v>
      </c>
    </row>
    <row r="548" customFormat="false" ht="15" hidden="false" customHeight="false" outlineLevel="0" collapsed="false">
      <c r="A548" s="7" t="s">
        <v>6947</v>
      </c>
      <c r="B548" s="7" t="s">
        <v>6964</v>
      </c>
      <c r="C548" s="7" t="s">
        <v>773</v>
      </c>
      <c r="D548" s="7" t="n">
        <v>2350</v>
      </c>
      <c r="E548" s="7" t="s">
        <v>50</v>
      </c>
      <c r="F548" s="7" t="n">
        <v>-30.555325</v>
      </c>
      <c r="G548" s="7" t="n">
        <v>151.682655</v>
      </c>
      <c r="H548" s="7" t="s">
        <v>6975</v>
      </c>
    </row>
    <row r="549" customFormat="false" ht="15" hidden="false" customHeight="false" outlineLevel="0" collapsed="false">
      <c r="A549" s="7" t="s">
        <v>6947</v>
      </c>
      <c r="B549" s="7" t="s">
        <v>6993</v>
      </c>
      <c r="C549" s="7" t="s">
        <v>774</v>
      </c>
      <c r="D549" s="7" t="n">
        <v>2515</v>
      </c>
      <c r="E549" s="7" t="s">
        <v>50</v>
      </c>
      <c r="F549" s="7" t="n">
        <v>-34.317593</v>
      </c>
      <c r="G549" s="7" t="n">
        <v>150.918481</v>
      </c>
      <c r="H549" s="7" t="s">
        <v>6994</v>
      </c>
    </row>
    <row r="550" customFormat="false" ht="15" hidden="false" customHeight="false" outlineLevel="0" collapsed="false">
      <c r="A550" s="7" t="s">
        <v>6947</v>
      </c>
      <c r="B550" s="7" t="s">
        <v>7008</v>
      </c>
      <c r="C550" s="7" t="s">
        <v>775</v>
      </c>
      <c r="D550" s="7" t="n">
        <v>2067</v>
      </c>
      <c r="E550" s="7" t="s">
        <v>50</v>
      </c>
      <c r="F550" s="7" t="n">
        <v>-33.794565</v>
      </c>
      <c r="G550" s="7" t="n">
        <v>151.18613</v>
      </c>
      <c r="H550" s="7" t="s">
        <v>7009</v>
      </c>
    </row>
    <row r="551" customFormat="false" ht="15" hidden="false" customHeight="false" outlineLevel="0" collapsed="false">
      <c r="A551" s="7" t="s">
        <v>6947</v>
      </c>
      <c r="B551" s="7" t="s">
        <v>6962</v>
      </c>
      <c r="C551" s="7" t="s">
        <v>776</v>
      </c>
      <c r="D551" s="7" t="n">
        <v>2067</v>
      </c>
      <c r="E551" s="7" t="s">
        <v>50</v>
      </c>
      <c r="F551" s="7" t="n">
        <v>-33.794565</v>
      </c>
      <c r="G551" s="7" t="n">
        <v>151.18613</v>
      </c>
      <c r="H551" s="7" t="s">
        <v>6983</v>
      </c>
    </row>
    <row r="552" customFormat="false" ht="15" hidden="false" customHeight="false" outlineLevel="0" collapsed="false">
      <c r="A552" s="7" t="s">
        <v>6947</v>
      </c>
      <c r="B552" s="7" t="s">
        <v>6962</v>
      </c>
      <c r="C552" s="7" t="s">
        <v>776</v>
      </c>
      <c r="D552" s="7" t="n">
        <v>2067</v>
      </c>
      <c r="E552" s="7" t="s">
        <v>50</v>
      </c>
      <c r="F552" s="7" t="n">
        <v>-33.793043</v>
      </c>
      <c r="G552" s="7" t="n">
        <v>151.186558</v>
      </c>
      <c r="H552" s="7" t="s">
        <v>6980</v>
      </c>
    </row>
    <row r="553" customFormat="false" ht="15" hidden="false" customHeight="false" outlineLevel="0" collapsed="false">
      <c r="A553" s="7" t="s">
        <v>6947</v>
      </c>
      <c r="B553" s="7" t="s">
        <v>6964</v>
      </c>
      <c r="C553" s="7" t="s">
        <v>777</v>
      </c>
      <c r="D553" s="7" t="n">
        <v>2330</v>
      </c>
      <c r="E553" s="7" t="s">
        <v>50</v>
      </c>
      <c r="F553" s="7" t="n">
        <v>-32.448062</v>
      </c>
      <c r="G553" s="7" t="n">
        <v>150.831663</v>
      </c>
      <c r="H553" s="7" t="s">
        <v>7001</v>
      </c>
    </row>
    <row r="554" customFormat="false" ht="15" hidden="false" customHeight="false" outlineLevel="0" collapsed="false">
      <c r="A554" s="7" t="s">
        <v>6947</v>
      </c>
      <c r="B554" s="7" t="s">
        <v>7033</v>
      </c>
      <c r="C554" s="7" t="s">
        <v>778</v>
      </c>
      <c r="D554" s="7" t="n">
        <v>2850</v>
      </c>
      <c r="E554" s="7" t="s">
        <v>50</v>
      </c>
      <c r="F554" s="7" t="n">
        <v>-32.59411</v>
      </c>
      <c r="G554" s="7" t="n">
        <v>149.585921</v>
      </c>
      <c r="H554" s="7" t="s">
        <v>7047</v>
      </c>
    </row>
    <row r="555" customFormat="false" ht="15" hidden="false" customHeight="false" outlineLevel="0" collapsed="false">
      <c r="A555" s="7" t="s">
        <v>6947</v>
      </c>
      <c r="B555" s="7" t="s">
        <v>7008</v>
      </c>
      <c r="C555" s="7" t="s">
        <v>779</v>
      </c>
      <c r="D555" s="7" t="n">
        <v>2140</v>
      </c>
      <c r="E555" s="7" t="s">
        <v>50</v>
      </c>
      <c r="F555" s="7" t="n">
        <v>-33.855622</v>
      </c>
      <c r="G555" s="7" t="n">
        <v>151.076795</v>
      </c>
      <c r="H555" s="7" t="s">
        <v>7009</v>
      </c>
    </row>
    <row r="556" customFormat="false" ht="15" hidden="false" customHeight="false" outlineLevel="0" collapsed="false">
      <c r="A556" s="7" t="s">
        <v>6947</v>
      </c>
      <c r="B556" s="7" t="s">
        <v>6962</v>
      </c>
      <c r="C556" s="7" t="s">
        <v>780</v>
      </c>
      <c r="D556" s="7" t="n">
        <v>2140</v>
      </c>
      <c r="E556" s="7" t="s">
        <v>50</v>
      </c>
      <c r="F556" s="7" t="n">
        <v>-33.855622</v>
      </c>
      <c r="G556" s="7" t="n">
        <v>151.076797</v>
      </c>
      <c r="H556" s="7" t="s">
        <v>6983</v>
      </c>
    </row>
    <row r="557" customFormat="false" ht="15" hidden="false" customHeight="false" outlineLevel="0" collapsed="false">
      <c r="A557" s="7" t="s">
        <v>6947</v>
      </c>
      <c r="B557" s="7" t="s">
        <v>6993</v>
      </c>
      <c r="C557" s="7" t="s">
        <v>781</v>
      </c>
      <c r="D557" s="7" t="n">
        <v>2473</v>
      </c>
      <c r="E557" s="7" t="s">
        <v>50</v>
      </c>
      <c r="F557" s="7" t="n">
        <v>-29.117605</v>
      </c>
      <c r="G557" s="7" t="n">
        <v>153.430397</v>
      </c>
      <c r="H557" s="7" t="s">
        <v>6994</v>
      </c>
    </row>
    <row r="558" customFormat="false" ht="15" hidden="false" customHeight="false" outlineLevel="0" collapsed="false">
      <c r="A558" s="7" t="s">
        <v>6947</v>
      </c>
      <c r="B558" s="7" t="s">
        <v>6964</v>
      </c>
      <c r="C558" s="7" t="s">
        <v>782</v>
      </c>
      <c r="D558" s="7" t="n">
        <v>2150</v>
      </c>
      <c r="E558" s="7" t="s">
        <v>50</v>
      </c>
      <c r="F558" s="7" t="n">
        <v>-33.810274</v>
      </c>
      <c r="G558" s="7" t="n">
        <v>151.005548</v>
      </c>
      <c r="H558" s="7" t="s">
        <v>6982</v>
      </c>
    </row>
    <row r="559" customFormat="false" ht="15" hidden="false" customHeight="false" outlineLevel="0" collapsed="false">
      <c r="A559" s="7" t="s">
        <v>6947</v>
      </c>
      <c r="B559" s="7" t="s">
        <v>6977</v>
      </c>
      <c r="C559" s="7" t="s">
        <v>783</v>
      </c>
      <c r="D559" s="7" t="n">
        <v>2570</v>
      </c>
      <c r="E559" s="7" t="s">
        <v>50</v>
      </c>
      <c r="F559" s="7" t="n">
        <v>-34.000462</v>
      </c>
      <c r="G559" s="7" t="n">
        <v>150.740593</v>
      </c>
      <c r="H559" s="7" t="s">
        <v>7054</v>
      </c>
    </row>
    <row r="560" customFormat="false" ht="15" hidden="false" customHeight="false" outlineLevel="0" collapsed="false">
      <c r="A560" s="7" t="s">
        <v>6947</v>
      </c>
      <c r="B560" s="7" t="s">
        <v>6962</v>
      </c>
      <c r="C560" s="7" t="s">
        <v>784</v>
      </c>
      <c r="D560" s="7" t="n">
        <v>2444</v>
      </c>
      <c r="E560" s="7" t="s">
        <v>50</v>
      </c>
      <c r="F560" s="7" t="n">
        <v>-31.434418</v>
      </c>
      <c r="G560" s="7" t="n">
        <v>152.917188</v>
      </c>
      <c r="H560" s="7" t="s">
        <v>6979</v>
      </c>
    </row>
    <row r="561" customFormat="false" ht="15" hidden="false" customHeight="false" outlineLevel="0" collapsed="false">
      <c r="A561" s="7" t="s">
        <v>6947</v>
      </c>
      <c r="B561" s="7" t="s">
        <v>6962</v>
      </c>
      <c r="C561" s="7" t="s">
        <v>785</v>
      </c>
      <c r="D561" s="7" t="n">
        <v>2060</v>
      </c>
      <c r="E561" s="7" t="s">
        <v>50</v>
      </c>
      <c r="F561" s="7" t="n">
        <v>-33.840314</v>
      </c>
      <c r="G561" s="7" t="n">
        <v>151.207023</v>
      </c>
      <c r="H561" s="7" t="s">
        <v>7015</v>
      </c>
    </row>
    <row r="562" customFormat="false" ht="15" hidden="false" customHeight="false" outlineLevel="0" collapsed="false">
      <c r="A562" s="7" t="s">
        <v>6947</v>
      </c>
      <c r="B562" s="7" t="s">
        <v>6964</v>
      </c>
      <c r="C562" s="7" t="s">
        <v>785</v>
      </c>
      <c r="D562" s="7" t="n">
        <v>2060</v>
      </c>
      <c r="E562" s="7" t="s">
        <v>50</v>
      </c>
      <c r="F562" s="7" t="n">
        <v>-33.840844</v>
      </c>
      <c r="G562" s="7" t="n">
        <v>151.207258</v>
      </c>
      <c r="H562" s="7" t="s">
        <v>6992</v>
      </c>
    </row>
    <row r="563" customFormat="false" ht="15" hidden="false" customHeight="false" outlineLevel="0" collapsed="false">
      <c r="A563" s="7" t="s">
        <v>6947</v>
      </c>
      <c r="B563" s="7" t="s">
        <v>6964</v>
      </c>
      <c r="C563" s="7" t="s">
        <v>786</v>
      </c>
      <c r="D563" s="7" t="n">
        <v>2010</v>
      </c>
      <c r="E563" s="7" t="s">
        <v>50</v>
      </c>
      <c r="F563" s="7" t="n">
        <v>-33.875975</v>
      </c>
      <c r="G563" s="7" t="n">
        <v>151.212679</v>
      </c>
      <c r="H563" s="7" t="s">
        <v>6965</v>
      </c>
    </row>
    <row r="564" customFormat="false" ht="15" hidden="false" customHeight="false" outlineLevel="0" collapsed="false">
      <c r="A564" s="7" t="s">
        <v>6947</v>
      </c>
      <c r="B564" s="7" t="s">
        <v>6962</v>
      </c>
      <c r="C564" s="7" t="s">
        <v>787</v>
      </c>
      <c r="D564" s="7" t="n">
        <v>2200</v>
      </c>
      <c r="E564" s="7" t="s">
        <v>50</v>
      </c>
      <c r="F564" s="7" t="n">
        <v>-33.928392</v>
      </c>
      <c r="G564" s="7" t="n">
        <v>150.99028</v>
      </c>
      <c r="H564" s="7" t="s">
        <v>6998</v>
      </c>
    </row>
    <row r="565" customFormat="false" ht="15" hidden="false" customHeight="false" outlineLevel="0" collapsed="false">
      <c r="A565" s="7" t="s">
        <v>6947</v>
      </c>
      <c r="B565" s="7" t="s">
        <v>6977</v>
      </c>
      <c r="C565" s="7" t="s">
        <v>788</v>
      </c>
      <c r="D565" s="7" t="n">
        <v>2074</v>
      </c>
      <c r="E565" s="7" t="s">
        <v>50</v>
      </c>
      <c r="F565" s="7" t="n">
        <v>-33.702504</v>
      </c>
      <c r="G565" s="7" t="n">
        <v>151.148728</v>
      </c>
      <c r="H565" s="7" t="s">
        <v>6984</v>
      </c>
    </row>
    <row r="566" customFormat="false" ht="15" hidden="false" customHeight="false" outlineLevel="0" collapsed="false">
      <c r="A566" s="7" t="s">
        <v>6947</v>
      </c>
      <c r="B566" s="7" t="s">
        <v>6960</v>
      </c>
      <c r="C566" s="7" t="s">
        <v>789</v>
      </c>
      <c r="D566" s="7" t="n">
        <v>2032</v>
      </c>
      <c r="E566" s="7" t="s">
        <v>50</v>
      </c>
      <c r="F566" s="7" t="n">
        <v>-33.919836</v>
      </c>
      <c r="G566" s="7" t="n">
        <v>151.226974</v>
      </c>
      <c r="H566" s="7" t="s">
        <v>7020</v>
      </c>
    </row>
    <row r="567" customFormat="false" ht="15" hidden="false" customHeight="false" outlineLevel="0" collapsed="false">
      <c r="A567" s="7" t="s">
        <v>6947</v>
      </c>
      <c r="B567" s="7" t="s">
        <v>6962</v>
      </c>
      <c r="C567" s="7" t="s">
        <v>790</v>
      </c>
      <c r="D567" s="7" t="n">
        <v>2036</v>
      </c>
      <c r="E567" s="7" t="s">
        <v>50</v>
      </c>
      <c r="F567" s="7" t="n">
        <v>-33.957982</v>
      </c>
      <c r="G567" s="7" t="n">
        <v>151.230103</v>
      </c>
      <c r="H567" s="7" t="s">
        <v>6983</v>
      </c>
    </row>
    <row r="568" customFormat="false" ht="15" hidden="false" customHeight="false" outlineLevel="0" collapsed="false">
      <c r="A568" s="7" t="s">
        <v>6947</v>
      </c>
      <c r="B568" s="7" t="s">
        <v>6977</v>
      </c>
      <c r="C568" s="7" t="s">
        <v>791</v>
      </c>
      <c r="D568" s="7" t="n">
        <v>2026</v>
      </c>
      <c r="E568" s="7" t="s">
        <v>50</v>
      </c>
      <c r="F568" s="7" t="n">
        <v>-33.884156</v>
      </c>
      <c r="G568" s="7" t="n">
        <v>151.281944</v>
      </c>
      <c r="H568" s="7" t="s">
        <v>6991</v>
      </c>
    </row>
    <row r="569" customFormat="false" ht="15" hidden="false" customHeight="false" outlineLevel="0" collapsed="false">
      <c r="A569" s="7" t="s">
        <v>6947</v>
      </c>
      <c r="B569" s="7" t="s">
        <v>6964</v>
      </c>
      <c r="C569" s="7" t="s">
        <v>792</v>
      </c>
      <c r="D569" s="7" t="n">
        <v>2153</v>
      </c>
      <c r="E569" s="7" t="s">
        <v>50</v>
      </c>
      <c r="F569" s="7" t="n">
        <v>-33.758966</v>
      </c>
      <c r="G569" s="7" t="n">
        <v>150.991587</v>
      </c>
      <c r="H569" s="7" t="s">
        <v>6975</v>
      </c>
    </row>
    <row r="570" customFormat="false" ht="15" hidden="false" customHeight="false" outlineLevel="0" collapsed="false">
      <c r="A570" s="7" t="s">
        <v>6947</v>
      </c>
      <c r="B570" s="7" t="s">
        <v>6964</v>
      </c>
      <c r="C570" s="7" t="s">
        <v>792</v>
      </c>
      <c r="D570" s="7" t="n">
        <v>2153</v>
      </c>
      <c r="E570" s="7" t="s">
        <v>50</v>
      </c>
      <c r="F570" s="7" t="n">
        <v>-33.758691</v>
      </c>
      <c r="G570" s="7" t="n">
        <v>150.99147</v>
      </c>
      <c r="H570" s="7" t="s">
        <v>6972</v>
      </c>
    </row>
    <row r="571" customFormat="false" ht="15" hidden="false" customHeight="false" outlineLevel="0" collapsed="false">
      <c r="A571" s="7" t="s">
        <v>6947</v>
      </c>
      <c r="B571" s="7" t="s">
        <v>7003</v>
      </c>
      <c r="C571" s="7" t="s">
        <v>793</v>
      </c>
      <c r="D571" s="7" t="n">
        <v>2147</v>
      </c>
      <c r="E571" s="7" t="s">
        <v>50</v>
      </c>
      <c r="F571" s="7" t="n">
        <v>-33.766812</v>
      </c>
      <c r="G571" s="7" t="n">
        <v>150.954966</v>
      </c>
      <c r="H571" s="7" t="s">
        <v>7004</v>
      </c>
    </row>
    <row r="572" customFormat="false" ht="15" hidden="false" customHeight="false" outlineLevel="0" collapsed="false">
      <c r="A572" s="7" t="s">
        <v>6947</v>
      </c>
      <c r="B572" s="7" t="s">
        <v>6962</v>
      </c>
      <c r="C572" s="7" t="s">
        <v>794</v>
      </c>
      <c r="D572" s="7" t="n">
        <v>2232</v>
      </c>
      <c r="E572" s="7" t="s">
        <v>50</v>
      </c>
      <c r="F572" s="7" t="n">
        <v>-34.03434</v>
      </c>
      <c r="G572" s="7" t="n">
        <v>151.072652</v>
      </c>
      <c r="H572" s="7" t="s">
        <v>7005</v>
      </c>
    </row>
    <row r="573" customFormat="false" ht="15" hidden="false" customHeight="false" outlineLevel="0" collapsed="false">
      <c r="A573" s="7" t="s">
        <v>6947</v>
      </c>
      <c r="B573" s="7" t="s">
        <v>6964</v>
      </c>
      <c r="C573" s="7" t="s">
        <v>795</v>
      </c>
      <c r="D573" s="7" t="n">
        <v>2644</v>
      </c>
      <c r="E573" s="7" t="s">
        <v>50</v>
      </c>
      <c r="F573" s="7" t="n">
        <v>-35.722548</v>
      </c>
      <c r="G573" s="7" t="n">
        <v>147.317511</v>
      </c>
      <c r="H573" s="7" t="s">
        <v>7055</v>
      </c>
    </row>
    <row r="574" customFormat="false" ht="15" hidden="false" customHeight="false" outlineLevel="0" collapsed="false">
      <c r="A574" s="7" t="s">
        <v>6947</v>
      </c>
      <c r="B574" s="7" t="s">
        <v>6964</v>
      </c>
      <c r="C574" s="7" t="s">
        <v>796</v>
      </c>
      <c r="D574" s="7" t="n">
        <v>2285</v>
      </c>
      <c r="E574" s="7" t="s">
        <v>50</v>
      </c>
      <c r="F574" s="7" t="n">
        <v>-32.931745</v>
      </c>
      <c r="G574" s="7" t="n">
        <v>151.639671</v>
      </c>
      <c r="H574" s="7" t="s">
        <v>6965</v>
      </c>
    </row>
    <row r="575" customFormat="false" ht="15" hidden="false" customHeight="false" outlineLevel="0" collapsed="false">
      <c r="A575" s="7" t="s">
        <v>6947</v>
      </c>
      <c r="B575" s="7" t="s">
        <v>6962</v>
      </c>
      <c r="C575" s="7" t="s">
        <v>797</v>
      </c>
      <c r="D575" s="7" t="n">
        <v>2285</v>
      </c>
      <c r="E575" s="7" t="s">
        <v>50</v>
      </c>
      <c r="F575" s="7" t="n">
        <v>-32.935556</v>
      </c>
      <c r="G575" s="7" t="n">
        <v>151.644366</v>
      </c>
      <c r="H575" s="7" t="s">
        <v>6969</v>
      </c>
    </row>
    <row r="576" customFormat="false" ht="15" hidden="false" customHeight="false" outlineLevel="0" collapsed="false">
      <c r="A576" s="7" t="s">
        <v>6947</v>
      </c>
      <c r="B576" s="7" t="s">
        <v>6977</v>
      </c>
      <c r="C576" s="7" t="s">
        <v>798</v>
      </c>
      <c r="D576" s="7" t="n">
        <v>2025</v>
      </c>
      <c r="E576" s="7" t="s">
        <v>50</v>
      </c>
      <c r="F576" s="7" t="n">
        <v>-33.883209</v>
      </c>
      <c r="G576" s="7" t="n">
        <v>151.242053</v>
      </c>
      <c r="H576" s="7" t="s">
        <v>6991</v>
      </c>
    </row>
    <row r="577" customFormat="false" ht="15" hidden="false" customHeight="false" outlineLevel="0" collapsed="false">
      <c r="A577" s="7" t="s">
        <v>6947</v>
      </c>
      <c r="B577" s="7" t="s">
        <v>6977</v>
      </c>
      <c r="C577" s="7" t="s">
        <v>799</v>
      </c>
      <c r="D577" s="7" t="n">
        <v>2000</v>
      </c>
      <c r="E577" s="7" t="s">
        <v>50</v>
      </c>
      <c r="F577" s="7" t="n">
        <v>-33.876965</v>
      </c>
      <c r="G577" s="7" t="n">
        <v>151.207495</v>
      </c>
      <c r="H577" s="7" t="s">
        <v>6984</v>
      </c>
    </row>
    <row r="578" customFormat="false" ht="15" hidden="false" customHeight="false" outlineLevel="0" collapsed="false">
      <c r="A578" s="7" t="s">
        <v>6947</v>
      </c>
      <c r="B578" s="7" t="s">
        <v>6977</v>
      </c>
      <c r="C578" s="7" t="s">
        <v>800</v>
      </c>
      <c r="D578" s="7" t="n">
        <v>2469</v>
      </c>
      <c r="E578" s="7" t="s">
        <v>50</v>
      </c>
      <c r="F578" s="7" t="n">
        <v>-28.89041</v>
      </c>
      <c r="G578" s="7" t="n">
        <v>152.566598</v>
      </c>
      <c r="H578" s="7" t="s">
        <v>6984</v>
      </c>
    </row>
    <row r="579" customFormat="false" ht="15" hidden="false" customHeight="false" outlineLevel="0" collapsed="false">
      <c r="A579" s="7" t="s">
        <v>6947</v>
      </c>
      <c r="B579" s="7" t="s">
        <v>7056</v>
      </c>
      <c r="C579" s="7" t="s">
        <v>802</v>
      </c>
      <c r="D579" s="7" t="n">
        <v>2095</v>
      </c>
      <c r="E579" s="7" t="s">
        <v>50</v>
      </c>
      <c r="F579" s="7" t="n">
        <v>-33.799834</v>
      </c>
      <c r="G579" s="7" t="n">
        <v>151.286</v>
      </c>
      <c r="H579" s="7" t="s">
        <v>7057</v>
      </c>
    </row>
    <row r="580" customFormat="false" ht="15" hidden="false" customHeight="false" outlineLevel="0" collapsed="false">
      <c r="A580" s="7" t="s">
        <v>6947</v>
      </c>
      <c r="B580" s="7" t="s">
        <v>6964</v>
      </c>
      <c r="C580" s="7" t="s">
        <v>804</v>
      </c>
      <c r="D580" s="7" t="n">
        <v>2663</v>
      </c>
      <c r="E580" s="7" t="s">
        <v>50</v>
      </c>
      <c r="F580" s="7" t="n">
        <v>-34.871014</v>
      </c>
      <c r="G580" s="7" t="n">
        <v>147.582542</v>
      </c>
      <c r="H580" s="7" t="s">
        <v>6965</v>
      </c>
    </row>
    <row r="581" customFormat="false" ht="15" hidden="false" customHeight="false" outlineLevel="0" collapsed="false">
      <c r="A581" s="7" t="s">
        <v>6947</v>
      </c>
      <c r="B581" s="7" t="s">
        <v>6967</v>
      </c>
      <c r="C581" s="7" t="s">
        <v>806</v>
      </c>
      <c r="D581" s="7" t="n">
        <v>2111</v>
      </c>
      <c r="E581" s="7" t="s">
        <v>50</v>
      </c>
      <c r="F581" s="7" t="n">
        <v>-33.832813</v>
      </c>
      <c r="G581" s="7" t="n">
        <v>151.127792</v>
      </c>
      <c r="H581" s="7" t="s">
        <v>7019</v>
      </c>
    </row>
    <row r="582" customFormat="false" ht="15" hidden="false" customHeight="false" outlineLevel="0" collapsed="false">
      <c r="A582" s="7" t="s">
        <v>6947</v>
      </c>
      <c r="B582" s="7" t="s">
        <v>6964</v>
      </c>
      <c r="C582" s="7" t="s">
        <v>808</v>
      </c>
      <c r="D582" s="7" t="n">
        <v>2017</v>
      </c>
      <c r="E582" s="7" t="s">
        <v>50</v>
      </c>
      <c r="F582" s="7" t="n">
        <v>-33.904839</v>
      </c>
      <c r="G582" s="7" t="n">
        <v>151.212997</v>
      </c>
      <c r="H582" s="7" t="s">
        <v>6992</v>
      </c>
    </row>
    <row r="583" customFormat="false" ht="15" hidden="false" customHeight="false" outlineLevel="0" collapsed="false">
      <c r="A583" s="7" t="s">
        <v>6947</v>
      </c>
      <c r="B583" s="7" t="s">
        <v>7003</v>
      </c>
      <c r="C583" s="7" t="s">
        <v>808</v>
      </c>
      <c r="D583" s="7" t="n">
        <v>2017</v>
      </c>
      <c r="E583" s="7" t="s">
        <v>50</v>
      </c>
      <c r="F583" s="7" t="n">
        <v>-33.905561</v>
      </c>
      <c r="G583" s="7" t="n">
        <v>151.212681</v>
      </c>
      <c r="H583" s="7" t="s">
        <v>7058</v>
      </c>
    </row>
    <row r="584" customFormat="false" ht="15" hidden="false" customHeight="false" outlineLevel="0" collapsed="false">
      <c r="A584" s="7" t="s">
        <v>6947</v>
      </c>
      <c r="B584" s="7" t="s">
        <v>6962</v>
      </c>
      <c r="C584" s="7" t="s">
        <v>809</v>
      </c>
      <c r="D584" s="7" t="n">
        <v>2036</v>
      </c>
      <c r="E584" s="7" t="s">
        <v>50</v>
      </c>
      <c r="F584" s="7" t="n">
        <v>-33.939986</v>
      </c>
      <c r="G584" s="7" t="n">
        <v>151.225431</v>
      </c>
      <c r="H584" s="7" t="s">
        <v>6969</v>
      </c>
    </row>
    <row r="585" customFormat="false" ht="15" hidden="false" customHeight="false" outlineLevel="0" collapsed="false">
      <c r="A585" s="7" t="s">
        <v>6947</v>
      </c>
      <c r="B585" s="7" t="s">
        <v>6962</v>
      </c>
      <c r="C585" s="7" t="s">
        <v>810</v>
      </c>
      <c r="D585" s="7" t="n">
        <v>2287</v>
      </c>
      <c r="E585" s="7" t="s">
        <v>50</v>
      </c>
      <c r="F585" s="7" t="n">
        <v>-32.900171</v>
      </c>
      <c r="G585" s="7" t="n">
        <v>151.669459</v>
      </c>
      <c r="H585" s="7" t="s">
        <v>6983</v>
      </c>
    </row>
    <row r="586" customFormat="false" ht="15" hidden="false" customHeight="false" outlineLevel="0" collapsed="false">
      <c r="A586" s="7" t="s">
        <v>6947</v>
      </c>
      <c r="B586" s="7" t="s">
        <v>6977</v>
      </c>
      <c r="C586" s="7" t="s">
        <v>811</v>
      </c>
      <c r="D586" s="7" t="n">
        <v>2066</v>
      </c>
      <c r="E586" s="7" t="s">
        <v>50</v>
      </c>
      <c r="F586" s="7" t="n">
        <v>-33.805688</v>
      </c>
      <c r="G586" s="7" t="n">
        <v>151.156033</v>
      </c>
      <c r="H586" s="7" t="s">
        <v>6991</v>
      </c>
    </row>
    <row r="587" customFormat="false" ht="15" hidden="false" customHeight="false" outlineLevel="0" collapsed="false">
      <c r="A587" s="7" t="s">
        <v>6947</v>
      </c>
      <c r="B587" s="7" t="s">
        <v>6967</v>
      </c>
      <c r="C587" s="7" t="s">
        <v>812</v>
      </c>
      <c r="D587" s="7" t="n">
        <v>2560</v>
      </c>
      <c r="E587" s="7" t="s">
        <v>50</v>
      </c>
      <c r="F587" s="7" t="n">
        <v>-34.072063</v>
      </c>
      <c r="G587" s="7" t="n">
        <v>150.805126</v>
      </c>
      <c r="H587" s="7" t="s">
        <v>6968</v>
      </c>
    </row>
    <row r="588" customFormat="false" ht="15" hidden="false" customHeight="false" outlineLevel="0" collapsed="false">
      <c r="A588" s="7" t="s">
        <v>6947</v>
      </c>
      <c r="B588" s="7" t="s">
        <v>6977</v>
      </c>
      <c r="C588" s="7" t="s">
        <v>813</v>
      </c>
      <c r="D588" s="7" t="n">
        <v>2086</v>
      </c>
      <c r="E588" s="7" t="s">
        <v>50</v>
      </c>
      <c r="F588" s="7" t="n">
        <v>-33.741831</v>
      </c>
      <c r="G588" s="7" t="n">
        <v>151.213784</v>
      </c>
      <c r="H588" s="7" t="s">
        <v>6991</v>
      </c>
    </row>
    <row r="589" customFormat="false" ht="15" hidden="false" customHeight="false" outlineLevel="0" collapsed="false">
      <c r="A589" s="7" t="s">
        <v>6947</v>
      </c>
      <c r="B589" s="7" t="s">
        <v>6967</v>
      </c>
      <c r="C589" s="7" t="s">
        <v>814</v>
      </c>
      <c r="D589" s="7" t="n">
        <v>2088</v>
      </c>
      <c r="E589" s="7" t="s">
        <v>50</v>
      </c>
      <c r="F589" s="7" t="n">
        <v>-33.828075</v>
      </c>
      <c r="G589" s="7" t="n">
        <v>151.243445</v>
      </c>
      <c r="H589" s="7" t="s">
        <v>7019</v>
      </c>
    </row>
    <row r="590" customFormat="false" ht="15" hidden="false" customHeight="false" outlineLevel="0" collapsed="false">
      <c r="A590" s="7" t="s">
        <v>6947</v>
      </c>
      <c r="B590" s="7" t="s">
        <v>6962</v>
      </c>
      <c r="C590" s="7" t="s">
        <v>815</v>
      </c>
      <c r="D590" s="7" t="n">
        <v>2770</v>
      </c>
      <c r="E590" s="7" t="s">
        <v>50</v>
      </c>
      <c r="F590" s="7" t="n">
        <v>-33.743766</v>
      </c>
      <c r="G590" s="7" t="n">
        <v>150.809028</v>
      </c>
      <c r="H590" s="7" t="s">
        <v>6980</v>
      </c>
    </row>
    <row r="591" customFormat="false" ht="15" hidden="false" customHeight="false" outlineLevel="0" collapsed="false">
      <c r="A591" s="7" t="s">
        <v>6947</v>
      </c>
      <c r="B591" s="7" t="s">
        <v>6964</v>
      </c>
      <c r="C591" s="7" t="s">
        <v>816</v>
      </c>
      <c r="D591" s="7" t="n">
        <v>2099</v>
      </c>
      <c r="E591" s="7" t="s">
        <v>50</v>
      </c>
      <c r="F591" s="7" t="n">
        <v>-33.750313</v>
      </c>
      <c r="G591" s="7" t="n">
        <v>151.286312</v>
      </c>
      <c r="H591" s="7" t="s">
        <v>6975</v>
      </c>
    </row>
    <row r="592" customFormat="false" ht="15" hidden="false" customHeight="false" outlineLevel="0" collapsed="false">
      <c r="A592" s="7" t="s">
        <v>6947</v>
      </c>
      <c r="B592" s="7" t="s">
        <v>6995</v>
      </c>
      <c r="C592" s="7" t="s">
        <v>817</v>
      </c>
      <c r="D592" s="7" t="n">
        <v>2024</v>
      </c>
      <c r="E592" s="7" t="s">
        <v>50</v>
      </c>
      <c r="F592" s="7" t="n">
        <v>-33.897822</v>
      </c>
      <c r="G592" s="7" t="n">
        <v>151.258885</v>
      </c>
      <c r="H592" s="7" t="s">
        <v>7059</v>
      </c>
    </row>
    <row r="593" customFormat="false" ht="15" hidden="false" customHeight="false" outlineLevel="0" collapsed="false">
      <c r="A593" s="7" t="s">
        <v>6947</v>
      </c>
      <c r="B593" s="7" t="s">
        <v>6977</v>
      </c>
      <c r="C593" s="7" t="s">
        <v>818</v>
      </c>
      <c r="D593" s="7" t="n">
        <v>2570</v>
      </c>
      <c r="E593" s="7" t="s">
        <v>50</v>
      </c>
      <c r="F593" s="7" t="n">
        <v>-34.054247</v>
      </c>
      <c r="G593" s="7" t="n">
        <v>150.694669</v>
      </c>
      <c r="H593" s="7" t="s">
        <v>6984</v>
      </c>
    </row>
    <row r="594" customFormat="false" ht="15" hidden="false" customHeight="false" outlineLevel="0" collapsed="false">
      <c r="A594" s="7" t="s">
        <v>6947</v>
      </c>
      <c r="B594" s="7" t="s">
        <v>6987</v>
      </c>
      <c r="C594" s="7" t="s">
        <v>819</v>
      </c>
      <c r="D594" s="7" t="n">
        <v>2155</v>
      </c>
      <c r="E594" s="7" t="s">
        <v>50</v>
      </c>
      <c r="F594" s="7" t="n">
        <v>-33.68328</v>
      </c>
      <c r="G594" s="7" t="n">
        <v>150.916586</v>
      </c>
      <c r="H594" s="7" t="s">
        <v>6988</v>
      </c>
    </row>
    <row r="595" customFormat="false" ht="15" hidden="false" customHeight="false" outlineLevel="0" collapsed="false">
      <c r="A595" s="7" t="s">
        <v>6947</v>
      </c>
      <c r="B595" s="7" t="s">
        <v>6962</v>
      </c>
      <c r="C595" s="7" t="s">
        <v>820</v>
      </c>
      <c r="D595" s="7" t="n">
        <v>2300</v>
      </c>
      <c r="E595" s="7" t="s">
        <v>50</v>
      </c>
      <c r="F595" s="7" t="n">
        <v>-32.924723</v>
      </c>
      <c r="G595" s="7" t="n">
        <v>151.788306</v>
      </c>
      <c r="H595" s="7" t="s">
        <v>7030</v>
      </c>
    </row>
    <row r="596" customFormat="false" ht="15" hidden="false" customHeight="false" outlineLevel="0" collapsed="false">
      <c r="A596" s="7" t="s">
        <v>6947</v>
      </c>
      <c r="B596" s="7" t="s">
        <v>6964</v>
      </c>
      <c r="C596" s="7" t="s">
        <v>821</v>
      </c>
      <c r="D596" s="7" t="n">
        <v>2444</v>
      </c>
      <c r="E596" s="7" t="s">
        <v>50</v>
      </c>
      <c r="F596" s="7" t="n">
        <v>-31.43106</v>
      </c>
      <c r="G596" s="7" t="n">
        <v>152.919069</v>
      </c>
      <c r="H596" s="7" t="s">
        <v>6965</v>
      </c>
    </row>
    <row r="597" customFormat="false" ht="15" hidden="false" customHeight="false" outlineLevel="0" collapsed="false">
      <c r="A597" s="7" t="s">
        <v>6947</v>
      </c>
      <c r="B597" s="7" t="s">
        <v>6977</v>
      </c>
      <c r="C597" s="7" t="s">
        <v>822</v>
      </c>
      <c r="D597" s="7" t="n">
        <v>2795</v>
      </c>
      <c r="E597" s="7" t="s">
        <v>50</v>
      </c>
      <c r="F597" s="7" t="n">
        <v>-33.440074</v>
      </c>
      <c r="G597" s="7" t="n">
        <v>149.562035</v>
      </c>
      <c r="H597" s="7" t="s">
        <v>6984</v>
      </c>
    </row>
    <row r="598" customFormat="false" ht="15" hidden="false" customHeight="false" outlineLevel="0" collapsed="false">
      <c r="A598" s="7" t="s">
        <v>6947</v>
      </c>
      <c r="B598" s="7" t="s">
        <v>6967</v>
      </c>
      <c r="C598" s="7" t="s">
        <v>823</v>
      </c>
      <c r="D598" s="7" t="n">
        <v>2166</v>
      </c>
      <c r="E598" s="7" t="s">
        <v>50</v>
      </c>
      <c r="F598" s="7" t="n">
        <v>-33.898778</v>
      </c>
      <c r="G598" s="7" t="n">
        <v>150.919791</v>
      </c>
      <c r="H598" s="7" t="s">
        <v>6968</v>
      </c>
    </row>
    <row r="599" customFormat="false" ht="15" hidden="false" customHeight="false" outlineLevel="0" collapsed="false">
      <c r="A599" s="7" t="s">
        <v>6947</v>
      </c>
      <c r="B599" s="7" t="s">
        <v>6962</v>
      </c>
      <c r="C599" s="7" t="s">
        <v>824</v>
      </c>
      <c r="D599" s="7" t="n">
        <v>2324</v>
      </c>
      <c r="E599" s="7" t="s">
        <v>50</v>
      </c>
      <c r="F599" s="7" t="n">
        <v>-32.653851</v>
      </c>
      <c r="G599" s="7" t="n">
        <v>151.962581</v>
      </c>
      <c r="H599" s="7" t="s">
        <v>7029</v>
      </c>
    </row>
    <row r="600" customFormat="false" ht="15" hidden="false" customHeight="false" outlineLevel="0" collapsed="false">
      <c r="A600" s="7" t="s">
        <v>6947</v>
      </c>
      <c r="B600" s="7" t="s">
        <v>6962</v>
      </c>
      <c r="C600" s="7" t="s">
        <v>826</v>
      </c>
      <c r="D600" s="7" t="n">
        <v>2064</v>
      </c>
      <c r="E600" s="7" t="s">
        <v>50</v>
      </c>
      <c r="F600" s="7" t="n">
        <v>-33.813914</v>
      </c>
      <c r="G600" s="7" t="n">
        <v>151.177703</v>
      </c>
      <c r="H600" s="7" t="s">
        <v>6980</v>
      </c>
    </row>
    <row r="601" customFormat="false" ht="15" hidden="false" customHeight="false" outlineLevel="0" collapsed="false">
      <c r="A601" s="7" t="s">
        <v>6947</v>
      </c>
      <c r="B601" s="7" t="s">
        <v>89</v>
      </c>
      <c r="C601" s="7" t="s">
        <v>827</v>
      </c>
      <c r="D601" s="7" t="n">
        <v>2711</v>
      </c>
      <c r="E601" s="7" t="s">
        <v>50</v>
      </c>
      <c r="F601" s="7" t="n">
        <v>-34.508956</v>
      </c>
      <c r="G601" s="7" t="n">
        <v>144.842843</v>
      </c>
      <c r="H601" s="7" t="s">
        <v>6981</v>
      </c>
    </row>
    <row r="602" customFormat="false" ht="15" hidden="false" customHeight="false" outlineLevel="0" collapsed="false">
      <c r="A602" s="7" t="s">
        <v>6947</v>
      </c>
      <c r="B602" s="7" t="s">
        <v>6960</v>
      </c>
      <c r="C602" s="7" t="s">
        <v>828</v>
      </c>
      <c r="D602" s="7" t="n">
        <v>2478</v>
      </c>
      <c r="E602" s="7" t="s">
        <v>50</v>
      </c>
      <c r="F602" s="7" t="n">
        <v>-28.861617</v>
      </c>
      <c r="G602" s="7" t="n">
        <v>153.516907</v>
      </c>
      <c r="H602" s="7" t="s">
        <v>7020</v>
      </c>
    </row>
    <row r="603" customFormat="false" ht="15" hidden="false" customHeight="false" outlineLevel="0" collapsed="false">
      <c r="A603" s="7" t="s">
        <v>6947</v>
      </c>
      <c r="B603" s="7" t="s">
        <v>6962</v>
      </c>
      <c r="C603" s="7" t="s">
        <v>829</v>
      </c>
      <c r="D603" s="7" t="n">
        <v>2036</v>
      </c>
      <c r="E603" s="7" t="s">
        <v>50</v>
      </c>
      <c r="F603" s="7" t="n">
        <v>-33.987069</v>
      </c>
      <c r="G603" s="7" t="n">
        <v>151.232167</v>
      </c>
      <c r="H603" s="7" t="s">
        <v>6983</v>
      </c>
    </row>
    <row r="604" customFormat="false" ht="15" hidden="false" customHeight="false" outlineLevel="0" collapsed="false">
      <c r="A604" s="7" t="s">
        <v>6947</v>
      </c>
      <c r="B604" s="7" t="s">
        <v>6977</v>
      </c>
      <c r="C604" s="7" t="s">
        <v>830</v>
      </c>
      <c r="D604" s="7" t="n">
        <v>2780</v>
      </c>
      <c r="E604" s="7" t="s">
        <v>50</v>
      </c>
      <c r="F604" s="7" t="n">
        <v>-33.728013</v>
      </c>
      <c r="G604" s="7" t="n">
        <v>150.300792</v>
      </c>
      <c r="H604" s="7" t="s">
        <v>6981</v>
      </c>
    </row>
    <row r="605" customFormat="false" ht="15" hidden="false" customHeight="false" outlineLevel="0" collapsed="false">
      <c r="A605" s="7" t="s">
        <v>6947</v>
      </c>
      <c r="B605" s="7" t="s">
        <v>6977</v>
      </c>
      <c r="C605" s="7" t="s">
        <v>831</v>
      </c>
      <c r="D605" s="7" t="n">
        <v>2264</v>
      </c>
      <c r="E605" s="7" t="s">
        <v>50</v>
      </c>
      <c r="F605" s="7" t="n">
        <v>-33.107395</v>
      </c>
      <c r="G605" s="7" t="n">
        <v>151.487048</v>
      </c>
      <c r="H605" s="7" t="s">
        <v>6991</v>
      </c>
    </row>
    <row r="606" customFormat="false" ht="15" hidden="false" customHeight="false" outlineLevel="0" collapsed="false">
      <c r="A606" s="7" t="s">
        <v>6947</v>
      </c>
      <c r="B606" s="7" t="s">
        <v>6977</v>
      </c>
      <c r="C606" s="7" t="s">
        <v>832</v>
      </c>
      <c r="D606" s="7" t="n">
        <v>2754</v>
      </c>
      <c r="E606" s="7" t="s">
        <v>50</v>
      </c>
      <c r="F606" s="7" t="n">
        <v>-33.583286</v>
      </c>
      <c r="G606" s="7" t="n">
        <v>150.700924</v>
      </c>
      <c r="H606" s="7" t="s">
        <v>6989</v>
      </c>
    </row>
    <row r="607" customFormat="false" ht="15" hidden="false" customHeight="false" outlineLevel="0" collapsed="false">
      <c r="A607" s="7" t="s">
        <v>6947</v>
      </c>
      <c r="B607" s="7" t="s">
        <v>6977</v>
      </c>
      <c r="C607" s="7" t="s">
        <v>833</v>
      </c>
      <c r="D607" s="7" t="n">
        <v>2120</v>
      </c>
      <c r="E607" s="7" t="s">
        <v>50</v>
      </c>
      <c r="F607" s="7" t="n">
        <v>-33.73726</v>
      </c>
      <c r="G607" s="7" t="n">
        <v>151.071037</v>
      </c>
      <c r="H607" s="7" t="s">
        <v>6984</v>
      </c>
    </row>
    <row r="608" customFormat="false" ht="15" hidden="false" customHeight="false" outlineLevel="0" collapsed="false">
      <c r="A608" s="7" t="s">
        <v>6947</v>
      </c>
      <c r="B608" s="7" t="s">
        <v>6964</v>
      </c>
      <c r="C608" s="7" t="s">
        <v>834</v>
      </c>
      <c r="D608" s="7" t="n">
        <v>2126</v>
      </c>
      <c r="E608" s="7" t="s">
        <v>50</v>
      </c>
      <c r="F608" s="7" t="n">
        <v>-33.721145</v>
      </c>
      <c r="G608" s="7" t="n">
        <v>151.04445</v>
      </c>
      <c r="H608" s="7" t="s">
        <v>6965</v>
      </c>
    </row>
    <row r="609" customFormat="false" ht="15" hidden="false" customHeight="false" outlineLevel="0" collapsed="false">
      <c r="A609" s="7" t="s">
        <v>6947</v>
      </c>
      <c r="B609" s="7" t="s">
        <v>7006</v>
      </c>
      <c r="C609" s="7" t="s">
        <v>835</v>
      </c>
      <c r="D609" s="7" t="n">
        <v>2479</v>
      </c>
      <c r="E609" s="7" t="s">
        <v>50</v>
      </c>
      <c r="F609" s="7" t="n">
        <v>-28.749797</v>
      </c>
      <c r="G609" s="7" t="n">
        <v>153.534318</v>
      </c>
      <c r="H609" s="7" t="s">
        <v>7051</v>
      </c>
    </row>
    <row r="610" customFormat="false" ht="15" hidden="false" customHeight="false" outlineLevel="0" collapsed="false">
      <c r="A610" s="7" t="s">
        <v>6947</v>
      </c>
      <c r="B610" s="7" t="s">
        <v>6962</v>
      </c>
      <c r="C610" s="7" t="s">
        <v>836</v>
      </c>
      <c r="D610" s="7" t="n">
        <v>2035</v>
      </c>
      <c r="E610" s="7" t="s">
        <v>50</v>
      </c>
      <c r="F610" s="7" t="n">
        <v>-33.951396</v>
      </c>
      <c r="G610" s="7" t="n">
        <v>151.232049</v>
      </c>
      <c r="H610" s="7" t="s">
        <v>7060</v>
      </c>
    </row>
    <row r="611" customFormat="false" ht="15" hidden="false" customHeight="false" outlineLevel="0" collapsed="false">
      <c r="A611" s="7" t="s">
        <v>6947</v>
      </c>
      <c r="B611" s="7" t="s">
        <v>6964</v>
      </c>
      <c r="C611" s="7" t="s">
        <v>837</v>
      </c>
      <c r="D611" s="7" t="n">
        <v>2620</v>
      </c>
      <c r="E611" s="7" t="s">
        <v>50</v>
      </c>
      <c r="F611" s="7" t="n">
        <v>-35.35578</v>
      </c>
      <c r="G611" s="7" t="n">
        <v>149.304442</v>
      </c>
      <c r="H611" s="7" t="s">
        <v>6975</v>
      </c>
    </row>
    <row r="612" customFormat="false" ht="15" hidden="false" customHeight="false" outlineLevel="0" collapsed="false">
      <c r="A612" s="7" t="s">
        <v>6947</v>
      </c>
      <c r="B612" s="7" t="s">
        <v>6962</v>
      </c>
      <c r="C612" s="7" t="s">
        <v>838</v>
      </c>
      <c r="D612" s="7" t="n">
        <v>2560</v>
      </c>
      <c r="E612" s="7" t="s">
        <v>50</v>
      </c>
      <c r="F612" s="7" t="n">
        <v>-34.071617</v>
      </c>
      <c r="G612" s="7" t="n">
        <v>150.805929</v>
      </c>
      <c r="H612" s="7" t="s">
        <v>7005</v>
      </c>
    </row>
    <row r="613" customFormat="false" ht="15" hidden="false" customHeight="false" outlineLevel="0" collapsed="false">
      <c r="A613" s="7" t="s">
        <v>6947</v>
      </c>
      <c r="B613" s="7" t="s">
        <v>6962</v>
      </c>
      <c r="C613" s="7" t="s">
        <v>840</v>
      </c>
      <c r="D613" s="7" t="n">
        <v>2594</v>
      </c>
      <c r="E613" s="7" t="s">
        <v>50</v>
      </c>
      <c r="F613" s="7" t="n">
        <v>-34.314604</v>
      </c>
      <c r="G613" s="7" t="n">
        <v>148.296271</v>
      </c>
      <c r="H613" s="7" t="s">
        <v>6979</v>
      </c>
    </row>
    <row r="614" customFormat="false" ht="15" hidden="false" customHeight="false" outlineLevel="0" collapsed="false">
      <c r="A614" s="7" t="s">
        <v>6947</v>
      </c>
      <c r="B614" s="7" t="s">
        <v>6977</v>
      </c>
      <c r="C614" s="7" t="s">
        <v>841</v>
      </c>
      <c r="D614" s="7" t="n">
        <v>2800</v>
      </c>
      <c r="E614" s="7" t="s">
        <v>50</v>
      </c>
      <c r="F614" s="7" t="n">
        <v>-33.299077</v>
      </c>
      <c r="G614" s="7" t="n">
        <v>149.019387</v>
      </c>
      <c r="H614" s="7" t="s">
        <v>6991</v>
      </c>
    </row>
    <row r="615" customFormat="false" ht="15" hidden="false" customHeight="false" outlineLevel="0" collapsed="false">
      <c r="A615" s="7" t="s">
        <v>6947</v>
      </c>
      <c r="B615" s="7" t="s">
        <v>6977</v>
      </c>
      <c r="C615" s="7" t="s">
        <v>842</v>
      </c>
      <c r="D615" s="7" t="n">
        <v>2204</v>
      </c>
      <c r="E615" s="7" t="s">
        <v>50</v>
      </c>
      <c r="F615" s="7" t="n">
        <v>-33.907996</v>
      </c>
      <c r="G615" s="7" t="n">
        <v>151.156717</v>
      </c>
      <c r="H615" s="7" t="s">
        <v>6984</v>
      </c>
    </row>
    <row r="616" customFormat="false" ht="15" hidden="false" customHeight="false" outlineLevel="0" collapsed="false">
      <c r="A616" s="7" t="s">
        <v>6947</v>
      </c>
      <c r="B616" s="7" t="s">
        <v>6964</v>
      </c>
      <c r="C616" s="7" t="s">
        <v>843</v>
      </c>
      <c r="D616" s="7" t="n">
        <v>2320</v>
      </c>
      <c r="E616" s="7" t="s">
        <v>50</v>
      </c>
      <c r="F616" s="7" t="n">
        <v>-32.775648</v>
      </c>
      <c r="G616" s="7" t="n">
        <v>151.299943</v>
      </c>
      <c r="H616" s="7" t="s">
        <v>6965</v>
      </c>
    </row>
    <row r="617" customFormat="false" ht="15" hidden="false" customHeight="false" outlineLevel="0" collapsed="false">
      <c r="A617" s="7" t="s">
        <v>6947</v>
      </c>
      <c r="B617" s="7" t="s">
        <v>6962</v>
      </c>
      <c r="C617" s="7" t="s">
        <v>844</v>
      </c>
      <c r="D617" s="7" t="n">
        <v>2293</v>
      </c>
      <c r="E617" s="7" t="s">
        <v>50</v>
      </c>
      <c r="F617" s="7" t="n">
        <v>-32.923022</v>
      </c>
      <c r="G617" s="7" t="n">
        <v>151.757234</v>
      </c>
      <c r="H617" s="7" t="s">
        <v>6983</v>
      </c>
    </row>
    <row r="618" customFormat="false" ht="15" hidden="false" customHeight="false" outlineLevel="0" collapsed="false">
      <c r="A618" s="7" t="s">
        <v>6947</v>
      </c>
      <c r="B618" s="7" t="s">
        <v>6962</v>
      </c>
      <c r="C618" s="7" t="s">
        <v>845</v>
      </c>
      <c r="D618" s="7" t="n">
        <v>2200</v>
      </c>
      <c r="E618" s="7" t="s">
        <v>50</v>
      </c>
      <c r="F618" s="7" t="n">
        <v>-33.915106</v>
      </c>
      <c r="G618" s="7" t="n">
        <v>150.993718</v>
      </c>
      <c r="H618" s="7" t="s">
        <v>6979</v>
      </c>
    </row>
    <row r="619" customFormat="false" ht="15" hidden="false" customHeight="false" outlineLevel="0" collapsed="false">
      <c r="A619" s="7" t="s">
        <v>6947</v>
      </c>
      <c r="B619" s="7" t="s">
        <v>6977</v>
      </c>
      <c r="C619" s="7" t="s">
        <v>846</v>
      </c>
      <c r="D619" s="7" t="n">
        <v>2325</v>
      </c>
      <c r="E619" s="7" t="s">
        <v>50</v>
      </c>
      <c r="F619" s="7" t="n">
        <v>-32.781576</v>
      </c>
      <c r="G619" s="7" t="n">
        <v>151.349095</v>
      </c>
      <c r="H619" s="7" t="s">
        <v>7000</v>
      </c>
    </row>
    <row r="620" customFormat="false" ht="15" hidden="false" customHeight="false" outlineLevel="0" collapsed="false">
      <c r="A620" s="7" t="s">
        <v>6947</v>
      </c>
      <c r="B620" s="7" t="s">
        <v>6964</v>
      </c>
      <c r="C620" s="7" t="s">
        <v>847</v>
      </c>
      <c r="D620" s="7" t="n">
        <v>2850</v>
      </c>
      <c r="E620" s="7" t="s">
        <v>50</v>
      </c>
      <c r="F620" s="7" t="n">
        <v>-32.563097</v>
      </c>
      <c r="G620" s="7" t="n">
        <v>149.620316</v>
      </c>
      <c r="H620" s="7" t="s">
        <v>6975</v>
      </c>
    </row>
    <row r="621" customFormat="false" ht="15" hidden="false" customHeight="false" outlineLevel="0" collapsed="false">
      <c r="A621" s="7" t="s">
        <v>6947</v>
      </c>
      <c r="B621" s="7" t="s">
        <v>6962</v>
      </c>
      <c r="C621" s="7" t="s">
        <v>848</v>
      </c>
      <c r="D621" s="7" t="n">
        <v>2478</v>
      </c>
      <c r="E621" s="7" t="s">
        <v>50</v>
      </c>
      <c r="F621" s="7" t="n">
        <v>-28.857439</v>
      </c>
      <c r="G621" s="7" t="n">
        <v>153.561405</v>
      </c>
      <c r="H621" s="7" t="s">
        <v>7005</v>
      </c>
    </row>
    <row r="622" customFormat="false" ht="15" hidden="false" customHeight="false" outlineLevel="0" collapsed="false">
      <c r="A622" s="7" t="s">
        <v>6947</v>
      </c>
      <c r="B622" s="7" t="s">
        <v>6987</v>
      </c>
      <c r="C622" s="7" t="s">
        <v>849</v>
      </c>
      <c r="D622" s="7" t="n">
        <v>2209</v>
      </c>
      <c r="E622" s="7" t="s">
        <v>50</v>
      </c>
      <c r="F622" s="7" t="n">
        <v>-33.948417</v>
      </c>
      <c r="G622" s="7" t="n">
        <v>151.071083</v>
      </c>
      <c r="H622" s="7" t="s">
        <v>6988</v>
      </c>
    </row>
    <row r="623" customFormat="false" ht="15" hidden="false" customHeight="false" outlineLevel="0" collapsed="false">
      <c r="A623" s="7" t="s">
        <v>6947</v>
      </c>
      <c r="B623" s="7" t="s">
        <v>6993</v>
      </c>
      <c r="C623" s="7" t="s">
        <v>850</v>
      </c>
      <c r="D623" s="7" t="n">
        <v>2478</v>
      </c>
      <c r="E623" s="7" t="s">
        <v>50</v>
      </c>
      <c r="F623" s="7" t="n">
        <v>-28.868951</v>
      </c>
      <c r="G623" s="7" t="n">
        <v>153.562225</v>
      </c>
      <c r="H623" s="7" t="s">
        <v>6994</v>
      </c>
    </row>
    <row r="624" customFormat="false" ht="15" hidden="false" customHeight="false" outlineLevel="0" collapsed="false">
      <c r="A624" s="7" t="s">
        <v>6947</v>
      </c>
      <c r="B624" s="7" t="s">
        <v>6977</v>
      </c>
      <c r="C624" s="7" t="s">
        <v>851</v>
      </c>
      <c r="D624" s="7" t="n">
        <v>2153</v>
      </c>
      <c r="E624" s="7" t="s">
        <v>50</v>
      </c>
      <c r="F624" s="7" t="n">
        <v>-33.744769</v>
      </c>
      <c r="G624" s="7" t="n">
        <v>150.991539</v>
      </c>
      <c r="H624" s="7" t="s">
        <v>6984</v>
      </c>
    </row>
    <row r="625" customFormat="false" ht="15" hidden="false" customHeight="false" outlineLevel="0" collapsed="false">
      <c r="A625" s="7" t="s">
        <v>6947</v>
      </c>
      <c r="B625" s="7" t="s">
        <v>6962</v>
      </c>
      <c r="C625" s="7" t="s">
        <v>852</v>
      </c>
      <c r="D625" s="7" t="n">
        <v>2480</v>
      </c>
      <c r="E625" s="7" t="s">
        <v>50</v>
      </c>
      <c r="F625" s="7" t="n">
        <v>-28.806549</v>
      </c>
      <c r="G625" s="7" t="n">
        <v>153.278638</v>
      </c>
      <c r="H625" s="7" t="s">
        <v>6980</v>
      </c>
    </row>
    <row r="626" customFormat="false" ht="15" hidden="false" customHeight="false" outlineLevel="0" collapsed="false">
      <c r="A626" s="7" t="s">
        <v>6947</v>
      </c>
      <c r="B626" s="7" t="s">
        <v>6962</v>
      </c>
      <c r="C626" s="7" t="s">
        <v>853</v>
      </c>
      <c r="D626" s="7" t="n">
        <v>2293</v>
      </c>
      <c r="E626" s="7" t="s">
        <v>50</v>
      </c>
      <c r="F626" s="7" t="n">
        <v>-32.923023</v>
      </c>
      <c r="G626" s="7" t="n">
        <v>151.757234</v>
      </c>
      <c r="H626" s="7" t="s">
        <v>6983</v>
      </c>
    </row>
    <row r="627" customFormat="false" ht="15" hidden="false" customHeight="false" outlineLevel="0" collapsed="false">
      <c r="A627" s="7" t="s">
        <v>6947</v>
      </c>
      <c r="B627" s="7" t="s">
        <v>6977</v>
      </c>
      <c r="C627" s="7" t="s">
        <v>854</v>
      </c>
      <c r="D627" s="7" t="n">
        <v>2640</v>
      </c>
      <c r="E627" s="7" t="s">
        <v>50</v>
      </c>
      <c r="F627" s="7" t="n">
        <v>-36.080636</v>
      </c>
      <c r="G627" s="7" t="n">
        <v>146.92161</v>
      </c>
      <c r="H627" s="7" t="s">
        <v>6981</v>
      </c>
    </row>
    <row r="628" customFormat="false" ht="15" hidden="false" customHeight="false" outlineLevel="0" collapsed="false">
      <c r="A628" s="7" t="s">
        <v>6947</v>
      </c>
      <c r="B628" s="7" t="s">
        <v>6977</v>
      </c>
      <c r="C628" s="7" t="s">
        <v>855</v>
      </c>
      <c r="D628" s="7" t="n">
        <v>2234</v>
      </c>
      <c r="E628" s="7" t="s">
        <v>50</v>
      </c>
      <c r="F628" s="7" t="n">
        <v>-34.013646</v>
      </c>
      <c r="G628" s="7" t="n">
        <v>151.017104</v>
      </c>
      <c r="H628" s="7" t="s">
        <v>6984</v>
      </c>
    </row>
    <row r="629" customFormat="false" ht="15" hidden="false" customHeight="false" outlineLevel="0" collapsed="false">
      <c r="A629" s="7" t="s">
        <v>6947</v>
      </c>
      <c r="B629" s="7" t="s">
        <v>6962</v>
      </c>
      <c r="C629" s="7" t="s">
        <v>856</v>
      </c>
      <c r="D629" s="7" t="n">
        <v>2769</v>
      </c>
      <c r="E629" s="7" t="s">
        <v>50</v>
      </c>
      <c r="F629" s="7" t="n">
        <v>-33.705889</v>
      </c>
      <c r="G629" s="7" t="n">
        <v>150.910428</v>
      </c>
      <c r="H629" s="7" t="s">
        <v>6969</v>
      </c>
    </row>
    <row r="630" customFormat="false" ht="15" hidden="false" customHeight="false" outlineLevel="0" collapsed="false">
      <c r="A630" s="7" t="s">
        <v>6947</v>
      </c>
      <c r="B630" s="7" t="s">
        <v>6977</v>
      </c>
      <c r="C630" s="7" t="s">
        <v>857</v>
      </c>
      <c r="D630" s="7" t="n">
        <v>2250</v>
      </c>
      <c r="E630" s="7" t="s">
        <v>50</v>
      </c>
      <c r="F630" s="7" t="n">
        <v>-33.394256</v>
      </c>
      <c r="G630" s="7" t="n">
        <v>151.32835</v>
      </c>
      <c r="H630" s="7" t="s">
        <v>6991</v>
      </c>
    </row>
    <row r="631" customFormat="false" ht="15" hidden="false" customHeight="false" outlineLevel="0" collapsed="false">
      <c r="A631" s="7" t="s">
        <v>6947</v>
      </c>
      <c r="B631" s="7" t="s">
        <v>6964</v>
      </c>
      <c r="C631" s="7" t="s">
        <v>858</v>
      </c>
      <c r="D631" s="7" t="n">
        <v>2000</v>
      </c>
      <c r="E631" s="7" t="s">
        <v>50</v>
      </c>
      <c r="F631" s="7" t="n">
        <v>-33.871257</v>
      </c>
      <c r="G631" s="7" t="n">
        <v>151.206304</v>
      </c>
      <c r="H631" s="7" t="s">
        <v>6965</v>
      </c>
    </row>
    <row r="632" customFormat="false" ht="15" hidden="false" customHeight="false" outlineLevel="0" collapsed="false">
      <c r="A632" s="7" t="s">
        <v>6947</v>
      </c>
      <c r="B632" s="7" t="s">
        <v>6977</v>
      </c>
      <c r="C632" s="7" t="s">
        <v>858</v>
      </c>
      <c r="D632" s="7" t="n">
        <v>2000</v>
      </c>
      <c r="E632" s="7" t="s">
        <v>50</v>
      </c>
      <c r="F632" s="7" t="n">
        <v>-33.871524</v>
      </c>
      <c r="G632" s="7" t="n">
        <v>151.206702</v>
      </c>
      <c r="H632" s="7" t="s">
        <v>6989</v>
      </c>
    </row>
    <row r="633" customFormat="false" ht="15" hidden="false" customHeight="false" outlineLevel="0" collapsed="false">
      <c r="A633" s="7" t="s">
        <v>6947</v>
      </c>
      <c r="B633" s="7" t="s">
        <v>6977</v>
      </c>
      <c r="C633" s="7" t="s">
        <v>859</v>
      </c>
      <c r="D633" s="7" t="n">
        <v>2031</v>
      </c>
      <c r="E633" s="7" t="s">
        <v>50</v>
      </c>
      <c r="F633" s="7" t="n">
        <v>-33.912016</v>
      </c>
      <c r="G633" s="7" t="n">
        <v>151.245013</v>
      </c>
      <c r="H633" s="7" t="s">
        <v>6991</v>
      </c>
    </row>
    <row r="634" customFormat="false" ht="15" hidden="false" customHeight="false" outlineLevel="0" collapsed="false">
      <c r="A634" s="7" t="s">
        <v>6947</v>
      </c>
      <c r="B634" s="7" t="s">
        <v>7061</v>
      </c>
      <c r="C634" s="7" t="s">
        <v>860</v>
      </c>
      <c r="D634" s="7" t="n">
        <v>2067</v>
      </c>
      <c r="E634" s="7" t="s">
        <v>50</v>
      </c>
      <c r="F634" s="7" t="n">
        <v>-33.795636</v>
      </c>
      <c r="G634" s="7" t="n">
        <v>151.188112</v>
      </c>
      <c r="H634" s="7" t="s">
        <v>7062</v>
      </c>
    </row>
    <row r="635" customFormat="false" ht="15" hidden="false" customHeight="false" outlineLevel="0" collapsed="false">
      <c r="A635" s="7" t="s">
        <v>6947</v>
      </c>
      <c r="B635" s="7" t="s">
        <v>6967</v>
      </c>
      <c r="C635" s="7" t="s">
        <v>862</v>
      </c>
      <c r="D635" s="7" t="n">
        <v>2783</v>
      </c>
      <c r="E635" s="7" t="s">
        <v>50</v>
      </c>
      <c r="F635" s="7" t="n">
        <v>-33.720695</v>
      </c>
      <c r="G635" s="7" t="n">
        <v>150.429727</v>
      </c>
      <c r="H635" s="7" t="s">
        <v>6968</v>
      </c>
    </row>
    <row r="636" customFormat="false" ht="15" hidden="false" customHeight="false" outlineLevel="0" collapsed="false">
      <c r="A636" s="7" t="s">
        <v>6947</v>
      </c>
      <c r="B636" s="7" t="s">
        <v>6967</v>
      </c>
      <c r="C636" s="7" t="s">
        <v>863</v>
      </c>
      <c r="D636" s="7" t="n">
        <v>2085</v>
      </c>
      <c r="E636" s="7" t="s">
        <v>50</v>
      </c>
      <c r="F636" s="7" t="n">
        <v>-33.703313</v>
      </c>
      <c r="G636" s="7" t="n">
        <v>151.213158</v>
      </c>
      <c r="H636" s="7" t="s">
        <v>6968</v>
      </c>
    </row>
    <row r="637" customFormat="false" ht="15" hidden="false" customHeight="false" outlineLevel="0" collapsed="false">
      <c r="A637" s="7" t="s">
        <v>6947</v>
      </c>
      <c r="B637" s="7" t="s">
        <v>6962</v>
      </c>
      <c r="C637" s="7" t="s">
        <v>864</v>
      </c>
      <c r="D637" s="7" t="n">
        <v>2785</v>
      </c>
      <c r="E637" s="7" t="s">
        <v>50</v>
      </c>
      <c r="F637" s="7" t="n">
        <v>-33.691116</v>
      </c>
      <c r="G637" s="7" t="n">
        <v>150.248682</v>
      </c>
      <c r="H637" s="7" t="s">
        <v>6969</v>
      </c>
    </row>
    <row r="638" customFormat="false" ht="15" hidden="false" customHeight="false" outlineLevel="0" collapsed="false">
      <c r="A638" s="7" t="s">
        <v>6947</v>
      </c>
      <c r="B638" s="7" t="s">
        <v>6964</v>
      </c>
      <c r="C638" s="7" t="s">
        <v>865</v>
      </c>
      <c r="D638" s="7" t="n">
        <v>2629</v>
      </c>
      <c r="E638" s="7" t="s">
        <v>50</v>
      </c>
      <c r="F638" s="7" t="n">
        <v>-35.942066</v>
      </c>
      <c r="G638" s="7" t="n">
        <v>148.627212</v>
      </c>
      <c r="H638" s="7" t="s">
        <v>7063</v>
      </c>
    </row>
    <row r="639" customFormat="false" ht="15" hidden="false" customHeight="false" outlineLevel="0" collapsed="false">
      <c r="A639" s="7" t="s">
        <v>6947</v>
      </c>
      <c r="B639" s="7" t="s">
        <v>6977</v>
      </c>
      <c r="C639" s="7" t="s">
        <v>867</v>
      </c>
      <c r="D639" s="7" t="n">
        <v>2111</v>
      </c>
      <c r="E639" s="7" t="s">
        <v>50</v>
      </c>
      <c r="F639" s="7" t="n">
        <v>-33.820859</v>
      </c>
      <c r="G639" s="7" t="n">
        <v>151.121011</v>
      </c>
      <c r="H639" s="7" t="s">
        <v>6989</v>
      </c>
    </row>
    <row r="640" customFormat="false" ht="15" hidden="false" customHeight="false" outlineLevel="0" collapsed="false">
      <c r="A640" s="7" t="s">
        <v>6947</v>
      </c>
      <c r="B640" s="7" t="s">
        <v>6964</v>
      </c>
      <c r="C640" s="7" t="s">
        <v>868</v>
      </c>
      <c r="D640" s="7" t="n">
        <v>2200</v>
      </c>
      <c r="E640" s="7" t="s">
        <v>50</v>
      </c>
      <c r="F640" s="7" t="n">
        <v>-33.913259</v>
      </c>
      <c r="G640" s="7" t="n">
        <v>151.033471</v>
      </c>
      <c r="H640" s="7" t="s">
        <v>6965</v>
      </c>
    </row>
    <row r="641" customFormat="false" ht="15" hidden="false" customHeight="false" outlineLevel="0" collapsed="false">
      <c r="A641" s="7" t="s">
        <v>6947</v>
      </c>
      <c r="B641" s="7" t="s">
        <v>6964</v>
      </c>
      <c r="C641" s="7" t="s">
        <v>869</v>
      </c>
      <c r="D641" s="7" t="n">
        <v>2790</v>
      </c>
      <c r="E641" s="7" t="s">
        <v>50</v>
      </c>
      <c r="F641" s="7" t="n">
        <v>-33.821464</v>
      </c>
      <c r="G641" s="7" t="n">
        <v>150.021679</v>
      </c>
      <c r="H641" s="7" t="s">
        <v>6965</v>
      </c>
    </row>
    <row r="642" customFormat="false" ht="15" hidden="false" customHeight="false" outlineLevel="0" collapsed="false">
      <c r="A642" s="7" t="s">
        <v>6947</v>
      </c>
      <c r="B642" s="7" t="s">
        <v>7033</v>
      </c>
      <c r="C642" s="7" t="s">
        <v>871</v>
      </c>
      <c r="D642" s="7" t="n">
        <v>2527</v>
      </c>
      <c r="E642" s="7" t="s">
        <v>50</v>
      </c>
      <c r="F642" s="7" t="n">
        <v>-34.5611</v>
      </c>
      <c r="G642" s="7" t="n">
        <v>150.79104</v>
      </c>
      <c r="H642" s="7" t="s">
        <v>7064</v>
      </c>
    </row>
    <row r="643" customFormat="false" ht="15" hidden="false" customHeight="false" outlineLevel="0" collapsed="false">
      <c r="A643" s="7" t="s">
        <v>6947</v>
      </c>
      <c r="B643" s="7" t="s">
        <v>6987</v>
      </c>
      <c r="C643" s="7" t="s">
        <v>872</v>
      </c>
      <c r="D643" s="7" t="n">
        <v>2066</v>
      </c>
      <c r="E643" s="7" t="s">
        <v>50</v>
      </c>
      <c r="F643" s="7" t="n">
        <v>-33.808378</v>
      </c>
      <c r="G643" s="7" t="n">
        <v>151.178564</v>
      </c>
      <c r="H643" s="7" t="s">
        <v>6988</v>
      </c>
    </row>
    <row r="644" customFormat="false" ht="15" hidden="false" customHeight="false" outlineLevel="0" collapsed="false">
      <c r="A644" s="7" t="s">
        <v>6947</v>
      </c>
      <c r="B644" s="7" t="s">
        <v>6962</v>
      </c>
      <c r="C644" s="7" t="s">
        <v>873</v>
      </c>
      <c r="D644" s="7" t="n">
        <v>2303</v>
      </c>
      <c r="E644" s="7" t="s">
        <v>50</v>
      </c>
      <c r="F644" s="7" t="n">
        <v>-32.921204</v>
      </c>
      <c r="G644" s="7" t="n">
        <v>151.747975</v>
      </c>
      <c r="H644" s="7" t="s">
        <v>6980</v>
      </c>
    </row>
    <row r="645" customFormat="false" ht="15" hidden="false" customHeight="false" outlineLevel="0" collapsed="false">
      <c r="A645" s="7" t="s">
        <v>6947</v>
      </c>
      <c r="B645" s="7" t="s">
        <v>7003</v>
      </c>
      <c r="C645" s="7" t="s">
        <v>874</v>
      </c>
      <c r="D645" s="7" t="n">
        <v>2232</v>
      </c>
      <c r="E645" s="7" t="s">
        <v>50</v>
      </c>
      <c r="F645" s="7" t="n">
        <v>-34.029367</v>
      </c>
      <c r="G645" s="7" t="n">
        <v>151.080724</v>
      </c>
      <c r="H645" s="7" t="s">
        <v>7004</v>
      </c>
    </row>
    <row r="646" customFormat="false" ht="15" hidden="false" customHeight="false" outlineLevel="0" collapsed="false">
      <c r="A646" s="7" t="s">
        <v>6947</v>
      </c>
      <c r="B646" s="7" t="s">
        <v>6960</v>
      </c>
      <c r="C646" s="7" t="s">
        <v>875</v>
      </c>
      <c r="D646" s="7" t="n">
        <v>2093</v>
      </c>
      <c r="E646" s="7" t="s">
        <v>50</v>
      </c>
      <c r="F646" s="7" t="n">
        <v>-33.795359</v>
      </c>
      <c r="G646" s="7" t="n">
        <v>151.255969</v>
      </c>
      <c r="H646" s="7" t="s">
        <v>7020</v>
      </c>
    </row>
    <row r="647" customFormat="false" ht="15" hidden="false" customHeight="false" outlineLevel="0" collapsed="false">
      <c r="A647" s="7" t="s">
        <v>6947</v>
      </c>
      <c r="B647" s="7" t="s">
        <v>6977</v>
      </c>
      <c r="C647" s="7" t="s">
        <v>876</v>
      </c>
      <c r="D647" s="7" t="n">
        <v>2285</v>
      </c>
      <c r="E647" s="7" t="s">
        <v>50</v>
      </c>
      <c r="F647" s="7" t="n">
        <v>-32.940988</v>
      </c>
      <c r="G647" s="7" t="n">
        <v>151.659907</v>
      </c>
      <c r="H647" s="7" t="s">
        <v>6991</v>
      </c>
    </row>
    <row r="648" customFormat="false" ht="15" hidden="false" customHeight="false" outlineLevel="0" collapsed="false">
      <c r="A648" s="7" t="s">
        <v>6947</v>
      </c>
      <c r="B648" s="7" t="s">
        <v>7033</v>
      </c>
      <c r="C648" s="7" t="s">
        <v>877</v>
      </c>
      <c r="D648" s="7" t="n">
        <v>2285</v>
      </c>
      <c r="E648" s="7" t="s">
        <v>50</v>
      </c>
      <c r="F648" s="7" t="n">
        <v>-32.942691</v>
      </c>
      <c r="G648" s="7" t="n">
        <v>151.65747</v>
      </c>
      <c r="H648" s="7" t="s">
        <v>7047</v>
      </c>
    </row>
    <row r="649" customFormat="false" ht="15" hidden="false" customHeight="false" outlineLevel="0" collapsed="false">
      <c r="A649" s="7" t="s">
        <v>6947</v>
      </c>
      <c r="B649" s="7" t="s">
        <v>6964</v>
      </c>
      <c r="C649" s="7" t="s">
        <v>878</v>
      </c>
      <c r="D649" s="7" t="n">
        <v>2800</v>
      </c>
      <c r="E649" s="7" t="s">
        <v>50</v>
      </c>
      <c r="F649" s="7" t="n">
        <v>-33.281965</v>
      </c>
      <c r="G649" s="7" t="n">
        <v>149.112572</v>
      </c>
      <c r="H649" s="7" t="s">
        <v>6965</v>
      </c>
    </row>
    <row r="650" customFormat="false" ht="15" hidden="false" customHeight="false" outlineLevel="0" collapsed="false">
      <c r="A650" s="7" t="s">
        <v>6947</v>
      </c>
      <c r="B650" s="7" t="s">
        <v>6962</v>
      </c>
      <c r="C650" s="7" t="s">
        <v>879</v>
      </c>
      <c r="D650" s="7" t="n">
        <v>2200</v>
      </c>
      <c r="E650" s="7" t="s">
        <v>50</v>
      </c>
      <c r="F650" s="7" t="n">
        <v>-33.922639</v>
      </c>
      <c r="G650" s="7" t="n">
        <v>150.982025</v>
      </c>
      <c r="H650" s="7" t="s">
        <v>6998</v>
      </c>
    </row>
    <row r="651" customFormat="false" ht="15" hidden="false" customHeight="false" outlineLevel="0" collapsed="false">
      <c r="A651" s="7" t="s">
        <v>6947</v>
      </c>
      <c r="B651" s="7" t="s">
        <v>6977</v>
      </c>
      <c r="C651" s="7" t="s">
        <v>880</v>
      </c>
      <c r="D651" s="7" t="n">
        <v>2440</v>
      </c>
      <c r="E651" s="7" t="s">
        <v>50</v>
      </c>
      <c r="F651" s="7" t="n">
        <v>-31.117388</v>
      </c>
      <c r="G651" s="7" t="n">
        <v>152.826923</v>
      </c>
      <c r="H651" s="7" t="s">
        <v>6984</v>
      </c>
    </row>
    <row r="652" customFormat="false" ht="15" hidden="false" customHeight="false" outlineLevel="0" collapsed="false">
      <c r="A652" s="7" t="s">
        <v>6947</v>
      </c>
      <c r="B652" s="7" t="s">
        <v>6964</v>
      </c>
      <c r="C652" s="7" t="s">
        <v>881</v>
      </c>
      <c r="D652" s="7" t="n">
        <v>2800</v>
      </c>
      <c r="E652" s="7" t="s">
        <v>50</v>
      </c>
      <c r="F652" s="7" t="n">
        <v>-33.3164</v>
      </c>
      <c r="G652" s="7" t="n">
        <v>149.146615</v>
      </c>
      <c r="H652" s="7" t="s">
        <v>6965</v>
      </c>
    </row>
    <row r="653" customFormat="false" ht="15" hidden="false" customHeight="false" outlineLevel="0" collapsed="false">
      <c r="A653" s="7" t="s">
        <v>6947</v>
      </c>
      <c r="B653" s="7" t="s">
        <v>6962</v>
      </c>
      <c r="C653" s="7" t="s">
        <v>882</v>
      </c>
      <c r="D653" s="7" t="n">
        <v>2766</v>
      </c>
      <c r="E653" s="7" t="s">
        <v>50</v>
      </c>
      <c r="F653" s="7" t="n">
        <v>-33.77242</v>
      </c>
      <c r="G653" s="7" t="n">
        <v>150.843589</v>
      </c>
      <c r="H653" s="7" t="s">
        <v>6983</v>
      </c>
    </row>
    <row r="654" customFormat="false" ht="15" hidden="false" customHeight="false" outlineLevel="0" collapsed="false">
      <c r="A654" s="7" t="s">
        <v>6947</v>
      </c>
      <c r="B654" s="7" t="s">
        <v>6993</v>
      </c>
      <c r="C654" s="7" t="s">
        <v>883</v>
      </c>
      <c r="D654" s="7" t="n">
        <v>2106</v>
      </c>
      <c r="E654" s="7" t="s">
        <v>50</v>
      </c>
      <c r="F654" s="7" t="n">
        <v>-33.657274</v>
      </c>
      <c r="G654" s="7" t="n">
        <v>151.315565</v>
      </c>
      <c r="H654" s="7" t="s">
        <v>6994</v>
      </c>
    </row>
    <row r="655" customFormat="false" ht="15" hidden="false" customHeight="false" outlineLevel="0" collapsed="false">
      <c r="A655" s="7" t="s">
        <v>6947</v>
      </c>
      <c r="B655" s="7" t="s">
        <v>6964</v>
      </c>
      <c r="C655" s="7" t="s">
        <v>884</v>
      </c>
      <c r="D655" s="7" t="n">
        <v>2127</v>
      </c>
      <c r="E655" s="7" t="s">
        <v>50</v>
      </c>
      <c r="F655" s="7" t="n">
        <v>-33.824819</v>
      </c>
      <c r="G655" s="7" t="n">
        <v>151.077185</v>
      </c>
      <c r="H655" s="7" t="s">
        <v>6965</v>
      </c>
    </row>
    <row r="656" customFormat="false" ht="15" hidden="false" customHeight="false" outlineLevel="0" collapsed="false">
      <c r="A656" s="7" t="s">
        <v>6947</v>
      </c>
      <c r="B656" s="7" t="s">
        <v>6964</v>
      </c>
      <c r="C656" s="7" t="s">
        <v>885</v>
      </c>
      <c r="D656" s="7" t="n">
        <v>2300</v>
      </c>
      <c r="E656" s="7" t="s">
        <v>50</v>
      </c>
      <c r="F656" s="7" t="n">
        <v>-32.929119</v>
      </c>
      <c r="G656" s="7" t="n">
        <v>151.784942</v>
      </c>
      <c r="H656" s="7" t="s">
        <v>6975</v>
      </c>
    </row>
    <row r="657" customFormat="false" ht="15" hidden="false" customHeight="false" outlineLevel="0" collapsed="false">
      <c r="A657" s="7" t="s">
        <v>6947</v>
      </c>
      <c r="B657" s="7" t="s">
        <v>6964</v>
      </c>
      <c r="C657" s="7" t="s">
        <v>886</v>
      </c>
      <c r="D657" s="7" t="n">
        <v>2576</v>
      </c>
      <c r="E657" s="7" t="s">
        <v>50</v>
      </c>
      <c r="F657" s="7" t="n">
        <v>-34.496785</v>
      </c>
      <c r="G657" s="7" t="n">
        <v>150.447163</v>
      </c>
      <c r="H657" s="7" t="s">
        <v>6975</v>
      </c>
    </row>
    <row r="658" customFormat="false" ht="15" hidden="false" customHeight="false" outlineLevel="0" collapsed="false">
      <c r="A658" s="7" t="s">
        <v>6947</v>
      </c>
      <c r="B658" s="7" t="s">
        <v>6977</v>
      </c>
      <c r="C658" s="7" t="s">
        <v>887</v>
      </c>
      <c r="D658" s="7" t="n">
        <v>2074</v>
      </c>
      <c r="E658" s="7" t="s">
        <v>50</v>
      </c>
      <c r="F658" s="7" t="n">
        <v>-33.732017</v>
      </c>
      <c r="G658" s="7" t="n">
        <v>151.127349</v>
      </c>
      <c r="H658" s="7" t="s">
        <v>6989</v>
      </c>
    </row>
    <row r="659" customFormat="false" ht="15" hidden="false" customHeight="false" outlineLevel="0" collapsed="false">
      <c r="A659" s="7" t="s">
        <v>6947</v>
      </c>
      <c r="B659" s="7" t="s">
        <v>6962</v>
      </c>
      <c r="C659" s="7" t="s">
        <v>888</v>
      </c>
      <c r="D659" s="7" t="n">
        <v>2478</v>
      </c>
      <c r="E659" s="7" t="s">
        <v>50</v>
      </c>
      <c r="F659" s="7" t="n">
        <v>-28.807501</v>
      </c>
      <c r="G659" s="7" t="n">
        <v>153.582148</v>
      </c>
      <c r="H659" s="7" t="s">
        <v>6983</v>
      </c>
    </row>
    <row r="660" customFormat="false" ht="15" hidden="false" customHeight="false" outlineLevel="0" collapsed="false">
      <c r="A660" s="7" t="s">
        <v>6947</v>
      </c>
      <c r="B660" s="7" t="s">
        <v>6964</v>
      </c>
      <c r="C660" s="7" t="s">
        <v>889</v>
      </c>
      <c r="D660" s="7" t="n">
        <v>2546</v>
      </c>
      <c r="E660" s="7" t="s">
        <v>50</v>
      </c>
      <c r="F660" s="7" t="n">
        <v>-36.219662</v>
      </c>
      <c r="G660" s="7" t="n">
        <v>150.13339</v>
      </c>
      <c r="H660" s="7" t="s">
        <v>6965</v>
      </c>
    </row>
    <row r="661" customFormat="false" ht="15" hidden="false" customHeight="false" outlineLevel="0" collapsed="false">
      <c r="A661" s="7" t="s">
        <v>6947</v>
      </c>
      <c r="B661" s="7" t="s">
        <v>6967</v>
      </c>
      <c r="C661" s="7" t="s">
        <v>890</v>
      </c>
      <c r="D661" s="7" t="n">
        <v>2565</v>
      </c>
      <c r="E661" s="7" t="s">
        <v>50</v>
      </c>
      <c r="F661" s="7" t="n">
        <v>-33.975854</v>
      </c>
      <c r="G661" s="7" t="n">
        <v>150.811619</v>
      </c>
      <c r="H661" s="7" t="s">
        <v>6968</v>
      </c>
    </row>
    <row r="662" customFormat="false" ht="15" hidden="false" customHeight="false" outlineLevel="0" collapsed="false">
      <c r="A662" s="7" t="s">
        <v>6947</v>
      </c>
      <c r="B662" s="7" t="s">
        <v>6962</v>
      </c>
      <c r="C662" s="7" t="s">
        <v>891</v>
      </c>
      <c r="D662" s="7" t="n">
        <v>2029</v>
      </c>
      <c r="E662" s="7" t="s">
        <v>50</v>
      </c>
      <c r="F662" s="7" t="n">
        <v>-33.878997</v>
      </c>
      <c r="G662" s="7" t="n">
        <v>151.262336</v>
      </c>
      <c r="H662" s="7" t="s">
        <v>6980</v>
      </c>
    </row>
    <row r="663" customFormat="false" ht="15" hidden="false" customHeight="false" outlineLevel="0" collapsed="false">
      <c r="A663" s="7" t="s">
        <v>6947</v>
      </c>
      <c r="B663" s="7" t="s">
        <v>6977</v>
      </c>
      <c r="C663" s="7" t="s">
        <v>892</v>
      </c>
      <c r="D663" s="7" t="n">
        <v>2131</v>
      </c>
      <c r="E663" s="7" t="s">
        <v>50</v>
      </c>
      <c r="F663" s="7" t="n">
        <v>-33.885391</v>
      </c>
      <c r="G663" s="7" t="n">
        <v>151.132238</v>
      </c>
      <c r="H663" s="7" t="s">
        <v>6984</v>
      </c>
    </row>
    <row r="664" customFormat="false" ht="15" hidden="false" customHeight="false" outlineLevel="0" collapsed="false">
      <c r="A664" s="7" t="s">
        <v>6947</v>
      </c>
      <c r="B664" s="7" t="s">
        <v>6977</v>
      </c>
      <c r="C664" s="7" t="s">
        <v>893</v>
      </c>
      <c r="D664" s="7" t="n">
        <v>2024</v>
      </c>
      <c r="E664" s="7" t="s">
        <v>50</v>
      </c>
      <c r="F664" s="7" t="n">
        <v>-33.899872</v>
      </c>
      <c r="G664" s="7" t="n">
        <v>151.256674</v>
      </c>
      <c r="H664" s="7" t="s">
        <v>6991</v>
      </c>
    </row>
    <row r="665" customFormat="false" ht="15" hidden="false" customHeight="false" outlineLevel="0" collapsed="false">
      <c r="A665" s="7" t="s">
        <v>6947</v>
      </c>
      <c r="B665" s="7" t="s">
        <v>6964</v>
      </c>
      <c r="C665" s="7" t="s">
        <v>894</v>
      </c>
      <c r="D665" s="7" t="n">
        <v>2261</v>
      </c>
      <c r="E665" s="7" t="s">
        <v>50</v>
      </c>
      <c r="F665" s="7" t="n">
        <v>-33.367426</v>
      </c>
      <c r="G665" s="7" t="n">
        <v>151.475617</v>
      </c>
      <c r="H665" s="7" t="s">
        <v>6965</v>
      </c>
    </row>
    <row r="666" customFormat="false" ht="15" hidden="false" customHeight="false" outlineLevel="0" collapsed="false">
      <c r="A666" s="7" t="s">
        <v>6947</v>
      </c>
      <c r="B666" s="7" t="s">
        <v>6977</v>
      </c>
      <c r="C666" s="7" t="s">
        <v>895</v>
      </c>
      <c r="D666" s="7" t="n">
        <v>2877</v>
      </c>
      <c r="E666" s="7" t="s">
        <v>50</v>
      </c>
      <c r="F666" s="7" t="n">
        <v>-33.088601</v>
      </c>
      <c r="G666" s="7" t="n">
        <v>147.149487</v>
      </c>
      <c r="H666" s="7" t="s">
        <v>6984</v>
      </c>
    </row>
    <row r="667" customFormat="false" ht="15" hidden="false" customHeight="false" outlineLevel="0" collapsed="false">
      <c r="A667" s="7" t="s">
        <v>6947</v>
      </c>
      <c r="B667" s="7" t="s">
        <v>6962</v>
      </c>
      <c r="C667" s="7" t="s">
        <v>897</v>
      </c>
      <c r="D667" s="7" t="n">
        <v>2323</v>
      </c>
      <c r="E667" s="7" t="s">
        <v>50</v>
      </c>
      <c r="F667" s="7" t="n">
        <v>-32.759125</v>
      </c>
      <c r="G667" s="7" t="n">
        <v>151.6069</v>
      </c>
      <c r="H667" s="7" t="s">
        <v>7065</v>
      </c>
    </row>
    <row r="668" customFormat="false" ht="15" hidden="false" customHeight="false" outlineLevel="0" collapsed="false">
      <c r="A668" s="7" t="s">
        <v>6947</v>
      </c>
      <c r="B668" s="7" t="s">
        <v>7003</v>
      </c>
      <c r="C668" s="7" t="s">
        <v>898</v>
      </c>
      <c r="D668" s="7" t="n">
        <v>2195</v>
      </c>
      <c r="E668" s="7" t="s">
        <v>50</v>
      </c>
      <c r="F668" s="7" t="n">
        <v>-33.911492</v>
      </c>
      <c r="G668" s="7" t="n">
        <v>151.073247</v>
      </c>
      <c r="H668" s="7" t="s">
        <v>7004</v>
      </c>
    </row>
    <row r="669" customFormat="false" ht="15" hidden="false" customHeight="false" outlineLevel="0" collapsed="false">
      <c r="A669" s="7" t="s">
        <v>6947</v>
      </c>
      <c r="B669" s="7" t="s">
        <v>6962</v>
      </c>
      <c r="C669" s="7" t="s">
        <v>899</v>
      </c>
      <c r="D669" s="7" t="n">
        <v>2067</v>
      </c>
      <c r="E669" s="7" t="s">
        <v>50</v>
      </c>
      <c r="F669" s="7" t="n">
        <v>-33.798074</v>
      </c>
      <c r="G669" s="7" t="n">
        <v>151.184427</v>
      </c>
      <c r="H669" s="7" t="s">
        <v>6998</v>
      </c>
    </row>
    <row r="670" customFormat="false" ht="15" hidden="false" customHeight="false" outlineLevel="0" collapsed="false">
      <c r="A670" s="7" t="s">
        <v>6947</v>
      </c>
      <c r="B670" s="7" t="s">
        <v>7035</v>
      </c>
      <c r="C670" s="7" t="s">
        <v>901</v>
      </c>
      <c r="D670" s="7" t="n">
        <v>2131</v>
      </c>
      <c r="E670" s="7" t="s">
        <v>50</v>
      </c>
      <c r="F670" s="7" t="n">
        <v>-33.885391</v>
      </c>
      <c r="G670" s="7" t="n">
        <v>151.132238</v>
      </c>
      <c r="H670" s="7" t="s">
        <v>7036</v>
      </c>
    </row>
    <row r="671" customFormat="false" ht="15" hidden="false" customHeight="false" outlineLevel="0" collapsed="false">
      <c r="A671" s="7" t="s">
        <v>6947</v>
      </c>
      <c r="B671" s="7" t="s">
        <v>6964</v>
      </c>
      <c r="C671" s="7" t="s">
        <v>902</v>
      </c>
      <c r="D671" s="7" t="n">
        <v>2545</v>
      </c>
      <c r="E671" s="7" t="s">
        <v>50</v>
      </c>
      <c r="F671" s="7" t="n">
        <v>-36.086831</v>
      </c>
      <c r="G671" s="7" t="n">
        <v>150.049523</v>
      </c>
      <c r="H671" s="7" t="s">
        <v>6965</v>
      </c>
    </row>
    <row r="672" customFormat="false" ht="15" hidden="false" customHeight="false" outlineLevel="0" collapsed="false">
      <c r="A672" s="7" t="s">
        <v>6947</v>
      </c>
      <c r="B672" s="7" t="s">
        <v>6977</v>
      </c>
      <c r="C672" s="7" t="s">
        <v>903</v>
      </c>
      <c r="D672" s="7" t="n">
        <v>2527</v>
      </c>
      <c r="E672" s="7" t="s">
        <v>50</v>
      </c>
      <c r="F672" s="7" t="n">
        <v>-34.570381</v>
      </c>
      <c r="G672" s="7" t="n">
        <v>150.768744</v>
      </c>
      <c r="H672" s="7" t="s">
        <v>6981</v>
      </c>
    </row>
    <row r="673" customFormat="false" ht="15" hidden="false" customHeight="false" outlineLevel="0" collapsed="false">
      <c r="A673" s="7" t="s">
        <v>6947</v>
      </c>
      <c r="B673" s="7" t="s">
        <v>194</v>
      </c>
      <c r="C673" s="7" t="s">
        <v>904</v>
      </c>
      <c r="D673" s="7" t="n">
        <v>2640</v>
      </c>
      <c r="E673" s="7" t="s">
        <v>50</v>
      </c>
      <c r="F673" s="7" t="n">
        <v>-36.080635</v>
      </c>
      <c r="G673" s="7" t="n">
        <v>146.921609</v>
      </c>
      <c r="H673" s="7" t="s">
        <v>6981</v>
      </c>
    </row>
    <row r="674" customFormat="false" ht="15" hidden="false" customHeight="false" outlineLevel="0" collapsed="false">
      <c r="A674" s="7" t="s">
        <v>6947</v>
      </c>
      <c r="B674" s="7" t="s">
        <v>6964</v>
      </c>
      <c r="C674" s="7" t="s">
        <v>905</v>
      </c>
      <c r="D674" s="7" t="n">
        <v>2780</v>
      </c>
      <c r="E674" s="7" t="s">
        <v>50</v>
      </c>
      <c r="F674" s="7" t="n">
        <v>-33.67531</v>
      </c>
      <c r="G674" s="7" t="n">
        <v>150.280592</v>
      </c>
      <c r="H674" s="7" t="s">
        <v>6965</v>
      </c>
    </row>
    <row r="675" customFormat="false" ht="15" hidden="false" customHeight="false" outlineLevel="0" collapsed="false">
      <c r="A675" s="7" t="s">
        <v>6947</v>
      </c>
      <c r="B675" s="7" t="s">
        <v>6977</v>
      </c>
      <c r="C675" s="7" t="s">
        <v>906</v>
      </c>
      <c r="D675" s="7" t="n">
        <v>2587</v>
      </c>
      <c r="E675" s="7" t="s">
        <v>50</v>
      </c>
      <c r="F675" s="7" t="n">
        <v>-34.562858</v>
      </c>
      <c r="G675" s="7" t="n">
        <v>148.361106</v>
      </c>
      <c r="H675" s="7" t="s">
        <v>6981</v>
      </c>
    </row>
    <row r="676" customFormat="false" ht="15" hidden="false" customHeight="false" outlineLevel="0" collapsed="false">
      <c r="A676" s="7" t="s">
        <v>6947</v>
      </c>
      <c r="B676" s="7" t="s">
        <v>6962</v>
      </c>
      <c r="C676" s="7" t="s">
        <v>907</v>
      </c>
      <c r="D676" s="7" t="n">
        <v>2580</v>
      </c>
      <c r="E676" s="7" t="s">
        <v>50</v>
      </c>
      <c r="F676" s="7" t="n">
        <v>-34.747962</v>
      </c>
      <c r="G676" s="7" t="n">
        <v>149.749646</v>
      </c>
      <c r="H676" s="7" t="s">
        <v>6980</v>
      </c>
    </row>
    <row r="677" customFormat="false" ht="15" hidden="false" customHeight="false" outlineLevel="0" collapsed="false">
      <c r="A677" s="7" t="s">
        <v>6947</v>
      </c>
      <c r="B677" s="7" t="s">
        <v>6962</v>
      </c>
      <c r="C677" s="7" t="s">
        <v>908</v>
      </c>
      <c r="D677" s="7" t="n">
        <v>2028</v>
      </c>
      <c r="E677" s="7" t="s">
        <v>50</v>
      </c>
      <c r="F677" s="7" t="n">
        <v>-33.872766</v>
      </c>
      <c r="G677" s="7" t="n">
        <v>151.247412</v>
      </c>
      <c r="H677" s="7" t="s">
        <v>6998</v>
      </c>
    </row>
    <row r="678" customFormat="false" ht="15" hidden="false" customHeight="false" outlineLevel="0" collapsed="false">
      <c r="A678" s="7" t="s">
        <v>6947</v>
      </c>
      <c r="B678" s="7" t="s">
        <v>6977</v>
      </c>
      <c r="C678" s="7" t="s">
        <v>909</v>
      </c>
      <c r="D678" s="7" t="n">
        <v>2122</v>
      </c>
      <c r="E678" s="7" t="s">
        <v>50</v>
      </c>
      <c r="F678" s="7" t="n">
        <v>-33.790591</v>
      </c>
      <c r="G678" s="7" t="n">
        <v>151.084418</v>
      </c>
      <c r="H678" s="7" t="s">
        <v>6984</v>
      </c>
    </row>
    <row r="679" customFormat="false" ht="15" hidden="false" customHeight="false" outlineLevel="0" collapsed="false">
      <c r="A679" s="7" t="s">
        <v>6947</v>
      </c>
      <c r="B679" s="7" t="s">
        <v>6967</v>
      </c>
      <c r="C679" s="7" t="s">
        <v>910</v>
      </c>
      <c r="D679" s="7" t="n">
        <v>2536</v>
      </c>
      <c r="E679" s="7" t="s">
        <v>50</v>
      </c>
      <c r="F679" s="7" t="n">
        <v>-35.710733</v>
      </c>
      <c r="G679" s="7" t="n">
        <v>150.177637</v>
      </c>
      <c r="H679" s="7" t="s">
        <v>7019</v>
      </c>
    </row>
    <row r="680" customFormat="false" ht="15" hidden="false" customHeight="false" outlineLevel="0" collapsed="false">
      <c r="A680" s="7" t="s">
        <v>6947</v>
      </c>
      <c r="B680" s="7" t="s">
        <v>6987</v>
      </c>
      <c r="C680" s="7" t="s">
        <v>911</v>
      </c>
      <c r="D680" s="7" t="n">
        <v>2132</v>
      </c>
      <c r="E680" s="7" t="s">
        <v>50</v>
      </c>
      <c r="F680" s="7" t="n">
        <v>-33.894746</v>
      </c>
      <c r="G680" s="7" t="n">
        <v>151.109686</v>
      </c>
      <c r="H680" s="7" t="s">
        <v>6988</v>
      </c>
    </row>
    <row r="681" customFormat="false" ht="15" hidden="false" customHeight="false" outlineLevel="0" collapsed="false">
      <c r="A681" s="7" t="s">
        <v>6947</v>
      </c>
      <c r="B681" s="7" t="s">
        <v>6993</v>
      </c>
      <c r="C681" s="7" t="s">
        <v>912</v>
      </c>
      <c r="D681" s="7" t="n">
        <v>2066</v>
      </c>
      <c r="E681" s="7" t="s">
        <v>50</v>
      </c>
      <c r="F681" s="7" t="n">
        <v>-33.806405</v>
      </c>
      <c r="G681" s="7" t="n">
        <v>151.16161</v>
      </c>
      <c r="H681" s="7" t="s">
        <v>6994</v>
      </c>
    </row>
    <row r="682" customFormat="false" ht="15" hidden="false" customHeight="false" outlineLevel="0" collapsed="false">
      <c r="A682" s="7" t="s">
        <v>6947</v>
      </c>
      <c r="B682" s="7" t="s">
        <v>6964</v>
      </c>
      <c r="C682" s="7" t="s">
        <v>913</v>
      </c>
      <c r="D682" s="7" t="n">
        <v>2731</v>
      </c>
      <c r="E682" s="7" t="s">
        <v>50</v>
      </c>
      <c r="F682" s="7" t="n">
        <v>-36.111537</v>
      </c>
      <c r="G682" s="7" t="n">
        <v>144.753642</v>
      </c>
      <c r="H682" s="7" t="s">
        <v>6965</v>
      </c>
    </row>
    <row r="683" customFormat="false" ht="15" hidden="false" customHeight="false" outlineLevel="0" collapsed="false">
      <c r="A683" s="7" t="s">
        <v>6947</v>
      </c>
      <c r="B683" s="7" t="s">
        <v>6967</v>
      </c>
      <c r="C683" s="7" t="s">
        <v>915</v>
      </c>
      <c r="D683" s="7" t="n">
        <v>2486</v>
      </c>
      <c r="E683" s="7" t="s">
        <v>50</v>
      </c>
      <c r="F683" s="7" t="n">
        <v>-28.198985</v>
      </c>
      <c r="G683" s="7" t="n">
        <v>153.545985</v>
      </c>
      <c r="H683" s="7" t="s">
        <v>6968</v>
      </c>
    </row>
    <row r="684" customFormat="false" ht="15" hidden="false" customHeight="false" outlineLevel="0" collapsed="false">
      <c r="A684" s="7" t="s">
        <v>6947</v>
      </c>
      <c r="B684" s="7" t="s">
        <v>6967</v>
      </c>
      <c r="C684" s="7" t="s">
        <v>916</v>
      </c>
      <c r="D684" s="7" t="n">
        <v>2229</v>
      </c>
      <c r="E684" s="7" t="s">
        <v>50</v>
      </c>
      <c r="F684" s="7" t="n">
        <v>-34.032986</v>
      </c>
      <c r="G684" s="7" t="n">
        <v>151.125064</v>
      </c>
      <c r="H684" s="7" t="s">
        <v>6968</v>
      </c>
    </row>
    <row r="685" customFormat="false" ht="15" hidden="false" customHeight="false" outlineLevel="0" collapsed="false">
      <c r="A685" s="7" t="s">
        <v>6947</v>
      </c>
      <c r="B685" s="7" t="s">
        <v>6977</v>
      </c>
      <c r="C685" s="7" t="s">
        <v>917</v>
      </c>
      <c r="D685" s="7" t="n">
        <v>2148</v>
      </c>
      <c r="E685" s="7" t="s">
        <v>50</v>
      </c>
      <c r="F685" s="7" t="n">
        <v>-33.772433</v>
      </c>
      <c r="G685" s="7" t="n">
        <v>150.909226</v>
      </c>
      <c r="H685" s="7" t="s">
        <v>6981</v>
      </c>
    </row>
    <row r="686" customFormat="false" ht="15" hidden="false" customHeight="false" outlineLevel="0" collapsed="false">
      <c r="A686" s="7" t="s">
        <v>6947</v>
      </c>
      <c r="B686" s="7" t="s">
        <v>6964</v>
      </c>
      <c r="C686" s="7" t="s">
        <v>918</v>
      </c>
      <c r="D686" s="7" t="n">
        <v>2095</v>
      </c>
      <c r="E686" s="7" t="s">
        <v>50</v>
      </c>
      <c r="F686" s="7" t="n">
        <v>-33.791559</v>
      </c>
      <c r="G686" s="7" t="n">
        <v>151.286988</v>
      </c>
      <c r="H686" s="7" t="s">
        <v>6982</v>
      </c>
    </row>
    <row r="687" customFormat="false" ht="15" hidden="false" customHeight="false" outlineLevel="0" collapsed="false">
      <c r="A687" s="7" t="s">
        <v>6947</v>
      </c>
      <c r="B687" s="7" t="s">
        <v>6993</v>
      </c>
      <c r="C687" s="7" t="s">
        <v>919</v>
      </c>
      <c r="D687" s="7" t="n">
        <v>2009</v>
      </c>
      <c r="E687" s="7" t="s">
        <v>50</v>
      </c>
      <c r="F687" s="7" t="n">
        <v>-33.868148</v>
      </c>
      <c r="G687" s="7" t="n">
        <v>151.194159</v>
      </c>
      <c r="H687" s="7" t="s">
        <v>6994</v>
      </c>
    </row>
    <row r="688" customFormat="false" ht="15" hidden="false" customHeight="false" outlineLevel="0" collapsed="false">
      <c r="A688" s="7" t="s">
        <v>6947</v>
      </c>
      <c r="B688" s="7" t="s">
        <v>6958</v>
      </c>
      <c r="C688" s="7" t="s">
        <v>920</v>
      </c>
      <c r="D688" s="7" t="n">
        <v>2537</v>
      </c>
      <c r="E688" s="7" t="s">
        <v>50</v>
      </c>
      <c r="F688" s="7" t="n">
        <v>-35.844717</v>
      </c>
      <c r="G688" s="7" t="n">
        <v>150.169967</v>
      </c>
      <c r="H688" s="7" t="s">
        <v>7023</v>
      </c>
    </row>
    <row r="689" customFormat="false" ht="15" hidden="false" customHeight="false" outlineLevel="0" collapsed="false">
      <c r="A689" s="7" t="s">
        <v>6947</v>
      </c>
      <c r="B689" s="7" t="s">
        <v>6987</v>
      </c>
      <c r="C689" s="7" t="s">
        <v>921</v>
      </c>
      <c r="D689" s="7" t="n">
        <v>2036</v>
      </c>
      <c r="E689" s="7" t="s">
        <v>50</v>
      </c>
      <c r="F689" s="7" t="n">
        <v>-33.961056</v>
      </c>
      <c r="G689" s="7" t="n">
        <v>151.230945</v>
      </c>
      <c r="H689" s="7" t="s">
        <v>6988</v>
      </c>
    </row>
    <row r="690" customFormat="false" ht="15" hidden="false" customHeight="false" outlineLevel="0" collapsed="false">
      <c r="A690" s="7" t="s">
        <v>6947</v>
      </c>
      <c r="B690" s="7" t="s">
        <v>6977</v>
      </c>
      <c r="C690" s="7" t="s">
        <v>922</v>
      </c>
      <c r="D690" s="7" t="n">
        <v>2640</v>
      </c>
      <c r="E690" s="7" t="s">
        <v>50</v>
      </c>
      <c r="F690" s="7" t="n">
        <v>-36.078161</v>
      </c>
      <c r="G690" s="7" t="n">
        <v>146.916748</v>
      </c>
      <c r="H690" s="7" t="s">
        <v>6981</v>
      </c>
    </row>
    <row r="691" customFormat="false" ht="15" hidden="false" customHeight="false" outlineLevel="0" collapsed="false">
      <c r="A691" s="7" t="s">
        <v>6947</v>
      </c>
      <c r="B691" s="7" t="s">
        <v>6964</v>
      </c>
      <c r="C691" s="7" t="s">
        <v>923</v>
      </c>
      <c r="D691" s="7" t="n">
        <v>2320</v>
      </c>
      <c r="E691" s="7" t="s">
        <v>50</v>
      </c>
      <c r="F691" s="7" t="n">
        <v>-32.696824</v>
      </c>
      <c r="G691" s="7" t="n">
        <v>151.262826</v>
      </c>
      <c r="H691" s="7" t="s">
        <v>6975</v>
      </c>
    </row>
    <row r="692" customFormat="false" ht="15" hidden="false" customHeight="false" outlineLevel="0" collapsed="false">
      <c r="A692" s="7" t="s">
        <v>6947</v>
      </c>
      <c r="B692" s="7" t="s">
        <v>6962</v>
      </c>
      <c r="C692" s="7" t="s">
        <v>924</v>
      </c>
      <c r="D692" s="7" t="n">
        <v>2320</v>
      </c>
      <c r="E692" s="7" t="s">
        <v>50</v>
      </c>
      <c r="F692" s="7" t="n">
        <v>-32.728842</v>
      </c>
      <c r="G692" s="7" t="n">
        <v>151.54997</v>
      </c>
      <c r="H692" s="7" t="s">
        <v>6983</v>
      </c>
    </row>
    <row r="693" customFormat="false" ht="15" hidden="false" customHeight="false" outlineLevel="0" collapsed="false">
      <c r="A693" s="7" t="s">
        <v>6947</v>
      </c>
      <c r="B693" s="7" t="s">
        <v>7037</v>
      </c>
      <c r="C693" s="7" t="s">
        <v>925</v>
      </c>
      <c r="D693" s="7" t="n">
        <v>2009</v>
      </c>
      <c r="E693" s="7" t="s">
        <v>50</v>
      </c>
      <c r="F693" s="7" t="n">
        <v>-33.871926</v>
      </c>
      <c r="G693" s="7" t="n">
        <v>151.197966</v>
      </c>
      <c r="H693" s="7" t="s">
        <v>7022</v>
      </c>
    </row>
    <row r="694" customFormat="false" ht="15" hidden="false" customHeight="false" outlineLevel="0" collapsed="false">
      <c r="A694" s="7" t="s">
        <v>6947</v>
      </c>
      <c r="B694" s="7" t="s">
        <v>6964</v>
      </c>
      <c r="C694" s="7" t="s">
        <v>926</v>
      </c>
      <c r="D694" s="7" t="n">
        <v>2465</v>
      </c>
      <c r="E694" s="7" t="s">
        <v>50</v>
      </c>
      <c r="F694" s="7" t="n">
        <v>-29.426999</v>
      </c>
      <c r="G694" s="7" t="n">
        <v>153.239147</v>
      </c>
      <c r="H694" s="7" t="s">
        <v>7032</v>
      </c>
    </row>
    <row r="695" customFormat="false" ht="15" hidden="false" customHeight="false" outlineLevel="0" collapsed="false">
      <c r="A695" s="7" t="s">
        <v>6947</v>
      </c>
      <c r="B695" s="7" t="s">
        <v>6964</v>
      </c>
      <c r="C695" s="7" t="s">
        <v>927</v>
      </c>
      <c r="D695" s="7" t="n">
        <v>2176</v>
      </c>
      <c r="E695" s="7" t="s">
        <v>50</v>
      </c>
      <c r="F695" s="7" t="n">
        <v>-33.858862</v>
      </c>
      <c r="G695" s="7" t="n">
        <v>150.898752</v>
      </c>
      <c r="H695" s="7" t="s">
        <v>6965</v>
      </c>
    </row>
    <row r="696" customFormat="false" ht="15" hidden="false" customHeight="false" outlineLevel="0" collapsed="false">
      <c r="A696" s="7" t="s">
        <v>6947</v>
      </c>
      <c r="B696" s="7" t="s">
        <v>6993</v>
      </c>
      <c r="C696" s="7" t="s">
        <v>928</v>
      </c>
      <c r="D696" s="7" t="n">
        <v>2068</v>
      </c>
      <c r="E696" s="7" t="s">
        <v>50</v>
      </c>
      <c r="F696" s="7" t="n">
        <v>-33.807294</v>
      </c>
      <c r="G696" s="7" t="n">
        <v>151.200025</v>
      </c>
      <c r="H696" s="7" t="s">
        <v>6994</v>
      </c>
    </row>
    <row r="697" customFormat="false" ht="15" hidden="false" customHeight="false" outlineLevel="0" collapsed="false">
      <c r="A697" s="7" t="s">
        <v>6947</v>
      </c>
      <c r="B697" s="7" t="s">
        <v>6993</v>
      </c>
      <c r="C697" s="7" t="s">
        <v>929</v>
      </c>
      <c r="D697" s="7" t="n">
        <v>2033</v>
      </c>
      <c r="E697" s="7" t="s">
        <v>50</v>
      </c>
      <c r="F697" s="7" t="n">
        <v>-33.90801</v>
      </c>
      <c r="G697" s="7" t="n">
        <v>151.224763</v>
      </c>
      <c r="H697" s="7" t="s">
        <v>6994</v>
      </c>
    </row>
    <row r="698" customFormat="false" ht="15" hidden="false" customHeight="false" outlineLevel="0" collapsed="false">
      <c r="A698" s="7" t="s">
        <v>6947</v>
      </c>
      <c r="B698" s="7" t="s">
        <v>6964</v>
      </c>
      <c r="C698" s="7" t="s">
        <v>930</v>
      </c>
      <c r="D698" s="7" t="n">
        <v>2452</v>
      </c>
      <c r="E698" s="7" t="s">
        <v>50</v>
      </c>
      <c r="F698" s="7" t="n">
        <v>-30.369935</v>
      </c>
      <c r="G698" s="7" t="n">
        <v>153.099164</v>
      </c>
      <c r="H698" s="7" t="s">
        <v>6965</v>
      </c>
    </row>
    <row r="699" customFormat="false" ht="15" hidden="false" customHeight="false" outlineLevel="0" collapsed="false">
      <c r="A699" s="7" t="s">
        <v>6947</v>
      </c>
      <c r="B699" s="7" t="s">
        <v>7052</v>
      </c>
      <c r="C699" s="7" t="s">
        <v>931</v>
      </c>
      <c r="D699" s="7" t="n">
        <v>2320</v>
      </c>
      <c r="E699" s="7" t="s">
        <v>50</v>
      </c>
      <c r="F699" s="7" t="n">
        <v>-32.775791</v>
      </c>
      <c r="G699" s="7" t="n">
        <v>151.281324</v>
      </c>
      <c r="H699" s="7" t="s">
        <v>7053</v>
      </c>
    </row>
    <row r="700" customFormat="false" ht="15" hidden="false" customHeight="false" outlineLevel="0" collapsed="false">
      <c r="A700" s="7" t="s">
        <v>6947</v>
      </c>
      <c r="B700" s="7" t="s">
        <v>6964</v>
      </c>
      <c r="C700" s="7" t="s">
        <v>931</v>
      </c>
      <c r="D700" s="7" t="n">
        <v>2320</v>
      </c>
      <c r="E700" s="7" t="s">
        <v>50</v>
      </c>
      <c r="F700" s="7" t="n">
        <v>-32.775445</v>
      </c>
      <c r="G700" s="7" t="n">
        <v>151.281744</v>
      </c>
      <c r="H700" s="7" t="s">
        <v>6965</v>
      </c>
    </row>
    <row r="701" customFormat="false" ht="15" hidden="false" customHeight="false" outlineLevel="0" collapsed="false">
      <c r="A701" s="7" t="s">
        <v>6947</v>
      </c>
      <c r="B701" s="7" t="s">
        <v>6964</v>
      </c>
      <c r="C701" s="7" t="s">
        <v>932</v>
      </c>
      <c r="D701" s="7" t="n">
        <v>2621</v>
      </c>
      <c r="E701" s="7" t="s">
        <v>50</v>
      </c>
      <c r="F701" s="7" t="n">
        <v>-35.256963</v>
      </c>
      <c r="G701" s="7" t="n">
        <v>149.440177</v>
      </c>
      <c r="H701" s="7" t="s">
        <v>6965</v>
      </c>
    </row>
    <row r="702" customFormat="false" ht="15" hidden="false" customHeight="false" outlineLevel="0" collapsed="false">
      <c r="A702" s="7" t="s">
        <v>6947</v>
      </c>
      <c r="B702" s="7" t="s">
        <v>6964</v>
      </c>
      <c r="C702" s="7" t="s">
        <v>933</v>
      </c>
      <c r="D702" s="7" t="n">
        <v>2850</v>
      </c>
      <c r="E702" s="7" t="s">
        <v>50</v>
      </c>
      <c r="F702" s="7" t="n">
        <v>-32.52794</v>
      </c>
      <c r="G702" s="7" t="n">
        <v>149.611869</v>
      </c>
      <c r="H702" s="7" t="s">
        <v>6965</v>
      </c>
    </row>
    <row r="703" customFormat="false" ht="15" hidden="false" customHeight="false" outlineLevel="0" collapsed="false">
      <c r="A703" s="7" t="s">
        <v>6947</v>
      </c>
      <c r="B703" s="7" t="s">
        <v>6964</v>
      </c>
      <c r="C703" s="7" t="s">
        <v>934</v>
      </c>
      <c r="D703" s="7" t="n">
        <v>2340</v>
      </c>
      <c r="E703" s="7" t="s">
        <v>50</v>
      </c>
      <c r="F703" s="7" t="n">
        <v>-31.10165</v>
      </c>
      <c r="G703" s="7" t="n">
        <v>150.917126</v>
      </c>
      <c r="H703" s="7" t="s">
        <v>7032</v>
      </c>
    </row>
    <row r="704" customFormat="false" ht="15" hidden="false" customHeight="false" outlineLevel="0" collapsed="false">
      <c r="A704" s="7" t="s">
        <v>6947</v>
      </c>
      <c r="B704" s="7" t="s">
        <v>6960</v>
      </c>
      <c r="C704" s="7" t="s">
        <v>935</v>
      </c>
      <c r="D704" s="7" t="n">
        <v>2132</v>
      </c>
      <c r="E704" s="7" t="s">
        <v>50</v>
      </c>
      <c r="F704" s="7" t="n">
        <v>-33.874104</v>
      </c>
      <c r="G704" s="7" t="n">
        <v>151.126763</v>
      </c>
      <c r="H704" s="7" t="s">
        <v>6961</v>
      </c>
    </row>
    <row r="705" customFormat="false" ht="15" hidden="false" customHeight="false" outlineLevel="0" collapsed="false">
      <c r="A705" s="7" t="s">
        <v>6947</v>
      </c>
      <c r="B705" s="7" t="s">
        <v>6964</v>
      </c>
      <c r="C705" s="7" t="s">
        <v>936</v>
      </c>
      <c r="D705" s="7" t="n">
        <v>2232</v>
      </c>
      <c r="E705" s="7" t="s">
        <v>50</v>
      </c>
      <c r="F705" s="7" t="n">
        <v>-34.033397</v>
      </c>
      <c r="G705" s="7" t="n">
        <v>151.07315</v>
      </c>
      <c r="H705" s="7" t="s">
        <v>6997</v>
      </c>
    </row>
    <row r="706" customFormat="false" ht="15" hidden="false" customHeight="false" outlineLevel="0" collapsed="false">
      <c r="A706" s="7" t="s">
        <v>6947</v>
      </c>
      <c r="B706" s="7" t="s">
        <v>6977</v>
      </c>
      <c r="C706" s="7" t="s">
        <v>937</v>
      </c>
      <c r="D706" s="7" t="n">
        <v>2264</v>
      </c>
      <c r="E706" s="7" t="s">
        <v>50</v>
      </c>
      <c r="F706" s="7" t="n">
        <v>-33.10741</v>
      </c>
      <c r="G706" s="7" t="n">
        <v>151.489715</v>
      </c>
      <c r="H706" s="7" t="s">
        <v>6991</v>
      </c>
    </row>
    <row r="707" customFormat="false" ht="15" hidden="false" customHeight="false" outlineLevel="0" collapsed="false">
      <c r="A707" s="7" t="s">
        <v>6947</v>
      </c>
      <c r="B707" s="7" t="s">
        <v>6987</v>
      </c>
      <c r="C707" s="7" t="s">
        <v>938</v>
      </c>
      <c r="D707" s="7" t="n">
        <v>2087</v>
      </c>
      <c r="E707" s="7" t="s">
        <v>50</v>
      </c>
      <c r="F707" s="7" t="n">
        <v>-33.762109</v>
      </c>
      <c r="G707" s="7" t="n">
        <v>151.214201</v>
      </c>
      <c r="H707" s="7" t="s">
        <v>6988</v>
      </c>
    </row>
    <row r="708" customFormat="false" ht="15" hidden="false" customHeight="false" outlineLevel="0" collapsed="false">
      <c r="A708" s="7" t="s">
        <v>6947</v>
      </c>
      <c r="B708" s="7" t="s">
        <v>6964</v>
      </c>
      <c r="C708" s="7" t="s">
        <v>939</v>
      </c>
      <c r="D708" s="7" t="n">
        <v>2325</v>
      </c>
      <c r="E708" s="7" t="s">
        <v>50</v>
      </c>
      <c r="F708" s="7" t="n">
        <v>-32.839381</v>
      </c>
      <c r="G708" s="7" t="n">
        <v>151.298565</v>
      </c>
      <c r="H708" s="7" t="s">
        <v>6975</v>
      </c>
    </row>
    <row r="709" customFormat="false" ht="15" hidden="false" customHeight="false" outlineLevel="0" collapsed="false">
      <c r="A709" s="7" t="s">
        <v>6947</v>
      </c>
      <c r="B709" s="7" t="s">
        <v>6967</v>
      </c>
      <c r="C709" s="7" t="s">
        <v>940</v>
      </c>
      <c r="D709" s="7" t="n">
        <v>2032</v>
      </c>
      <c r="E709" s="7" t="s">
        <v>50</v>
      </c>
      <c r="F709" s="7" t="n">
        <v>-33.926596</v>
      </c>
      <c r="G709" s="7" t="n">
        <v>151.231329</v>
      </c>
      <c r="H709" s="7" t="s">
        <v>6968</v>
      </c>
    </row>
    <row r="710" customFormat="false" ht="15" hidden="false" customHeight="false" outlineLevel="0" collapsed="false">
      <c r="A710" s="7" t="s">
        <v>6947</v>
      </c>
      <c r="B710" s="7" t="s">
        <v>7003</v>
      </c>
      <c r="C710" s="7" t="s">
        <v>941</v>
      </c>
      <c r="D710" s="7" t="n">
        <v>2077</v>
      </c>
      <c r="E710" s="7" t="s">
        <v>50</v>
      </c>
      <c r="F710" s="7" t="n">
        <v>-33.71053</v>
      </c>
      <c r="G710" s="7" t="n">
        <v>151.102449</v>
      </c>
      <c r="H710" s="7" t="s">
        <v>7004</v>
      </c>
    </row>
    <row r="711" customFormat="false" ht="15" hidden="false" customHeight="false" outlineLevel="0" collapsed="false">
      <c r="A711" s="7" t="s">
        <v>6947</v>
      </c>
      <c r="B711" s="7" t="s">
        <v>6977</v>
      </c>
      <c r="C711" s="7" t="s">
        <v>942</v>
      </c>
      <c r="D711" s="7" t="n">
        <v>2031</v>
      </c>
      <c r="E711" s="7" t="s">
        <v>50</v>
      </c>
      <c r="F711" s="7" t="n">
        <v>-33.919039</v>
      </c>
      <c r="G711" s="7" t="n">
        <v>151.24324</v>
      </c>
      <c r="H711" s="7" t="s">
        <v>6984</v>
      </c>
    </row>
    <row r="712" customFormat="false" ht="15" hidden="false" customHeight="false" outlineLevel="0" collapsed="false">
      <c r="A712" s="7" t="s">
        <v>6947</v>
      </c>
      <c r="B712" s="7" t="s">
        <v>6962</v>
      </c>
      <c r="C712" s="7" t="s">
        <v>943</v>
      </c>
      <c r="D712" s="7" t="n">
        <v>2200</v>
      </c>
      <c r="E712" s="7" t="s">
        <v>50</v>
      </c>
      <c r="F712" s="7" t="n">
        <v>-33.915656</v>
      </c>
      <c r="G712" s="7" t="n">
        <v>150.992264</v>
      </c>
      <c r="H712" s="7" t="s">
        <v>6979</v>
      </c>
    </row>
    <row r="713" customFormat="false" ht="15" hidden="false" customHeight="false" outlineLevel="0" collapsed="false">
      <c r="A713" s="7" t="s">
        <v>6947</v>
      </c>
      <c r="B713" s="7" t="s">
        <v>6964</v>
      </c>
      <c r="C713" s="7" t="s">
        <v>944</v>
      </c>
      <c r="D713" s="7" t="n">
        <v>2850</v>
      </c>
      <c r="E713" s="7" t="s">
        <v>50</v>
      </c>
      <c r="F713" s="7" t="n">
        <v>-32.548361</v>
      </c>
      <c r="G713" s="7" t="n">
        <v>149.631433</v>
      </c>
      <c r="H713" s="7" t="s">
        <v>6975</v>
      </c>
    </row>
    <row r="714" customFormat="false" ht="15" hidden="false" customHeight="false" outlineLevel="0" collapsed="false">
      <c r="A714" s="7" t="s">
        <v>6947</v>
      </c>
      <c r="B714" s="7" t="s">
        <v>6962</v>
      </c>
      <c r="C714" s="7" t="s">
        <v>945</v>
      </c>
      <c r="D714" s="7" t="n">
        <v>2081</v>
      </c>
      <c r="E714" s="7" t="s">
        <v>50</v>
      </c>
      <c r="F714" s="7" t="n">
        <v>-33.621379</v>
      </c>
      <c r="G714" s="7" t="n">
        <v>151.149448</v>
      </c>
      <c r="H714" s="7" t="s">
        <v>6980</v>
      </c>
    </row>
    <row r="715" customFormat="false" ht="15" hidden="false" customHeight="false" outlineLevel="0" collapsed="false">
      <c r="A715" s="7" t="s">
        <v>6947</v>
      </c>
      <c r="B715" s="7" t="s">
        <v>6977</v>
      </c>
      <c r="C715" s="7" t="s">
        <v>946</v>
      </c>
      <c r="D715" s="7" t="n">
        <v>2795</v>
      </c>
      <c r="E715" s="7" t="s">
        <v>50</v>
      </c>
      <c r="F715" s="7" t="n">
        <v>-33.688732</v>
      </c>
      <c r="G715" s="7" t="n">
        <v>149.564345</v>
      </c>
      <c r="H715" s="7" t="s">
        <v>6984</v>
      </c>
    </row>
    <row r="716" customFormat="false" ht="15" hidden="false" customHeight="false" outlineLevel="0" collapsed="false">
      <c r="A716" s="7" t="s">
        <v>6947</v>
      </c>
      <c r="B716" s="7" t="s">
        <v>6977</v>
      </c>
      <c r="C716" s="7" t="s">
        <v>947</v>
      </c>
      <c r="D716" s="7" t="n">
        <v>2021</v>
      </c>
      <c r="E716" s="7" t="s">
        <v>50</v>
      </c>
      <c r="F716" s="7" t="n">
        <v>-33.882336</v>
      </c>
      <c r="G716" s="7" t="n">
        <v>151.233582</v>
      </c>
      <c r="H716" s="7" t="s">
        <v>6984</v>
      </c>
    </row>
    <row r="717" customFormat="false" ht="15" hidden="false" customHeight="false" outlineLevel="0" collapsed="false">
      <c r="A717" s="7" t="s">
        <v>6947</v>
      </c>
      <c r="B717" s="7" t="s">
        <v>6964</v>
      </c>
      <c r="C717" s="7" t="s">
        <v>948</v>
      </c>
      <c r="D717" s="7" t="n">
        <v>2576</v>
      </c>
      <c r="E717" s="7" t="s">
        <v>50</v>
      </c>
      <c r="F717" s="7" t="n">
        <v>-34.488017</v>
      </c>
      <c r="G717" s="7" t="n">
        <v>150.413986</v>
      </c>
      <c r="H717" s="7" t="s">
        <v>7038</v>
      </c>
    </row>
    <row r="718" customFormat="false" ht="15" hidden="false" customHeight="false" outlineLevel="0" collapsed="false">
      <c r="A718" s="7" t="s">
        <v>6947</v>
      </c>
      <c r="B718" s="7" t="s">
        <v>6973</v>
      </c>
      <c r="C718" s="7" t="s">
        <v>949</v>
      </c>
      <c r="D718" s="7" t="n">
        <v>2067</v>
      </c>
      <c r="E718" s="7" t="s">
        <v>50</v>
      </c>
      <c r="F718" s="7" t="n">
        <v>-33.795157</v>
      </c>
      <c r="G718" s="7" t="n">
        <v>151.179086</v>
      </c>
      <c r="H718" s="7" t="s">
        <v>7066</v>
      </c>
    </row>
    <row r="719" customFormat="false" ht="15" hidden="false" customHeight="false" outlineLevel="0" collapsed="false">
      <c r="A719" s="7" t="s">
        <v>6947</v>
      </c>
      <c r="B719" s="7" t="s">
        <v>6967</v>
      </c>
      <c r="C719" s="7" t="s">
        <v>950</v>
      </c>
      <c r="D719" s="7" t="n">
        <v>2088</v>
      </c>
      <c r="E719" s="7" t="s">
        <v>50</v>
      </c>
      <c r="F719" s="7" t="n">
        <v>-33.82555</v>
      </c>
      <c r="G719" s="7" t="n">
        <v>151.241427</v>
      </c>
      <c r="H719" s="7" t="s">
        <v>7019</v>
      </c>
    </row>
    <row r="720" customFormat="false" ht="15" hidden="false" customHeight="false" outlineLevel="0" collapsed="false">
      <c r="A720" s="7" t="s">
        <v>6947</v>
      </c>
      <c r="B720" s="7" t="s">
        <v>6964</v>
      </c>
      <c r="C720" s="7" t="s">
        <v>951</v>
      </c>
      <c r="D720" s="7" t="n">
        <v>2320</v>
      </c>
      <c r="E720" s="7" t="s">
        <v>50</v>
      </c>
      <c r="F720" s="7" t="n">
        <v>-32.741398</v>
      </c>
      <c r="G720" s="7" t="n">
        <v>151.328175</v>
      </c>
      <c r="H720" s="7" t="s">
        <v>6975</v>
      </c>
    </row>
    <row r="721" customFormat="false" ht="15" hidden="false" customHeight="false" outlineLevel="0" collapsed="false">
      <c r="A721" s="7" t="s">
        <v>6947</v>
      </c>
      <c r="B721" s="7" t="s">
        <v>6964</v>
      </c>
      <c r="C721" s="7" t="s">
        <v>952</v>
      </c>
      <c r="D721" s="7" t="n">
        <v>2782</v>
      </c>
      <c r="E721" s="7" t="s">
        <v>50</v>
      </c>
      <c r="F721" s="7" t="n">
        <v>-33.721945</v>
      </c>
      <c r="G721" s="7" t="n">
        <v>150.371723</v>
      </c>
      <c r="H721" s="7" t="s">
        <v>6965</v>
      </c>
    </row>
    <row r="722" customFormat="false" ht="15" hidden="false" customHeight="false" outlineLevel="0" collapsed="false">
      <c r="A722" s="7" t="s">
        <v>6947</v>
      </c>
      <c r="B722" s="7" t="s">
        <v>6993</v>
      </c>
      <c r="C722" s="7" t="s">
        <v>953</v>
      </c>
      <c r="D722" s="7" t="n">
        <v>2068</v>
      </c>
      <c r="E722" s="7" t="s">
        <v>50</v>
      </c>
      <c r="F722" s="7" t="n">
        <v>-33.807393</v>
      </c>
      <c r="G722" s="7" t="n">
        <v>151.200067</v>
      </c>
      <c r="H722" s="7" t="s">
        <v>6994</v>
      </c>
    </row>
    <row r="723" customFormat="false" ht="15" hidden="false" customHeight="false" outlineLevel="0" collapsed="false">
      <c r="A723" s="7" t="s">
        <v>6947</v>
      </c>
      <c r="B723" s="7" t="s">
        <v>6967</v>
      </c>
      <c r="C723" s="7" t="s">
        <v>954</v>
      </c>
      <c r="D723" s="7" t="n">
        <v>2768</v>
      </c>
      <c r="E723" s="7" t="s">
        <v>50</v>
      </c>
      <c r="F723" s="7" t="n">
        <v>-33.734609</v>
      </c>
      <c r="G723" s="7" t="n">
        <v>150.928265</v>
      </c>
      <c r="H723" s="7" t="s">
        <v>6968</v>
      </c>
    </row>
    <row r="724" customFormat="false" ht="15" hidden="false" customHeight="false" outlineLevel="0" collapsed="false">
      <c r="A724" s="7" t="s">
        <v>6947</v>
      </c>
      <c r="B724" s="7" t="s">
        <v>7033</v>
      </c>
      <c r="C724" s="7" t="s">
        <v>955</v>
      </c>
      <c r="D724" s="7" t="n">
        <v>2060</v>
      </c>
      <c r="E724" s="7" t="s">
        <v>50</v>
      </c>
      <c r="F724" s="7" t="n">
        <v>-33.83932</v>
      </c>
      <c r="G724" s="7" t="n">
        <v>151.2061</v>
      </c>
      <c r="H724" s="7" t="s">
        <v>7067</v>
      </c>
    </row>
    <row r="725" customFormat="false" ht="15" hidden="false" customHeight="false" outlineLevel="0" collapsed="false">
      <c r="A725" s="7" t="s">
        <v>6947</v>
      </c>
      <c r="B725" s="7" t="s">
        <v>6977</v>
      </c>
      <c r="C725" s="7" t="s">
        <v>956</v>
      </c>
      <c r="D725" s="7" t="n">
        <v>2655</v>
      </c>
      <c r="E725" s="7" t="s">
        <v>50</v>
      </c>
      <c r="F725" s="7" t="n">
        <v>-35.266526</v>
      </c>
      <c r="G725" s="7" t="n">
        <v>147.110494</v>
      </c>
      <c r="H725" s="7" t="s">
        <v>6991</v>
      </c>
    </row>
    <row r="726" customFormat="false" ht="15" hidden="false" customHeight="false" outlineLevel="0" collapsed="false">
      <c r="A726" s="7" t="s">
        <v>6947</v>
      </c>
      <c r="B726" s="7" t="s">
        <v>6964</v>
      </c>
      <c r="C726" s="7" t="s">
        <v>957</v>
      </c>
      <c r="D726" s="7" t="n">
        <v>2228</v>
      </c>
      <c r="E726" s="7" t="s">
        <v>50</v>
      </c>
      <c r="F726" s="7" t="n">
        <v>-34.033985</v>
      </c>
      <c r="G726" s="7" t="n">
        <v>151.099575</v>
      </c>
      <c r="H726" s="7" t="s">
        <v>6965</v>
      </c>
    </row>
    <row r="727" customFormat="false" ht="15" hidden="false" customHeight="false" outlineLevel="0" collapsed="false">
      <c r="A727" s="7" t="s">
        <v>6947</v>
      </c>
      <c r="B727" s="7" t="s">
        <v>6964</v>
      </c>
      <c r="C727" s="7" t="s">
        <v>958</v>
      </c>
      <c r="D727" s="7" t="n">
        <v>2865</v>
      </c>
      <c r="E727" s="7" t="s">
        <v>50</v>
      </c>
      <c r="F727" s="7" t="n">
        <v>-33.18794</v>
      </c>
      <c r="G727" s="7" t="n">
        <v>148.534701</v>
      </c>
      <c r="H727" s="7" t="s">
        <v>6975</v>
      </c>
    </row>
    <row r="728" customFormat="false" ht="15" hidden="false" customHeight="false" outlineLevel="0" collapsed="false">
      <c r="A728" s="7" t="s">
        <v>6947</v>
      </c>
      <c r="B728" s="7" t="s">
        <v>6967</v>
      </c>
      <c r="C728" s="7" t="s">
        <v>959</v>
      </c>
      <c r="D728" s="7" t="n">
        <v>2062</v>
      </c>
      <c r="E728" s="7" t="s">
        <v>50</v>
      </c>
      <c r="F728" s="7" t="n">
        <v>-33.82299</v>
      </c>
      <c r="G728" s="7" t="n">
        <v>151.210883</v>
      </c>
      <c r="H728" s="7" t="s">
        <v>6968</v>
      </c>
    </row>
    <row r="729" customFormat="false" ht="15" hidden="false" customHeight="false" outlineLevel="0" collapsed="false">
      <c r="A729" s="7" t="s">
        <v>6947</v>
      </c>
      <c r="B729" s="7" t="s">
        <v>6964</v>
      </c>
      <c r="C729" s="7" t="s">
        <v>960</v>
      </c>
      <c r="D729" s="7" t="n">
        <v>2756</v>
      </c>
      <c r="E729" s="7" t="s">
        <v>50</v>
      </c>
      <c r="F729" s="7" t="n">
        <v>-33.609533</v>
      </c>
      <c r="G729" s="7" t="n">
        <v>150.80768</v>
      </c>
      <c r="H729" s="7" t="s">
        <v>6965</v>
      </c>
    </row>
    <row r="730" customFormat="false" ht="15" hidden="false" customHeight="false" outlineLevel="0" collapsed="false">
      <c r="A730" s="7" t="s">
        <v>6947</v>
      </c>
      <c r="B730" s="7" t="s">
        <v>7033</v>
      </c>
      <c r="C730" s="7" t="s">
        <v>961</v>
      </c>
      <c r="D730" s="7" t="n">
        <v>2448</v>
      </c>
      <c r="E730" s="7" t="s">
        <v>50</v>
      </c>
      <c r="F730" s="7" t="n">
        <v>-30.644741</v>
      </c>
      <c r="G730" s="7" t="n">
        <v>153.003891</v>
      </c>
      <c r="H730" s="7" t="s">
        <v>7047</v>
      </c>
    </row>
    <row r="731" customFormat="false" ht="15" hidden="false" customHeight="false" outlineLevel="0" collapsed="false">
      <c r="A731" s="7" t="s">
        <v>6947</v>
      </c>
      <c r="B731" s="7" t="s">
        <v>6967</v>
      </c>
      <c r="C731" s="7" t="s">
        <v>962</v>
      </c>
      <c r="D731" s="7" t="n">
        <v>2250</v>
      </c>
      <c r="E731" s="7" t="s">
        <v>50</v>
      </c>
      <c r="F731" s="7" t="n">
        <v>-33.436681</v>
      </c>
      <c r="G731" s="7" t="n">
        <v>151.394388</v>
      </c>
      <c r="H731" s="7" t="s">
        <v>6968</v>
      </c>
    </row>
    <row r="732" customFormat="false" ht="15" hidden="false" customHeight="false" outlineLevel="0" collapsed="false">
      <c r="A732" s="7" t="s">
        <v>6947</v>
      </c>
      <c r="B732" s="7" t="s">
        <v>6995</v>
      </c>
      <c r="C732" s="7" t="s">
        <v>963</v>
      </c>
      <c r="D732" s="7" t="n">
        <v>2011</v>
      </c>
      <c r="E732" s="7" t="s">
        <v>50</v>
      </c>
      <c r="F732" s="7" t="n">
        <v>-33.873185</v>
      </c>
      <c r="G732" s="7" t="n">
        <v>151.216082</v>
      </c>
      <c r="H732" s="7" t="s">
        <v>7031</v>
      </c>
    </row>
    <row r="733" customFormat="false" ht="15" hidden="false" customHeight="false" outlineLevel="0" collapsed="false">
      <c r="A733" s="7" t="s">
        <v>6947</v>
      </c>
      <c r="B733" s="7" t="s">
        <v>6977</v>
      </c>
      <c r="C733" s="7" t="s">
        <v>964</v>
      </c>
      <c r="D733" s="7" t="n">
        <v>2541</v>
      </c>
      <c r="E733" s="7" t="s">
        <v>50</v>
      </c>
      <c r="F733" s="7" t="n">
        <v>-34.871078</v>
      </c>
      <c r="G733" s="7" t="n">
        <v>150.601786</v>
      </c>
      <c r="H733" s="7" t="s">
        <v>6984</v>
      </c>
    </row>
    <row r="734" customFormat="false" ht="15" hidden="false" customHeight="false" outlineLevel="0" collapsed="false">
      <c r="A734" s="7" t="s">
        <v>6947</v>
      </c>
      <c r="B734" s="7" t="s">
        <v>6962</v>
      </c>
      <c r="C734" s="7" t="s">
        <v>965</v>
      </c>
      <c r="D734" s="7" t="n">
        <v>2044</v>
      </c>
      <c r="E734" s="7" t="s">
        <v>50</v>
      </c>
      <c r="F734" s="7" t="n">
        <v>-33.921804</v>
      </c>
      <c r="G734" s="7" t="n">
        <v>151.166594</v>
      </c>
      <c r="H734" s="7" t="s">
        <v>6979</v>
      </c>
    </row>
    <row r="735" customFormat="false" ht="15" hidden="false" customHeight="false" outlineLevel="0" collapsed="false">
      <c r="A735" s="7" t="s">
        <v>6947</v>
      </c>
      <c r="B735" s="7" t="s">
        <v>6967</v>
      </c>
      <c r="C735" s="7" t="s">
        <v>966</v>
      </c>
      <c r="D735" s="7" t="n">
        <v>2044</v>
      </c>
      <c r="E735" s="7" t="s">
        <v>50</v>
      </c>
      <c r="F735" s="7" t="n">
        <v>-33.922884</v>
      </c>
      <c r="G735" s="7" t="n">
        <v>151.165209</v>
      </c>
      <c r="H735" s="7" t="s">
        <v>6968</v>
      </c>
    </row>
    <row r="736" customFormat="false" ht="15" hidden="false" customHeight="false" outlineLevel="0" collapsed="false">
      <c r="A736" s="7" t="s">
        <v>6947</v>
      </c>
      <c r="B736" s="7" t="s">
        <v>6993</v>
      </c>
      <c r="C736" s="7" t="s">
        <v>967</v>
      </c>
      <c r="D736" s="7" t="n">
        <v>2500</v>
      </c>
      <c r="E736" s="7" t="s">
        <v>50</v>
      </c>
      <c r="F736" s="7" t="n">
        <v>-34.41865</v>
      </c>
      <c r="G736" s="7" t="n">
        <v>150.90218</v>
      </c>
      <c r="H736" s="7" t="s">
        <v>6994</v>
      </c>
    </row>
    <row r="737" customFormat="false" ht="15" hidden="false" customHeight="false" outlineLevel="0" collapsed="false">
      <c r="A737" s="7" t="s">
        <v>6947</v>
      </c>
      <c r="B737" s="7" t="s">
        <v>6964</v>
      </c>
      <c r="C737" s="7" t="s">
        <v>968</v>
      </c>
      <c r="D737" s="7" t="n">
        <v>2350</v>
      </c>
      <c r="E737" s="7" t="s">
        <v>50</v>
      </c>
      <c r="F737" s="7" t="n">
        <v>-30.495085</v>
      </c>
      <c r="G737" s="7" t="n">
        <v>151.669645</v>
      </c>
      <c r="H737" s="7" t="s">
        <v>6965</v>
      </c>
    </row>
    <row r="738" customFormat="false" ht="15" hidden="false" customHeight="false" outlineLevel="0" collapsed="false">
      <c r="A738" s="7" t="s">
        <v>6947</v>
      </c>
      <c r="B738" s="7" t="s">
        <v>6962</v>
      </c>
      <c r="C738" s="7" t="s">
        <v>969</v>
      </c>
      <c r="D738" s="7" t="n">
        <v>2519</v>
      </c>
      <c r="E738" s="7" t="s">
        <v>50</v>
      </c>
      <c r="F738" s="7" t="n">
        <v>-34.391808</v>
      </c>
      <c r="G738" s="7" t="n">
        <v>150.894581</v>
      </c>
      <c r="H738" s="7" t="s">
        <v>7005</v>
      </c>
    </row>
    <row r="739" customFormat="false" ht="15" hidden="false" customHeight="false" outlineLevel="0" collapsed="false">
      <c r="A739" s="7" t="s">
        <v>6947</v>
      </c>
      <c r="B739" s="7" t="s">
        <v>6977</v>
      </c>
      <c r="C739" s="7" t="s">
        <v>970</v>
      </c>
      <c r="D739" s="7" t="n">
        <v>2022</v>
      </c>
      <c r="E739" s="7" t="s">
        <v>50</v>
      </c>
      <c r="F739" s="7" t="n">
        <v>-33.899095</v>
      </c>
      <c r="G739" s="7" t="n">
        <v>151.24811</v>
      </c>
      <c r="H739" s="7" t="s">
        <v>6991</v>
      </c>
    </row>
    <row r="740" customFormat="false" ht="15" hidden="false" customHeight="false" outlineLevel="0" collapsed="false">
      <c r="A740" s="7" t="s">
        <v>6947</v>
      </c>
      <c r="B740" s="7" t="s">
        <v>6977</v>
      </c>
      <c r="C740" s="7" t="s">
        <v>971</v>
      </c>
      <c r="D740" s="7" t="n">
        <v>2190</v>
      </c>
      <c r="E740" s="7" t="s">
        <v>50</v>
      </c>
      <c r="F740" s="7" t="n">
        <v>-33.902048</v>
      </c>
      <c r="G740" s="7" t="n">
        <v>151.06558</v>
      </c>
      <c r="H740" s="7" t="s">
        <v>6989</v>
      </c>
    </row>
    <row r="741" customFormat="false" ht="15" hidden="false" customHeight="false" outlineLevel="0" collapsed="false">
      <c r="A741" s="7" t="s">
        <v>6947</v>
      </c>
      <c r="B741" s="7" t="s">
        <v>6964</v>
      </c>
      <c r="C741" s="7" t="s">
        <v>972</v>
      </c>
      <c r="D741" s="7" t="n">
        <v>2481</v>
      </c>
      <c r="E741" s="7" t="s">
        <v>50</v>
      </c>
      <c r="F741" s="7" t="n">
        <v>-28.640501</v>
      </c>
      <c r="G741" s="7" t="n">
        <v>153.604233</v>
      </c>
      <c r="H741" s="7" t="s">
        <v>6975</v>
      </c>
    </row>
    <row r="742" customFormat="false" ht="15" hidden="false" customHeight="false" outlineLevel="0" collapsed="false">
      <c r="A742" s="7" t="s">
        <v>6947</v>
      </c>
      <c r="B742" s="7" t="s">
        <v>6973</v>
      </c>
      <c r="C742" s="7" t="s">
        <v>973</v>
      </c>
      <c r="D742" s="7" t="n">
        <v>2007</v>
      </c>
      <c r="E742" s="7" t="s">
        <v>50</v>
      </c>
      <c r="F742" s="7" t="n">
        <v>-33.883281</v>
      </c>
      <c r="G742" s="7" t="n">
        <v>151.198855</v>
      </c>
      <c r="H742" s="7" t="s">
        <v>7018</v>
      </c>
    </row>
    <row r="743" customFormat="false" ht="15" hidden="false" customHeight="false" outlineLevel="0" collapsed="false">
      <c r="A743" s="7" t="s">
        <v>6947</v>
      </c>
      <c r="B743" s="7" t="s">
        <v>6987</v>
      </c>
      <c r="C743" s="7" t="s">
        <v>974</v>
      </c>
      <c r="D743" s="7" t="n">
        <v>2761</v>
      </c>
      <c r="E743" s="7" t="s">
        <v>50</v>
      </c>
      <c r="F743" s="7" t="n">
        <v>-33.735532</v>
      </c>
      <c r="G743" s="7" t="n">
        <v>150.851312</v>
      </c>
      <c r="H743" s="7" t="s">
        <v>7068</v>
      </c>
    </row>
    <row r="744" customFormat="false" ht="15" hidden="false" customHeight="false" outlineLevel="0" collapsed="false">
      <c r="A744" s="7" t="s">
        <v>6947</v>
      </c>
      <c r="B744" s="7" t="s">
        <v>7069</v>
      </c>
      <c r="C744" s="7" t="s">
        <v>975</v>
      </c>
      <c r="D744" s="7" t="n">
        <v>2067</v>
      </c>
      <c r="E744" s="7" t="s">
        <v>50</v>
      </c>
      <c r="F744" s="7" t="n">
        <v>-33.798953</v>
      </c>
      <c r="G744" s="7" t="n">
        <v>151.178422</v>
      </c>
      <c r="H744" s="7" t="s">
        <v>7070</v>
      </c>
    </row>
    <row r="745" customFormat="false" ht="15" hidden="false" customHeight="false" outlineLevel="0" collapsed="false">
      <c r="A745" s="7" t="s">
        <v>6947</v>
      </c>
      <c r="B745" s="7" t="s">
        <v>6977</v>
      </c>
      <c r="C745" s="7" t="s">
        <v>977</v>
      </c>
      <c r="D745" s="7" t="n">
        <v>2474</v>
      </c>
      <c r="E745" s="7" t="s">
        <v>50</v>
      </c>
      <c r="F745" s="7" t="n">
        <v>-28.621466</v>
      </c>
      <c r="G745" s="7" t="n">
        <v>153.003068</v>
      </c>
      <c r="H745" s="7" t="s">
        <v>6984</v>
      </c>
    </row>
    <row r="746" customFormat="false" ht="15" hidden="false" customHeight="false" outlineLevel="0" collapsed="false">
      <c r="A746" s="7" t="s">
        <v>6947</v>
      </c>
      <c r="B746" s="7" t="s">
        <v>7003</v>
      </c>
      <c r="C746" s="7" t="s">
        <v>978</v>
      </c>
      <c r="D746" s="7" t="n">
        <v>2250</v>
      </c>
      <c r="E746" s="7" t="s">
        <v>50</v>
      </c>
      <c r="F746" s="7" t="n">
        <v>-33.426783</v>
      </c>
      <c r="G746" s="7" t="n">
        <v>151.321995</v>
      </c>
      <c r="H746" s="7" t="s">
        <v>7004</v>
      </c>
    </row>
    <row r="747" customFormat="false" ht="15" hidden="false" customHeight="false" outlineLevel="0" collapsed="false">
      <c r="A747" s="7" t="s">
        <v>6947</v>
      </c>
      <c r="B747" s="7" t="s">
        <v>6987</v>
      </c>
      <c r="C747" s="7" t="s">
        <v>979</v>
      </c>
      <c r="D747" s="7" t="n">
        <v>2103</v>
      </c>
      <c r="E747" s="7" t="s">
        <v>50</v>
      </c>
      <c r="F747" s="7" t="n">
        <v>-33.67605</v>
      </c>
      <c r="G747" s="7" t="n">
        <v>151.30313</v>
      </c>
      <c r="H747" s="7" t="s">
        <v>6988</v>
      </c>
    </row>
    <row r="748" customFormat="false" ht="15" hidden="false" customHeight="false" outlineLevel="0" collapsed="false">
      <c r="A748" s="7" t="s">
        <v>6947</v>
      </c>
      <c r="B748" s="7" t="s">
        <v>6977</v>
      </c>
      <c r="C748" s="7" t="s">
        <v>980</v>
      </c>
      <c r="D748" s="7" t="n">
        <v>2032</v>
      </c>
      <c r="E748" s="7" t="s">
        <v>50</v>
      </c>
      <c r="F748" s="7" t="n">
        <v>-33.923178</v>
      </c>
      <c r="G748" s="7" t="n">
        <v>151.228845</v>
      </c>
      <c r="H748" s="7" t="s">
        <v>6991</v>
      </c>
    </row>
    <row r="749" customFormat="false" ht="15" hidden="false" customHeight="false" outlineLevel="0" collapsed="false">
      <c r="A749" s="7" t="s">
        <v>6947</v>
      </c>
      <c r="B749" s="7" t="s">
        <v>6964</v>
      </c>
      <c r="C749" s="7" t="s">
        <v>981</v>
      </c>
      <c r="D749" s="7" t="n">
        <v>2000</v>
      </c>
      <c r="E749" s="7" t="s">
        <v>50</v>
      </c>
      <c r="F749" s="7" t="n">
        <v>-33.855585</v>
      </c>
      <c r="G749" s="7" t="n">
        <v>151.209488</v>
      </c>
      <c r="H749" s="7" t="s">
        <v>6965</v>
      </c>
    </row>
    <row r="750" customFormat="false" ht="15" hidden="false" customHeight="false" outlineLevel="0" collapsed="false">
      <c r="A750" s="7" t="s">
        <v>6947</v>
      </c>
      <c r="B750" s="7" t="s">
        <v>6977</v>
      </c>
      <c r="C750" s="7" t="s">
        <v>982</v>
      </c>
      <c r="D750" s="7" t="n">
        <v>2030</v>
      </c>
      <c r="E750" s="7" t="s">
        <v>50</v>
      </c>
      <c r="F750" s="7" t="n">
        <v>-33.859274</v>
      </c>
      <c r="G750" s="7" t="n">
        <v>151.279129</v>
      </c>
      <c r="H750" s="7" t="s">
        <v>6991</v>
      </c>
    </row>
    <row r="751" customFormat="false" ht="15" hidden="false" customHeight="false" outlineLevel="0" collapsed="false">
      <c r="A751" s="7" t="s">
        <v>6947</v>
      </c>
      <c r="B751" s="7" t="s">
        <v>6977</v>
      </c>
      <c r="C751" s="7" t="s">
        <v>983</v>
      </c>
      <c r="D751" s="7" t="n">
        <v>2283</v>
      </c>
      <c r="E751" s="7" t="s">
        <v>50</v>
      </c>
      <c r="F751" s="7" t="n">
        <v>-33.014544</v>
      </c>
      <c r="G751" s="7" t="n">
        <v>151.596195</v>
      </c>
      <c r="H751" s="7" t="s">
        <v>6989</v>
      </c>
    </row>
    <row r="752" customFormat="false" ht="15" hidden="false" customHeight="false" outlineLevel="0" collapsed="false">
      <c r="A752" s="7" t="s">
        <v>6947</v>
      </c>
      <c r="B752" s="7" t="s">
        <v>6977</v>
      </c>
      <c r="C752" s="7" t="s">
        <v>984</v>
      </c>
      <c r="D752" s="7" t="n">
        <v>2130</v>
      </c>
      <c r="E752" s="7" t="s">
        <v>50</v>
      </c>
      <c r="F752" s="7" t="n">
        <v>-33.890444</v>
      </c>
      <c r="G752" s="7" t="n">
        <v>151.131395</v>
      </c>
      <c r="H752" s="7" t="s">
        <v>6981</v>
      </c>
    </row>
    <row r="753" customFormat="false" ht="15" hidden="false" customHeight="false" outlineLevel="0" collapsed="false">
      <c r="A753" s="7" t="s">
        <v>6947</v>
      </c>
      <c r="B753" s="7" t="s">
        <v>6977</v>
      </c>
      <c r="C753" s="7" t="s">
        <v>985</v>
      </c>
      <c r="D753" s="7" t="n">
        <v>2404</v>
      </c>
      <c r="E753" s="7" t="s">
        <v>50</v>
      </c>
      <c r="F753" s="7" t="n">
        <v>-29.869075</v>
      </c>
      <c r="G753" s="7" t="n">
        <v>150.571243</v>
      </c>
      <c r="H753" s="7" t="s">
        <v>6984</v>
      </c>
    </row>
    <row r="754" customFormat="false" ht="15" hidden="false" customHeight="false" outlineLevel="0" collapsed="false">
      <c r="A754" s="7" t="s">
        <v>6947</v>
      </c>
      <c r="B754" s="7" t="s">
        <v>6977</v>
      </c>
      <c r="C754" s="7" t="s">
        <v>987</v>
      </c>
      <c r="D754" s="7" t="n">
        <v>2025</v>
      </c>
      <c r="E754" s="7" t="s">
        <v>50</v>
      </c>
      <c r="F754" s="7" t="n">
        <v>-33.888441</v>
      </c>
      <c r="G754" s="7" t="n">
        <v>151.251332</v>
      </c>
      <c r="H754" s="7" t="s">
        <v>6991</v>
      </c>
    </row>
    <row r="755" customFormat="false" ht="15" hidden="false" customHeight="false" outlineLevel="0" collapsed="false">
      <c r="A755" s="7" t="s">
        <v>6947</v>
      </c>
      <c r="B755" s="7" t="s">
        <v>6977</v>
      </c>
      <c r="C755" s="7" t="s">
        <v>988</v>
      </c>
      <c r="D755" s="7" t="n">
        <v>2423</v>
      </c>
      <c r="E755" s="7" t="s">
        <v>50</v>
      </c>
      <c r="F755" s="7" t="n">
        <v>-32.409027</v>
      </c>
      <c r="G755" s="7" t="n">
        <v>152.210679</v>
      </c>
      <c r="H755" s="7" t="s">
        <v>6984</v>
      </c>
    </row>
    <row r="756" customFormat="false" ht="15" hidden="false" customHeight="false" outlineLevel="0" collapsed="false">
      <c r="A756" s="7" t="s">
        <v>6947</v>
      </c>
      <c r="B756" s="7" t="s">
        <v>6964</v>
      </c>
      <c r="C756" s="7" t="s">
        <v>989</v>
      </c>
      <c r="D756" s="7" t="n">
        <v>2500</v>
      </c>
      <c r="E756" s="7" t="s">
        <v>50</v>
      </c>
      <c r="F756" s="7" t="n">
        <v>-34.423372</v>
      </c>
      <c r="G756" s="7" t="n">
        <v>150.892292</v>
      </c>
      <c r="H756" s="7" t="s">
        <v>6965</v>
      </c>
    </row>
    <row r="757" customFormat="false" ht="15" hidden="false" customHeight="false" outlineLevel="0" collapsed="false">
      <c r="A757" s="7" t="s">
        <v>6947</v>
      </c>
      <c r="B757" s="7" t="s">
        <v>990</v>
      </c>
      <c r="C757" s="7" t="s">
        <v>991</v>
      </c>
      <c r="D757" s="7" t="n">
        <v>2508</v>
      </c>
      <c r="E757" s="7" t="s">
        <v>50</v>
      </c>
      <c r="F757" s="7" t="n">
        <v>-34.205481</v>
      </c>
      <c r="G757" s="7" t="n">
        <v>150.968701</v>
      </c>
      <c r="H757" s="7" t="s">
        <v>7071</v>
      </c>
    </row>
    <row r="758" customFormat="false" ht="15" hidden="false" customHeight="false" outlineLevel="0" collapsed="false">
      <c r="A758" s="7" t="s">
        <v>6947</v>
      </c>
      <c r="B758" s="7" t="s">
        <v>6977</v>
      </c>
      <c r="C758" s="7" t="s">
        <v>993</v>
      </c>
      <c r="D758" s="7" t="n">
        <v>2570</v>
      </c>
      <c r="E758" s="7" t="s">
        <v>50</v>
      </c>
      <c r="F758" s="7" t="n">
        <v>-33.999223</v>
      </c>
      <c r="G758" s="7" t="n">
        <v>150.744405</v>
      </c>
      <c r="H758" s="7" t="s">
        <v>6984</v>
      </c>
    </row>
    <row r="759" customFormat="false" ht="15" hidden="false" customHeight="false" outlineLevel="0" collapsed="false">
      <c r="A759" s="7" t="s">
        <v>6947</v>
      </c>
      <c r="B759" s="7" t="s">
        <v>6977</v>
      </c>
      <c r="C759" s="7" t="s">
        <v>994</v>
      </c>
      <c r="D759" s="7" t="n">
        <v>2065</v>
      </c>
      <c r="E759" s="7" t="s">
        <v>50</v>
      </c>
      <c r="F759" s="7" t="n">
        <v>-33.82456</v>
      </c>
      <c r="G759" s="7" t="n">
        <v>151.195789</v>
      </c>
      <c r="H759" s="7" t="s">
        <v>6991</v>
      </c>
    </row>
    <row r="760" customFormat="false" ht="15" hidden="false" customHeight="false" outlineLevel="0" collapsed="false">
      <c r="A760" s="7" t="s">
        <v>6947</v>
      </c>
      <c r="B760" s="7" t="s">
        <v>6964</v>
      </c>
      <c r="C760" s="7" t="s">
        <v>995</v>
      </c>
      <c r="D760" s="7" t="n">
        <v>2539</v>
      </c>
      <c r="E760" s="7" t="s">
        <v>50</v>
      </c>
      <c r="F760" s="7" t="n">
        <v>-35.360486</v>
      </c>
      <c r="G760" s="7" t="n">
        <v>150.472648</v>
      </c>
      <c r="H760" s="7" t="s">
        <v>6965</v>
      </c>
    </row>
    <row r="761" customFormat="false" ht="15" hidden="false" customHeight="false" outlineLevel="0" collapsed="false">
      <c r="A761" s="7" t="s">
        <v>6947</v>
      </c>
      <c r="B761" s="7" t="s">
        <v>6987</v>
      </c>
      <c r="C761" s="7" t="s">
        <v>996</v>
      </c>
      <c r="D761" s="7" t="n">
        <v>2099</v>
      </c>
      <c r="E761" s="7" t="s">
        <v>50</v>
      </c>
      <c r="F761" s="7" t="n">
        <v>-33.752359</v>
      </c>
      <c r="G761" s="7" t="n">
        <v>151.286561</v>
      </c>
      <c r="H761" s="7" t="s">
        <v>6988</v>
      </c>
    </row>
    <row r="762" customFormat="false" ht="15" hidden="false" customHeight="false" outlineLevel="0" collapsed="false">
      <c r="A762" s="7" t="s">
        <v>6947</v>
      </c>
      <c r="B762" s="7" t="s">
        <v>6958</v>
      </c>
      <c r="C762" s="7" t="s">
        <v>997</v>
      </c>
      <c r="D762" s="7" t="n">
        <v>2333</v>
      </c>
      <c r="E762" s="7" t="s">
        <v>50</v>
      </c>
      <c r="F762" s="7" t="n">
        <v>-32.263313</v>
      </c>
      <c r="G762" s="7" t="n">
        <v>150.888821</v>
      </c>
      <c r="H762" s="7" t="s">
        <v>6959</v>
      </c>
    </row>
    <row r="763" customFormat="false" ht="15" hidden="false" customHeight="false" outlineLevel="0" collapsed="false">
      <c r="A763" s="7" t="s">
        <v>6947</v>
      </c>
      <c r="B763" s="7" t="s">
        <v>6967</v>
      </c>
      <c r="C763" s="7" t="s">
        <v>998</v>
      </c>
      <c r="D763" s="7" t="n">
        <v>2031</v>
      </c>
      <c r="E763" s="7" t="s">
        <v>50</v>
      </c>
      <c r="F763" s="7" t="n">
        <v>-33.915171</v>
      </c>
      <c r="G763" s="7" t="n">
        <v>151.241129</v>
      </c>
      <c r="H763" s="7" t="s">
        <v>6968</v>
      </c>
    </row>
    <row r="764" customFormat="false" ht="15" hidden="false" customHeight="false" outlineLevel="0" collapsed="false">
      <c r="A764" s="7" t="s">
        <v>6947</v>
      </c>
      <c r="B764" s="7" t="s">
        <v>6962</v>
      </c>
      <c r="C764" s="7" t="s">
        <v>999</v>
      </c>
      <c r="D764" s="7" t="n">
        <v>2088</v>
      </c>
      <c r="E764" s="7" t="s">
        <v>50</v>
      </c>
      <c r="F764" s="7" t="n">
        <v>-33.828525</v>
      </c>
      <c r="G764" s="7" t="n">
        <v>151.243903</v>
      </c>
      <c r="H764" s="7" t="s">
        <v>6980</v>
      </c>
    </row>
    <row r="765" customFormat="false" ht="15" hidden="false" customHeight="false" outlineLevel="0" collapsed="false">
      <c r="A765" s="7" t="s">
        <v>6947</v>
      </c>
      <c r="B765" s="7" t="s">
        <v>6964</v>
      </c>
      <c r="C765" s="7" t="s">
        <v>1000</v>
      </c>
      <c r="D765" s="7" t="n">
        <v>2250</v>
      </c>
      <c r="E765" s="7" t="s">
        <v>50</v>
      </c>
      <c r="F765" s="7" t="n">
        <v>-33.392648</v>
      </c>
      <c r="G765" s="7" t="n">
        <v>151.353876</v>
      </c>
      <c r="H765" s="7" t="s">
        <v>6965</v>
      </c>
    </row>
    <row r="766" customFormat="false" ht="15" hidden="false" customHeight="false" outlineLevel="0" collapsed="false">
      <c r="A766" s="7" t="s">
        <v>6947</v>
      </c>
      <c r="B766" s="7" t="s">
        <v>1001</v>
      </c>
      <c r="C766" s="7" t="s">
        <v>1002</v>
      </c>
      <c r="D766" s="7" t="n">
        <v>2404</v>
      </c>
      <c r="E766" s="7" t="s">
        <v>50</v>
      </c>
      <c r="F766" s="7" t="n">
        <v>-29.869128</v>
      </c>
      <c r="G766" s="7" t="n">
        <v>150.571434</v>
      </c>
      <c r="H766" s="7" t="s">
        <v>6984</v>
      </c>
    </row>
    <row r="767" customFormat="false" ht="15" hidden="false" customHeight="false" outlineLevel="0" collapsed="false">
      <c r="A767" s="7" t="s">
        <v>6947</v>
      </c>
      <c r="B767" s="7" t="s">
        <v>7003</v>
      </c>
      <c r="C767" s="7" t="s">
        <v>1003</v>
      </c>
      <c r="D767" s="7" t="n">
        <v>2756</v>
      </c>
      <c r="E767" s="7" t="s">
        <v>50</v>
      </c>
      <c r="F767" s="7" t="n">
        <v>-33.63861</v>
      </c>
      <c r="G767" s="7" t="n">
        <v>150.783723</v>
      </c>
      <c r="H767" s="7" t="s">
        <v>7072</v>
      </c>
    </row>
    <row r="768" customFormat="false" ht="15" hidden="false" customHeight="false" outlineLevel="0" collapsed="false">
      <c r="A768" s="7" t="s">
        <v>6947</v>
      </c>
      <c r="B768" s="7" t="s">
        <v>6993</v>
      </c>
      <c r="C768" s="7" t="s">
        <v>1004</v>
      </c>
      <c r="D768" s="7" t="n">
        <v>2037</v>
      </c>
      <c r="E768" s="7" t="s">
        <v>50</v>
      </c>
      <c r="F768" s="7" t="n">
        <v>-33.881093</v>
      </c>
      <c r="G768" s="7" t="n">
        <v>151.187108</v>
      </c>
      <c r="H768" s="7" t="s">
        <v>6994</v>
      </c>
    </row>
    <row r="769" customFormat="false" ht="15" hidden="false" customHeight="false" outlineLevel="0" collapsed="false">
      <c r="A769" s="7" t="s">
        <v>6947</v>
      </c>
      <c r="B769" s="7" t="s">
        <v>6962</v>
      </c>
      <c r="C769" s="7" t="s">
        <v>1005</v>
      </c>
      <c r="D769" s="7" t="n">
        <v>2529</v>
      </c>
      <c r="E769" s="7" t="s">
        <v>50</v>
      </c>
      <c r="F769" s="7" t="n">
        <v>-34.565747</v>
      </c>
      <c r="G769" s="7" t="n">
        <v>150.835464</v>
      </c>
      <c r="H769" s="7" t="s">
        <v>6983</v>
      </c>
    </row>
    <row r="770" customFormat="false" ht="15" hidden="false" customHeight="false" outlineLevel="0" collapsed="false">
      <c r="A770" s="7" t="s">
        <v>6947</v>
      </c>
      <c r="B770" s="7" t="s">
        <v>6964</v>
      </c>
      <c r="C770" s="7" t="s">
        <v>1006</v>
      </c>
      <c r="D770" s="7" t="n">
        <v>2830</v>
      </c>
      <c r="E770" s="7" t="s">
        <v>50</v>
      </c>
      <c r="F770" s="7" t="n">
        <v>-32.24995</v>
      </c>
      <c r="G770" s="7" t="n">
        <v>148.609182</v>
      </c>
      <c r="H770" s="7" t="s">
        <v>7032</v>
      </c>
    </row>
    <row r="771" customFormat="false" ht="15" hidden="false" customHeight="false" outlineLevel="0" collapsed="false">
      <c r="A771" s="7" t="s">
        <v>6947</v>
      </c>
      <c r="B771" s="7" t="s">
        <v>6977</v>
      </c>
      <c r="C771" s="7" t="s">
        <v>1007</v>
      </c>
      <c r="D771" s="7" t="n">
        <v>2481</v>
      </c>
      <c r="E771" s="7" t="s">
        <v>50</v>
      </c>
      <c r="F771" s="7" t="n">
        <v>-28.676233</v>
      </c>
      <c r="G771" s="7" t="n">
        <v>153.610712</v>
      </c>
      <c r="H771" s="7" t="s">
        <v>6984</v>
      </c>
    </row>
    <row r="772" customFormat="false" ht="15" hidden="false" customHeight="false" outlineLevel="0" collapsed="false">
      <c r="A772" s="7" t="s">
        <v>6947</v>
      </c>
      <c r="B772" s="7" t="s">
        <v>6964</v>
      </c>
      <c r="C772" s="7" t="s">
        <v>1008</v>
      </c>
      <c r="D772" s="7" t="n">
        <v>2580</v>
      </c>
      <c r="E772" s="7" t="s">
        <v>50</v>
      </c>
      <c r="F772" s="7" t="n">
        <v>-34.747726</v>
      </c>
      <c r="G772" s="7" t="n">
        <v>149.729373</v>
      </c>
      <c r="H772" s="7" t="s">
        <v>6965</v>
      </c>
    </row>
    <row r="773" customFormat="false" ht="15" hidden="false" customHeight="false" outlineLevel="0" collapsed="false">
      <c r="A773" s="7" t="s">
        <v>6947</v>
      </c>
      <c r="B773" s="7" t="s">
        <v>6967</v>
      </c>
      <c r="C773" s="7" t="s">
        <v>1009</v>
      </c>
      <c r="D773" s="7" t="n">
        <v>2035</v>
      </c>
      <c r="E773" s="7" t="s">
        <v>50</v>
      </c>
      <c r="F773" s="7" t="n">
        <v>-33.938009</v>
      </c>
      <c r="G773" s="7" t="n">
        <v>151.23852</v>
      </c>
      <c r="H773" s="7" t="s">
        <v>6968</v>
      </c>
    </row>
    <row r="774" customFormat="false" ht="15" hidden="false" customHeight="false" outlineLevel="0" collapsed="false">
      <c r="A774" s="7" t="s">
        <v>6947</v>
      </c>
      <c r="B774" s="7" t="s">
        <v>6962</v>
      </c>
      <c r="C774" s="7" t="s">
        <v>1010</v>
      </c>
      <c r="D774" s="7" t="n">
        <v>2030</v>
      </c>
      <c r="E774" s="7" t="s">
        <v>50</v>
      </c>
      <c r="F774" s="7" t="n">
        <v>-33.857002</v>
      </c>
      <c r="G774" s="7" t="n">
        <v>151.282804</v>
      </c>
      <c r="H774" s="7" t="s">
        <v>6980</v>
      </c>
    </row>
    <row r="775" customFormat="false" ht="15" hidden="false" customHeight="false" outlineLevel="0" collapsed="false">
      <c r="A775" s="7" t="s">
        <v>6947</v>
      </c>
      <c r="B775" s="7" t="s">
        <v>6964</v>
      </c>
      <c r="C775" s="7" t="s">
        <v>1011</v>
      </c>
      <c r="D775" s="7" t="n">
        <v>2481</v>
      </c>
      <c r="E775" s="7" t="s">
        <v>50</v>
      </c>
      <c r="F775" s="7" t="n">
        <v>-28.678172</v>
      </c>
      <c r="G775" s="7" t="n">
        <v>153.610378</v>
      </c>
      <c r="H775" s="7" t="s">
        <v>6965</v>
      </c>
    </row>
    <row r="776" customFormat="false" ht="15" hidden="false" customHeight="false" outlineLevel="0" collapsed="false">
      <c r="A776" s="7" t="s">
        <v>6947</v>
      </c>
      <c r="B776" s="7" t="s">
        <v>7003</v>
      </c>
      <c r="C776" s="7" t="s">
        <v>1012</v>
      </c>
      <c r="D776" s="7" t="n">
        <v>2773</v>
      </c>
      <c r="E776" s="7" t="s">
        <v>50</v>
      </c>
      <c r="F776" s="7" t="n">
        <v>-33.765388</v>
      </c>
      <c r="G776" s="7" t="n">
        <v>150.621476</v>
      </c>
      <c r="H776" s="7" t="s">
        <v>7004</v>
      </c>
    </row>
    <row r="777" customFormat="false" ht="15" hidden="false" customHeight="false" outlineLevel="0" collapsed="false">
      <c r="A777" s="7" t="s">
        <v>6947</v>
      </c>
      <c r="B777" s="7" t="s">
        <v>6962</v>
      </c>
      <c r="C777" s="7" t="s">
        <v>1013</v>
      </c>
      <c r="D777" s="7" t="n">
        <v>2153</v>
      </c>
      <c r="E777" s="7" t="s">
        <v>50</v>
      </c>
      <c r="F777" s="7" t="n">
        <v>-33.738862</v>
      </c>
      <c r="G777" s="7" t="n">
        <v>150.947524</v>
      </c>
      <c r="H777" s="7" t="s">
        <v>7005</v>
      </c>
    </row>
    <row r="778" customFormat="false" ht="15" hidden="false" customHeight="false" outlineLevel="0" collapsed="false">
      <c r="A778" s="7" t="s">
        <v>6947</v>
      </c>
      <c r="B778" s="7" t="s">
        <v>6962</v>
      </c>
      <c r="C778" s="7" t="s">
        <v>1014</v>
      </c>
      <c r="D778" s="7" t="n">
        <v>2027</v>
      </c>
      <c r="E778" s="7" t="s">
        <v>50</v>
      </c>
      <c r="F778" s="7" t="n">
        <v>-33.875744</v>
      </c>
      <c r="G778" s="7" t="n">
        <v>151.232133</v>
      </c>
      <c r="H778" s="7" t="s">
        <v>6983</v>
      </c>
    </row>
    <row r="779" customFormat="false" ht="15" hidden="false" customHeight="false" outlineLevel="0" collapsed="false">
      <c r="A779" s="7" t="s">
        <v>6947</v>
      </c>
      <c r="B779" s="7" t="s">
        <v>6964</v>
      </c>
      <c r="C779" s="7" t="s">
        <v>1015</v>
      </c>
      <c r="D779" s="7" t="n">
        <v>2760</v>
      </c>
      <c r="E779" s="7" t="s">
        <v>50</v>
      </c>
      <c r="F779" s="7" t="n">
        <v>-33.732438</v>
      </c>
      <c r="G779" s="7" t="n">
        <v>150.780457</v>
      </c>
      <c r="H779" s="7" t="s">
        <v>6975</v>
      </c>
    </row>
    <row r="780" customFormat="false" ht="15" hidden="false" customHeight="false" outlineLevel="0" collapsed="false">
      <c r="A780" s="7" t="s">
        <v>6947</v>
      </c>
      <c r="B780" s="7" t="s">
        <v>6977</v>
      </c>
      <c r="C780" s="7" t="s">
        <v>1016</v>
      </c>
      <c r="D780" s="7" t="n">
        <v>2015</v>
      </c>
      <c r="E780" s="7" t="s">
        <v>50</v>
      </c>
      <c r="F780" s="7" t="n">
        <v>-33.905337</v>
      </c>
      <c r="G780" s="7" t="n">
        <v>151.193657</v>
      </c>
      <c r="H780" s="7" t="s">
        <v>6989</v>
      </c>
    </row>
    <row r="781" customFormat="false" ht="15" hidden="false" customHeight="false" outlineLevel="0" collapsed="false">
      <c r="A781" s="7" t="s">
        <v>6947</v>
      </c>
      <c r="B781" s="7" t="s">
        <v>6977</v>
      </c>
      <c r="C781" s="7" t="s">
        <v>1017</v>
      </c>
      <c r="D781" s="7" t="n">
        <v>2050</v>
      </c>
      <c r="E781" s="7" t="s">
        <v>50</v>
      </c>
      <c r="F781" s="7" t="n">
        <v>-33.893608</v>
      </c>
      <c r="G781" s="7" t="n">
        <v>151.178346</v>
      </c>
      <c r="H781" s="7" t="s">
        <v>6989</v>
      </c>
    </row>
    <row r="782" customFormat="false" ht="15" hidden="false" customHeight="false" outlineLevel="0" collapsed="false">
      <c r="A782" s="7" t="s">
        <v>6947</v>
      </c>
      <c r="B782" s="7" t="s">
        <v>6977</v>
      </c>
      <c r="C782" s="7" t="s">
        <v>1018</v>
      </c>
      <c r="D782" s="7" t="n">
        <v>2200</v>
      </c>
      <c r="E782" s="7" t="s">
        <v>50</v>
      </c>
      <c r="F782" s="7" t="n">
        <v>-33.91994</v>
      </c>
      <c r="G782" s="7" t="n">
        <v>151.03388</v>
      </c>
      <c r="H782" s="7" t="s">
        <v>7002</v>
      </c>
    </row>
    <row r="783" customFormat="false" ht="15" hidden="false" customHeight="false" outlineLevel="0" collapsed="false">
      <c r="A783" s="7" t="s">
        <v>6947</v>
      </c>
      <c r="B783" s="7" t="s">
        <v>6964</v>
      </c>
      <c r="C783" s="7" t="s">
        <v>1018</v>
      </c>
      <c r="D783" s="7" t="n">
        <v>2200</v>
      </c>
      <c r="E783" s="7" t="s">
        <v>50</v>
      </c>
      <c r="F783" s="7" t="n">
        <v>-33.919566</v>
      </c>
      <c r="G783" s="7" t="n">
        <v>151.033666</v>
      </c>
      <c r="H783" s="7" t="s">
        <v>6965</v>
      </c>
    </row>
    <row r="784" customFormat="false" ht="15" hidden="false" customHeight="false" outlineLevel="0" collapsed="false">
      <c r="A784" s="7" t="s">
        <v>6947</v>
      </c>
      <c r="B784" s="7" t="s">
        <v>6960</v>
      </c>
      <c r="C784" s="7" t="s">
        <v>1019</v>
      </c>
      <c r="D784" s="7" t="n">
        <v>2627</v>
      </c>
      <c r="E784" s="7" t="s">
        <v>50</v>
      </c>
      <c r="F784" s="7" t="n">
        <v>-36.414755</v>
      </c>
      <c r="G784" s="7" t="n">
        <v>148.617784</v>
      </c>
      <c r="H784" s="7" t="s">
        <v>6961</v>
      </c>
    </row>
    <row r="785" customFormat="false" ht="15" hidden="false" customHeight="false" outlineLevel="0" collapsed="false">
      <c r="A785" s="7" t="s">
        <v>6947</v>
      </c>
      <c r="B785" s="7" t="s">
        <v>6964</v>
      </c>
      <c r="C785" s="7" t="s">
        <v>1020</v>
      </c>
      <c r="D785" s="7" t="n">
        <v>2263</v>
      </c>
      <c r="E785" s="7" t="s">
        <v>50</v>
      </c>
      <c r="F785" s="7" t="n">
        <v>-33.244379</v>
      </c>
      <c r="G785" s="7" t="n">
        <v>151.500571</v>
      </c>
      <c r="H785" s="7" t="s">
        <v>6965</v>
      </c>
    </row>
    <row r="786" customFormat="false" ht="15" hidden="false" customHeight="false" outlineLevel="0" collapsed="false">
      <c r="A786" s="7" t="s">
        <v>6947</v>
      </c>
      <c r="B786" s="7" t="s">
        <v>6977</v>
      </c>
      <c r="C786" s="7" t="s">
        <v>1021</v>
      </c>
      <c r="D786" s="7" t="n">
        <v>2031</v>
      </c>
      <c r="E786" s="7" t="s">
        <v>50</v>
      </c>
      <c r="F786" s="7" t="n">
        <v>-33.918997</v>
      </c>
      <c r="G786" s="7" t="n">
        <v>151.241826</v>
      </c>
      <c r="H786" s="7" t="s">
        <v>6991</v>
      </c>
    </row>
    <row r="787" customFormat="false" ht="15" hidden="false" customHeight="false" outlineLevel="0" collapsed="false">
      <c r="A787" s="7" t="s">
        <v>6947</v>
      </c>
      <c r="B787" s="7" t="s">
        <v>6964</v>
      </c>
      <c r="C787" s="7" t="s">
        <v>1022</v>
      </c>
      <c r="D787" s="7" t="n">
        <v>2155</v>
      </c>
      <c r="E787" s="7" t="s">
        <v>50</v>
      </c>
      <c r="F787" s="7" t="n">
        <v>-33.692322</v>
      </c>
      <c r="G787" s="7" t="n">
        <v>150.926652</v>
      </c>
      <c r="H787" s="7" t="s">
        <v>6965</v>
      </c>
    </row>
    <row r="788" customFormat="false" ht="15" hidden="false" customHeight="false" outlineLevel="0" collapsed="false">
      <c r="A788" s="7" t="s">
        <v>6947</v>
      </c>
      <c r="B788" s="7" t="s">
        <v>6977</v>
      </c>
      <c r="C788" s="7" t="s">
        <v>1024</v>
      </c>
      <c r="D788" s="7" t="n">
        <v>2766</v>
      </c>
      <c r="E788" s="7" t="s">
        <v>50</v>
      </c>
      <c r="F788" s="7" t="n">
        <v>-33.770853</v>
      </c>
      <c r="G788" s="7" t="n">
        <v>150.854152</v>
      </c>
      <c r="H788" s="7" t="s">
        <v>6981</v>
      </c>
    </row>
    <row r="789" customFormat="false" ht="15" hidden="false" customHeight="false" outlineLevel="0" collapsed="false">
      <c r="A789" s="7" t="s">
        <v>6947</v>
      </c>
      <c r="B789" s="7" t="s">
        <v>6977</v>
      </c>
      <c r="C789" s="7" t="s">
        <v>1025</v>
      </c>
      <c r="D789" s="7" t="n">
        <v>2873</v>
      </c>
      <c r="E789" s="7" t="s">
        <v>50</v>
      </c>
      <c r="F789" s="7" t="n">
        <v>-32.244941</v>
      </c>
      <c r="G789" s="7" t="n">
        <v>147.356497</v>
      </c>
      <c r="H789" s="7" t="s">
        <v>6984</v>
      </c>
    </row>
    <row r="790" customFormat="false" ht="15" hidden="false" customHeight="false" outlineLevel="0" collapsed="false">
      <c r="A790" s="7" t="s">
        <v>6947</v>
      </c>
      <c r="B790" s="7" t="s">
        <v>6962</v>
      </c>
      <c r="C790" s="7" t="s">
        <v>1026</v>
      </c>
      <c r="D790" s="7" t="n">
        <v>2300</v>
      </c>
      <c r="E790" s="7" t="s">
        <v>50</v>
      </c>
      <c r="F790" s="7" t="n">
        <v>-32.926981</v>
      </c>
      <c r="G790" s="7" t="n">
        <v>151.778713</v>
      </c>
      <c r="H790" s="7" t="s">
        <v>7015</v>
      </c>
    </row>
    <row r="791" customFormat="false" ht="15" hidden="false" customHeight="false" outlineLevel="0" collapsed="false">
      <c r="A791" s="7" t="s">
        <v>6947</v>
      </c>
      <c r="B791" s="7" t="s">
        <v>6977</v>
      </c>
      <c r="C791" s="7" t="s">
        <v>1027</v>
      </c>
      <c r="D791" s="7" t="n">
        <v>2000</v>
      </c>
      <c r="E791" s="7" t="s">
        <v>50</v>
      </c>
      <c r="F791" s="7" t="n">
        <v>-33.884263</v>
      </c>
      <c r="G791" s="7" t="n">
        <v>151.203022</v>
      </c>
      <c r="H791" s="7" t="s">
        <v>6984</v>
      </c>
    </row>
    <row r="792" customFormat="false" ht="15" hidden="false" customHeight="false" outlineLevel="0" collapsed="false">
      <c r="A792" s="7" t="s">
        <v>6947</v>
      </c>
      <c r="B792" s="7" t="s">
        <v>6987</v>
      </c>
      <c r="C792" s="7" t="s">
        <v>1028</v>
      </c>
      <c r="D792" s="7" t="n">
        <v>2035</v>
      </c>
      <c r="E792" s="7" t="s">
        <v>50</v>
      </c>
      <c r="F792" s="7" t="n">
        <v>-33.943499</v>
      </c>
      <c r="G792" s="7" t="n">
        <v>151.239723</v>
      </c>
      <c r="H792" s="7" t="s">
        <v>6988</v>
      </c>
    </row>
    <row r="793" customFormat="false" ht="15" hidden="false" customHeight="false" outlineLevel="0" collapsed="false">
      <c r="A793" s="7" t="s">
        <v>6947</v>
      </c>
      <c r="B793" s="7" t="s">
        <v>6967</v>
      </c>
      <c r="C793" s="7" t="s">
        <v>1029</v>
      </c>
      <c r="D793" s="7" t="n">
        <v>2747</v>
      </c>
      <c r="E793" s="7" t="s">
        <v>50</v>
      </c>
      <c r="F793" s="7" t="n">
        <v>-33.769276</v>
      </c>
      <c r="G793" s="7" t="n">
        <v>150.735459</v>
      </c>
      <c r="H793" s="7" t="s">
        <v>7019</v>
      </c>
    </row>
    <row r="794" customFormat="false" ht="15" hidden="false" customHeight="false" outlineLevel="0" collapsed="false">
      <c r="A794" s="7" t="s">
        <v>6947</v>
      </c>
      <c r="B794" s="7" t="s">
        <v>6977</v>
      </c>
      <c r="C794" s="7" t="s">
        <v>1030</v>
      </c>
      <c r="D794" s="7" t="n">
        <v>2750</v>
      </c>
      <c r="E794" s="7" t="s">
        <v>50</v>
      </c>
      <c r="F794" s="7" t="n">
        <v>-33.757061</v>
      </c>
      <c r="G794" s="7" t="n">
        <v>150.68531</v>
      </c>
      <c r="H794" s="7" t="s">
        <v>6981</v>
      </c>
    </row>
    <row r="795" customFormat="false" ht="15" hidden="false" customHeight="false" outlineLevel="0" collapsed="false">
      <c r="A795" s="7" t="s">
        <v>6947</v>
      </c>
      <c r="B795" s="7" t="s">
        <v>6964</v>
      </c>
      <c r="C795" s="7" t="s">
        <v>1031</v>
      </c>
      <c r="D795" s="7" t="n">
        <v>2850</v>
      </c>
      <c r="E795" s="7" t="s">
        <v>50</v>
      </c>
      <c r="F795" s="7" t="n">
        <v>-32.59012</v>
      </c>
      <c r="G795" s="7" t="n">
        <v>149.585226</v>
      </c>
      <c r="H795" s="7" t="s">
        <v>6965</v>
      </c>
    </row>
    <row r="796" customFormat="false" ht="15" hidden="false" customHeight="false" outlineLevel="0" collapsed="false">
      <c r="A796" s="7" t="s">
        <v>6947</v>
      </c>
      <c r="B796" s="7" t="s">
        <v>6964</v>
      </c>
      <c r="C796" s="7" t="s">
        <v>1032</v>
      </c>
      <c r="D796" s="7" t="n">
        <v>2630</v>
      </c>
      <c r="E796" s="7" t="s">
        <v>50</v>
      </c>
      <c r="F796" s="7" t="n">
        <v>-36.235523</v>
      </c>
      <c r="G796" s="7" t="n">
        <v>149.126795</v>
      </c>
      <c r="H796" s="7" t="s">
        <v>7032</v>
      </c>
    </row>
    <row r="797" customFormat="false" ht="15" hidden="false" customHeight="false" outlineLevel="0" collapsed="false">
      <c r="A797" s="7" t="s">
        <v>6947</v>
      </c>
      <c r="B797" s="7" t="s">
        <v>6977</v>
      </c>
      <c r="C797" s="7" t="s">
        <v>1033</v>
      </c>
      <c r="D797" s="7" t="n">
        <v>2205</v>
      </c>
      <c r="E797" s="7" t="s">
        <v>50</v>
      </c>
      <c r="F797" s="7" t="n">
        <v>-33.930588</v>
      </c>
      <c r="G797" s="7" t="n">
        <v>151.153705</v>
      </c>
      <c r="H797" s="7" t="s">
        <v>6991</v>
      </c>
    </row>
    <row r="798" customFormat="false" ht="15" hidden="false" customHeight="false" outlineLevel="0" collapsed="false">
      <c r="A798" s="7" t="s">
        <v>6947</v>
      </c>
      <c r="B798" s="7" t="s">
        <v>6964</v>
      </c>
      <c r="C798" s="7" t="s">
        <v>1034</v>
      </c>
      <c r="D798" s="7" t="n">
        <v>2582</v>
      </c>
      <c r="E798" s="7" t="s">
        <v>50</v>
      </c>
      <c r="F798" s="7" t="n">
        <v>-34.841832</v>
      </c>
      <c r="G798" s="7" t="n">
        <v>148.912576</v>
      </c>
      <c r="H798" s="7" t="s">
        <v>6992</v>
      </c>
    </row>
    <row r="799" customFormat="false" ht="15" hidden="false" customHeight="false" outlineLevel="0" collapsed="false">
      <c r="A799" s="7" t="s">
        <v>6947</v>
      </c>
      <c r="B799" s="7" t="s">
        <v>6977</v>
      </c>
      <c r="C799" s="7" t="s">
        <v>1035</v>
      </c>
      <c r="D799" s="7" t="n">
        <v>2204</v>
      </c>
      <c r="E799" s="7" t="s">
        <v>50</v>
      </c>
      <c r="F799" s="7" t="n">
        <v>-33.90574</v>
      </c>
      <c r="G799" s="7" t="n">
        <v>151.168381</v>
      </c>
      <c r="H799" s="7" t="s">
        <v>6984</v>
      </c>
    </row>
    <row r="800" customFormat="false" ht="15" hidden="false" customHeight="false" outlineLevel="0" collapsed="false">
      <c r="A800" s="7" t="s">
        <v>6947</v>
      </c>
      <c r="B800" s="7" t="s">
        <v>6962</v>
      </c>
      <c r="C800" s="7" t="s">
        <v>1036</v>
      </c>
      <c r="D800" s="7" t="n">
        <v>2299</v>
      </c>
      <c r="E800" s="7" t="s">
        <v>50</v>
      </c>
      <c r="F800" s="7" t="n">
        <v>-32.91108</v>
      </c>
      <c r="G800" s="7" t="n">
        <v>151.708605</v>
      </c>
      <c r="H800" s="7" t="s">
        <v>6983</v>
      </c>
    </row>
    <row r="801" customFormat="false" ht="15" hidden="false" customHeight="false" outlineLevel="0" collapsed="false">
      <c r="A801" s="7" t="s">
        <v>6947</v>
      </c>
      <c r="B801" s="7" t="s">
        <v>6964</v>
      </c>
      <c r="C801" s="7" t="s">
        <v>1037</v>
      </c>
      <c r="D801" s="7" t="n">
        <v>2539</v>
      </c>
      <c r="E801" s="7" t="s">
        <v>50</v>
      </c>
      <c r="F801" s="7" t="n">
        <v>-35.325056</v>
      </c>
      <c r="G801" s="7" t="n">
        <v>150.476378</v>
      </c>
      <c r="H801" s="7" t="s">
        <v>6975</v>
      </c>
    </row>
    <row r="802" customFormat="false" ht="15" hidden="false" customHeight="false" outlineLevel="0" collapsed="false">
      <c r="A802" s="7" t="s">
        <v>6947</v>
      </c>
      <c r="B802" s="7" t="s">
        <v>6987</v>
      </c>
      <c r="C802" s="7" t="s">
        <v>1038</v>
      </c>
      <c r="D802" s="7" t="n">
        <v>2100</v>
      </c>
      <c r="E802" s="7" t="s">
        <v>50</v>
      </c>
      <c r="F802" s="7" t="n">
        <v>-33.762075</v>
      </c>
      <c r="G802" s="7" t="n">
        <v>151.272446</v>
      </c>
      <c r="H802" s="7" t="s">
        <v>6988</v>
      </c>
    </row>
    <row r="803" customFormat="false" ht="15" hidden="false" customHeight="false" outlineLevel="0" collapsed="false">
      <c r="A803" s="7" t="s">
        <v>6947</v>
      </c>
      <c r="B803" s="7" t="s">
        <v>6967</v>
      </c>
      <c r="C803" s="7" t="s">
        <v>1039</v>
      </c>
      <c r="D803" s="7" t="n">
        <v>2035</v>
      </c>
      <c r="E803" s="7" t="s">
        <v>50</v>
      </c>
      <c r="F803" s="7" t="n">
        <v>-33.943148</v>
      </c>
      <c r="G803" s="7" t="n">
        <v>151.239647</v>
      </c>
      <c r="H803" s="7" t="s">
        <v>7019</v>
      </c>
    </row>
    <row r="804" customFormat="false" ht="15" hidden="false" customHeight="false" outlineLevel="0" collapsed="false">
      <c r="A804" s="7" t="s">
        <v>6947</v>
      </c>
      <c r="B804" s="7" t="s">
        <v>7003</v>
      </c>
      <c r="C804" s="7" t="s">
        <v>1040</v>
      </c>
      <c r="D804" s="7" t="n">
        <v>2765</v>
      </c>
      <c r="E804" s="7" t="s">
        <v>50</v>
      </c>
      <c r="F804" s="7" t="n">
        <v>-33.716109</v>
      </c>
      <c r="G804" s="7" t="n">
        <v>150.845309</v>
      </c>
      <c r="H804" s="7" t="s">
        <v>7004</v>
      </c>
    </row>
    <row r="805" customFormat="false" ht="15" hidden="false" customHeight="false" outlineLevel="0" collapsed="false">
      <c r="A805" s="7" t="s">
        <v>6947</v>
      </c>
      <c r="B805" s="7" t="s">
        <v>7003</v>
      </c>
      <c r="C805" s="7" t="s">
        <v>1041</v>
      </c>
      <c r="D805" s="7" t="n">
        <v>2190</v>
      </c>
      <c r="E805" s="7" t="s">
        <v>50</v>
      </c>
      <c r="F805" s="7" t="n">
        <v>-33.904723</v>
      </c>
      <c r="G805" s="7" t="n">
        <v>151.064588</v>
      </c>
      <c r="H805" s="7" t="s">
        <v>7004</v>
      </c>
    </row>
    <row r="806" customFormat="false" ht="15" hidden="false" customHeight="false" outlineLevel="0" collapsed="false">
      <c r="A806" s="7" t="s">
        <v>6947</v>
      </c>
      <c r="B806" s="7" t="s">
        <v>6964</v>
      </c>
      <c r="C806" s="7" t="s">
        <v>1042</v>
      </c>
      <c r="D806" s="7" t="n">
        <v>2008</v>
      </c>
      <c r="E806" s="7" t="s">
        <v>50</v>
      </c>
      <c r="F806" s="7" t="n">
        <v>-33.88483</v>
      </c>
      <c r="G806" s="7" t="n">
        <v>151.198623</v>
      </c>
      <c r="H806" s="7" t="s">
        <v>6992</v>
      </c>
    </row>
    <row r="807" customFormat="false" ht="15" hidden="false" customHeight="false" outlineLevel="0" collapsed="false">
      <c r="A807" s="7" t="s">
        <v>6947</v>
      </c>
      <c r="B807" s="7" t="s">
        <v>6967</v>
      </c>
      <c r="C807" s="7" t="s">
        <v>1044</v>
      </c>
      <c r="D807" s="7" t="n">
        <v>2065</v>
      </c>
      <c r="E807" s="7" t="s">
        <v>50</v>
      </c>
      <c r="F807" s="7" t="n">
        <v>-33.823788</v>
      </c>
      <c r="G807" s="7" t="n">
        <v>151.195194</v>
      </c>
      <c r="H807" s="7" t="s">
        <v>6968</v>
      </c>
    </row>
    <row r="808" customFormat="false" ht="15" hidden="false" customHeight="false" outlineLevel="0" collapsed="false">
      <c r="A808" s="7" t="s">
        <v>6947</v>
      </c>
      <c r="B808" s="7" t="s">
        <v>7033</v>
      </c>
      <c r="C808" s="7" t="s">
        <v>1045</v>
      </c>
      <c r="D808" s="7" t="n">
        <v>2736</v>
      </c>
      <c r="E808" s="7" t="s">
        <v>50</v>
      </c>
      <c r="F808" s="7" t="n">
        <v>-35.022611</v>
      </c>
      <c r="G808" s="7" t="n">
        <v>143.33721</v>
      </c>
      <c r="H808" s="7" t="s">
        <v>7034</v>
      </c>
    </row>
    <row r="809" customFormat="false" ht="15" hidden="false" customHeight="false" outlineLevel="0" collapsed="false">
      <c r="A809" s="7" t="s">
        <v>6947</v>
      </c>
      <c r="B809" s="7" t="s">
        <v>6977</v>
      </c>
      <c r="C809" s="7" t="s">
        <v>1046</v>
      </c>
      <c r="D809" s="7" t="n">
        <v>2747</v>
      </c>
      <c r="E809" s="7" t="s">
        <v>50</v>
      </c>
      <c r="F809" s="7" t="n">
        <v>-33.757965</v>
      </c>
      <c r="G809" s="7" t="n">
        <v>150.712545</v>
      </c>
      <c r="H809" s="7" t="s">
        <v>6984</v>
      </c>
    </row>
    <row r="810" customFormat="false" ht="15" hidden="false" customHeight="false" outlineLevel="0" collapsed="false">
      <c r="A810" s="7" t="s">
        <v>6947</v>
      </c>
      <c r="B810" s="7" t="s">
        <v>6964</v>
      </c>
      <c r="C810" s="7" t="s">
        <v>1047</v>
      </c>
      <c r="D810" s="7" t="n">
        <v>2099</v>
      </c>
      <c r="E810" s="7" t="s">
        <v>50</v>
      </c>
      <c r="F810" s="7" t="n">
        <v>-33.75321</v>
      </c>
      <c r="G810" s="7" t="n">
        <v>151.28736</v>
      </c>
      <c r="H810" s="7" t="s">
        <v>6972</v>
      </c>
    </row>
    <row r="811" customFormat="false" ht="15" hidden="false" customHeight="false" outlineLevel="0" collapsed="false">
      <c r="A811" s="7" t="s">
        <v>6947</v>
      </c>
      <c r="B811" s="7" t="s">
        <v>6967</v>
      </c>
      <c r="C811" s="7" t="s">
        <v>1048</v>
      </c>
      <c r="D811" s="7" t="n">
        <v>2032</v>
      </c>
      <c r="E811" s="7" t="s">
        <v>50</v>
      </c>
      <c r="F811" s="7" t="n">
        <v>-33.924072</v>
      </c>
      <c r="G811" s="7" t="n">
        <v>151.226695</v>
      </c>
      <c r="H811" s="7" t="s">
        <v>7019</v>
      </c>
    </row>
    <row r="812" customFormat="false" ht="15" hidden="false" customHeight="false" outlineLevel="0" collapsed="false">
      <c r="A812" s="7" t="s">
        <v>6947</v>
      </c>
      <c r="B812" s="7" t="s">
        <v>6960</v>
      </c>
      <c r="C812" s="7" t="s">
        <v>1049</v>
      </c>
      <c r="D812" s="7" t="n">
        <v>2565</v>
      </c>
      <c r="E812" s="7" t="s">
        <v>50</v>
      </c>
      <c r="F812" s="7" t="n">
        <v>-33.988515</v>
      </c>
      <c r="G812" s="7" t="n">
        <v>150.859369</v>
      </c>
      <c r="H812" s="7" t="s">
        <v>6961</v>
      </c>
    </row>
    <row r="813" customFormat="false" ht="15" hidden="false" customHeight="false" outlineLevel="0" collapsed="false">
      <c r="A813" s="7" t="s">
        <v>6947</v>
      </c>
      <c r="B813" s="7" t="s">
        <v>6964</v>
      </c>
      <c r="C813" s="7" t="s">
        <v>1050</v>
      </c>
      <c r="D813" s="7" t="n">
        <v>2000</v>
      </c>
      <c r="E813" s="7" t="s">
        <v>50</v>
      </c>
      <c r="F813" s="7" t="n">
        <v>-33.860501</v>
      </c>
      <c r="G813" s="7" t="n">
        <v>151.203601</v>
      </c>
      <c r="H813" s="7" t="s">
        <v>6992</v>
      </c>
    </row>
    <row r="814" customFormat="false" ht="15" hidden="false" customHeight="false" outlineLevel="0" collapsed="false">
      <c r="A814" s="7" t="s">
        <v>6947</v>
      </c>
      <c r="B814" s="7" t="s">
        <v>6962</v>
      </c>
      <c r="C814" s="7" t="s">
        <v>1051</v>
      </c>
      <c r="D814" s="7" t="n">
        <v>2017</v>
      </c>
      <c r="E814" s="7" t="s">
        <v>50</v>
      </c>
      <c r="F814" s="7" t="n">
        <v>-33.907015</v>
      </c>
      <c r="G814" s="7" t="n">
        <v>151.213019</v>
      </c>
      <c r="H814" s="7" t="s">
        <v>7073</v>
      </c>
    </row>
    <row r="815" customFormat="false" ht="15" hidden="false" customHeight="false" outlineLevel="0" collapsed="false">
      <c r="A815" s="7" t="s">
        <v>6947</v>
      </c>
      <c r="B815" s="7" t="s">
        <v>6977</v>
      </c>
      <c r="C815" s="7" t="s">
        <v>1053</v>
      </c>
      <c r="D815" s="7" t="n">
        <v>2095</v>
      </c>
      <c r="E815" s="7" t="s">
        <v>50</v>
      </c>
      <c r="F815" s="7" t="n">
        <v>-33.799878</v>
      </c>
      <c r="G815" s="7" t="n">
        <v>151.289443</v>
      </c>
      <c r="H815" s="7" t="s">
        <v>6984</v>
      </c>
    </row>
    <row r="816" customFormat="false" ht="15" hidden="false" customHeight="false" outlineLevel="0" collapsed="false">
      <c r="A816" s="7" t="s">
        <v>6947</v>
      </c>
      <c r="B816" s="7" t="s">
        <v>6977</v>
      </c>
      <c r="C816" s="7" t="s">
        <v>1054</v>
      </c>
      <c r="D816" s="7" t="n">
        <v>2097</v>
      </c>
      <c r="E816" s="7" t="s">
        <v>50</v>
      </c>
      <c r="F816" s="7" t="n">
        <v>-33.738608</v>
      </c>
      <c r="G816" s="7" t="n">
        <v>151.304117</v>
      </c>
      <c r="H816" s="7" t="s">
        <v>6991</v>
      </c>
    </row>
    <row r="817" customFormat="false" ht="15" hidden="false" customHeight="false" outlineLevel="0" collapsed="false">
      <c r="A817" s="7" t="s">
        <v>6947</v>
      </c>
      <c r="B817" s="7" t="s">
        <v>6962</v>
      </c>
      <c r="C817" s="7" t="s">
        <v>1055</v>
      </c>
      <c r="D817" s="7" t="n">
        <v>2026</v>
      </c>
      <c r="E817" s="7" t="s">
        <v>50</v>
      </c>
      <c r="F817" s="7" t="n">
        <v>-33.88955</v>
      </c>
      <c r="G817" s="7" t="n">
        <v>151.26655</v>
      </c>
      <c r="H817" s="7" t="s">
        <v>6983</v>
      </c>
    </row>
    <row r="818" customFormat="false" ht="15" hidden="false" customHeight="false" outlineLevel="0" collapsed="false">
      <c r="A818" s="7" t="s">
        <v>6947</v>
      </c>
      <c r="B818" s="7" t="s">
        <v>6977</v>
      </c>
      <c r="C818" s="7" t="s">
        <v>1056</v>
      </c>
      <c r="D818" s="7" t="n">
        <v>2120</v>
      </c>
      <c r="E818" s="7" t="s">
        <v>50</v>
      </c>
      <c r="F818" s="7" t="n">
        <v>-33.723401</v>
      </c>
      <c r="G818" s="7" t="n">
        <v>151.082421</v>
      </c>
      <c r="H818" s="7" t="s">
        <v>6984</v>
      </c>
    </row>
    <row r="819" customFormat="false" ht="15" hidden="false" customHeight="false" outlineLevel="0" collapsed="false">
      <c r="A819" s="7" t="s">
        <v>6947</v>
      </c>
      <c r="B819" s="7" t="s">
        <v>6967</v>
      </c>
      <c r="C819" s="7" t="s">
        <v>1057</v>
      </c>
      <c r="D819" s="7" t="n">
        <v>2063</v>
      </c>
      <c r="E819" s="7" t="s">
        <v>50</v>
      </c>
      <c r="F819" s="7" t="n">
        <v>-33.809326</v>
      </c>
      <c r="G819" s="7" t="n">
        <v>151.208848</v>
      </c>
      <c r="H819" s="7" t="s">
        <v>6968</v>
      </c>
    </row>
    <row r="820" customFormat="false" ht="15" hidden="false" customHeight="false" outlineLevel="0" collapsed="false">
      <c r="A820" s="7" t="s">
        <v>6947</v>
      </c>
      <c r="B820" s="7" t="s">
        <v>7003</v>
      </c>
      <c r="C820" s="7" t="s">
        <v>1058</v>
      </c>
      <c r="D820" s="7" t="n">
        <v>2500</v>
      </c>
      <c r="E820" s="7" t="s">
        <v>50</v>
      </c>
      <c r="F820" s="7" t="n">
        <v>-34.41512</v>
      </c>
      <c r="G820" s="7" t="n">
        <v>150.893195</v>
      </c>
      <c r="H820" s="7" t="s">
        <v>7004</v>
      </c>
    </row>
    <row r="821" customFormat="false" ht="15" hidden="false" customHeight="false" outlineLevel="0" collapsed="false">
      <c r="A821" s="7" t="s">
        <v>6947</v>
      </c>
      <c r="B821" s="7" t="s">
        <v>6987</v>
      </c>
      <c r="C821" s="7" t="s">
        <v>1059</v>
      </c>
      <c r="D821" s="7" t="n">
        <v>2101</v>
      </c>
      <c r="E821" s="7" t="s">
        <v>50</v>
      </c>
      <c r="F821" s="7" t="n">
        <v>-33.713659</v>
      </c>
      <c r="G821" s="7" t="n">
        <v>151.298291</v>
      </c>
      <c r="H821" s="7" t="s">
        <v>6988</v>
      </c>
    </row>
    <row r="822" customFormat="false" ht="15" hidden="false" customHeight="false" outlineLevel="0" collapsed="false">
      <c r="A822" s="7" t="s">
        <v>6947</v>
      </c>
      <c r="B822" s="7" t="s">
        <v>7026</v>
      </c>
      <c r="C822" s="7" t="s">
        <v>1060</v>
      </c>
      <c r="D822" s="7" t="n">
        <v>2036</v>
      </c>
      <c r="E822" s="7" t="s">
        <v>50</v>
      </c>
      <c r="F822" s="7" t="n">
        <v>-33.943052</v>
      </c>
      <c r="G822" s="7" t="n">
        <v>151.225398</v>
      </c>
      <c r="H822" s="7" t="s">
        <v>7074</v>
      </c>
    </row>
    <row r="823" customFormat="false" ht="15" hidden="false" customHeight="false" outlineLevel="0" collapsed="false">
      <c r="A823" s="7" t="s">
        <v>6947</v>
      </c>
      <c r="B823" s="7" t="s">
        <v>6962</v>
      </c>
      <c r="C823" s="7" t="s">
        <v>1061</v>
      </c>
      <c r="D823" s="7" t="n">
        <v>2036</v>
      </c>
      <c r="E823" s="7" t="s">
        <v>50</v>
      </c>
      <c r="F823" s="7" t="n">
        <v>-33.94075</v>
      </c>
      <c r="G823" s="7" t="n">
        <v>151.225882</v>
      </c>
      <c r="H823" s="7" t="s">
        <v>6969</v>
      </c>
    </row>
    <row r="824" customFormat="false" ht="15" hidden="false" customHeight="false" outlineLevel="0" collapsed="false">
      <c r="A824" s="7" t="s">
        <v>6947</v>
      </c>
      <c r="B824" s="7" t="s">
        <v>6967</v>
      </c>
      <c r="C824" s="7" t="s">
        <v>1062</v>
      </c>
      <c r="D824" s="7" t="n">
        <v>2029</v>
      </c>
      <c r="E824" s="7" t="s">
        <v>50</v>
      </c>
      <c r="F824" s="7" t="n">
        <v>-33.871361</v>
      </c>
      <c r="G824" s="7" t="n">
        <v>151.264412</v>
      </c>
      <c r="H824" s="7" t="s">
        <v>6968</v>
      </c>
    </row>
    <row r="825" customFormat="false" ht="15" hidden="false" customHeight="false" outlineLevel="0" collapsed="false">
      <c r="A825" s="7" t="s">
        <v>6947</v>
      </c>
      <c r="B825" s="7" t="s">
        <v>6962</v>
      </c>
      <c r="C825" s="7" t="s">
        <v>1063</v>
      </c>
      <c r="D825" s="7" t="n">
        <v>2257</v>
      </c>
      <c r="E825" s="7" t="s">
        <v>50</v>
      </c>
      <c r="F825" s="7" t="n">
        <v>-33.529863</v>
      </c>
      <c r="G825" s="7" t="n">
        <v>151.311123</v>
      </c>
      <c r="H825" s="7" t="s">
        <v>6969</v>
      </c>
    </row>
    <row r="826" customFormat="false" ht="15" hidden="false" customHeight="false" outlineLevel="0" collapsed="false">
      <c r="A826" s="7" t="s">
        <v>6947</v>
      </c>
      <c r="B826" s="7" t="s">
        <v>6964</v>
      </c>
      <c r="C826" s="7" t="s">
        <v>1064</v>
      </c>
      <c r="D826" s="7" t="n">
        <v>2481</v>
      </c>
      <c r="E826" s="7" t="s">
        <v>50</v>
      </c>
      <c r="F826" s="7" t="n">
        <v>-28.636834</v>
      </c>
      <c r="G826" s="7" t="n">
        <v>153.580333</v>
      </c>
      <c r="H826" s="7" t="s">
        <v>6975</v>
      </c>
    </row>
    <row r="827" customFormat="false" ht="15" hidden="false" customHeight="false" outlineLevel="0" collapsed="false">
      <c r="A827" s="7" t="s">
        <v>6947</v>
      </c>
      <c r="B827" s="7" t="s">
        <v>6967</v>
      </c>
      <c r="C827" s="7" t="s">
        <v>1065</v>
      </c>
      <c r="D827" s="7" t="n">
        <v>2022</v>
      </c>
      <c r="E827" s="7" t="s">
        <v>50</v>
      </c>
      <c r="F827" s="7" t="n">
        <v>-33.892646</v>
      </c>
      <c r="G827" s="7" t="n">
        <v>151.248167</v>
      </c>
      <c r="H827" s="7" t="s">
        <v>6968</v>
      </c>
    </row>
    <row r="828" customFormat="false" ht="15" hidden="false" customHeight="false" outlineLevel="0" collapsed="false">
      <c r="A828" s="7" t="s">
        <v>6947</v>
      </c>
      <c r="B828" s="7" t="s">
        <v>6962</v>
      </c>
      <c r="C828" s="7" t="s">
        <v>1066</v>
      </c>
      <c r="D828" s="7" t="n">
        <v>2100</v>
      </c>
      <c r="E828" s="7" t="s">
        <v>50</v>
      </c>
      <c r="F828" s="7" t="n">
        <v>-33.764611</v>
      </c>
      <c r="G828" s="7" t="n">
        <v>151.277334</v>
      </c>
      <c r="H828" s="7" t="s">
        <v>6969</v>
      </c>
    </row>
    <row r="829" customFormat="false" ht="15" hidden="false" customHeight="false" outlineLevel="0" collapsed="false">
      <c r="A829" s="7" t="s">
        <v>6947</v>
      </c>
      <c r="B829" s="7" t="s">
        <v>7003</v>
      </c>
      <c r="C829" s="7" t="s">
        <v>1067</v>
      </c>
      <c r="D829" s="7" t="n">
        <v>2158</v>
      </c>
      <c r="E829" s="7" t="s">
        <v>50</v>
      </c>
      <c r="F829" s="7" t="n">
        <v>-33.682887</v>
      </c>
      <c r="G829" s="7" t="n">
        <v>151.028452</v>
      </c>
      <c r="H829" s="7" t="s">
        <v>7004</v>
      </c>
    </row>
    <row r="830" customFormat="false" ht="15" hidden="false" customHeight="false" outlineLevel="0" collapsed="false">
      <c r="A830" s="7" t="s">
        <v>6947</v>
      </c>
      <c r="B830" s="7" t="s">
        <v>7075</v>
      </c>
      <c r="C830" s="7" t="s">
        <v>1068</v>
      </c>
      <c r="D830" s="7" t="n">
        <v>2032</v>
      </c>
      <c r="E830" s="7" t="s">
        <v>50</v>
      </c>
      <c r="F830" s="7" t="n">
        <v>-33.924232</v>
      </c>
      <c r="G830" s="7" t="n">
        <v>151.226679</v>
      </c>
      <c r="H830" s="7" t="s">
        <v>7076</v>
      </c>
    </row>
    <row r="831" customFormat="false" ht="15" hidden="false" customHeight="false" outlineLevel="0" collapsed="false">
      <c r="A831" s="7" t="s">
        <v>6947</v>
      </c>
      <c r="B831" s="7" t="s">
        <v>1070</v>
      </c>
      <c r="C831" s="7" t="s">
        <v>1071</v>
      </c>
      <c r="D831" s="7" t="n">
        <v>2445</v>
      </c>
      <c r="E831" s="7" t="s">
        <v>50</v>
      </c>
      <c r="F831" s="7" t="n">
        <v>-31.591344</v>
      </c>
      <c r="G831" s="7" t="n">
        <v>152.840253</v>
      </c>
      <c r="H831" s="7" t="s">
        <v>7016</v>
      </c>
    </row>
    <row r="832" customFormat="false" ht="15" hidden="false" customHeight="false" outlineLevel="0" collapsed="false">
      <c r="A832" s="7" t="s">
        <v>6947</v>
      </c>
      <c r="B832" s="7" t="s">
        <v>6967</v>
      </c>
      <c r="C832" s="7" t="s">
        <v>1072</v>
      </c>
      <c r="D832" s="7" t="n">
        <v>2530</v>
      </c>
      <c r="E832" s="7" t="s">
        <v>50</v>
      </c>
      <c r="F832" s="7" t="n">
        <v>-34.494604</v>
      </c>
      <c r="G832" s="7" t="n">
        <v>150.795725</v>
      </c>
      <c r="H832" s="7" t="s">
        <v>6968</v>
      </c>
    </row>
    <row r="833" customFormat="false" ht="15" hidden="false" customHeight="false" outlineLevel="0" collapsed="false">
      <c r="A833" s="7" t="s">
        <v>6947</v>
      </c>
      <c r="B833" s="7" t="s">
        <v>7033</v>
      </c>
      <c r="C833" s="7" t="s">
        <v>1073</v>
      </c>
      <c r="D833" s="7" t="n">
        <v>2539</v>
      </c>
      <c r="E833" s="7" t="s">
        <v>50</v>
      </c>
      <c r="F833" s="7" t="n">
        <v>-35.357651</v>
      </c>
      <c r="G833" s="7" t="n">
        <v>150.47338</v>
      </c>
      <c r="H833" s="7" t="s">
        <v>7077</v>
      </c>
    </row>
    <row r="834" customFormat="false" ht="15" hidden="false" customHeight="false" outlineLevel="0" collapsed="false">
      <c r="A834" s="7" t="s">
        <v>6947</v>
      </c>
      <c r="B834" s="7" t="s">
        <v>6967</v>
      </c>
      <c r="C834" s="7" t="s">
        <v>1074</v>
      </c>
      <c r="D834" s="7" t="n">
        <v>2157</v>
      </c>
      <c r="E834" s="7" t="s">
        <v>50</v>
      </c>
      <c r="F834" s="7" t="n">
        <v>-33.601914</v>
      </c>
      <c r="G834" s="7" t="n">
        <v>151.008244</v>
      </c>
      <c r="H834" s="7" t="s">
        <v>6968</v>
      </c>
    </row>
    <row r="835" customFormat="false" ht="15" hidden="false" customHeight="false" outlineLevel="0" collapsed="false">
      <c r="A835" s="7" t="s">
        <v>6947</v>
      </c>
      <c r="B835" s="7" t="s">
        <v>6993</v>
      </c>
      <c r="C835" s="7" t="s">
        <v>1075</v>
      </c>
      <c r="D835" s="7" t="n">
        <v>2324</v>
      </c>
      <c r="E835" s="7" t="s">
        <v>50</v>
      </c>
      <c r="F835" s="7" t="n">
        <v>-32.673439</v>
      </c>
      <c r="G835" s="7" t="n">
        <v>152.182623</v>
      </c>
      <c r="H835" s="7" t="s">
        <v>6994</v>
      </c>
    </row>
    <row r="836" customFormat="false" ht="15" hidden="false" customHeight="false" outlineLevel="0" collapsed="false">
      <c r="A836" s="7" t="s">
        <v>6947</v>
      </c>
      <c r="B836" s="7" t="s">
        <v>6962</v>
      </c>
      <c r="C836" s="7" t="s">
        <v>1076</v>
      </c>
      <c r="D836" s="7" t="n">
        <v>2017</v>
      </c>
      <c r="E836" s="7" t="s">
        <v>50</v>
      </c>
      <c r="F836" s="7" t="n">
        <v>-33.910019</v>
      </c>
      <c r="G836" s="7" t="n">
        <v>151.208021</v>
      </c>
      <c r="H836" s="7" t="s">
        <v>7015</v>
      </c>
    </row>
    <row r="837" customFormat="false" ht="15" hidden="false" customHeight="false" outlineLevel="0" collapsed="false">
      <c r="A837" s="7" t="s">
        <v>6947</v>
      </c>
      <c r="B837" s="7" t="s">
        <v>6977</v>
      </c>
      <c r="C837" s="7" t="s">
        <v>1077</v>
      </c>
      <c r="D837" s="7" t="n">
        <v>2500</v>
      </c>
      <c r="E837" s="7" t="s">
        <v>50</v>
      </c>
      <c r="F837" s="7" t="n">
        <v>-34.420939</v>
      </c>
      <c r="G837" s="7" t="n">
        <v>150.892636</v>
      </c>
      <c r="H837" s="7" t="s">
        <v>6981</v>
      </c>
    </row>
    <row r="838" customFormat="false" ht="15" hidden="false" customHeight="false" outlineLevel="0" collapsed="false">
      <c r="A838" s="7" t="s">
        <v>6947</v>
      </c>
      <c r="B838" s="7" t="s">
        <v>6967</v>
      </c>
      <c r="C838" s="7" t="s">
        <v>1078</v>
      </c>
      <c r="D838" s="7" t="n">
        <v>2200</v>
      </c>
      <c r="E838" s="7" t="s">
        <v>50</v>
      </c>
      <c r="F838" s="7" t="n">
        <v>-33.931975</v>
      </c>
      <c r="G838" s="7" t="n">
        <v>151.030127</v>
      </c>
      <c r="H838" s="7" t="s">
        <v>6968</v>
      </c>
    </row>
    <row r="839" customFormat="false" ht="15" hidden="false" customHeight="false" outlineLevel="0" collapsed="false">
      <c r="A839" s="7" t="s">
        <v>6947</v>
      </c>
      <c r="B839" s="7" t="s">
        <v>6962</v>
      </c>
      <c r="C839" s="7" t="s">
        <v>1079</v>
      </c>
      <c r="D839" s="7" t="n">
        <v>2022</v>
      </c>
      <c r="E839" s="7" t="s">
        <v>50</v>
      </c>
      <c r="F839" s="7" t="n">
        <v>-33.890929</v>
      </c>
      <c r="G839" s="7" t="n">
        <v>151.24915</v>
      </c>
      <c r="H839" s="7" t="s">
        <v>7015</v>
      </c>
    </row>
    <row r="840" customFormat="false" ht="15" hidden="false" customHeight="false" outlineLevel="0" collapsed="false">
      <c r="A840" s="7" t="s">
        <v>6947</v>
      </c>
      <c r="B840" s="7" t="s">
        <v>6962</v>
      </c>
      <c r="C840" s="7" t="s">
        <v>1080</v>
      </c>
      <c r="D840" s="7" t="n">
        <v>2680</v>
      </c>
      <c r="E840" s="7" t="s">
        <v>50</v>
      </c>
      <c r="F840" s="7" t="n">
        <v>-34.299221</v>
      </c>
      <c r="G840" s="7" t="n">
        <v>146.078225</v>
      </c>
      <c r="H840" s="7" t="s">
        <v>6980</v>
      </c>
    </row>
    <row r="841" customFormat="false" ht="15" hidden="false" customHeight="false" outlineLevel="0" collapsed="false">
      <c r="A841" s="7" t="s">
        <v>6947</v>
      </c>
      <c r="B841" s="7" t="s">
        <v>6977</v>
      </c>
      <c r="C841" s="7" t="s">
        <v>1081</v>
      </c>
      <c r="D841" s="7" t="n">
        <v>2290</v>
      </c>
      <c r="E841" s="7" t="s">
        <v>50</v>
      </c>
      <c r="F841" s="7" t="n">
        <v>-32.989537</v>
      </c>
      <c r="G841" s="7" t="n">
        <v>151.718793</v>
      </c>
      <c r="H841" s="7" t="s">
        <v>6991</v>
      </c>
    </row>
    <row r="842" customFormat="false" ht="15" hidden="false" customHeight="false" outlineLevel="0" collapsed="false">
      <c r="A842" s="7" t="s">
        <v>6947</v>
      </c>
      <c r="B842" s="7" t="s">
        <v>6962</v>
      </c>
      <c r="C842" s="7" t="s">
        <v>1082</v>
      </c>
      <c r="D842" s="7" t="n">
        <v>2481</v>
      </c>
      <c r="E842" s="7" t="s">
        <v>50</v>
      </c>
      <c r="F842" s="7" t="n">
        <v>-28.637251</v>
      </c>
      <c r="G842" s="7" t="n">
        <v>153.580659</v>
      </c>
      <c r="H842" s="7" t="s">
        <v>7017</v>
      </c>
    </row>
    <row r="843" customFormat="false" ht="15" hidden="false" customHeight="false" outlineLevel="0" collapsed="false">
      <c r="A843" s="7" t="s">
        <v>6947</v>
      </c>
      <c r="B843" s="7" t="s">
        <v>6964</v>
      </c>
      <c r="C843" s="7" t="s">
        <v>1083</v>
      </c>
      <c r="D843" s="7" t="n">
        <v>2830</v>
      </c>
      <c r="E843" s="7" t="s">
        <v>50</v>
      </c>
      <c r="F843" s="7" t="n">
        <v>-32.254705</v>
      </c>
      <c r="G843" s="7" t="n">
        <v>148.608649</v>
      </c>
      <c r="H843" s="7" t="s">
        <v>6965</v>
      </c>
    </row>
    <row r="844" customFormat="false" ht="15" hidden="false" customHeight="false" outlineLevel="0" collapsed="false">
      <c r="A844" s="7" t="s">
        <v>6947</v>
      </c>
      <c r="B844" s="7" t="s">
        <v>6962</v>
      </c>
      <c r="C844" s="7" t="s">
        <v>1084</v>
      </c>
      <c r="D844" s="7" t="n">
        <v>2026</v>
      </c>
      <c r="E844" s="7" t="s">
        <v>50</v>
      </c>
      <c r="F844" s="7" t="n">
        <v>-33.886127</v>
      </c>
      <c r="G844" s="7" t="n">
        <v>151.273042</v>
      </c>
      <c r="H844" s="7" t="s">
        <v>6969</v>
      </c>
    </row>
    <row r="845" customFormat="false" ht="15" hidden="false" customHeight="false" outlineLevel="0" collapsed="false">
      <c r="A845" s="7" t="s">
        <v>6947</v>
      </c>
      <c r="B845" s="7" t="s">
        <v>6977</v>
      </c>
      <c r="C845" s="7" t="s">
        <v>1085</v>
      </c>
      <c r="D845" s="7" t="n">
        <v>2320</v>
      </c>
      <c r="E845" s="7" t="s">
        <v>50</v>
      </c>
      <c r="F845" s="7" t="n">
        <v>-32.734754</v>
      </c>
      <c r="G845" s="7" t="n">
        <v>151.25857</v>
      </c>
      <c r="H845" s="7" t="s">
        <v>6984</v>
      </c>
    </row>
    <row r="846" customFormat="false" ht="15" hidden="false" customHeight="false" outlineLevel="0" collapsed="false">
      <c r="A846" s="7" t="s">
        <v>6947</v>
      </c>
      <c r="B846" s="7" t="s">
        <v>6962</v>
      </c>
      <c r="C846" s="7" t="s">
        <v>1086</v>
      </c>
      <c r="D846" s="7" t="n">
        <v>2034</v>
      </c>
      <c r="E846" s="7" t="s">
        <v>50</v>
      </c>
      <c r="F846" s="7" t="n">
        <v>-33.919106</v>
      </c>
      <c r="G846" s="7" t="n">
        <v>151.254784</v>
      </c>
      <c r="H846" s="7" t="s">
        <v>6980</v>
      </c>
    </row>
    <row r="847" customFormat="false" ht="15" hidden="false" customHeight="false" outlineLevel="0" collapsed="false">
      <c r="A847" s="7" t="s">
        <v>6947</v>
      </c>
      <c r="B847" s="7" t="s">
        <v>7003</v>
      </c>
      <c r="C847" s="7" t="s">
        <v>1087</v>
      </c>
      <c r="D847" s="7" t="n">
        <v>2152</v>
      </c>
      <c r="E847" s="7" t="s">
        <v>50</v>
      </c>
      <c r="F847" s="7" t="n">
        <v>-33.787874</v>
      </c>
      <c r="G847" s="7" t="n">
        <v>150.994656</v>
      </c>
      <c r="H847" s="7" t="s">
        <v>7004</v>
      </c>
    </row>
    <row r="848" customFormat="false" ht="15" hidden="false" customHeight="false" outlineLevel="0" collapsed="false">
      <c r="A848" s="7" t="s">
        <v>6947</v>
      </c>
      <c r="B848" s="7" t="s">
        <v>6964</v>
      </c>
      <c r="C848" s="7" t="s">
        <v>1088</v>
      </c>
      <c r="D848" s="7" t="n">
        <v>2624</v>
      </c>
      <c r="E848" s="7" t="s">
        <v>50</v>
      </c>
      <c r="F848" s="7" t="n">
        <v>-36.405565</v>
      </c>
      <c r="G848" s="7" t="n">
        <v>148.412808</v>
      </c>
      <c r="H848" s="7" t="s">
        <v>6975</v>
      </c>
    </row>
    <row r="849" customFormat="false" ht="15" hidden="false" customHeight="false" outlineLevel="0" collapsed="false">
      <c r="A849" s="7" t="s">
        <v>6947</v>
      </c>
      <c r="B849" s="7" t="s">
        <v>6964</v>
      </c>
      <c r="C849" s="7" t="s">
        <v>1089</v>
      </c>
      <c r="D849" s="7" t="n">
        <v>2330</v>
      </c>
      <c r="E849" s="7" t="s">
        <v>50</v>
      </c>
      <c r="F849" s="7" t="n">
        <v>-32.746398</v>
      </c>
      <c r="G849" s="7" t="n">
        <v>151.073392</v>
      </c>
      <c r="H849" s="7" t="s">
        <v>6965</v>
      </c>
    </row>
    <row r="850" customFormat="false" ht="15" hidden="false" customHeight="false" outlineLevel="0" collapsed="false">
      <c r="A850" s="7" t="s">
        <v>6947</v>
      </c>
      <c r="B850" s="7" t="s">
        <v>6962</v>
      </c>
      <c r="C850" s="7" t="s">
        <v>1090</v>
      </c>
      <c r="D850" s="7" t="n">
        <v>2011</v>
      </c>
      <c r="E850" s="7" t="s">
        <v>50</v>
      </c>
      <c r="F850" s="7" t="n">
        <v>-33.873242</v>
      </c>
      <c r="G850" s="7" t="n">
        <v>151.226057</v>
      </c>
      <c r="H850" s="7" t="s">
        <v>7015</v>
      </c>
    </row>
    <row r="851" customFormat="false" ht="15" hidden="false" customHeight="false" outlineLevel="0" collapsed="false">
      <c r="A851" s="7" t="s">
        <v>6947</v>
      </c>
      <c r="B851" s="7" t="s">
        <v>6977</v>
      </c>
      <c r="C851" s="7" t="s">
        <v>1091</v>
      </c>
      <c r="D851" s="7" t="n">
        <v>2150</v>
      </c>
      <c r="E851" s="7" t="s">
        <v>50</v>
      </c>
      <c r="F851" s="7" t="n">
        <v>-33.814086</v>
      </c>
      <c r="G851" s="7" t="n">
        <v>150.999178</v>
      </c>
      <c r="H851" s="7" t="s">
        <v>7028</v>
      </c>
    </row>
    <row r="852" customFormat="false" ht="15" hidden="false" customHeight="false" outlineLevel="0" collapsed="false">
      <c r="A852" s="7" t="s">
        <v>6947</v>
      </c>
      <c r="B852" s="7" t="s">
        <v>6977</v>
      </c>
      <c r="C852" s="7" t="s">
        <v>1092</v>
      </c>
      <c r="D852" s="7" t="n">
        <v>2131</v>
      </c>
      <c r="E852" s="7" t="s">
        <v>50</v>
      </c>
      <c r="F852" s="7" t="n">
        <v>-33.882812</v>
      </c>
      <c r="G852" s="7" t="n">
        <v>151.123202</v>
      </c>
      <c r="H852" s="7" t="s">
        <v>6981</v>
      </c>
    </row>
    <row r="853" customFormat="false" ht="15" hidden="false" customHeight="false" outlineLevel="0" collapsed="false">
      <c r="A853" s="7" t="s">
        <v>6947</v>
      </c>
      <c r="B853" s="7" t="s">
        <v>6977</v>
      </c>
      <c r="C853" s="7" t="s">
        <v>1093</v>
      </c>
      <c r="D853" s="7" t="n">
        <v>2342</v>
      </c>
      <c r="E853" s="7" t="s">
        <v>50</v>
      </c>
      <c r="F853" s="7" t="n">
        <v>-31.260796</v>
      </c>
      <c r="G853" s="7" t="n">
        <v>150.736946</v>
      </c>
      <c r="H853" s="7" t="s">
        <v>6984</v>
      </c>
    </row>
    <row r="854" customFormat="false" ht="15" hidden="false" customHeight="false" outlineLevel="0" collapsed="false">
      <c r="A854" s="7" t="s">
        <v>6947</v>
      </c>
      <c r="B854" s="7" t="s">
        <v>6958</v>
      </c>
      <c r="C854" s="7" t="s">
        <v>1094</v>
      </c>
      <c r="D854" s="7" t="n">
        <v>2067</v>
      </c>
      <c r="E854" s="7" t="s">
        <v>50</v>
      </c>
      <c r="F854" s="7" t="n">
        <v>-33.787549</v>
      </c>
      <c r="G854" s="7" t="n">
        <v>151.198383</v>
      </c>
      <c r="H854" s="7" t="s">
        <v>7023</v>
      </c>
    </row>
    <row r="855" customFormat="false" ht="15" hidden="false" customHeight="false" outlineLevel="0" collapsed="false">
      <c r="A855" s="7" t="s">
        <v>6947</v>
      </c>
      <c r="B855" s="7" t="s">
        <v>6977</v>
      </c>
      <c r="C855" s="7" t="s">
        <v>1095</v>
      </c>
      <c r="D855" s="7" t="n">
        <v>2148</v>
      </c>
      <c r="E855" s="7" t="s">
        <v>50</v>
      </c>
      <c r="F855" s="7" t="n">
        <v>-33.771459</v>
      </c>
      <c r="G855" s="7" t="n">
        <v>150.908034</v>
      </c>
      <c r="H855" s="7" t="s">
        <v>6984</v>
      </c>
    </row>
    <row r="856" customFormat="false" ht="15" hidden="false" customHeight="false" outlineLevel="0" collapsed="false">
      <c r="A856" s="7" t="s">
        <v>6947</v>
      </c>
      <c r="B856" s="7" t="s">
        <v>6977</v>
      </c>
      <c r="C856" s="7" t="s">
        <v>1096</v>
      </c>
      <c r="D856" s="7" t="n">
        <v>2067</v>
      </c>
      <c r="E856" s="7" t="s">
        <v>50</v>
      </c>
      <c r="F856" s="7" t="n">
        <v>-33.79641</v>
      </c>
      <c r="G856" s="7" t="n">
        <v>151.18361</v>
      </c>
      <c r="H856" s="7" t="s">
        <v>6989</v>
      </c>
    </row>
    <row r="857" customFormat="false" ht="15" hidden="false" customHeight="false" outlineLevel="0" collapsed="false">
      <c r="A857" s="7" t="s">
        <v>6947</v>
      </c>
      <c r="B857" s="7" t="s">
        <v>7052</v>
      </c>
      <c r="C857" s="7" t="s">
        <v>1097</v>
      </c>
      <c r="D857" s="7" t="n">
        <v>2577</v>
      </c>
      <c r="E857" s="7" t="s">
        <v>50</v>
      </c>
      <c r="F857" s="7" t="n">
        <v>-34.557245</v>
      </c>
      <c r="G857" s="7" t="n">
        <v>150.371938</v>
      </c>
      <c r="H857" s="7" t="s">
        <v>7078</v>
      </c>
    </row>
    <row r="858" customFormat="false" ht="15" hidden="false" customHeight="false" outlineLevel="0" collapsed="false">
      <c r="A858" s="7" t="s">
        <v>6947</v>
      </c>
      <c r="B858" s="7" t="s">
        <v>6977</v>
      </c>
      <c r="C858" s="7" t="s">
        <v>1098</v>
      </c>
      <c r="D858" s="7" t="n">
        <v>2033</v>
      </c>
      <c r="E858" s="7" t="s">
        <v>50</v>
      </c>
      <c r="F858" s="7" t="n">
        <v>-33.90838</v>
      </c>
      <c r="G858" s="7" t="n">
        <v>151.226345</v>
      </c>
      <c r="H858" s="7" t="s">
        <v>6981</v>
      </c>
    </row>
    <row r="859" customFormat="false" ht="15" hidden="false" customHeight="false" outlineLevel="0" collapsed="false">
      <c r="A859" s="7" t="s">
        <v>6947</v>
      </c>
      <c r="B859" s="7" t="s">
        <v>6960</v>
      </c>
      <c r="C859" s="7" t="s">
        <v>1099</v>
      </c>
      <c r="D859" s="7" t="n">
        <v>2088</v>
      </c>
      <c r="E859" s="7" t="s">
        <v>50</v>
      </c>
      <c r="F859" s="7" t="n">
        <v>-33.831976</v>
      </c>
      <c r="G859" s="7" t="n">
        <v>151.237387</v>
      </c>
      <c r="H859" s="7" t="s">
        <v>7020</v>
      </c>
    </row>
    <row r="860" customFormat="false" ht="15" hidden="false" customHeight="false" outlineLevel="0" collapsed="false">
      <c r="A860" s="7" t="s">
        <v>6947</v>
      </c>
      <c r="B860" s="7" t="s">
        <v>6964</v>
      </c>
      <c r="C860" s="7" t="s">
        <v>1100</v>
      </c>
      <c r="D860" s="7" t="n">
        <v>2535</v>
      </c>
      <c r="E860" s="7" t="s">
        <v>50</v>
      </c>
      <c r="F860" s="7" t="n">
        <v>-34.807943</v>
      </c>
      <c r="G860" s="7" t="n">
        <v>150.637044</v>
      </c>
      <c r="H860" s="7" t="s">
        <v>7001</v>
      </c>
    </row>
    <row r="861" customFormat="false" ht="15" hidden="false" customHeight="false" outlineLevel="0" collapsed="false">
      <c r="A861" s="7" t="s">
        <v>6947</v>
      </c>
      <c r="B861" s="7" t="s">
        <v>6964</v>
      </c>
      <c r="C861" s="7" t="s">
        <v>1101</v>
      </c>
      <c r="D861" s="7" t="n">
        <v>2535</v>
      </c>
      <c r="E861" s="7" t="s">
        <v>50</v>
      </c>
      <c r="F861" s="7" t="n">
        <v>-34.809082</v>
      </c>
      <c r="G861" s="7" t="n">
        <v>150.637122</v>
      </c>
      <c r="H861" s="7" t="s">
        <v>6965</v>
      </c>
    </row>
    <row r="862" customFormat="false" ht="15" hidden="false" customHeight="false" outlineLevel="0" collapsed="false">
      <c r="A862" s="7" t="s">
        <v>6947</v>
      </c>
      <c r="B862" s="7" t="s">
        <v>6962</v>
      </c>
      <c r="C862" s="7" t="s">
        <v>1102</v>
      </c>
      <c r="D862" s="7" t="n">
        <v>2536</v>
      </c>
      <c r="E862" s="7" t="s">
        <v>50</v>
      </c>
      <c r="F862" s="7" t="n">
        <v>-35.667603</v>
      </c>
      <c r="G862" s="7" t="n">
        <v>150.299229</v>
      </c>
      <c r="H862" s="7" t="s">
        <v>6979</v>
      </c>
    </row>
    <row r="863" customFormat="false" ht="15" hidden="false" customHeight="false" outlineLevel="0" collapsed="false">
      <c r="A863" s="7" t="s">
        <v>6947</v>
      </c>
      <c r="B863" s="7" t="s">
        <v>6964</v>
      </c>
      <c r="C863" s="7" t="s">
        <v>1103</v>
      </c>
      <c r="D863" s="7" t="n">
        <v>2007</v>
      </c>
      <c r="E863" s="7" t="s">
        <v>50</v>
      </c>
      <c r="F863" s="7" t="n">
        <v>-33.883642</v>
      </c>
      <c r="G863" s="7" t="n">
        <v>151.194879</v>
      </c>
      <c r="H863" s="7" t="s">
        <v>6992</v>
      </c>
    </row>
    <row r="864" customFormat="false" ht="15" hidden="false" customHeight="false" outlineLevel="0" collapsed="false">
      <c r="A864" s="7" t="s">
        <v>6947</v>
      </c>
      <c r="B864" s="7" t="s">
        <v>7052</v>
      </c>
      <c r="C864" s="7" t="s">
        <v>1104</v>
      </c>
      <c r="D864" s="7" t="n">
        <v>2281</v>
      </c>
      <c r="E864" s="7" t="s">
        <v>50</v>
      </c>
      <c r="F864" s="7" t="n">
        <v>-33.104724</v>
      </c>
      <c r="G864" s="7" t="n">
        <v>151.648005</v>
      </c>
      <c r="H864" s="7" t="s">
        <v>7079</v>
      </c>
    </row>
    <row r="865" customFormat="false" ht="15" hidden="false" customHeight="false" outlineLevel="0" collapsed="false">
      <c r="A865" s="7" t="s">
        <v>6947</v>
      </c>
      <c r="B865" s="7" t="s">
        <v>6977</v>
      </c>
      <c r="C865" s="7" t="s">
        <v>1105</v>
      </c>
      <c r="D865" s="7" t="n">
        <v>2518</v>
      </c>
      <c r="E865" s="7" t="s">
        <v>50</v>
      </c>
      <c r="F865" s="7" t="n">
        <v>-34.36218</v>
      </c>
      <c r="G865" s="7" t="n">
        <v>150.907982</v>
      </c>
      <c r="H865" s="7" t="s">
        <v>6989</v>
      </c>
    </row>
    <row r="866" customFormat="false" ht="15" hidden="false" customHeight="false" outlineLevel="0" collapsed="false">
      <c r="A866" s="7" t="s">
        <v>6947</v>
      </c>
      <c r="B866" s="7" t="s">
        <v>6987</v>
      </c>
      <c r="C866" s="7" t="s">
        <v>1106</v>
      </c>
      <c r="D866" s="7" t="n">
        <v>2081</v>
      </c>
      <c r="E866" s="7" t="s">
        <v>50</v>
      </c>
      <c r="F866" s="7" t="n">
        <v>-33.623906</v>
      </c>
      <c r="G866" s="7" t="n">
        <v>151.151802</v>
      </c>
      <c r="H866" s="7" t="s">
        <v>7080</v>
      </c>
    </row>
    <row r="867" customFormat="false" ht="15" hidden="false" customHeight="false" outlineLevel="0" collapsed="false">
      <c r="A867" s="7" t="s">
        <v>6947</v>
      </c>
      <c r="B867" s="7" t="s">
        <v>6962</v>
      </c>
      <c r="C867" s="7" t="s">
        <v>1108</v>
      </c>
      <c r="D867" s="7" t="n">
        <v>2088</v>
      </c>
      <c r="E867" s="7" t="s">
        <v>50</v>
      </c>
      <c r="F867" s="7" t="n">
        <v>-33.841671</v>
      </c>
      <c r="G867" s="7" t="n">
        <v>151.24295</v>
      </c>
      <c r="H867" s="7" t="s">
        <v>6983</v>
      </c>
    </row>
    <row r="868" customFormat="false" ht="15" hidden="false" customHeight="false" outlineLevel="0" collapsed="false">
      <c r="A868" s="7" t="s">
        <v>6947</v>
      </c>
      <c r="B868" s="7" t="s">
        <v>6962</v>
      </c>
      <c r="C868" s="7" t="s">
        <v>1109</v>
      </c>
      <c r="D868" s="7" t="n">
        <v>2428</v>
      </c>
      <c r="E868" s="7" t="s">
        <v>50</v>
      </c>
      <c r="F868" s="7" t="n">
        <v>-32.200321</v>
      </c>
      <c r="G868" s="7" t="n">
        <v>152.518408</v>
      </c>
      <c r="H868" s="7" t="s">
        <v>6969</v>
      </c>
    </row>
    <row r="869" customFormat="false" ht="15" hidden="false" customHeight="false" outlineLevel="0" collapsed="false">
      <c r="A869" s="7" t="s">
        <v>6947</v>
      </c>
      <c r="B869" s="7" t="s">
        <v>6964</v>
      </c>
      <c r="C869" s="7" t="s">
        <v>1110</v>
      </c>
      <c r="D869" s="7" t="n">
        <v>2483</v>
      </c>
      <c r="E869" s="7" t="s">
        <v>50</v>
      </c>
      <c r="F869" s="7" t="n">
        <v>-28.539778</v>
      </c>
      <c r="G869" s="7" t="n">
        <v>153.552243</v>
      </c>
      <c r="H869" s="7" t="s">
        <v>6975</v>
      </c>
    </row>
    <row r="870" customFormat="false" ht="15" hidden="false" customHeight="false" outlineLevel="0" collapsed="false">
      <c r="A870" s="7" t="s">
        <v>6947</v>
      </c>
      <c r="B870" s="7" t="s">
        <v>6964</v>
      </c>
      <c r="C870" s="7" t="s">
        <v>1111</v>
      </c>
      <c r="D870" s="7" t="n">
        <v>2259</v>
      </c>
      <c r="E870" s="7" t="s">
        <v>50</v>
      </c>
      <c r="F870" s="7" t="n">
        <v>-33.3101</v>
      </c>
      <c r="G870" s="7" t="n">
        <v>151.420683</v>
      </c>
      <c r="H870" s="7" t="s">
        <v>7001</v>
      </c>
    </row>
    <row r="871" customFormat="false" ht="15" hidden="false" customHeight="false" outlineLevel="0" collapsed="false">
      <c r="A871" s="7" t="s">
        <v>6947</v>
      </c>
      <c r="B871" s="7" t="s">
        <v>533</v>
      </c>
      <c r="C871" s="7" t="s">
        <v>1112</v>
      </c>
      <c r="D871" s="7" t="n">
        <v>2431</v>
      </c>
      <c r="E871" s="7" t="s">
        <v>50</v>
      </c>
      <c r="F871" s="7" t="n">
        <v>-30.88653</v>
      </c>
      <c r="G871" s="7" t="n">
        <v>153.037957</v>
      </c>
      <c r="H871" s="7" t="s">
        <v>6984</v>
      </c>
    </row>
    <row r="872" customFormat="false" ht="15" hidden="false" customHeight="false" outlineLevel="0" collapsed="false">
      <c r="A872" s="7" t="s">
        <v>6947</v>
      </c>
      <c r="B872" s="7" t="s">
        <v>6962</v>
      </c>
      <c r="C872" s="7" t="s">
        <v>1113</v>
      </c>
      <c r="D872" s="7" t="n">
        <v>2036</v>
      </c>
      <c r="E872" s="7" t="s">
        <v>50</v>
      </c>
      <c r="F872" s="7" t="n">
        <v>-33.972961</v>
      </c>
      <c r="G872" s="7" t="n">
        <v>151.236566</v>
      </c>
      <c r="H872" s="7" t="s">
        <v>6980</v>
      </c>
    </row>
    <row r="873" customFormat="false" ht="15" hidden="false" customHeight="false" outlineLevel="0" collapsed="false">
      <c r="A873" s="7" t="s">
        <v>6947</v>
      </c>
      <c r="B873" s="7" t="s">
        <v>6967</v>
      </c>
      <c r="C873" s="7" t="s">
        <v>1114</v>
      </c>
      <c r="D873" s="7" t="n">
        <v>2567</v>
      </c>
      <c r="E873" s="7" t="s">
        <v>50</v>
      </c>
      <c r="F873" s="7" t="n">
        <v>-34.03973</v>
      </c>
      <c r="G873" s="7" t="n">
        <v>150.738514</v>
      </c>
      <c r="H873" s="7" t="s">
        <v>6968</v>
      </c>
    </row>
    <row r="874" customFormat="false" ht="15" hidden="false" customHeight="false" outlineLevel="0" collapsed="false">
      <c r="A874" s="7" t="s">
        <v>6947</v>
      </c>
      <c r="B874" s="7" t="s">
        <v>6958</v>
      </c>
      <c r="C874" s="7" t="s">
        <v>1115</v>
      </c>
      <c r="D874" s="7" t="n">
        <v>2150</v>
      </c>
      <c r="E874" s="7" t="s">
        <v>50</v>
      </c>
      <c r="F874" s="7" t="n">
        <v>-33.817838</v>
      </c>
      <c r="G874" s="7" t="n">
        <v>150.999956</v>
      </c>
      <c r="H874" s="7" t="s">
        <v>7023</v>
      </c>
    </row>
    <row r="875" customFormat="false" ht="15" hidden="false" customHeight="false" outlineLevel="0" collapsed="false">
      <c r="A875" s="7" t="s">
        <v>6947</v>
      </c>
      <c r="B875" s="7" t="s">
        <v>6958</v>
      </c>
      <c r="C875" s="7" t="s">
        <v>1116</v>
      </c>
      <c r="D875" s="7" t="n">
        <v>2096</v>
      </c>
      <c r="E875" s="7" t="s">
        <v>50</v>
      </c>
      <c r="F875" s="7" t="n">
        <v>-33.779002</v>
      </c>
      <c r="G875" s="7" t="n">
        <v>151.292413</v>
      </c>
      <c r="H875" s="7" t="s">
        <v>7081</v>
      </c>
    </row>
    <row r="876" customFormat="false" ht="15" hidden="false" customHeight="false" outlineLevel="0" collapsed="false">
      <c r="A876" s="7" t="s">
        <v>6947</v>
      </c>
      <c r="B876" s="7" t="s">
        <v>7003</v>
      </c>
      <c r="C876" s="7" t="s">
        <v>1117</v>
      </c>
      <c r="D876" s="7" t="n">
        <v>2750</v>
      </c>
      <c r="E876" s="7" t="s">
        <v>50</v>
      </c>
      <c r="F876" s="7" t="n">
        <v>-33.742981</v>
      </c>
      <c r="G876" s="7" t="n">
        <v>150.69296</v>
      </c>
      <c r="H876" s="7" t="s">
        <v>7004</v>
      </c>
    </row>
    <row r="877" customFormat="false" ht="15" hidden="false" customHeight="false" outlineLevel="0" collapsed="false">
      <c r="A877" s="7" t="s">
        <v>6947</v>
      </c>
      <c r="B877" s="7" t="s">
        <v>7003</v>
      </c>
      <c r="C877" s="7" t="s">
        <v>1118</v>
      </c>
      <c r="D877" s="7" t="n">
        <v>2015</v>
      </c>
      <c r="E877" s="7" t="s">
        <v>50</v>
      </c>
      <c r="F877" s="7" t="n">
        <v>-33.895611</v>
      </c>
      <c r="G877" s="7" t="n">
        <v>151.196141</v>
      </c>
      <c r="H877" s="7" t="s">
        <v>7058</v>
      </c>
    </row>
    <row r="878" customFormat="false" ht="15" hidden="false" customHeight="false" outlineLevel="0" collapsed="false">
      <c r="A878" s="7" t="s">
        <v>6947</v>
      </c>
      <c r="B878" s="7" t="s">
        <v>6958</v>
      </c>
      <c r="C878" s="7" t="s">
        <v>1119</v>
      </c>
      <c r="D878" s="7" t="n">
        <v>2370</v>
      </c>
      <c r="E878" s="7" t="s">
        <v>50</v>
      </c>
      <c r="F878" s="7" t="n">
        <v>-29.738171</v>
      </c>
      <c r="G878" s="7" t="n">
        <v>151.737519</v>
      </c>
      <c r="H878" s="7" t="s">
        <v>7023</v>
      </c>
    </row>
    <row r="879" customFormat="false" ht="15" hidden="false" customHeight="false" outlineLevel="0" collapsed="false">
      <c r="A879" s="7" t="s">
        <v>6947</v>
      </c>
      <c r="B879" s="7" t="s">
        <v>6993</v>
      </c>
      <c r="C879" s="7" t="s">
        <v>1120</v>
      </c>
      <c r="D879" s="7" t="n">
        <v>2024</v>
      </c>
      <c r="E879" s="7" t="s">
        <v>50</v>
      </c>
      <c r="F879" s="7" t="n">
        <v>-33.898142</v>
      </c>
      <c r="G879" s="7" t="n">
        <v>151.253778</v>
      </c>
      <c r="H879" s="7" t="s">
        <v>6994</v>
      </c>
    </row>
    <row r="880" customFormat="false" ht="15" hidden="false" customHeight="false" outlineLevel="0" collapsed="false">
      <c r="A880" s="7" t="s">
        <v>6947</v>
      </c>
      <c r="B880" s="7" t="s">
        <v>7006</v>
      </c>
      <c r="C880" s="7" t="s">
        <v>1121</v>
      </c>
      <c r="D880" s="7" t="n">
        <v>2099</v>
      </c>
      <c r="E880" s="7" t="s">
        <v>50</v>
      </c>
      <c r="F880" s="7" t="n">
        <v>-33.750343</v>
      </c>
      <c r="G880" s="7" t="n">
        <v>151.286664</v>
      </c>
      <c r="H880" s="7" t="s">
        <v>7051</v>
      </c>
    </row>
    <row r="881" customFormat="false" ht="15" hidden="false" customHeight="false" outlineLevel="0" collapsed="false">
      <c r="A881" s="7" t="s">
        <v>6947</v>
      </c>
      <c r="B881" s="7" t="s">
        <v>6962</v>
      </c>
      <c r="C881" s="7" t="s">
        <v>1122</v>
      </c>
      <c r="D881" s="7" t="n">
        <v>2766</v>
      </c>
      <c r="E881" s="7" t="s">
        <v>50</v>
      </c>
      <c r="F881" s="7" t="n">
        <v>-33.784757</v>
      </c>
      <c r="G881" s="7" t="n">
        <v>150.853101</v>
      </c>
      <c r="H881" s="7" t="s">
        <v>6979</v>
      </c>
    </row>
    <row r="882" customFormat="false" ht="15" hidden="false" customHeight="false" outlineLevel="0" collapsed="false">
      <c r="A882" s="7" t="s">
        <v>6947</v>
      </c>
      <c r="B882" s="7" t="s">
        <v>6964</v>
      </c>
      <c r="C882" s="7" t="s">
        <v>1123</v>
      </c>
      <c r="D882" s="7" t="n">
        <v>2478</v>
      </c>
      <c r="E882" s="7" t="s">
        <v>50</v>
      </c>
      <c r="F882" s="7" t="n">
        <v>-28.868604</v>
      </c>
      <c r="G882" s="7" t="n">
        <v>153.588931</v>
      </c>
      <c r="H882" s="7" t="s">
        <v>6965</v>
      </c>
    </row>
    <row r="883" customFormat="false" ht="15" hidden="false" customHeight="false" outlineLevel="0" collapsed="false">
      <c r="A883" s="7" t="s">
        <v>6947</v>
      </c>
      <c r="B883" s="7" t="s">
        <v>7003</v>
      </c>
      <c r="C883" s="7" t="s">
        <v>1124</v>
      </c>
      <c r="D883" s="7" t="n">
        <v>2747</v>
      </c>
      <c r="E883" s="7" t="s">
        <v>50</v>
      </c>
      <c r="F883" s="7" t="n">
        <v>-33.746308</v>
      </c>
      <c r="G883" s="7" t="n">
        <v>150.74132</v>
      </c>
      <c r="H883" s="7" t="s">
        <v>7004</v>
      </c>
    </row>
    <row r="884" customFormat="false" ht="15" hidden="false" customHeight="false" outlineLevel="0" collapsed="false">
      <c r="A884" s="7" t="s">
        <v>6947</v>
      </c>
      <c r="B884" s="7" t="s">
        <v>6967</v>
      </c>
      <c r="C884" s="7" t="s">
        <v>1125</v>
      </c>
      <c r="D884" s="7" t="n">
        <v>2765</v>
      </c>
      <c r="E884" s="7" t="s">
        <v>50</v>
      </c>
      <c r="F884" s="7" t="n">
        <v>-33.695149</v>
      </c>
      <c r="G884" s="7" t="n">
        <v>150.821366</v>
      </c>
      <c r="H884" s="7" t="s">
        <v>6968</v>
      </c>
    </row>
    <row r="885" customFormat="false" ht="15" hidden="false" customHeight="false" outlineLevel="0" collapsed="false">
      <c r="A885" s="7" t="s">
        <v>6947</v>
      </c>
      <c r="B885" s="7" t="s">
        <v>6967</v>
      </c>
      <c r="C885" s="7" t="s">
        <v>1126</v>
      </c>
      <c r="D885" s="7" t="n">
        <v>2113</v>
      </c>
      <c r="E885" s="7" t="s">
        <v>50</v>
      </c>
      <c r="F885" s="7" t="n">
        <v>-33.776893</v>
      </c>
      <c r="G885" s="7" t="n">
        <v>151.122247</v>
      </c>
      <c r="H885" s="7" t="s">
        <v>6968</v>
      </c>
    </row>
    <row r="886" customFormat="false" ht="15" hidden="false" customHeight="false" outlineLevel="0" collapsed="false">
      <c r="A886" s="7" t="s">
        <v>6947</v>
      </c>
      <c r="B886" s="7" t="s">
        <v>6964</v>
      </c>
      <c r="C886" s="7" t="s">
        <v>1127</v>
      </c>
      <c r="D886" s="7" t="n">
        <v>2113</v>
      </c>
      <c r="E886" s="7" t="s">
        <v>50</v>
      </c>
      <c r="F886" s="7" t="n">
        <v>-33.777217</v>
      </c>
      <c r="G886" s="7" t="n">
        <v>151.120881</v>
      </c>
      <c r="H886" s="7" t="s">
        <v>7082</v>
      </c>
    </row>
    <row r="887" customFormat="false" ht="15" hidden="false" customHeight="false" outlineLevel="0" collapsed="false">
      <c r="A887" s="7" t="s">
        <v>6947</v>
      </c>
      <c r="B887" s="7" t="s">
        <v>6967</v>
      </c>
      <c r="C887" s="7" t="s">
        <v>1128</v>
      </c>
      <c r="D887" s="7" t="n">
        <v>2062</v>
      </c>
      <c r="E887" s="7" t="s">
        <v>50</v>
      </c>
      <c r="F887" s="7" t="n">
        <v>-33.823018</v>
      </c>
      <c r="G887" s="7" t="n">
        <v>151.209347</v>
      </c>
      <c r="H887" s="7" t="s">
        <v>6968</v>
      </c>
    </row>
    <row r="888" customFormat="false" ht="15" hidden="false" customHeight="false" outlineLevel="0" collapsed="false">
      <c r="A888" s="7" t="s">
        <v>6947</v>
      </c>
      <c r="B888" s="7" t="s">
        <v>6962</v>
      </c>
      <c r="C888" s="7" t="s">
        <v>1129</v>
      </c>
      <c r="D888" s="7" t="n">
        <v>2024</v>
      </c>
      <c r="E888" s="7" t="s">
        <v>50</v>
      </c>
      <c r="F888" s="7" t="n">
        <v>-33.907225</v>
      </c>
      <c r="G888" s="7" t="n">
        <v>151.264771</v>
      </c>
      <c r="H888" s="7" t="s">
        <v>6980</v>
      </c>
    </row>
    <row r="889" customFormat="false" ht="15" hidden="false" customHeight="false" outlineLevel="0" collapsed="false">
      <c r="A889" s="7" t="s">
        <v>6947</v>
      </c>
      <c r="B889" s="7" t="s">
        <v>6958</v>
      </c>
      <c r="C889" s="7" t="s">
        <v>1130</v>
      </c>
      <c r="D889" s="7" t="n">
        <v>2502</v>
      </c>
      <c r="E889" s="7" t="s">
        <v>50</v>
      </c>
      <c r="F889" s="7" t="n">
        <v>-34.486159</v>
      </c>
      <c r="G889" s="7" t="n">
        <v>150.887928</v>
      </c>
      <c r="H889" s="7" t="s">
        <v>6959</v>
      </c>
    </row>
    <row r="890" customFormat="false" ht="15" hidden="false" customHeight="false" outlineLevel="0" collapsed="false">
      <c r="A890" s="7" t="s">
        <v>6947</v>
      </c>
      <c r="B890" s="7" t="s">
        <v>6987</v>
      </c>
      <c r="C890" s="7" t="s">
        <v>1131</v>
      </c>
      <c r="D890" s="7" t="n">
        <v>2230</v>
      </c>
      <c r="E890" s="7" t="s">
        <v>50</v>
      </c>
      <c r="F890" s="7" t="n">
        <v>-34.05771</v>
      </c>
      <c r="G890" s="7" t="n">
        <v>151.151975</v>
      </c>
      <c r="H890" s="7" t="s">
        <v>7080</v>
      </c>
    </row>
    <row r="891" customFormat="false" ht="15" hidden="false" customHeight="false" outlineLevel="0" collapsed="false">
      <c r="A891" s="7" t="s">
        <v>6947</v>
      </c>
      <c r="B891" s="7" t="s">
        <v>6964</v>
      </c>
      <c r="C891" s="7" t="s">
        <v>1132</v>
      </c>
      <c r="D891" s="7" t="n">
        <v>2320</v>
      </c>
      <c r="E891" s="7" t="s">
        <v>50</v>
      </c>
      <c r="F891" s="7" t="n">
        <v>-32.7851</v>
      </c>
      <c r="G891" s="7" t="n">
        <v>151.289601</v>
      </c>
      <c r="H891" s="7" t="s">
        <v>6965</v>
      </c>
    </row>
    <row r="892" customFormat="false" ht="15" hidden="false" customHeight="false" outlineLevel="0" collapsed="false">
      <c r="A892" s="7" t="s">
        <v>6947</v>
      </c>
      <c r="B892" s="7" t="s">
        <v>7037</v>
      </c>
      <c r="C892" s="7" t="s">
        <v>1133</v>
      </c>
      <c r="D892" s="7" t="n">
        <v>2786</v>
      </c>
      <c r="E892" s="7" t="s">
        <v>50</v>
      </c>
      <c r="F892" s="7" t="n">
        <v>-33.58672</v>
      </c>
      <c r="G892" s="7" t="n">
        <v>150.25688</v>
      </c>
      <c r="H892" s="7" t="s">
        <v>7022</v>
      </c>
    </row>
    <row r="893" customFormat="false" ht="15" hidden="false" customHeight="false" outlineLevel="0" collapsed="false">
      <c r="A893" s="7" t="s">
        <v>6947</v>
      </c>
      <c r="B893" s="7" t="s">
        <v>6973</v>
      </c>
      <c r="C893" s="7" t="s">
        <v>1134</v>
      </c>
      <c r="D893" s="7" t="n">
        <v>2325</v>
      </c>
      <c r="E893" s="7" t="s">
        <v>50</v>
      </c>
      <c r="F893" s="7" t="n">
        <v>-32.836576</v>
      </c>
      <c r="G893" s="7" t="n">
        <v>151.353911</v>
      </c>
      <c r="H893" s="7" t="s">
        <v>6974</v>
      </c>
    </row>
    <row r="894" customFormat="false" ht="15" hidden="false" customHeight="false" outlineLevel="0" collapsed="false">
      <c r="A894" s="7" t="s">
        <v>6947</v>
      </c>
      <c r="B894" s="7" t="s">
        <v>6962</v>
      </c>
      <c r="C894" s="7" t="s">
        <v>1135</v>
      </c>
      <c r="D894" s="7" t="n">
        <v>2289</v>
      </c>
      <c r="E894" s="7" t="s">
        <v>50</v>
      </c>
      <c r="F894" s="7" t="n">
        <v>-32.934479</v>
      </c>
      <c r="G894" s="7" t="n">
        <v>151.724749</v>
      </c>
      <c r="H894" s="7" t="s">
        <v>6983</v>
      </c>
    </row>
    <row r="895" customFormat="false" ht="15" hidden="false" customHeight="false" outlineLevel="0" collapsed="false">
      <c r="A895" s="7" t="s">
        <v>6947</v>
      </c>
      <c r="B895" s="7" t="s">
        <v>6964</v>
      </c>
      <c r="C895" s="7" t="s">
        <v>1136</v>
      </c>
      <c r="D895" s="7" t="n">
        <v>2651</v>
      </c>
      <c r="E895" s="7" t="s">
        <v>50</v>
      </c>
      <c r="F895" s="7" t="n">
        <v>-35.158203</v>
      </c>
      <c r="G895" s="7" t="n">
        <v>147.459458</v>
      </c>
      <c r="H895" s="7" t="s">
        <v>6975</v>
      </c>
    </row>
    <row r="896" customFormat="false" ht="15" hidden="false" customHeight="false" outlineLevel="0" collapsed="false">
      <c r="A896" s="7" t="s">
        <v>6947</v>
      </c>
      <c r="B896" s="7" t="s">
        <v>6967</v>
      </c>
      <c r="C896" s="7" t="s">
        <v>1137</v>
      </c>
      <c r="D896" s="7" t="n">
        <v>2025</v>
      </c>
      <c r="E896" s="7" t="s">
        <v>50</v>
      </c>
      <c r="F896" s="7" t="n">
        <v>-33.888514</v>
      </c>
      <c r="G896" s="7" t="n">
        <v>151.237632</v>
      </c>
      <c r="H896" s="7" t="s">
        <v>7019</v>
      </c>
    </row>
    <row r="897" customFormat="false" ht="15" hidden="false" customHeight="false" outlineLevel="0" collapsed="false">
      <c r="A897" s="7" t="s">
        <v>6947</v>
      </c>
      <c r="B897" s="7" t="s">
        <v>6964</v>
      </c>
      <c r="C897" s="7" t="s">
        <v>1138</v>
      </c>
      <c r="D897" s="7" t="n">
        <v>2154</v>
      </c>
      <c r="E897" s="7" t="s">
        <v>50</v>
      </c>
      <c r="F897" s="7" t="n">
        <v>-33.729198</v>
      </c>
      <c r="G897" s="7" t="n">
        <v>151.006808</v>
      </c>
      <c r="H897" s="7" t="s">
        <v>6992</v>
      </c>
    </row>
    <row r="898" customFormat="false" ht="15" hidden="false" customHeight="false" outlineLevel="0" collapsed="false">
      <c r="A898" s="7" t="s">
        <v>6947</v>
      </c>
      <c r="B898" s="7" t="s">
        <v>6964</v>
      </c>
      <c r="C898" s="7" t="s">
        <v>1139</v>
      </c>
      <c r="D898" s="7" t="n">
        <v>2479</v>
      </c>
      <c r="E898" s="7" t="s">
        <v>50</v>
      </c>
      <c r="F898" s="7" t="n">
        <v>-28.74954</v>
      </c>
      <c r="G898" s="7" t="n">
        <v>153.534723</v>
      </c>
      <c r="H898" s="7" t="s">
        <v>7001</v>
      </c>
    </row>
    <row r="899" customFormat="false" ht="15" hidden="false" customHeight="false" outlineLevel="0" collapsed="false">
      <c r="A899" s="7" t="s">
        <v>6947</v>
      </c>
      <c r="B899" s="7" t="s">
        <v>7052</v>
      </c>
      <c r="C899" s="7" t="s">
        <v>1140</v>
      </c>
      <c r="D899" s="7" t="n">
        <v>2575</v>
      </c>
      <c r="E899" s="7" t="s">
        <v>50</v>
      </c>
      <c r="F899" s="7" t="n">
        <v>-34.447404</v>
      </c>
      <c r="G899" s="7" t="n">
        <v>150.46124</v>
      </c>
      <c r="H899" s="7" t="s">
        <v>7078</v>
      </c>
    </row>
    <row r="900" customFormat="false" ht="15" hidden="false" customHeight="false" outlineLevel="0" collapsed="false">
      <c r="A900" s="7" t="s">
        <v>6947</v>
      </c>
      <c r="B900" s="7" t="s">
        <v>7052</v>
      </c>
      <c r="C900" s="7" t="s">
        <v>1141</v>
      </c>
      <c r="D900" s="7" t="n">
        <v>2722</v>
      </c>
      <c r="E900" s="7" t="s">
        <v>50</v>
      </c>
      <c r="F900" s="7" t="n">
        <v>-35.064561</v>
      </c>
      <c r="G900" s="7" t="n">
        <v>148.107516</v>
      </c>
      <c r="H900" s="7" t="s">
        <v>7053</v>
      </c>
    </row>
    <row r="901" customFormat="false" ht="15" hidden="false" customHeight="false" outlineLevel="0" collapsed="false">
      <c r="A901" s="7" t="s">
        <v>6947</v>
      </c>
      <c r="B901" s="7" t="s">
        <v>6967</v>
      </c>
      <c r="C901" s="7" t="s">
        <v>1142</v>
      </c>
      <c r="D901" s="7" t="n">
        <v>2036</v>
      </c>
      <c r="E901" s="7" t="s">
        <v>50</v>
      </c>
      <c r="F901" s="7" t="n">
        <v>-33.961167</v>
      </c>
      <c r="G901" s="7" t="n">
        <v>151.248851</v>
      </c>
      <c r="H901" s="7" t="s">
        <v>7019</v>
      </c>
    </row>
    <row r="902" customFormat="false" ht="15" hidden="false" customHeight="false" outlineLevel="0" collapsed="false">
      <c r="A902" s="7" t="s">
        <v>6947</v>
      </c>
      <c r="B902" s="7" t="s">
        <v>6962</v>
      </c>
      <c r="C902" s="7" t="s">
        <v>1143</v>
      </c>
      <c r="D902" s="7" t="n">
        <v>2481</v>
      </c>
      <c r="E902" s="7" t="s">
        <v>50</v>
      </c>
      <c r="F902" s="7" t="n">
        <v>-28.63008</v>
      </c>
      <c r="G902" s="7" t="n">
        <v>153.581082</v>
      </c>
      <c r="H902" s="7" t="s">
        <v>6983</v>
      </c>
    </row>
    <row r="903" customFormat="false" ht="15" hidden="false" customHeight="false" outlineLevel="0" collapsed="false">
      <c r="A903" s="7" t="s">
        <v>6947</v>
      </c>
      <c r="B903" s="7" t="s">
        <v>6987</v>
      </c>
      <c r="C903" s="7" t="s">
        <v>1144</v>
      </c>
      <c r="D903" s="7" t="n">
        <v>2020</v>
      </c>
      <c r="E903" s="7" t="s">
        <v>50</v>
      </c>
      <c r="F903" s="7" t="n">
        <v>-33.920494</v>
      </c>
      <c r="G903" s="7" t="n">
        <v>151.19075</v>
      </c>
      <c r="H903" s="7" t="s">
        <v>6988</v>
      </c>
    </row>
    <row r="904" customFormat="false" ht="15" hidden="false" customHeight="false" outlineLevel="0" collapsed="false">
      <c r="A904" s="7" t="s">
        <v>6947</v>
      </c>
      <c r="B904" s="7" t="s">
        <v>6987</v>
      </c>
      <c r="C904" s="7" t="s">
        <v>1144</v>
      </c>
      <c r="D904" s="7" t="n">
        <v>2020</v>
      </c>
      <c r="E904" s="7" t="s">
        <v>50</v>
      </c>
      <c r="F904" s="7" t="n">
        <v>-33.920594</v>
      </c>
      <c r="G904" s="7" t="n">
        <v>151.191474</v>
      </c>
      <c r="H904" s="7" t="s">
        <v>6988</v>
      </c>
    </row>
    <row r="905" customFormat="false" ht="15" hidden="false" customHeight="false" outlineLevel="0" collapsed="false">
      <c r="A905" s="7" t="s">
        <v>6947</v>
      </c>
      <c r="B905" s="7" t="s">
        <v>6962</v>
      </c>
      <c r="C905" s="7" t="s">
        <v>1145</v>
      </c>
      <c r="D905" s="7" t="n">
        <v>2263</v>
      </c>
      <c r="E905" s="7" t="s">
        <v>50</v>
      </c>
      <c r="F905" s="7" t="n">
        <v>-33.240402</v>
      </c>
      <c r="G905" s="7" t="n">
        <v>151.503872</v>
      </c>
      <c r="H905" s="7" t="s">
        <v>6983</v>
      </c>
    </row>
    <row r="906" customFormat="false" ht="15" hidden="false" customHeight="false" outlineLevel="0" collapsed="false">
      <c r="A906" s="7" t="s">
        <v>6947</v>
      </c>
      <c r="B906" s="7" t="s">
        <v>7083</v>
      </c>
      <c r="C906" s="7" t="s">
        <v>1146</v>
      </c>
      <c r="D906" s="7" t="n">
        <v>2753</v>
      </c>
      <c r="E906" s="7" t="s">
        <v>50</v>
      </c>
      <c r="F906" s="7" t="n">
        <v>-33.582392</v>
      </c>
      <c r="G906" s="7" t="n">
        <v>150.633566</v>
      </c>
      <c r="H906" s="7" t="s">
        <v>7084</v>
      </c>
    </row>
    <row r="907" customFormat="false" ht="15" hidden="false" customHeight="false" outlineLevel="0" collapsed="false">
      <c r="A907" s="7" t="s">
        <v>6947</v>
      </c>
      <c r="B907" s="7" t="s">
        <v>7052</v>
      </c>
      <c r="C907" s="7" t="s">
        <v>1148</v>
      </c>
      <c r="D907" s="7" t="n">
        <v>2582</v>
      </c>
      <c r="E907" s="7" t="s">
        <v>50</v>
      </c>
      <c r="F907" s="7" t="n">
        <v>-34.977876</v>
      </c>
      <c r="G907" s="7" t="n">
        <v>149.008434</v>
      </c>
      <c r="H907" s="7" t="s">
        <v>7078</v>
      </c>
    </row>
    <row r="908" customFormat="false" ht="15" hidden="false" customHeight="false" outlineLevel="0" collapsed="false">
      <c r="A908" s="7" t="s">
        <v>6947</v>
      </c>
      <c r="B908" s="7" t="s">
        <v>6962</v>
      </c>
      <c r="C908" s="7" t="s">
        <v>1149</v>
      </c>
      <c r="D908" s="7" t="n">
        <v>2485</v>
      </c>
      <c r="E908" s="7" t="s">
        <v>50</v>
      </c>
      <c r="F908" s="7" t="n">
        <v>-28.168726</v>
      </c>
      <c r="G908" s="7" t="n">
        <v>153.543055</v>
      </c>
      <c r="H908" s="7" t="s">
        <v>6983</v>
      </c>
    </row>
    <row r="909" customFormat="false" ht="15" hidden="false" customHeight="false" outlineLevel="0" collapsed="false">
      <c r="A909" s="7" t="s">
        <v>6947</v>
      </c>
      <c r="B909" s="7" t="s">
        <v>7052</v>
      </c>
      <c r="C909" s="7" t="s">
        <v>1150</v>
      </c>
      <c r="D909" s="7" t="n">
        <v>2320</v>
      </c>
      <c r="E909" s="7" t="s">
        <v>50</v>
      </c>
      <c r="F909" s="7" t="n">
        <v>-32.777427</v>
      </c>
      <c r="G909" s="7" t="n">
        <v>151.314888</v>
      </c>
      <c r="H909" s="7" t="s">
        <v>7053</v>
      </c>
    </row>
    <row r="910" customFormat="false" ht="15" hidden="false" customHeight="false" outlineLevel="0" collapsed="false">
      <c r="A910" s="7" t="s">
        <v>6947</v>
      </c>
      <c r="B910" s="7" t="s">
        <v>6962</v>
      </c>
      <c r="C910" s="7" t="s">
        <v>1151</v>
      </c>
      <c r="D910" s="7" t="n">
        <v>2529</v>
      </c>
      <c r="E910" s="7" t="s">
        <v>50</v>
      </c>
      <c r="F910" s="7" t="n">
        <v>-34.5886</v>
      </c>
      <c r="G910" s="7" t="n">
        <v>150.866113</v>
      </c>
      <c r="H910" s="7" t="s">
        <v>6980</v>
      </c>
    </row>
    <row r="911" customFormat="false" ht="15" hidden="false" customHeight="false" outlineLevel="0" collapsed="false">
      <c r="A911" s="7" t="s">
        <v>6947</v>
      </c>
      <c r="B911" s="7" t="s">
        <v>6960</v>
      </c>
      <c r="C911" s="7" t="s">
        <v>1152</v>
      </c>
      <c r="D911" s="7" t="n">
        <v>2142</v>
      </c>
      <c r="E911" s="7" t="s">
        <v>50</v>
      </c>
      <c r="F911" s="7" t="n">
        <v>-33.819614</v>
      </c>
      <c r="G911" s="7" t="n">
        <v>151.021346</v>
      </c>
      <c r="H911" s="7" t="s">
        <v>6961</v>
      </c>
    </row>
    <row r="912" customFormat="false" ht="15" hidden="false" customHeight="false" outlineLevel="0" collapsed="false">
      <c r="A912" s="7" t="s">
        <v>6947</v>
      </c>
      <c r="B912" s="7" t="s">
        <v>6960</v>
      </c>
      <c r="C912" s="7" t="s">
        <v>1153</v>
      </c>
      <c r="D912" s="7" t="n">
        <v>2142</v>
      </c>
      <c r="E912" s="7" t="s">
        <v>50</v>
      </c>
      <c r="F912" s="7" t="n">
        <v>-33.819689</v>
      </c>
      <c r="G912" s="7" t="n">
        <v>151.021302</v>
      </c>
      <c r="H912" s="7" t="s">
        <v>6961</v>
      </c>
    </row>
    <row r="913" customFormat="false" ht="15" hidden="false" customHeight="false" outlineLevel="0" collapsed="false">
      <c r="A913" s="7" t="s">
        <v>6947</v>
      </c>
      <c r="B913" s="7" t="s">
        <v>6958</v>
      </c>
      <c r="C913" s="7" t="s">
        <v>1154</v>
      </c>
      <c r="D913" s="7" t="n">
        <v>2260</v>
      </c>
      <c r="E913" s="7" t="s">
        <v>50</v>
      </c>
      <c r="F913" s="7" t="n">
        <v>-33.441337</v>
      </c>
      <c r="G913" s="7" t="n">
        <v>151.439255</v>
      </c>
      <c r="H913" s="7" t="s">
        <v>6959</v>
      </c>
    </row>
    <row r="914" customFormat="false" ht="15" hidden="false" customHeight="false" outlineLevel="0" collapsed="false">
      <c r="A914" s="7" t="s">
        <v>6947</v>
      </c>
      <c r="B914" s="7" t="s">
        <v>6993</v>
      </c>
      <c r="C914" s="7" t="s">
        <v>1155</v>
      </c>
      <c r="D914" s="7" t="n">
        <v>2515</v>
      </c>
      <c r="E914" s="7" t="s">
        <v>50</v>
      </c>
      <c r="F914" s="7" t="n">
        <v>-34.300896</v>
      </c>
      <c r="G914" s="7" t="n">
        <v>150.93961</v>
      </c>
      <c r="H914" s="7" t="s">
        <v>6994</v>
      </c>
    </row>
    <row r="915" customFormat="false" ht="15" hidden="false" customHeight="false" outlineLevel="0" collapsed="false">
      <c r="A915" s="7" t="s">
        <v>6947</v>
      </c>
      <c r="B915" s="7" t="s">
        <v>6962</v>
      </c>
      <c r="C915" s="7" t="s">
        <v>1156</v>
      </c>
      <c r="D915" s="7" t="n">
        <v>2174</v>
      </c>
      <c r="E915" s="7" t="s">
        <v>50</v>
      </c>
      <c r="F915" s="7" t="n">
        <v>-33.969459</v>
      </c>
      <c r="G915" s="7" t="n">
        <v>150.856387</v>
      </c>
      <c r="H915" s="7" t="s">
        <v>6999</v>
      </c>
    </row>
    <row r="916" customFormat="false" ht="15" hidden="false" customHeight="false" outlineLevel="0" collapsed="false">
      <c r="A916" s="7" t="s">
        <v>6947</v>
      </c>
      <c r="B916" s="7" t="s">
        <v>7037</v>
      </c>
      <c r="C916" s="7" t="s">
        <v>1157</v>
      </c>
      <c r="D916" s="7" t="n">
        <v>2736</v>
      </c>
      <c r="E916" s="7" t="s">
        <v>50</v>
      </c>
      <c r="F916" s="7" t="n">
        <v>-35.024235</v>
      </c>
      <c r="G916" s="7" t="n">
        <v>143.336707</v>
      </c>
      <c r="H916" s="7" t="s">
        <v>7085</v>
      </c>
    </row>
    <row r="917" customFormat="false" ht="15" hidden="false" customHeight="false" outlineLevel="0" collapsed="false">
      <c r="A917" s="7" t="s">
        <v>6947</v>
      </c>
      <c r="B917" s="7" t="s">
        <v>6964</v>
      </c>
      <c r="C917" s="7" t="s">
        <v>1158</v>
      </c>
      <c r="D917" s="7" t="n">
        <v>2320</v>
      </c>
      <c r="E917" s="7" t="s">
        <v>50</v>
      </c>
      <c r="F917" s="7" t="n">
        <v>-32.727751</v>
      </c>
      <c r="G917" s="7" t="n">
        <v>151.260613</v>
      </c>
      <c r="H917" s="7" t="s">
        <v>6965</v>
      </c>
    </row>
    <row r="918" customFormat="false" ht="15" hidden="false" customHeight="false" outlineLevel="0" collapsed="false">
      <c r="A918" s="7" t="s">
        <v>6947</v>
      </c>
      <c r="B918" s="7" t="s">
        <v>7052</v>
      </c>
      <c r="C918" s="7" t="s">
        <v>1159</v>
      </c>
      <c r="D918" s="7" t="n">
        <v>2320</v>
      </c>
      <c r="E918" s="7" t="s">
        <v>50</v>
      </c>
      <c r="F918" s="7" t="n">
        <v>-32.734671</v>
      </c>
      <c r="G918" s="7" t="n">
        <v>151.262485</v>
      </c>
      <c r="H918" s="7" t="s">
        <v>7078</v>
      </c>
    </row>
    <row r="919" customFormat="false" ht="15" hidden="false" customHeight="false" outlineLevel="0" collapsed="false">
      <c r="A919" s="7" t="s">
        <v>6947</v>
      </c>
      <c r="B919" s="7" t="s">
        <v>6977</v>
      </c>
      <c r="C919" s="7" t="s">
        <v>1160</v>
      </c>
      <c r="D919" s="7" t="n">
        <v>2557</v>
      </c>
      <c r="E919" s="7" t="s">
        <v>50</v>
      </c>
      <c r="F919" s="7" t="n">
        <v>-34.020302</v>
      </c>
      <c r="G919" s="7" t="n">
        <v>150.763456</v>
      </c>
      <c r="H919" s="7" t="s">
        <v>7086</v>
      </c>
    </row>
    <row r="920" customFormat="false" ht="15" hidden="false" customHeight="false" outlineLevel="0" collapsed="false">
      <c r="A920" s="7" t="s">
        <v>6947</v>
      </c>
      <c r="B920" s="7" t="s">
        <v>7052</v>
      </c>
      <c r="C920" s="7" t="s">
        <v>1161</v>
      </c>
      <c r="D920" s="7" t="n">
        <v>2576</v>
      </c>
      <c r="E920" s="7" t="s">
        <v>50</v>
      </c>
      <c r="F920" s="7" t="n">
        <v>-34.498907</v>
      </c>
      <c r="G920" s="7" t="n">
        <v>150.481616</v>
      </c>
      <c r="H920" s="7" t="s">
        <v>7078</v>
      </c>
    </row>
    <row r="921" customFormat="false" ht="15" hidden="false" customHeight="false" outlineLevel="0" collapsed="false">
      <c r="A921" s="7" t="s">
        <v>6947</v>
      </c>
      <c r="B921" s="7" t="s">
        <v>6962</v>
      </c>
      <c r="C921" s="7" t="s">
        <v>1162</v>
      </c>
      <c r="D921" s="7" t="n">
        <v>2500</v>
      </c>
      <c r="E921" s="7" t="s">
        <v>50</v>
      </c>
      <c r="F921" s="7" t="n">
        <v>-34.400085</v>
      </c>
      <c r="G921" s="7" t="n">
        <v>150.899631</v>
      </c>
      <c r="H921" s="7" t="s">
        <v>7073</v>
      </c>
    </row>
    <row r="922" customFormat="false" ht="15" hidden="false" customHeight="false" outlineLevel="0" collapsed="false">
      <c r="A922" s="7" t="s">
        <v>6947</v>
      </c>
      <c r="B922" s="7" t="s">
        <v>6962</v>
      </c>
      <c r="C922" s="7" t="s">
        <v>1163</v>
      </c>
      <c r="D922" s="7" t="n">
        <v>2138</v>
      </c>
      <c r="E922" s="7" t="s">
        <v>50</v>
      </c>
      <c r="F922" s="7" t="n">
        <v>-33.835294</v>
      </c>
      <c r="G922" s="7" t="n">
        <v>151.084431</v>
      </c>
      <c r="H922" s="7" t="s">
        <v>7015</v>
      </c>
    </row>
    <row r="923" customFormat="false" ht="15" hidden="false" customHeight="false" outlineLevel="0" collapsed="false">
      <c r="A923" s="7" t="s">
        <v>6947</v>
      </c>
      <c r="B923" s="7" t="s">
        <v>6960</v>
      </c>
      <c r="C923" s="7" t="s">
        <v>1164</v>
      </c>
      <c r="D923" s="7" t="n">
        <v>2077</v>
      </c>
      <c r="E923" s="7" t="s">
        <v>50</v>
      </c>
      <c r="F923" s="7" t="n">
        <v>-33.689974</v>
      </c>
      <c r="G923" s="7" t="n">
        <v>151.106169</v>
      </c>
      <c r="H923" s="7" t="s">
        <v>7020</v>
      </c>
    </row>
    <row r="924" customFormat="false" ht="15" hidden="false" customHeight="false" outlineLevel="0" collapsed="false">
      <c r="A924" s="7" t="s">
        <v>6947</v>
      </c>
      <c r="B924" s="7" t="s">
        <v>6960</v>
      </c>
      <c r="C924" s="7" t="s">
        <v>1165</v>
      </c>
      <c r="D924" s="7" t="n">
        <v>2322</v>
      </c>
      <c r="E924" s="7" t="s">
        <v>50</v>
      </c>
      <c r="F924" s="7" t="n">
        <v>-32.81194</v>
      </c>
      <c r="G924" s="7" t="n">
        <v>151.639468</v>
      </c>
      <c r="H924" s="7" t="s">
        <v>7020</v>
      </c>
    </row>
    <row r="925" customFormat="false" ht="15" hidden="false" customHeight="false" outlineLevel="0" collapsed="false">
      <c r="A925" s="7" t="s">
        <v>6947</v>
      </c>
      <c r="B925" s="7" t="s">
        <v>7052</v>
      </c>
      <c r="C925" s="7" t="s">
        <v>1166</v>
      </c>
      <c r="D925" s="7" t="n">
        <v>2300</v>
      </c>
      <c r="E925" s="7" t="s">
        <v>50</v>
      </c>
      <c r="F925" s="7" t="n">
        <v>-32.927461</v>
      </c>
      <c r="G925" s="7" t="n">
        <v>151.779055</v>
      </c>
      <c r="H925" s="7" t="s">
        <v>7053</v>
      </c>
    </row>
    <row r="926" customFormat="false" ht="15" hidden="false" customHeight="false" outlineLevel="0" collapsed="false">
      <c r="A926" s="7" t="s">
        <v>6947</v>
      </c>
      <c r="B926" s="7" t="s">
        <v>6964</v>
      </c>
      <c r="C926" s="7" t="s">
        <v>1167</v>
      </c>
      <c r="D926" s="7" t="n">
        <v>2287</v>
      </c>
      <c r="E926" s="7" t="s">
        <v>50</v>
      </c>
      <c r="F926" s="7" t="n">
        <v>-32.90263</v>
      </c>
      <c r="G926" s="7" t="n">
        <v>151.667621</v>
      </c>
      <c r="H926" s="7" t="s">
        <v>6965</v>
      </c>
    </row>
    <row r="927" customFormat="false" ht="15" hidden="false" customHeight="false" outlineLevel="0" collapsed="false">
      <c r="A927" s="7" t="s">
        <v>6947</v>
      </c>
      <c r="B927" s="7" t="s">
        <v>6977</v>
      </c>
      <c r="C927" s="7" t="s">
        <v>1168</v>
      </c>
      <c r="D927" s="7" t="n">
        <v>2229</v>
      </c>
      <c r="E927" s="7" t="s">
        <v>50</v>
      </c>
      <c r="F927" s="7" t="n">
        <v>-34.027857</v>
      </c>
      <c r="G927" s="7" t="n">
        <v>151.121785</v>
      </c>
      <c r="H927" s="7" t="s">
        <v>6989</v>
      </c>
    </row>
    <row r="928" customFormat="false" ht="15" hidden="false" customHeight="false" outlineLevel="0" collapsed="false">
      <c r="A928" s="7" t="s">
        <v>6947</v>
      </c>
      <c r="B928" s="7" t="s">
        <v>6958</v>
      </c>
      <c r="C928" s="7" t="s">
        <v>1169</v>
      </c>
      <c r="D928" s="7" t="n">
        <v>2548</v>
      </c>
      <c r="E928" s="7" t="s">
        <v>50</v>
      </c>
      <c r="F928" s="7" t="n">
        <v>-36.884144</v>
      </c>
      <c r="G928" s="7" t="n">
        <v>149.903294</v>
      </c>
      <c r="H928" s="7" t="s">
        <v>6959</v>
      </c>
    </row>
    <row r="929" customFormat="false" ht="15" hidden="false" customHeight="false" outlineLevel="0" collapsed="false">
      <c r="A929" s="7" t="s">
        <v>6947</v>
      </c>
      <c r="B929" s="7" t="s">
        <v>7008</v>
      </c>
      <c r="C929" s="7" t="s">
        <v>1170</v>
      </c>
      <c r="D929" s="7" t="n">
        <v>2263</v>
      </c>
      <c r="E929" s="7" t="s">
        <v>50</v>
      </c>
      <c r="F929" s="7" t="n">
        <v>-33.244596</v>
      </c>
      <c r="G929" s="7" t="n">
        <v>151.498974</v>
      </c>
      <c r="H929" s="7" t="s">
        <v>7009</v>
      </c>
    </row>
    <row r="930" customFormat="false" ht="15" hidden="false" customHeight="false" outlineLevel="0" collapsed="false">
      <c r="A930" s="7" t="s">
        <v>6947</v>
      </c>
      <c r="B930" s="7" t="s">
        <v>6962</v>
      </c>
      <c r="C930" s="7" t="s">
        <v>1171</v>
      </c>
      <c r="D930" s="7" t="n">
        <v>2720</v>
      </c>
      <c r="E930" s="7" t="s">
        <v>50</v>
      </c>
      <c r="F930" s="7" t="n">
        <v>-35.580624</v>
      </c>
      <c r="G930" s="7" t="n">
        <v>148.30038</v>
      </c>
      <c r="H930" s="7" t="s">
        <v>6979</v>
      </c>
    </row>
    <row r="931" customFormat="false" ht="15" hidden="false" customHeight="false" outlineLevel="0" collapsed="false">
      <c r="A931" s="7" t="s">
        <v>6947</v>
      </c>
      <c r="B931" s="7" t="s">
        <v>6973</v>
      </c>
      <c r="C931" s="7" t="s">
        <v>1172</v>
      </c>
      <c r="D931" s="7" t="n">
        <v>2480</v>
      </c>
      <c r="E931" s="7" t="s">
        <v>50</v>
      </c>
      <c r="F931" s="7" t="n">
        <v>-28.808436</v>
      </c>
      <c r="G931" s="7" t="n">
        <v>153.279339</v>
      </c>
      <c r="H931" s="7" t="s">
        <v>6974</v>
      </c>
    </row>
    <row r="932" customFormat="false" ht="15" hidden="false" customHeight="false" outlineLevel="0" collapsed="false">
      <c r="A932" s="7" t="s">
        <v>6947</v>
      </c>
      <c r="B932" s="7" t="s">
        <v>6962</v>
      </c>
      <c r="C932" s="7" t="s">
        <v>1173</v>
      </c>
      <c r="D932" s="7" t="n">
        <v>2653</v>
      </c>
      <c r="E932" s="7" t="s">
        <v>50</v>
      </c>
      <c r="F932" s="7" t="n">
        <v>-35.77356</v>
      </c>
      <c r="G932" s="7" t="n">
        <v>148.009411</v>
      </c>
      <c r="H932" s="7" t="s">
        <v>6980</v>
      </c>
    </row>
    <row r="933" customFormat="false" ht="15" hidden="false" customHeight="false" outlineLevel="0" collapsed="false">
      <c r="A933" s="7" t="s">
        <v>6947</v>
      </c>
      <c r="B933" s="7" t="s">
        <v>6977</v>
      </c>
      <c r="C933" s="7" t="s">
        <v>1174</v>
      </c>
      <c r="D933" s="7" t="n">
        <v>2540</v>
      </c>
      <c r="E933" s="7" t="s">
        <v>50</v>
      </c>
      <c r="F933" s="7" t="n">
        <v>-35.023111</v>
      </c>
      <c r="G933" s="7" t="n">
        <v>150.661576</v>
      </c>
      <c r="H933" s="7" t="s">
        <v>6984</v>
      </c>
    </row>
    <row r="934" customFormat="false" ht="15" hidden="false" customHeight="false" outlineLevel="0" collapsed="false">
      <c r="A934" s="7" t="s">
        <v>6947</v>
      </c>
      <c r="B934" s="7" t="s">
        <v>6962</v>
      </c>
      <c r="C934" s="7" t="s">
        <v>1175</v>
      </c>
      <c r="D934" s="7" t="n">
        <v>2033</v>
      </c>
      <c r="E934" s="7" t="s">
        <v>50</v>
      </c>
      <c r="F934" s="7" t="n">
        <v>-33.918448</v>
      </c>
      <c r="G934" s="7" t="n">
        <v>151.234509</v>
      </c>
      <c r="H934" s="7" t="s">
        <v>7065</v>
      </c>
    </row>
    <row r="935" customFormat="false" ht="15" hidden="false" customHeight="false" outlineLevel="0" collapsed="false">
      <c r="A935" s="7" t="s">
        <v>6947</v>
      </c>
      <c r="B935" s="7" t="s">
        <v>6962</v>
      </c>
      <c r="C935" s="7" t="s">
        <v>1176</v>
      </c>
      <c r="D935" s="7" t="n">
        <v>2113</v>
      </c>
      <c r="E935" s="7" t="s">
        <v>50</v>
      </c>
      <c r="F935" s="7" t="n">
        <v>-33.775527</v>
      </c>
      <c r="G935" s="7" t="n">
        <v>151.109458</v>
      </c>
      <c r="H935" s="7" t="s">
        <v>6998</v>
      </c>
    </row>
    <row r="936" customFormat="false" ht="15" hidden="false" customHeight="false" outlineLevel="0" collapsed="false">
      <c r="A936" s="7" t="s">
        <v>6947</v>
      </c>
      <c r="B936" s="7" t="s">
        <v>7052</v>
      </c>
      <c r="C936" s="7" t="s">
        <v>1177</v>
      </c>
      <c r="D936" s="7" t="n">
        <v>2325</v>
      </c>
      <c r="E936" s="7" t="s">
        <v>50</v>
      </c>
      <c r="F936" s="7" t="n">
        <v>-32.753375</v>
      </c>
      <c r="G936" s="7" t="n">
        <v>151.371492</v>
      </c>
      <c r="H936" s="7" t="s">
        <v>7053</v>
      </c>
    </row>
    <row r="937" customFormat="false" ht="15" hidden="false" customHeight="false" outlineLevel="0" collapsed="false">
      <c r="A937" s="7" t="s">
        <v>6947</v>
      </c>
      <c r="B937" s="7" t="s">
        <v>7003</v>
      </c>
      <c r="C937" s="7" t="s">
        <v>1178</v>
      </c>
      <c r="D937" s="7" t="n">
        <v>2766</v>
      </c>
      <c r="E937" s="7" t="s">
        <v>50</v>
      </c>
      <c r="F937" s="7" t="n">
        <v>-33.802145</v>
      </c>
      <c r="G937" s="7" t="n">
        <v>150.880213</v>
      </c>
      <c r="H937" s="7" t="s">
        <v>7040</v>
      </c>
    </row>
    <row r="938" customFormat="false" ht="15" hidden="false" customHeight="false" outlineLevel="0" collapsed="false">
      <c r="A938" s="7" t="s">
        <v>6947</v>
      </c>
      <c r="B938" s="7" t="s">
        <v>6964</v>
      </c>
      <c r="C938" s="7" t="s">
        <v>1180</v>
      </c>
      <c r="D938" s="7" t="n">
        <v>2548</v>
      </c>
      <c r="E938" s="7" t="s">
        <v>50</v>
      </c>
      <c r="F938" s="7" t="n">
        <v>-36.892784</v>
      </c>
      <c r="G938" s="7" t="n">
        <v>149.909089</v>
      </c>
      <c r="H938" s="7" t="s">
        <v>6965</v>
      </c>
    </row>
    <row r="939" customFormat="false" ht="15" hidden="false" customHeight="false" outlineLevel="0" collapsed="false">
      <c r="A939" s="7" t="s">
        <v>6947</v>
      </c>
      <c r="B939" s="7" t="s">
        <v>6964</v>
      </c>
      <c r="C939" s="7" t="s">
        <v>1181</v>
      </c>
      <c r="D939" s="7" t="n">
        <v>2160</v>
      </c>
      <c r="E939" s="7" t="s">
        <v>50</v>
      </c>
      <c r="F939" s="7" t="n">
        <v>-33.833461</v>
      </c>
      <c r="G939" s="7" t="n">
        <v>150.987337</v>
      </c>
      <c r="H939" s="7" t="s">
        <v>6965</v>
      </c>
    </row>
    <row r="940" customFormat="false" ht="15" hidden="false" customHeight="false" outlineLevel="0" collapsed="false">
      <c r="A940" s="7" t="s">
        <v>6947</v>
      </c>
      <c r="B940" s="7" t="s">
        <v>6962</v>
      </c>
      <c r="C940" s="7" t="s">
        <v>1182</v>
      </c>
      <c r="D940" s="7" t="n">
        <v>2785</v>
      </c>
      <c r="E940" s="7" t="s">
        <v>50</v>
      </c>
      <c r="F940" s="7" t="n">
        <v>-33.695836</v>
      </c>
      <c r="G940" s="7" t="n">
        <v>150.25306</v>
      </c>
      <c r="H940" s="7" t="s">
        <v>6983</v>
      </c>
    </row>
    <row r="941" customFormat="false" ht="15" hidden="false" customHeight="false" outlineLevel="0" collapsed="false">
      <c r="A941" s="7" t="s">
        <v>6947</v>
      </c>
      <c r="B941" s="7" t="s">
        <v>6977</v>
      </c>
      <c r="C941" s="7" t="s">
        <v>1183</v>
      </c>
      <c r="D941" s="7" t="n">
        <v>2810</v>
      </c>
      <c r="E941" s="7" t="s">
        <v>50</v>
      </c>
      <c r="F941" s="7" t="n">
        <v>-33.892004</v>
      </c>
      <c r="G941" s="7" t="n">
        <v>148.160778</v>
      </c>
      <c r="H941" s="7" t="s">
        <v>6984</v>
      </c>
    </row>
    <row r="942" customFormat="false" ht="15" hidden="false" customHeight="false" outlineLevel="0" collapsed="false">
      <c r="A942" s="7" t="s">
        <v>6947</v>
      </c>
      <c r="B942" s="7" t="s">
        <v>6964</v>
      </c>
      <c r="C942" s="7" t="s">
        <v>1185</v>
      </c>
      <c r="D942" s="7" t="n">
        <v>2300</v>
      </c>
      <c r="E942" s="7" t="s">
        <v>50</v>
      </c>
      <c r="F942" s="7" t="n">
        <v>-32.925229</v>
      </c>
      <c r="G942" s="7" t="n">
        <v>151.773209</v>
      </c>
      <c r="H942" s="7" t="s">
        <v>6975</v>
      </c>
    </row>
    <row r="943" customFormat="false" ht="15" hidden="false" customHeight="false" outlineLevel="0" collapsed="false">
      <c r="A943" s="7" t="s">
        <v>6947</v>
      </c>
      <c r="B943" s="7" t="s">
        <v>6977</v>
      </c>
      <c r="C943" s="7" t="s">
        <v>1186</v>
      </c>
      <c r="D943" s="7" t="n">
        <v>2539</v>
      </c>
      <c r="E943" s="7" t="s">
        <v>50</v>
      </c>
      <c r="F943" s="7" t="n">
        <v>-35.565409</v>
      </c>
      <c r="G943" s="7" t="n">
        <v>150.371977</v>
      </c>
      <c r="H943" s="7" t="s">
        <v>6981</v>
      </c>
    </row>
    <row r="944" customFormat="false" ht="15" hidden="false" customHeight="false" outlineLevel="0" collapsed="false">
      <c r="A944" s="7" t="s">
        <v>6947</v>
      </c>
      <c r="B944" s="7" t="s">
        <v>6977</v>
      </c>
      <c r="C944" s="7" t="s">
        <v>1187</v>
      </c>
      <c r="D944" s="7" t="n">
        <v>2701</v>
      </c>
      <c r="E944" s="7" t="s">
        <v>50</v>
      </c>
      <c r="F944" s="7" t="n">
        <v>-34.813611</v>
      </c>
      <c r="G944" s="7" t="n">
        <v>147.201549</v>
      </c>
      <c r="H944" s="7" t="s">
        <v>6984</v>
      </c>
    </row>
    <row r="945" customFormat="false" ht="15" hidden="false" customHeight="false" outlineLevel="0" collapsed="false">
      <c r="A945" s="7" t="s">
        <v>6947</v>
      </c>
      <c r="B945" s="7" t="s">
        <v>7033</v>
      </c>
      <c r="C945" s="7" t="s">
        <v>1189</v>
      </c>
      <c r="D945" s="7" t="n">
        <v>2330</v>
      </c>
      <c r="E945" s="7" t="s">
        <v>50</v>
      </c>
      <c r="F945" s="7" t="n">
        <v>-32.750941</v>
      </c>
      <c r="G945" s="7" t="n">
        <v>151.08034</v>
      </c>
      <c r="H945" s="7" t="s">
        <v>7047</v>
      </c>
    </row>
    <row r="946" customFormat="false" ht="15" hidden="false" customHeight="false" outlineLevel="0" collapsed="false">
      <c r="A946" s="7" t="s">
        <v>6947</v>
      </c>
      <c r="B946" s="7" t="s">
        <v>7052</v>
      </c>
      <c r="C946" s="7" t="s">
        <v>1190</v>
      </c>
      <c r="D946" s="7" t="n">
        <v>2539</v>
      </c>
      <c r="E946" s="7" t="s">
        <v>50</v>
      </c>
      <c r="F946" s="7" t="n">
        <v>-35.322529</v>
      </c>
      <c r="G946" s="7" t="n">
        <v>150.485036</v>
      </c>
      <c r="H946" s="7" t="s">
        <v>7087</v>
      </c>
    </row>
    <row r="947" customFormat="false" ht="15" hidden="false" customHeight="false" outlineLevel="0" collapsed="false">
      <c r="A947" s="7" t="s">
        <v>6947</v>
      </c>
      <c r="B947" s="7" t="s">
        <v>6958</v>
      </c>
      <c r="C947" s="7" t="s">
        <v>1191</v>
      </c>
      <c r="D947" s="7" t="n">
        <v>2019</v>
      </c>
      <c r="E947" s="7" t="s">
        <v>50</v>
      </c>
      <c r="F947" s="7" t="n">
        <v>-33.945257</v>
      </c>
      <c r="G947" s="7" t="n">
        <v>151.222223</v>
      </c>
      <c r="H947" s="7" t="s">
        <v>7023</v>
      </c>
    </row>
    <row r="948" customFormat="false" ht="15" hidden="false" customHeight="false" outlineLevel="0" collapsed="false">
      <c r="A948" s="7" t="s">
        <v>6947</v>
      </c>
      <c r="B948" s="7" t="s">
        <v>6964</v>
      </c>
      <c r="C948" s="7" t="s">
        <v>1192</v>
      </c>
      <c r="D948" s="7" t="n">
        <v>2325</v>
      </c>
      <c r="E948" s="7" t="s">
        <v>50</v>
      </c>
      <c r="F948" s="7" t="n">
        <v>-32.83438</v>
      </c>
      <c r="G948" s="7" t="n">
        <v>151.296241</v>
      </c>
      <c r="H948" s="7" t="s">
        <v>6975</v>
      </c>
    </row>
    <row r="949" customFormat="false" ht="15" hidden="false" customHeight="false" outlineLevel="0" collapsed="false">
      <c r="A949" s="7" t="s">
        <v>6947</v>
      </c>
      <c r="B949" s="7" t="s">
        <v>6964</v>
      </c>
      <c r="C949" s="7" t="s">
        <v>1193</v>
      </c>
      <c r="D949" s="7" t="n">
        <v>2625</v>
      </c>
      <c r="E949" s="7" t="s">
        <v>50</v>
      </c>
      <c r="F949" s="7" t="n">
        <v>-36.504831</v>
      </c>
      <c r="G949" s="7" t="n">
        <v>148.304698</v>
      </c>
      <c r="H949" s="7" t="s">
        <v>6975</v>
      </c>
    </row>
    <row r="950" customFormat="false" ht="15" hidden="false" customHeight="false" outlineLevel="0" collapsed="false">
      <c r="A950" s="7" t="s">
        <v>6947</v>
      </c>
      <c r="B950" s="7" t="s">
        <v>6962</v>
      </c>
      <c r="C950" s="7" t="s">
        <v>1194</v>
      </c>
      <c r="D950" s="7" t="n">
        <v>2318</v>
      </c>
      <c r="E950" s="7" t="s">
        <v>50</v>
      </c>
      <c r="F950" s="7" t="n">
        <v>-32.738939</v>
      </c>
      <c r="G950" s="7" t="n">
        <v>151.867349</v>
      </c>
      <c r="H950" s="7" t="s">
        <v>6983</v>
      </c>
    </row>
    <row r="951" customFormat="false" ht="15" hidden="false" customHeight="false" outlineLevel="0" collapsed="false">
      <c r="A951" s="7" t="s">
        <v>6947</v>
      </c>
      <c r="B951" s="7" t="s">
        <v>6964</v>
      </c>
      <c r="C951" s="7" t="s">
        <v>1195</v>
      </c>
      <c r="D951" s="7" t="n">
        <v>2750</v>
      </c>
      <c r="E951" s="7" t="s">
        <v>50</v>
      </c>
      <c r="F951" s="7" t="n">
        <v>-33.769591</v>
      </c>
      <c r="G951" s="7" t="n">
        <v>150.671791</v>
      </c>
      <c r="H951" s="7" t="s">
        <v>6965</v>
      </c>
    </row>
    <row r="952" customFormat="false" ht="15" hidden="false" customHeight="false" outlineLevel="0" collapsed="false">
      <c r="A952" s="7" t="s">
        <v>6947</v>
      </c>
      <c r="B952" s="7" t="s">
        <v>6993</v>
      </c>
      <c r="C952" s="7" t="s">
        <v>1196</v>
      </c>
      <c r="D952" s="7" t="n">
        <v>2021</v>
      </c>
      <c r="E952" s="7" t="s">
        <v>50</v>
      </c>
      <c r="F952" s="7" t="n">
        <v>-33.88338</v>
      </c>
      <c r="G952" s="7" t="n">
        <v>151.220003</v>
      </c>
      <c r="H952" s="7" t="s">
        <v>6994</v>
      </c>
    </row>
    <row r="953" customFormat="false" ht="15" hidden="false" customHeight="false" outlineLevel="0" collapsed="false">
      <c r="A953" s="7" t="s">
        <v>6947</v>
      </c>
      <c r="B953" s="7" t="s">
        <v>7003</v>
      </c>
      <c r="C953" s="7" t="s">
        <v>1197</v>
      </c>
      <c r="D953" s="7" t="n">
        <v>2567</v>
      </c>
      <c r="E953" s="7" t="s">
        <v>50</v>
      </c>
      <c r="F953" s="7" t="n">
        <v>-34.0401</v>
      </c>
      <c r="G953" s="7" t="n">
        <v>150.743541</v>
      </c>
      <c r="H953" s="7" t="s">
        <v>7072</v>
      </c>
    </row>
    <row r="954" customFormat="false" ht="15" hidden="false" customHeight="false" outlineLevel="0" collapsed="false">
      <c r="A954" s="7" t="s">
        <v>6947</v>
      </c>
      <c r="B954" s="7" t="s">
        <v>7003</v>
      </c>
      <c r="C954" s="7" t="s">
        <v>1198</v>
      </c>
      <c r="D954" s="7" t="n">
        <v>2170</v>
      </c>
      <c r="E954" s="7" t="s">
        <v>50</v>
      </c>
      <c r="F954" s="7" t="n">
        <v>-33.92932</v>
      </c>
      <c r="G954" s="7" t="n">
        <v>150.9551</v>
      </c>
      <c r="H954" s="7" t="s">
        <v>7004</v>
      </c>
    </row>
    <row r="955" customFormat="false" ht="15" hidden="false" customHeight="false" outlineLevel="0" collapsed="false">
      <c r="A955" s="7" t="s">
        <v>6947</v>
      </c>
      <c r="B955" s="7" t="s">
        <v>6962</v>
      </c>
      <c r="C955" s="7" t="s">
        <v>1199</v>
      </c>
      <c r="D955" s="7" t="n">
        <v>2200</v>
      </c>
      <c r="E955" s="7" t="s">
        <v>50</v>
      </c>
      <c r="F955" s="7" t="n">
        <v>-33.916495</v>
      </c>
      <c r="G955" s="7" t="n">
        <v>151.040256</v>
      </c>
      <c r="H955" s="7" t="s">
        <v>7005</v>
      </c>
    </row>
    <row r="956" customFormat="false" ht="15" hidden="false" customHeight="false" outlineLevel="0" collapsed="false">
      <c r="A956" s="7" t="s">
        <v>6947</v>
      </c>
      <c r="B956" s="7" t="s">
        <v>7052</v>
      </c>
      <c r="C956" s="7" t="s">
        <v>1200</v>
      </c>
      <c r="D956" s="7" t="n">
        <v>2577</v>
      </c>
      <c r="E956" s="7" t="s">
        <v>50</v>
      </c>
      <c r="F956" s="7" t="n">
        <v>-34.596924</v>
      </c>
      <c r="G956" s="7" t="n">
        <v>150.44125</v>
      </c>
      <c r="H956" s="7" t="s">
        <v>7053</v>
      </c>
    </row>
    <row r="957" customFormat="false" ht="15" hidden="false" customHeight="false" outlineLevel="0" collapsed="false">
      <c r="A957" s="7" t="s">
        <v>6947</v>
      </c>
      <c r="B957" s="7" t="s">
        <v>6987</v>
      </c>
      <c r="C957" s="7" t="s">
        <v>1201</v>
      </c>
      <c r="D957" s="7" t="n">
        <v>2223</v>
      </c>
      <c r="E957" s="7" t="s">
        <v>50</v>
      </c>
      <c r="F957" s="7" t="n">
        <v>-33.981453</v>
      </c>
      <c r="G957" s="7" t="n">
        <v>151.079434</v>
      </c>
      <c r="H957" s="7" t="s">
        <v>7080</v>
      </c>
    </row>
    <row r="958" customFormat="false" ht="15" hidden="false" customHeight="false" outlineLevel="0" collapsed="false">
      <c r="A958" s="7" t="s">
        <v>6947</v>
      </c>
      <c r="B958" s="7" t="s">
        <v>7033</v>
      </c>
      <c r="C958" s="7" t="s">
        <v>1202</v>
      </c>
      <c r="D958" s="7" t="n">
        <v>2787</v>
      </c>
      <c r="E958" s="7" t="s">
        <v>50</v>
      </c>
      <c r="F958" s="7" t="n">
        <v>-33.704523</v>
      </c>
      <c r="G958" s="7" t="n">
        <v>149.863814</v>
      </c>
      <c r="H958" s="7" t="s">
        <v>7047</v>
      </c>
    </row>
    <row r="959" customFormat="false" ht="15" hidden="false" customHeight="false" outlineLevel="0" collapsed="false">
      <c r="A959" s="7" t="s">
        <v>6947</v>
      </c>
      <c r="B959" s="7" t="s">
        <v>6962</v>
      </c>
      <c r="C959" s="7" t="s">
        <v>1203</v>
      </c>
      <c r="D959" s="7" t="n">
        <v>2830</v>
      </c>
      <c r="E959" s="7" t="s">
        <v>50</v>
      </c>
      <c r="F959" s="7" t="n">
        <v>-32.273827</v>
      </c>
      <c r="G959" s="7" t="n">
        <v>148.588079</v>
      </c>
      <c r="H959" s="7" t="s">
        <v>7065</v>
      </c>
    </row>
    <row r="960" customFormat="false" ht="15" hidden="false" customHeight="false" outlineLevel="0" collapsed="false">
      <c r="A960" s="7" t="s">
        <v>6947</v>
      </c>
      <c r="B960" s="7" t="s">
        <v>6977</v>
      </c>
      <c r="C960" s="7" t="s">
        <v>1204</v>
      </c>
      <c r="D960" s="7" t="n">
        <v>2795</v>
      </c>
      <c r="E960" s="7" t="s">
        <v>50</v>
      </c>
      <c r="F960" s="7" t="n">
        <v>-33.429796</v>
      </c>
      <c r="G960" s="7" t="n">
        <v>149.560006</v>
      </c>
      <c r="H960" s="7" t="s">
        <v>6989</v>
      </c>
    </row>
    <row r="961" customFormat="false" ht="15" hidden="false" customHeight="false" outlineLevel="0" collapsed="false">
      <c r="A961" s="7" t="s">
        <v>6947</v>
      </c>
      <c r="B961" s="7" t="s">
        <v>6962</v>
      </c>
      <c r="C961" s="7" t="s">
        <v>1205</v>
      </c>
      <c r="D961" s="7" t="n">
        <v>2300</v>
      </c>
      <c r="E961" s="7" t="s">
        <v>50</v>
      </c>
      <c r="F961" s="7" t="n">
        <v>-32.931914</v>
      </c>
      <c r="G961" s="7" t="n">
        <v>151.780422</v>
      </c>
      <c r="H961" s="7" t="s">
        <v>6983</v>
      </c>
    </row>
    <row r="962" customFormat="false" ht="15" hidden="false" customHeight="false" outlineLevel="0" collapsed="false">
      <c r="A962" s="7" t="s">
        <v>6947</v>
      </c>
      <c r="B962" s="7" t="s">
        <v>7003</v>
      </c>
      <c r="C962" s="7" t="s">
        <v>1206</v>
      </c>
      <c r="D962" s="7" t="n">
        <v>2263</v>
      </c>
      <c r="E962" s="7" t="s">
        <v>50</v>
      </c>
      <c r="F962" s="7" t="n">
        <v>-33.21799</v>
      </c>
      <c r="G962" s="7" t="n">
        <v>151.510301</v>
      </c>
      <c r="H962" s="7" t="s">
        <v>7072</v>
      </c>
    </row>
    <row r="963" customFormat="false" ht="15" hidden="false" customHeight="false" outlineLevel="0" collapsed="false">
      <c r="A963" s="7" t="s">
        <v>6947</v>
      </c>
      <c r="B963" s="7" t="s">
        <v>6962</v>
      </c>
      <c r="C963" s="7" t="s">
        <v>1207</v>
      </c>
      <c r="D963" s="7" t="n">
        <v>2450</v>
      </c>
      <c r="E963" s="7" t="s">
        <v>50</v>
      </c>
      <c r="F963" s="7" t="n">
        <v>-30.317931</v>
      </c>
      <c r="G963" s="7" t="n">
        <v>153.089723</v>
      </c>
      <c r="H963" s="7" t="s">
        <v>6980</v>
      </c>
    </row>
    <row r="964" customFormat="false" ht="15" hidden="false" customHeight="false" outlineLevel="0" collapsed="false">
      <c r="A964" s="7" t="s">
        <v>6947</v>
      </c>
      <c r="B964" s="7" t="s">
        <v>6973</v>
      </c>
      <c r="C964" s="7" t="s">
        <v>1209</v>
      </c>
      <c r="D964" s="7" t="n">
        <v>2134</v>
      </c>
      <c r="E964" s="7" t="s">
        <v>50</v>
      </c>
      <c r="F964" s="7" t="n">
        <v>-33.869791</v>
      </c>
      <c r="G964" s="7" t="n">
        <v>151.110668</v>
      </c>
      <c r="H964" s="7" t="s">
        <v>7043</v>
      </c>
    </row>
    <row r="965" customFormat="false" ht="15" hidden="false" customHeight="false" outlineLevel="0" collapsed="false">
      <c r="A965" s="7" t="s">
        <v>6947</v>
      </c>
      <c r="B965" s="7" t="s">
        <v>6987</v>
      </c>
      <c r="C965" s="7" t="s">
        <v>1210</v>
      </c>
      <c r="D965" s="7" t="n">
        <v>2750</v>
      </c>
      <c r="E965" s="7" t="s">
        <v>50</v>
      </c>
      <c r="F965" s="7" t="n">
        <v>-33.750304</v>
      </c>
      <c r="G965" s="7" t="n">
        <v>150.694089</v>
      </c>
      <c r="H965" s="7" t="s">
        <v>7080</v>
      </c>
    </row>
    <row r="966" customFormat="false" ht="15" hidden="false" customHeight="false" outlineLevel="0" collapsed="false">
      <c r="A966" s="7" t="s">
        <v>6947</v>
      </c>
      <c r="B966" s="7" t="s">
        <v>6964</v>
      </c>
      <c r="C966" s="7" t="s">
        <v>1211</v>
      </c>
      <c r="D966" s="7" t="n">
        <v>2260</v>
      </c>
      <c r="E966" s="7" t="s">
        <v>50</v>
      </c>
      <c r="F966" s="7" t="n">
        <v>-33.448123</v>
      </c>
      <c r="G966" s="7" t="n">
        <v>151.445305</v>
      </c>
      <c r="H966" s="7" t="s">
        <v>6982</v>
      </c>
    </row>
    <row r="967" customFormat="false" ht="15" hidden="false" customHeight="false" outlineLevel="0" collapsed="false">
      <c r="A967" s="7" t="s">
        <v>6947</v>
      </c>
      <c r="B967" s="7" t="s">
        <v>6987</v>
      </c>
      <c r="C967" s="7" t="s">
        <v>1212</v>
      </c>
      <c r="D967" s="7" t="n">
        <v>2101</v>
      </c>
      <c r="E967" s="7" t="s">
        <v>50</v>
      </c>
      <c r="F967" s="7" t="n">
        <v>-33.713764</v>
      </c>
      <c r="G967" s="7" t="n">
        <v>151.297142</v>
      </c>
      <c r="H967" s="7" t="s">
        <v>6988</v>
      </c>
    </row>
    <row r="968" customFormat="false" ht="15" hidden="false" customHeight="false" outlineLevel="0" collapsed="false">
      <c r="A968" s="7" t="s">
        <v>6947</v>
      </c>
      <c r="B968" s="7" t="s">
        <v>6967</v>
      </c>
      <c r="C968" s="7" t="s">
        <v>1213</v>
      </c>
      <c r="D968" s="7" t="n">
        <v>2065</v>
      </c>
      <c r="E968" s="7" t="s">
        <v>50</v>
      </c>
      <c r="F968" s="7" t="n">
        <v>-33.824622</v>
      </c>
      <c r="G968" s="7" t="n">
        <v>151.199767</v>
      </c>
      <c r="H968" s="7" t="s">
        <v>6968</v>
      </c>
    </row>
    <row r="969" customFormat="false" ht="15" hidden="false" customHeight="false" outlineLevel="0" collapsed="false">
      <c r="A969" s="7" t="s">
        <v>6947</v>
      </c>
      <c r="B969" s="7" t="s">
        <v>6973</v>
      </c>
      <c r="C969" s="7" t="s">
        <v>1214</v>
      </c>
      <c r="D969" s="7" t="n">
        <v>2250</v>
      </c>
      <c r="E969" s="7" t="s">
        <v>50</v>
      </c>
      <c r="F969" s="7" t="n">
        <v>-33.403226</v>
      </c>
      <c r="G969" s="7" t="n">
        <v>151.192505</v>
      </c>
      <c r="H969" s="7" t="s">
        <v>7066</v>
      </c>
    </row>
    <row r="970" customFormat="false" ht="15" hidden="false" customHeight="false" outlineLevel="0" collapsed="false">
      <c r="A970" s="7" t="s">
        <v>6947</v>
      </c>
      <c r="B970" s="7" t="s">
        <v>6977</v>
      </c>
      <c r="C970" s="7" t="s">
        <v>1215</v>
      </c>
      <c r="D970" s="7" t="n">
        <v>2073</v>
      </c>
      <c r="E970" s="7" t="s">
        <v>50</v>
      </c>
      <c r="F970" s="7" t="n">
        <v>-33.763576</v>
      </c>
      <c r="G970" s="7" t="n">
        <v>151.133625</v>
      </c>
      <c r="H970" s="7" t="s">
        <v>6989</v>
      </c>
    </row>
    <row r="971" customFormat="false" ht="15" hidden="false" customHeight="false" outlineLevel="0" collapsed="false">
      <c r="A971" s="7" t="s">
        <v>6947</v>
      </c>
      <c r="B971" s="7" t="s">
        <v>7052</v>
      </c>
      <c r="C971" s="7" t="s">
        <v>1216</v>
      </c>
      <c r="D971" s="7" t="n">
        <v>2534</v>
      </c>
      <c r="E971" s="7" t="s">
        <v>50</v>
      </c>
      <c r="F971" s="7" t="n">
        <v>-34.724385</v>
      </c>
      <c r="G971" s="7" t="n">
        <v>150.842311</v>
      </c>
      <c r="H971" s="7" t="s">
        <v>7053</v>
      </c>
    </row>
    <row r="972" customFormat="false" ht="15" hidden="false" customHeight="false" outlineLevel="0" collapsed="false">
      <c r="A972" s="7" t="s">
        <v>6947</v>
      </c>
      <c r="B972" s="7" t="s">
        <v>6977</v>
      </c>
      <c r="C972" s="7" t="s">
        <v>1217</v>
      </c>
      <c r="D972" s="7" t="n">
        <v>2539</v>
      </c>
      <c r="E972" s="7" t="s">
        <v>50</v>
      </c>
      <c r="F972" s="7" t="n">
        <v>-35.368421</v>
      </c>
      <c r="G972" s="7" t="n">
        <v>150.470609</v>
      </c>
      <c r="H972" s="7" t="s">
        <v>6981</v>
      </c>
    </row>
    <row r="973" customFormat="false" ht="15" hidden="false" customHeight="false" outlineLevel="0" collapsed="false">
      <c r="A973" s="7" t="s">
        <v>6947</v>
      </c>
      <c r="B973" s="7" t="s">
        <v>6958</v>
      </c>
      <c r="C973" s="7" t="s">
        <v>1218</v>
      </c>
      <c r="D973" s="7" t="n">
        <v>2147</v>
      </c>
      <c r="E973" s="7" t="s">
        <v>50</v>
      </c>
      <c r="F973" s="7" t="n">
        <v>-33.775803</v>
      </c>
      <c r="G973" s="7" t="n">
        <v>150.933571</v>
      </c>
      <c r="H973" s="7" t="s">
        <v>7023</v>
      </c>
    </row>
    <row r="974" customFormat="false" ht="15" hidden="false" customHeight="false" outlineLevel="0" collapsed="false">
      <c r="A974" s="7" t="s">
        <v>6947</v>
      </c>
      <c r="B974" s="7" t="s">
        <v>6962</v>
      </c>
      <c r="C974" s="7" t="s">
        <v>1219</v>
      </c>
      <c r="D974" s="7" t="n">
        <v>2026</v>
      </c>
      <c r="E974" s="7" t="s">
        <v>50</v>
      </c>
      <c r="F974" s="7" t="n">
        <v>-33.890781</v>
      </c>
      <c r="G974" s="7" t="n">
        <v>151.276309</v>
      </c>
      <c r="H974" s="7" t="s">
        <v>6998</v>
      </c>
    </row>
    <row r="975" customFormat="false" ht="15" hidden="false" customHeight="false" outlineLevel="0" collapsed="false">
      <c r="A975" s="7" t="s">
        <v>6947</v>
      </c>
      <c r="B975" s="7" t="s">
        <v>6962</v>
      </c>
      <c r="C975" s="7" t="s">
        <v>1220</v>
      </c>
      <c r="D975" s="7" t="n">
        <v>2067</v>
      </c>
      <c r="E975" s="7" t="s">
        <v>50</v>
      </c>
      <c r="F975" s="7" t="n">
        <v>-33.79441</v>
      </c>
      <c r="G975" s="7" t="n">
        <v>151.180162</v>
      </c>
      <c r="H975" s="7" t="s">
        <v>6983</v>
      </c>
    </row>
    <row r="976" customFormat="false" ht="15" hidden="false" customHeight="false" outlineLevel="0" collapsed="false">
      <c r="A976" s="7" t="s">
        <v>6947</v>
      </c>
      <c r="B976" s="7" t="s">
        <v>6993</v>
      </c>
      <c r="C976" s="7" t="s">
        <v>1221</v>
      </c>
      <c r="D976" s="7" t="n">
        <v>2440</v>
      </c>
      <c r="E976" s="7" t="s">
        <v>50</v>
      </c>
      <c r="F976" s="7" t="n">
        <v>-31.189684</v>
      </c>
      <c r="G976" s="7" t="n">
        <v>152.978444</v>
      </c>
      <c r="H976" s="7" t="s">
        <v>6994</v>
      </c>
    </row>
    <row r="977" customFormat="false" ht="15" hidden="false" customHeight="false" outlineLevel="0" collapsed="false">
      <c r="A977" s="7" t="s">
        <v>6947</v>
      </c>
      <c r="B977" s="7" t="s">
        <v>6962</v>
      </c>
      <c r="C977" s="7" t="s">
        <v>1222</v>
      </c>
      <c r="D977" s="7" t="n">
        <v>2308</v>
      </c>
      <c r="E977" s="7" t="s">
        <v>50</v>
      </c>
      <c r="F977" s="7" t="n">
        <v>-32.891885</v>
      </c>
      <c r="G977" s="7" t="n">
        <v>151.701979</v>
      </c>
      <c r="H977" s="7" t="s">
        <v>6979</v>
      </c>
    </row>
    <row r="978" customFormat="false" ht="15" hidden="false" customHeight="false" outlineLevel="0" collapsed="false">
      <c r="A978" s="7" t="s">
        <v>6947</v>
      </c>
      <c r="B978" s="7" t="s">
        <v>6962</v>
      </c>
      <c r="C978" s="7" t="s">
        <v>1223</v>
      </c>
      <c r="D978" s="7" t="n">
        <v>2035</v>
      </c>
      <c r="E978" s="7" t="s">
        <v>50</v>
      </c>
      <c r="F978" s="7" t="n">
        <v>-33.950307</v>
      </c>
      <c r="G978" s="7" t="n">
        <v>151.238428</v>
      </c>
      <c r="H978" s="7" t="s">
        <v>6983</v>
      </c>
    </row>
    <row r="979" customFormat="false" ht="15" hidden="false" customHeight="false" outlineLevel="0" collapsed="false">
      <c r="A979" s="7" t="s">
        <v>6947</v>
      </c>
      <c r="B979" s="7" t="s">
        <v>6964</v>
      </c>
      <c r="C979" s="7" t="s">
        <v>1224</v>
      </c>
      <c r="D979" s="7" t="n">
        <v>2372</v>
      </c>
      <c r="E979" s="7" t="s">
        <v>50</v>
      </c>
      <c r="F979" s="7" t="n">
        <v>-29.000386</v>
      </c>
      <c r="G979" s="7" t="n">
        <v>152.023976</v>
      </c>
      <c r="H979" s="7" t="s">
        <v>6965</v>
      </c>
    </row>
    <row r="980" customFormat="false" ht="15" hidden="false" customHeight="false" outlineLevel="0" collapsed="false">
      <c r="A980" s="7" t="s">
        <v>6947</v>
      </c>
      <c r="B980" s="7" t="s">
        <v>6987</v>
      </c>
      <c r="C980" s="7" t="s">
        <v>1225</v>
      </c>
      <c r="D980" s="7" t="n">
        <v>2069</v>
      </c>
      <c r="E980" s="7" t="s">
        <v>50</v>
      </c>
      <c r="F980" s="7" t="n">
        <v>-33.782904</v>
      </c>
      <c r="G980" s="7" t="n">
        <v>151.175213</v>
      </c>
      <c r="H980" s="7" t="s">
        <v>7080</v>
      </c>
    </row>
    <row r="981" customFormat="false" ht="15" hidden="false" customHeight="false" outlineLevel="0" collapsed="false">
      <c r="A981" s="7" t="s">
        <v>6947</v>
      </c>
      <c r="B981" s="7" t="s">
        <v>7006</v>
      </c>
      <c r="C981" s="7" t="s">
        <v>1226</v>
      </c>
      <c r="D981" s="7" t="n">
        <v>2580</v>
      </c>
      <c r="E981" s="7" t="s">
        <v>50</v>
      </c>
      <c r="F981" s="7" t="n">
        <v>-34.730257</v>
      </c>
      <c r="G981" s="7" t="n">
        <v>149.742497</v>
      </c>
      <c r="H981" s="7" t="s">
        <v>7024</v>
      </c>
    </row>
    <row r="982" customFormat="false" ht="15" hidden="false" customHeight="false" outlineLevel="0" collapsed="false">
      <c r="A982" s="7" t="s">
        <v>6947</v>
      </c>
      <c r="B982" s="7" t="s">
        <v>7052</v>
      </c>
      <c r="C982" s="7" t="s">
        <v>1227</v>
      </c>
      <c r="D982" s="7" t="n">
        <v>2154</v>
      </c>
      <c r="E982" s="7" t="s">
        <v>50</v>
      </c>
      <c r="F982" s="7" t="n">
        <v>-33.730282</v>
      </c>
      <c r="G982" s="7" t="n">
        <v>150.973411</v>
      </c>
      <c r="H982" s="7" t="s">
        <v>7053</v>
      </c>
    </row>
    <row r="983" customFormat="false" ht="15" hidden="false" customHeight="false" outlineLevel="0" collapsed="false">
      <c r="A983" s="7" t="s">
        <v>6947</v>
      </c>
      <c r="B983" s="7" t="s">
        <v>6962</v>
      </c>
      <c r="C983" s="7" t="s">
        <v>1228</v>
      </c>
      <c r="D983" s="7" t="n">
        <v>2113</v>
      </c>
      <c r="E983" s="7" t="s">
        <v>50</v>
      </c>
      <c r="F983" s="7" t="n">
        <v>-33.773191</v>
      </c>
      <c r="G983" s="7" t="n">
        <v>151.116038</v>
      </c>
      <c r="H983" s="7" t="s">
        <v>6983</v>
      </c>
    </row>
    <row r="984" customFormat="false" ht="15" hidden="false" customHeight="false" outlineLevel="0" collapsed="false">
      <c r="A984" s="7" t="s">
        <v>6947</v>
      </c>
      <c r="B984" s="7" t="s">
        <v>6964</v>
      </c>
      <c r="C984" s="7" t="s">
        <v>1229</v>
      </c>
      <c r="D984" s="7" t="n">
        <v>2020</v>
      </c>
      <c r="E984" s="7" t="s">
        <v>50</v>
      </c>
      <c r="F984" s="7" t="n">
        <v>-33.932786</v>
      </c>
      <c r="G984" s="7" t="n">
        <v>151.180293</v>
      </c>
      <c r="H984" s="7" t="s">
        <v>6965</v>
      </c>
    </row>
    <row r="985" customFormat="false" ht="15" hidden="false" customHeight="false" outlineLevel="0" collapsed="false">
      <c r="A985" s="7" t="s">
        <v>6947</v>
      </c>
      <c r="B985" s="7" t="s">
        <v>6977</v>
      </c>
      <c r="C985" s="7" t="s">
        <v>1230</v>
      </c>
      <c r="D985" s="7" t="n">
        <v>2289</v>
      </c>
      <c r="E985" s="7" t="s">
        <v>50</v>
      </c>
      <c r="F985" s="7" t="n">
        <v>-32.940794</v>
      </c>
      <c r="G985" s="7" t="n">
        <v>151.71055</v>
      </c>
      <c r="H985" s="7" t="s">
        <v>7086</v>
      </c>
    </row>
    <row r="986" customFormat="false" ht="15" hidden="false" customHeight="false" outlineLevel="0" collapsed="false">
      <c r="A986" s="7" t="s">
        <v>6947</v>
      </c>
      <c r="B986" s="7" t="s">
        <v>6962</v>
      </c>
      <c r="C986" s="7" t="s">
        <v>1231</v>
      </c>
      <c r="D986" s="7" t="n">
        <v>2303</v>
      </c>
      <c r="E986" s="7" t="s">
        <v>50</v>
      </c>
      <c r="F986" s="7" t="n">
        <v>-32.930158</v>
      </c>
      <c r="G986" s="7" t="n">
        <v>151.760634</v>
      </c>
      <c r="H986" s="7" t="s">
        <v>6979</v>
      </c>
    </row>
    <row r="987" customFormat="false" ht="15" hidden="false" customHeight="false" outlineLevel="0" collapsed="false">
      <c r="A987" s="7" t="s">
        <v>6947</v>
      </c>
      <c r="B987" s="7" t="s">
        <v>6962</v>
      </c>
      <c r="C987" s="7" t="s">
        <v>1232</v>
      </c>
      <c r="D987" s="7" t="n">
        <v>2174</v>
      </c>
      <c r="E987" s="7" t="s">
        <v>50</v>
      </c>
      <c r="F987" s="7" t="n">
        <v>-33.969097</v>
      </c>
      <c r="G987" s="7" t="n">
        <v>150.86157</v>
      </c>
      <c r="H987" s="7" t="s">
        <v>6999</v>
      </c>
    </row>
    <row r="988" customFormat="false" ht="15" hidden="false" customHeight="false" outlineLevel="0" collapsed="false">
      <c r="A988" s="7" t="s">
        <v>6947</v>
      </c>
      <c r="B988" s="7" t="s">
        <v>7052</v>
      </c>
      <c r="C988" s="7" t="s">
        <v>1233</v>
      </c>
      <c r="D988" s="7" t="n">
        <v>2317</v>
      </c>
      <c r="E988" s="7" t="s">
        <v>50</v>
      </c>
      <c r="F988" s="7" t="n">
        <v>-32.711414</v>
      </c>
      <c r="G988" s="7" t="n">
        <v>152.072093</v>
      </c>
      <c r="H988" s="7" t="s">
        <v>7079</v>
      </c>
    </row>
    <row r="989" customFormat="false" ht="15" hidden="false" customHeight="false" outlineLevel="0" collapsed="false">
      <c r="A989" s="7" t="s">
        <v>6947</v>
      </c>
      <c r="B989" s="7" t="s">
        <v>6973</v>
      </c>
      <c r="C989" s="7" t="s">
        <v>1234</v>
      </c>
      <c r="D989" s="7" t="n">
        <v>2650</v>
      </c>
      <c r="E989" s="7" t="s">
        <v>50</v>
      </c>
      <c r="F989" s="7" t="n">
        <v>-35.123479</v>
      </c>
      <c r="G989" s="7" t="n">
        <v>147.399228</v>
      </c>
      <c r="H989" s="7" t="s">
        <v>7043</v>
      </c>
    </row>
    <row r="990" customFormat="false" ht="15" hidden="false" customHeight="false" outlineLevel="0" collapsed="false">
      <c r="A990" s="7" t="s">
        <v>6947</v>
      </c>
      <c r="B990" s="7" t="s">
        <v>6962</v>
      </c>
      <c r="C990" s="7" t="s">
        <v>1235</v>
      </c>
      <c r="D990" s="7" t="n">
        <v>2317</v>
      </c>
      <c r="E990" s="7" t="s">
        <v>50</v>
      </c>
      <c r="F990" s="7" t="n">
        <v>-32.701388</v>
      </c>
      <c r="G990" s="7" t="n">
        <v>152.062647</v>
      </c>
      <c r="H990" s="7" t="s">
        <v>6980</v>
      </c>
    </row>
    <row r="991" customFormat="false" ht="15" hidden="false" customHeight="false" outlineLevel="0" collapsed="false">
      <c r="A991" s="7" t="s">
        <v>6947</v>
      </c>
      <c r="B991" s="7" t="s">
        <v>6973</v>
      </c>
      <c r="C991" s="7" t="s">
        <v>1236</v>
      </c>
      <c r="D991" s="7" t="n">
        <v>2000</v>
      </c>
      <c r="E991" s="7" t="s">
        <v>50</v>
      </c>
      <c r="F991" s="7" t="n">
        <v>-33.870523</v>
      </c>
      <c r="G991" s="7" t="n">
        <v>151.203846</v>
      </c>
      <c r="H991" s="7" t="s">
        <v>7011</v>
      </c>
    </row>
    <row r="992" customFormat="false" ht="15" hidden="false" customHeight="false" outlineLevel="0" collapsed="false">
      <c r="A992" s="7" t="s">
        <v>6947</v>
      </c>
      <c r="B992" s="7" t="s">
        <v>6962</v>
      </c>
      <c r="C992" s="7" t="s">
        <v>1237</v>
      </c>
      <c r="D992" s="7" t="n">
        <v>2550</v>
      </c>
      <c r="E992" s="7" t="s">
        <v>50</v>
      </c>
      <c r="F992" s="7" t="n">
        <v>-36.712545</v>
      </c>
      <c r="G992" s="7" t="n">
        <v>149.976018</v>
      </c>
      <c r="H992" s="7" t="s">
        <v>6983</v>
      </c>
    </row>
    <row r="993" customFormat="false" ht="15" hidden="false" customHeight="false" outlineLevel="0" collapsed="false">
      <c r="A993" s="7" t="s">
        <v>6947</v>
      </c>
      <c r="B993" s="7" t="s">
        <v>6977</v>
      </c>
      <c r="C993" s="7" t="s">
        <v>1238</v>
      </c>
      <c r="D993" s="7" t="n">
        <v>2216</v>
      </c>
      <c r="E993" s="7" t="s">
        <v>50</v>
      </c>
      <c r="F993" s="7" t="n">
        <v>-33.96125</v>
      </c>
      <c r="G993" s="7" t="n">
        <v>151.154957</v>
      </c>
      <c r="H993" s="7" t="s">
        <v>6991</v>
      </c>
    </row>
    <row r="994" customFormat="false" ht="15" hidden="false" customHeight="false" outlineLevel="0" collapsed="false">
      <c r="A994" s="7" t="s">
        <v>6947</v>
      </c>
      <c r="B994" s="7" t="s">
        <v>6962</v>
      </c>
      <c r="C994" s="7" t="s">
        <v>1239</v>
      </c>
      <c r="D994" s="7" t="n">
        <v>2500</v>
      </c>
      <c r="E994" s="7" t="s">
        <v>50</v>
      </c>
      <c r="F994" s="7" t="n">
        <v>-34.4077</v>
      </c>
      <c r="G994" s="7" t="n">
        <v>150.88064</v>
      </c>
      <c r="H994" s="7" t="s">
        <v>6983</v>
      </c>
    </row>
    <row r="995" customFormat="false" ht="15" hidden="false" customHeight="false" outlineLevel="0" collapsed="false">
      <c r="A995" s="7" t="s">
        <v>6947</v>
      </c>
      <c r="B995" s="7" t="s">
        <v>6964</v>
      </c>
      <c r="C995" s="7" t="s">
        <v>1240</v>
      </c>
      <c r="D995" s="7" t="n">
        <v>2539</v>
      </c>
      <c r="E995" s="7" t="s">
        <v>50</v>
      </c>
      <c r="F995" s="7" t="n">
        <v>-35.33529</v>
      </c>
      <c r="G995" s="7" t="n">
        <v>150.47244</v>
      </c>
      <c r="H995" s="7" t="s">
        <v>6975</v>
      </c>
    </row>
    <row r="996" customFormat="false" ht="15" hidden="false" customHeight="false" outlineLevel="0" collapsed="false">
      <c r="A996" s="7" t="s">
        <v>6947</v>
      </c>
      <c r="B996" s="7" t="s">
        <v>6962</v>
      </c>
      <c r="C996" s="7" t="s">
        <v>1241</v>
      </c>
      <c r="D996" s="7" t="n">
        <v>2308</v>
      </c>
      <c r="E996" s="7" t="s">
        <v>50</v>
      </c>
      <c r="F996" s="7" t="n">
        <v>-32.895543</v>
      </c>
      <c r="G996" s="7" t="n">
        <v>151.703996</v>
      </c>
      <c r="H996" s="7" t="s">
        <v>6998</v>
      </c>
    </row>
    <row r="997" customFormat="false" ht="15" hidden="false" customHeight="false" outlineLevel="0" collapsed="false">
      <c r="A997" s="7" t="s">
        <v>6947</v>
      </c>
      <c r="B997" s="7" t="s">
        <v>6962</v>
      </c>
      <c r="C997" s="7" t="s">
        <v>1242</v>
      </c>
      <c r="D997" s="7" t="n">
        <v>2522</v>
      </c>
      <c r="E997" s="7" t="s">
        <v>50</v>
      </c>
      <c r="F997" s="7" t="n">
        <v>-34.407957</v>
      </c>
      <c r="G997" s="7" t="n">
        <v>150.877135</v>
      </c>
      <c r="H997" s="7" t="s">
        <v>7029</v>
      </c>
    </row>
    <row r="998" customFormat="false" ht="15" hidden="false" customHeight="false" outlineLevel="0" collapsed="false">
      <c r="A998" s="7" t="s">
        <v>6947</v>
      </c>
      <c r="B998" s="7" t="s">
        <v>6977</v>
      </c>
      <c r="C998" s="7" t="s">
        <v>1243</v>
      </c>
      <c r="D998" s="7" t="n">
        <v>2678</v>
      </c>
      <c r="E998" s="7" t="s">
        <v>50</v>
      </c>
      <c r="F998" s="7" t="n">
        <v>-35.056934</v>
      </c>
      <c r="G998" s="7" t="n">
        <v>147.351259</v>
      </c>
      <c r="H998" s="7" t="s">
        <v>6989</v>
      </c>
    </row>
    <row r="999" customFormat="false" ht="15" hidden="false" customHeight="false" outlineLevel="0" collapsed="false">
      <c r="A999" s="7" t="s">
        <v>6947</v>
      </c>
      <c r="B999" s="7" t="s">
        <v>6962</v>
      </c>
      <c r="C999" s="7" t="s">
        <v>1244</v>
      </c>
      <c r="D999" s="7" t="n">
        <v>2729</v>
      </c>
      <c r="E999" s="7" t="s">
        <v>50</v>
      </c>
      <c r="F999" s="7" t="n">
        <v>-35.306255</v>
      </c>
      <c r="G999" s="7" t="n">
        <v>148.064293</v>
      </c>
      <c r="H999" s="7" t="s">
        <v>6983</v>
      </c>
    </row>
    <row r="1000" customFormat="false" ht="15" hidden="false" customHeight="false" outlineLevel="0" collapsed="false">
      <c r="A1000" s="7" t="s">
        <v>6947</v>
      </c>
      <c r="B1000" s="7" t="s">
        <v>6973</v>
      </c>
      <c r="C1000" s="7" t="s">
        <v>1245</v>
      </c>
      <c r="D1000" s="7" t="n">
        <v>2330</v>
      </c>
      <c r="E1000" s="7" t="s">
        <v>50</v>
      </c>
      <c r="F1000" s="7" t="n">
        <v>-32.576986</v>
      </c>
      <c r="G1000" s="7" t="n">
        <v>151.184214</v>
      </c>
      <c r="H1000" s="7" t="s">
        <v>7043</v>
      </c>
    </row>
    <row r="1001" customFormat="false" ht="15" hidden="false" customHeight="false" outlineLevel="0" collapsed="false">
      <c r="A1001" s="7" t="s">
        <v>6947</v>
      </c>
      <c r="B1001" s="7" t="s">
        <v>7052</v>
      </c>
      <c r="C1001" s="7" t="s">
        <v>1246</v>
      </c>
      <c r="D1001" s="7" t="n">
        <v>2800</v>
      </c>
      <c r="E1001" s="7" t="s">
        <v>50</v>
      </c>
      <c r="F1001" s="7" t="n">
        <v>-33.333684</v>
      </c>
      <c r="G1001" s="7" t="n">
        <v>149.043536</v>
      </c>
      <c r="H1001" s="7" t="s">
        <v>7078</v>
      </c>
    </row>
    <row r="1002" customFormat="false" ht="15" hidden="false" customHeight="false" outlineLevel="0" collapsed="false">
      <c r="A1002" s="7" t="s">
        <v>6947</v>
      </c>
      <c r="B1002" s="7" t="s">
        <v>7003</v>
      </c>
      <c r="C1002" s="7" t="s">
        <v>1247</v>
      </c>
      <c r="D1002" s="7" t="n">
        <v>2766</v>
      </c>
      <c r="E1002" s="7" t="s">
        <v>50</v>
      </c>
      <c r="F1002" s="7" t="n">
        <v>-33.801549</v>
      </c>
      <c r="G1002" s="7" t="n">
        <v>150.886</v>
      </c>
      <c r="H1002" s="7" t="s">
        <v>7088</v>
      </c>
    </row>
    <row r="1003" customFormat="false" ht="15" hidden="false" customHeight="false" outlineLevel="0" collapsed="false">
      <c r="A1003" s="7" t="s">
        <v>6947</v>
      </c>
      <c r="B1003" s="7" t="s">
        <v>6967</v>
      </c>
      <c r="C1003" s="7" t="s">
        <v>1249</v>
      </c>
      <c r="D1003" s="7" t="n">
        <v>2046</v>
      </c>
      <c r="E1003" s="7" t="s">
        <v>50</v>
      </c>
      <c r="F1003" s="7" t="n">
        <v>-33.868643</v>
      </c>
      <c r="G1003" s="7" t="n">
        <v>151.118584</v>
      </c>
      <c r="H1003" s="7" t="s">
        <v>7019</v>
      </c>
    </row>
    <row r="1004" customFormat="false" ht="15" hidden="false" customHeight="false" outlineLevel="0" collapsed="false">
      <c r="A1004" s="7" t="s">
        <v>6947</v>
      </c>
      <c r="B1004" s="7" t="s">
        <v>7083</v>
      </c>
      <c r="C1004" s="7" t="s">
        <v>1250</v>
      </c>
      <c r="D1004" s="7" t="n">
        <v>2790</v>
      </c>
      <c r="E1004" s="7" t="s">
        <v>50</v>
      </c>
      <c r="F1004" s="7" t="n">
        <v>-33.227352</v>
      </c>
      <c r="G1004" s="7" t="n">
        <v>150.192444</v>
      </c>
      <c r="H1004" s="7" t="s">
        <v>7084</v>
      </c>
    </row>
    <row r="1005" customFormat="false" ht="15" hidden="false" customHeight="false" outlineLevel="0" collapsed="false">
      <c r="A1005" s="7" t="s">
        <v>6947</v>
      </c>
      <c r="B1005" s="7" t="s">
        <v>6993</v>
      </c>
      <c r="C1005" s="7" t="s">
        <v>1251</v>
      </c>
      <c r="D1005" s="7" t="n">
        <v>2481</v>
      </c>
      <c r="E1005" s="7" t="s">
        <v>50</v>
      </c>
      <c r="F1005" s="7" t="n">
        <v>-28.642051</v>
      </c>
      <c r="G1005" s="7" t="n">
        <v>153.609753</v>
      </c>
      <c r="H1005" s="7" t="s">
        <v>6994</v>
      </c>
    </row>
    <row r="1006" customFormat="false" ht="15" hidden="false" customHeight="false" outlineLevel="0" collapsed="false">
      <c r="A1006" s="7" t="s">
        <v>6947</v>
      </c>
      <c r="B1006" s="7" t="s">
        <v>6960</v>
      </c>
      <c r="C1006" s="7" t="s">
        <v>1252</v>
      </c>
      <c r="D1006" s="7" t="n">
        <v>2261</v>
      </c>
      <c r="E1006" s="7" t="s">
        <v>50</v>
      </c>
      <c r="F1006" s="7" t="n">
        <v>-33.362845</v>
      </c>
      <c r="G1006" s="7" t="n">
        <v>151.444289</v>
      </c>
      <c r="H1006" s="7" t="s">
        <v>7020</v>
      </c>
    </row>
    <row r="1007" customFormat="false" ht="15" hidden="false" customHeight="false" outlineLevel="0" collapsed="false">
      <c r="A1007" s="7" t="s">
        <v>6947</v>
      </c>
      <c r="B1007" s="7" t="s">
        <v>1253</v>
      </c>
      <c r="C1007" s="7" t="s">
        <v>1254</v>
      </c>
      <c r="D1007" s="7" t="n">
        <v>2320</v>
      </c>
      <c r="E1007" s="7" t="s">
        <v>50</v>
      </c>
      <c r="F1007" s="7" t="n">
        <v>-32.716558</v>
      </c>
      <c r="G1007" s="7" t="n">
        <v>151.257288</v>
      </c>
      <c r="H1007" s="7" t="s">
        <v>7089</v>
      </c>
    </row>
    <row r="1008" customFormat="false" ht="15" hidden="false" customHeight="false" outlineLevel="0" collapsed="false">
      <c r="A1008" s="7" t="s">
        <v>6947</v>
      </c>
      <c r="B1008" s="7" t="s">
        <v>1255</v>
      </c>
      <c r="C1008" s="7" t="s">
        <v>1256</v>
      </c>
      <c r="D1008" s="7" t="n">
        <v>2250</v>
      </c>
      <c r="E1008" s="7" t="s">
        <v>50</v>
      </c>
      <c r="F1008" s="7" t="n">
        <v>-33.393116</v>
      </c>
      <c r="G1008" s="7" t="n">
        <v>151.328631</v>
      </c>
      <c r="H1008" s="7" t="s">
        <v>7089</v>
      </c>
    </row>
    <row r="1009" customFormat="false" ht="15" hidden="false" customHeight="false" outlineLevel="0" collapsed="false">
      <c r="A1009" s="7" t="s">
        <v>6947</v>
      </c>
      <c r="B1009" s="7" t="s">
        <v>1257</v>
      </c>
      <c r="C1009" s="7" t="s">
        <v>1258</v>
      </c>
      <c r="D1009" s="7" t="n">
        <v>2680</v>
      </c>
      <c r="E1009" s="7" t="s">
        <v>50</v>
      </c>
      <c r="F1009" s="7" t="n">
        <v>-34.286631</v>
      </c>
      <c r="G1009" s="7" t="n">
        <v>146.044525</v>
      </c>
      <c r="H1009" s="7" t="s">
        <v>7022</v>
      </c>
    </row>
    <row r="1010" customFormat="false" ht="15" hidden="false" customHeight="false" outlineLevel="0" collapsed="false">
      <c r="A1010" s="7" t="s">
        <v>6947</v>
      </c>
      <c r="B1010" s="7" t="s">
        <v>7090</v>
      </c>
      <c r="C1010" s="7" t="s">
        <v>1259</v>
      </c>
      <c r="D1010" s="7" t="n">
        <v>2064</v>
      </c>
      <c r="E1010" s="7" t="s">
        <v>50</v>
      </c>
      <c r="F1010" s="7" t="n">
        <v>-33.811419</v>
      </c>
      <c r="G1010" s="7" t="n">
        <v>151.175608</v>
      </c>
      <c r="H1010" s="7" t="s">
        <v>7091</v>
      </c>
    </row>
    <row r="1011" customFormat="false" ht="15" hidden="false" customHeight="false" outlineLevel="0" collapsed="false">
      <c r="A1011" s="7" t="s">
        <v>6947</v>
      </c>
      <c r="B1011" s="7" t="s">
        <v>7044</v>
      </c>
      <c r="C1011" s="7" t="s">
        <v>1261</v>
      </c>
      <c r="D1011" s="7" t="n">
        <v>2460</v>
      </c>
      <c r="E1011" s="7" t="s">
        <v>50</v>
      </c>
      <c r="F1011" s="7" t="n">
        <v>-29.934883</v>
      </c>
      <c r="G1011" s="7" t="n">
        <v>153.094795</v>
      </c>
      <c r="H1011" s="7" t="s">
        <v>7092</v>
      </c>
    </row>
    <row r="1012" customFormat="false" ht="15" hidden="false" customHeight="false" outlineLevel="0" collapsed="false">
      <c r="A1012" s="7" t="s">
        <v>6947</v>
      </c>
      <c r="B1012" s="7" t="s">
        <v>7093</v>
      </c>
      <c r="C1012" s="7" t="s">
        <v>1262</v>
      </c>
      <c r="D1012" s="7" t="n">
        <v>2207</v>
      </c>
      <c r="E1012" s="7" t="s">
        <v>50</v>
      </c>
      <c r="F1012" s="7" t="n">
        <v>-33.949337</v>
      </c>
      <c r="G1012" s="7" t="n">
        <v>151.116336</v>
      </c>
      <c r="H1012" s="7" t="s">
        <v>7094</v>
      </c>
    </row>
    <row r="1013" customFormat="false" ht="15" hidden="false" customHeight="false" outlineLevel="0" collapsed="false">
      <c r="A1013" s="7" t="s">
        <v>6947</v>
      </c>
      <c r="B1013" s="7" t="s">
        <v>7095</v>
      </c>
      <c r="C1013" s="7" t="s">
        <v>1264</v>
      </c>
      <c r="D1013" s="7" t="n">
        <v>2324</v>
      </c>
      <c r="E1013" s="7" t="s">
        <v>50</v>
      </c>
      <c r="F1013" s="7" t="n">
        <v>-32.783057</v>
      </c>
      <c r="G1013" s="7" t="n">
        <v>151.737598</v>
      </c>
      <c r="H1013" s="7" t="s">
        <v>7096</v>
      </c>
    </row>
    <row r="1014" customFormat="false" ht="15" hidden="false" customHeight="false" outlineLevel="0" collapsed="false">
      <c r="A1014" s="7" t="s">
        <v>6947</v>
      </c>
      <c r="B1014" s="7" t="s">
        <v>7095</v>
      </c>
      <c r="C1014" s="7" t="s">
        <v>1266</v>
      </c>
      <c r="D1014" s="7" t="n">
        <v>2020</v>
      </c>
      <c r="E1014" s="7" t="s">
        <v>50</v>
      </c>
      <c r="F1014" s="7" t="n">
        <v>-33.938008</v>
      </c>
      <c r="G1014" s="7" t="n">
        <v>151.192479</v>
      </c>
      <c r="H1014" s="7" t="s">
        <v>7097</v>
      </c>
    </row>
    <row r="1015" customFormat="false" ht="15" hidden="false" customHeight="false" outlineLevel="0" collapsed="false">
      <c r="A1015" s="7" t="s">
        <v>6947</v>
      </c>
      <c r="B1015" s="7" t="s">
        <v>7090</v>
      </c>
      <c r="C1015" s="7" t="s">
        <v>1267</v>
      </c>
      <c r="D1015" s="7" t="n">
        <v>2130</v>
      </c>
      <c r="E1015" s="7" t="s">
        <v>50</v>
      </c>
      <c r="F1015" s="7" t="n">
        <v>-33.892348</v>
      </c>
      <c r="G1015" s="7" t="n">
        <v>151.143119</v>
      </c>
      <c r="H1015" s="7" t="s">
        <v>7091</v>
      </c>
    </row>
    <row r="1016" customFormat="false" ht="15" hidden="false" customHeight="false" outlineLevel="0" collapsed="false">
      <c r="A1016" s="7" t="s">
        <v>6947</v>
      </c>
      <c r="B1016" s="7" t="s">
        <v>7093</v>
      </c>
      <c r="C1016" s="7" t="s">
        <v>1268</v>
      </c>
      <c r="D1016" s="7" t="n">
        <v>2161</v>
      </c>
      <c r="E1016" s="7" t="s">
        <v>50</v>
      </c>
      <c r="F1016" s="7" t="n">
        <v>-33.850991</v>
      </c>
      <c r="G1016" s="7" t="n">
        <v>150.959781</v>
      </c>
      <c r="H1016" s="7" t="s">
        <v>7098</v>
      </c>
    </row>
    <row r="1017" customFormat="false" ht="15" hidden="false" customHeight="false" outlineLevel="0" collapsed="false">
      <c r="A1017" s="7" t="s">
        <v>6947</v>
      </c>
      <c r="B1017" s="7" t="s">
        <v>7093</v>
      </c>
      <c r="C1017" s="7" t="s">
        <v>1269</v>
      </c>
      <c r="D1017" s="7" t="n">
        <v>2026</v>
      </c>
      <c r="E1017" s="7" t="s">
        <v>50</v>
      </c>
      <c r="F1017" s="7" t="n">
        <v>-33.889729</v>
      </c>
      <c r="G1017" s="7" t="n">
        <v>151.279759</v>
      </c>
      <c r="H1017" s="7" t="s">
        <v>7098</v>
      </c>
    </row>
    <row r="1018" customFormat="false" ht="15" hidden="false" customHeight="false" outlineLevel="0" collapsed="false">
      <c r="A1018" s="7" t="s">
        <v>6947</v>
      </c>
      <c r="B1018" s="7" t="s">
        <v>7095</v>
      </c>
      <c r="C1018" s="7" t="s">
        <v>1270</v>
      </c>
      <c r="D1018" s="7" t="n">
        <v>2481</v>
      </c>
      <c r="E1018" s="7" t="s">
        <v>50</v>
      </c>
      <c r="F1018" s="7" t="n">
        <v>-28.638015</v>
      </c>
      <c r="G1018" s="7" t="n">
        <v>153.585927</v>
      </c>
      <c r="H1018" s="7" t="s">
        <v>7096</v>
      </c>
    </row>
    <row r="1019" customFormat="false" ht="15" hidden="false" customHeight="false" outlineLevel="0" collapsed="false">
      <c r="A1019" s="7" t="s">
        <v>6947</v>
      </c>
      <c r="B1019" s="7" t="s">
        <v>7090</v>
      </c>
      <c r="C1019" s="7" t="s">
        <v>1271</v>
      </c>
      <c r="D1019" s="7" t="n">
        <v>2259</v>
      </c>
      <c r="E1019" s="7" t="s">
        <v>50</v>
      </c>
      <c r="F1019" s="7" t="n">
        <v>-33.305876</v>
      </c>
      <c r="G1019" s="7" t="n">
        <v>151.419746</v>
      </c>
      <c r="H1019" s="7" t="s">
        <v>7099</v>
      </c>
    </row>
    <row r="1020" customFormat="false" ht="15" hidden="false" customHeight="false" outlineLevel="0" collapsed="false">
      <c r="A1020" s="7" t="s">
        <v>6947</v>
      </c>
      <c r="B1020" s="7" t="s">
        <v>7090</v>
      </c>
      <c r="C1020" s="7" t="s">
        <v>1272</v>
      </c>
      <c r="D1020" s="7" t="n">
        <v>2290</v>
      </c>
      <c r="E1020" s="7" t="s">
        <v>50</v>
      </c>
      <c r="F1020" s="7" t="n">
        <v>-32.984761</v>
      </c>
      <c r="G1020" s="7" t="n">
        <v>151.672435</v>
      </c>
      <c r="H1020" s="7" t="s">
        <v>7100</v>
      </c>
    </row>
    <row r="1021" customFormat="false" ht="15" hidden="false" customHeight="false" outlineLevel="0" collapsed="false">
      <c r="A1021" s="7" t="s">
        <v>6947</v>
      </c>
      <c r="B1021" s="7" t="s">
        <v>556</v>
      </c>
      <c r="C1021" s="7" t="s">
        <v>1273</v>
      </c>
      <c r="D1021" s="7" t="n">
        <v>2131</v>
      </c>
      <c r="E1021" s="7" t="s">
        <v>50</v>
      </c>
      <c r="F1021" s="7" t="n">
        <v>-33.885391</v>
      </c>
      <c r="G1021" s="7" t="n">
        <v>151.132238</v>
      </c>
      <c r="H1021" s="7" t="s">
        <v>7036</v>
      </c>
    </row>
    <row r="1022" customFormat="false" ht="15" hidden="false" customHeight="false" outlineLevel="0" collapsed="false">
      <c r="A1022" s="7" t="s">
        <v>6947</v>
      </c>
      <c r="B1022" s="7" t="s">
        <v>7095</v>
      </c>
      <c r="C1022" s="7" t="s">
        <v>1275</v>
      </c>
      <c r="D1022" s="7" t="n">
        <v>2137</v>
      </c>
      <c r="E1022" s="7" t="s">
        <v>50</v>
      </c>
      <c r="F1022" s="7" t="n">
        <v>-33.84215</v>
      </c>
      <c r="G1022" s="7" t="n">
        <v>151.10819</v>
      </c>
      <c r="H1022" s="7" t="s">
        <v>7097</v>
      </c>
    </row>
    <row r="1023" customFormat="false" ht="15" hidden="false" customHeight="false" outlineLevel="0" collapsed="false">
      <c r="A1023" s="7" t="s">
        <v>6947</v>
      </c>
      <c r="B1023" s="7" t="s">
        <v>7090</v>
      </c>
      <c r="C1023" s="7" t="s">
        <v>1276</v>
      </c>
      <c r="D1023" s="7" t="n">
        <v>2830</v>
      </c>
      <c r="E1023" s="7" t="s">
        <v>50</v>
      </c>
      <c r="F1023" s="7" t="n">
        <v>-32.24445</v>
      </c>
      <c r="G1023" s="7" t="n">
        <v>148.611354</v>
      </c>
      <c r="H1023" s="7" t="s">
        <v>7099</v>
      </c>
    </row>
    <row r="1024" customFormat="false" ht="15" hidden="false" customHeight="false" outlineLevel="0" collapsed="false">
      <c r="A1024" s="7" t="s">
        <v>6947</v>
      </c>
      <c r="B1024" s="7" t="s">
        <v>7090</v>
      </c>
      <c r="C1024" s="7" t="s">
        <v>1277</v>
      </c>
      <c r="D1024" s="7" t="n">
        <v>2071</v>
      </c>
      <c r="E1024" s="7" t="s">
        <v>50</v>
      </c>
      <c r="F1024" s="7" t="n">
        <v>-33.771928</v>
      </c>
      <c r="G1024" s="7" t="n">
        <v>151.161376</v>
      </c>
      <c r="H1024" s="7" t="s">
        <v>7101</v>
      </c>
    </row>
    <row r="1025" customFormat="false" ht="15" hidden="false" customHeight="false" outlineLevel="0" collapsed="false">
      <c r="A1025" s="7" t="s">
        <v>6947</v>
      </c>
      <c r="B1025" s="7" t="s">
        <v>7095</v>
      </c>
      <c r="C1025" s="7" t="s">
        <v>1278</v>
      </c>
      <c r="D1025" s="7" t="n">
        <v>2088</v>
      </c>
      <c r="E1025" s="7" t="s">
        <v>50</v>
      </c>
      <c r="F1025" s="7" t="n">
        <v>-33.823985</v>
      </c>
      <c r="G1025" s="7" t="n">
        <v>151.240391</v>
      </c>
      <c r="H1025" s="7" t="s">
        <v>7102</v>
      </c>
    </row>
    <row r="1026" customFormat="false" ht="15" hidden="false" customHeight="false" outlineLevel="0" collapsed="false">
      <c r="A1026" s="7" t="s">
        <v>6947</v>
      </c>
      <c r="B1026" s="7" t="s">
        <v>7090</v>
      </c>
      <c r="C1026" s="7" t="s">
        <v>1279</v>
      </c>
      <c r="D1026" s="7" t="n">
        <v>2795</v>
      </c>
      <c r="E1026" s="7" t="s">
        <v>50</v>
      </c>
      <c r="F1026" s="7" t="n">
        <v>-33.419125</v>
      </c>
      <c r="G1026" s="7" t="n">
        <v>149.622005</v>
      </c>
      <c r="H1026" s="7" t="s">
        <v>7099</v>
      </c>
    </row>
    <row r="1027" customFormat="false" ht="15" hidden="false" customHeight="false" outlineLevel="0" collapsed="false">
      <c r="A1027" s="7" t="s">
        <v>6947</v>
      </c>
      <c r="B1027" s="7" t="s">
        <v>7093</v>
      </c>
      <c r="C1027" s="7" t="s">
        <v>1280</v>
      </c>
      <c r="D1027" s="7" t="n">
        <v>2103</v>
      </c>
      <c r="E1027" s="7" t="s">
        <v>50</v>
      </c>
      <c r="F1027" s="7" t="n">
        <v>-33.675388</v>
      </c>
      <c r="G1027" s="7" t="n">
        <v>151.304839</v>
      </c>
      <c r="H1027" s="7" t="s">
        <v>7094</v>
      </c>
    </row>
    <row r="1028" customFormat="false" ht="15" hidden="false" customHeight="false" outlineLevel="0" collapsed="false">
      <c r="A1028" s="7" t="s">
        <v>6947</v>
      </c>
      <c r="B1028" s="7" t="s">
        <v>7090</v>
      </c>
      <c r="C1028" s="7" t="s">
        <v>1281</v>
      </c>
      <c r="D1028" s="7" t="n">
        <v>2594</v>
      </c>
      <c r="E1028" s="7" t="s">
        <v>50</v>
      </c>
      <c r="F1028" s="7" t="n">
        <v>-34.313401</v>
      </c>
      <c r="G1028" s="7" t="n">
        <v>148.297936</v>
      </c>
      <c r="H1028" s="7" t="s">
        <v>7091</v>
      </c>
    </row>
    <row r="1029" customFormat="false" ht="15" hidden="false" customHeight="false" outlineLevel="0" collapsed="false">
      <c r="A1029" s="7" t="s">
        <v>6947</v>
      </c>
      <c r="B1029" s="7" t="s">
        <v>533</v>
      </c>
      <c r="C1029" s="7" t="s">
        <v>1282</v>
      </c>
      <c r="D1029" s="7" t="n">
        <v>2431</v>
      </c>
      <c r="E1029" s="7" t="s">
        <v>50</v>
      </c>
      <c r="F1029" s="7" t="n">
        <v>-30.88653</v>
      </c>
      <c r="G1029" s="7" t="n">
        <v>153.037957</v>
      </c>
      <c r="H1029" s="7" t="s">
        <v>6984</v>
      </c>
    </row>
    <row r="1030" customFormat="false" ht="15" hidden="false" customHeight="false" outlineLevel="0" collapsed="false">
      <c r="A1030" s="7" t="s">
        <v>6947</v>
      </c>
      <c r="B1030" s="7" t="s">
        <v>7093</v>
      </c>
      <c r="C1030" s="7" t="s">
        <v>1283</v>
      </c>
      <c r="D1030" s="7" t="n">
        <v>2154</v>
      </c>
      <c r="E1030" s="7" t="s">
        <v>50</v>
      </c>
      <c r="F1030" s="7" t="n">
        <v>-33.733177</v>
      </c>
      <c r="G1030" s="7" t="n">
        <v>151.00585</v>
      </c>
      <c r="H1030" s="7" t="s">
        <v>7094</v>
      </c>
    </row>
    <row r="1031" customFormat="false" ht="15" hidden="false" customHeight="false" outlineLevel="0" collapsed="false">
      <c r="A1031" s="7" t="s">
        <v>6947</v>
      </c>
      <c r="B1031" s="7" t="s">
        <v>7103</v>
      </c>
      <c r="C1031" s="7" t="s">
        <v>1284</v>
      </c>
      <c r="D1031" s="7" t="n">
        <v>2200</v>
      </c>
      <c r="E1031" s="7" t="s">
        <v>50</v>
      </c>
      <c r="F1031" s="7" t="n">
        <v>-33.920988</v>
      </c>
      <c r="G1031" s="7" t="n">
        <v>151.038948</v>
      </c>
      <c r="H1031" s="7" t="s">
        <v>7104</v>
      </c>
    </row>
    <row r="1032" customFormat="false" ht="15" hidden="false" customHeight="false" outlineLevel="0" collapsed="false">
      <c r="A1032" s="7" t="s">
        <v>6947</v>
      </c>
      <c r="B1032" s="7" t="s">
        <v>7093</v>
      </c>
      <c r="C1032" s="7" t="s">
        <v>1286</v>
      </c>
      <c r="D1032" s="7" t="n">
        <v>2299</v>
      </c>
      <c r="E1032" s="7" t="s">
        <v>50</v>
      </c>
      <c r="F1032" s="7" t="n">
        <v>-32.902459</v>
      </c>
      <c r="G1032" s="7" t="n">
        <v>151.689787</v>
      </c>
      <c r="H1032" s="7" t="s">
        <v>7094</v>
      </c>
    </row>
    <row r="1033" customFormat="false" ht="15" hidden="false" customHeight="false" outlineLevel="0" collapsed="false">
      <c r="A1033" s="7" t="s">
        <v>6947</v>
      </c>
      <c r="B1033" s="7" t="s">
        <v>7105</v>
      </c>
      <c r="C1033" s="7" t="s">
        <v>1287</v>
      </c>
      <c r="D1033" s="7" t="n">
        <v>2141</v>
      </c>
      <c r="E1033" s="7" t="s">
        <v>50</v>
      </c>
      <c r="F1033" s="7" t="n">
        <v>-33.853473</v>
      </c>
      <c r="G1033" s="7" t="n">
        <v>151.061542</v>
      </c>
      <c r="H1033" s="7" t="s">
        <v>7106</v>
      </c>
    </row>
    <row r="1034" customFormat="false" ht="15" hidden="false" customHeight="false" outlineLevel="0" collapsed="false">
      <c r="A1034" s="7" t="s">
        <v>6947</v>
      </c>
      <c r="B1034" s="7" t="s">
        <v>7044</v>
      </c>
      <c r="C1034" s="7" t="s">
        <v>1289</v>
      </c>
      <c r="D1034" s="7" t="n">
        <v>2530</v>
      </c>
      <c r="E1034" s="7" t="s">
        <v>50</v>
      </c>
      <c r="F1034" s="7" t="n">
        <v>-34.541225</v>
      </c>
      <c r="G1034" s="7" t="n">
        <v>150.785577</v>
      </c>
      <c r="H1034" s="7" t="s">
        <v>7092</v>
      </c>
    </row>
    <row r="1035" customFormat="false" ht="15" hidden="false" customHeight="false" outlineLevel="0" collapsed="false">
      <c r="A1035" s="7" t="s">
        <v>6947</v>
      </c>
      <c r="B1035" s="7" t="s">
        <v>7093</v>
      </c>
      <c r="C1035" s="7" t="s">
        <v>1290</v>
      </c>
      <c r="D1035" s="7" t="n">
        <v>2114</v>
      </c>
      <c r="E1035" s="7" t="s">
        <v>50</v>
      </c>
      <c r="F1035" s="7" t="n">
        <v>-33.806464</v>
      </c>
      <c r="G1035" s="7" t="n">
        <v>151.088302</v>
      </c>
      <c r="H1035" s="7" t="s">
        <v>7094</v>
      </c>
    </row>
    <row r="1036" customFormat="false" ht="15" hidden="false" customHeight="false" outlineLevel="0" collapsed="false">
      <c r="A1036" s="7" t="s">
        <v>6947</v>
      </c>
      <c r="B1036" s="7" t="s">
        <v>7093</v>
      </c>
      <c r="C1036" s="7" t="s">
        <v>1291</v>
      </c>
      <c r="D1036" s="7" t="n">
        <v>2234</v>
      </c>
      <c r="E1036" s="7" t="s">
        <v>50</v>
      </c>
      <c r="F1036" s="7" t="n">
        <v>-33.997136</v>
      </c>
      <c r="G1036" s="7" t="n">
        <v>151.042223</v>
      </c>
      <c r="H1036" s="7" t="s">
        <v>7094</v>
      </c>
    </row>
    <row r="1037" customFormat="false" ht="15" hidden="false" customHeight="false" outlineLevel="0" collapsed="false">
      <c r="A1037" s="7" t="s">
        <v>6947</v>
      </c>
      <c r="B1037" s="7" t="s">
        <v>194</v>
      </c>
      <c r="C1037" s="7" t="s">
        <v>1292</v>
      </c>
      <c r="D1037" s="7" t="n">
        <v>2640</v>
      </c>
      <c r="E1037" s="7" t="s">
        <v>50</v>
      </c>
      <c r="F1037" s="7" t="n">
        <v>-36.08195</v>
      </c>
      <c r="G1037" s="7" t="n">
        <v>146.916891</v>
      </c>
      <c r="H1037" s="7" t="s">
        <v>6984</v>
      </c>
    </row>
    <row r="1038" customFormat="false" ht="15" hidden="false" customHeight="false" outlineLevel="0" collapsed="false">
      <c r="A1038" s="7" t="s">
        <v>6947</v>
      </c>
      <c r="B1038" s="7" t="s">
        <v>7095</v>
      </c>
      <c r="C1038" s="7" t="s">
        <v>1294</v>
      </c>
      <c r="D1038" s="7" t="n">
        <v>2140</v>
      </c>
      <c r="E1038" s="7" t="s">
        <v>50</v>
      </c>
      <c r="F1038" s="7" t="n">
        <v>-33.855622</v>
      </c>
      <c r="G1038" s="7" t="n">
        <v>151.076795</v>
      </c>
      <c r="H1038" s="7" t="s">
        <v>7102</v>
      </c>
    </row>
    <row r="1039" customFormat="false" ht="15" hidden="false" customHeight="false" outlineLevel="0" collapsed="false">
      <c r="A1039" s="7" t="s">
        <v>6947</v>
      </c>
      <c r="B1039" s="7" t="s">
        <v>7095</v>
      </c>
      <c r="C1039" s="7" t="s">
        <v>1295</v>
      </c>
      <c r="D1039" s="7" t="n">
        <v>2487</v>
      </c>
      <c r="E1039" s="7" t="s">
        <v>50</v>
      </c>
      <c r="F1039" s="7" t="n">
        <v>-28.244405</v>
      </c>
      <c r="G1039" s="7" t="n">
        <v>153.557447</v>
      </c>
      <c r="H1039" s="7" t="s">
        <v>7096</v>
      </c>
    </row>
    <row r="1040" customFormat="false" ht="15" hidden="false" customHeight="false" outlineLevel="0" collapsed="false">
      <c r="A1040" s="7" t="s">
        <v>6947</v>
      </c>
      <c r="B1040" s="7" t="s">
        <v>7090</v>
      </c>
      <c r="C1040" s="7" t="s">
        <v>1296</v>
      </c>
      <c r="D1040" s="7" t="n">
        <v>2620</v>
      </c>
      <c r="E1040" s="7" t="s">
        <v>50</v>
      </c>
      <c r="F1040" s="7" t="n">
        <v>-35.351952</v>
      </c>
      <c r="G1040" s="7" t="n">
        <v>149.235013</v>
      </c>
      <c r="H1040" s="7" t="s">
        <v>7100</v>
      </c>
    </row>
    <row r="1041" customFormat="false" ht="15" hidden="false" customHeight="false" outlineLevel="0" collapsed="false">
      <c r="A1041" s="7" t="s">
        <v>6947</v>
      </c>
      <c r="B1041" s="7" t="s">
        <v>7090</v>
      </c>
      <c r="C1041" s="7" t="s">
        <v>1297</v>
      </c>
      <c r="D1041" s="7" t="n">
        <v>2020</v>
      </c>
      <c r="E1041" s="7" t="s">
        <v>50</v>
      </c>
      <c r="F1041" s="7" t="n">
        <v>-33.944035</v>
      </c>
      <c r="G1041" s="7" t="n">
        <v>151.185568</v>
      </c>
      <c r="H1041" s="7" t="s">
        <v>7099</v>
      </c>
    </row>
    <row r="1042" customFormat="false" ht="15" hidden="false" customHeight="false" outlineLevel="0" collapsed="false">
      <c r="A1042" s="7" t="s">
        <v>6947</v>
      </c>
      <c r="B1042" s="7" t="s">
        <v>7095</v>
      </c>
      <c r="C1042" s="7" t="s">
        <v>1298</v>
      </c>
      <c r="D1042" s="7" t="n">
        <v>2447</v>
      </c>
      <c r="E1042" s="7" t="s">
        <v>50</v>
      </c>
      <c r="F1042" s="7" t="n">
        <v>-30.712644</v>
      </c>
      <c r="G1042" s="7" t="n">
        <v>152.921879</v>
      </c>
      <c r="H1042" s="7" t="s">
        <v>7097</v>
      </c>
    </row>
    <row r="1043" customFormat="false" ht="15" hidden="false" customHeight="false" outlineLevel="0" collapsed="false">
      <c r="A1043" s="7" t="s">
        <v>6947</v>
      </c>
      <c r="B1043" s="7" t="s">
        <v>1299</v>
      </c>
      <c r="C1043" s="7" t="s">
        <v>1300</v>
      </c>
      <c r="D1043" s="7" t="n">
        <v>2450</v>
      </c>
      <c r="E1043" s="7" t="s">
        <v>50</v>
      </c>
      <c r="F1043" s="7" t="n">
        <v>-30.274696</v>
      </c>
      <c r="G1043" s="7" t="n">
        <v>153.13382</v>
      </c>
      <c r="H1043" s="7" t="s">
        <v>7107</v>
      </c>
    </row>
    <row r="1044" customFormat="false" ht="15" hidden="false" customHeight="false" outlineLevel="0" collapsed="false">
      <c r="A1044" s="7" t="s">
        <v>6947</v>
      </c>
      <c r="B1044" s="7" t="s">
        <v>7044</v>
      </c>
      <c r="C1044" s="7" t="s">
        <v>1302</v>
      </c>
      <c r="D1044" s="7" t="n">
        <v>2190</v>
      </c>
      <c r="E1044" s="7" t="s">
        <v>50</v>
      </c>
      <c r="F1044" s="7" t="n">
        <v>-33.894487</v>
      </c>
      <c r="G1044" s="7" t="n">
        <v>151.066696</v>
      </c>
      <c r="H1044" s="7" t="s">
        <v>7092</v>
      </c>
    </row>
    <row r="1045" customFormat="false" ht="15" hidden="false" customHeight="false" outlineLevel="0" collapsed="false">
      <c r="A1045" s="7" t="s">
        <v>6947</v>
      </c>
      <c r="B1045" s="7" t="s">
        <v>7093</v>
      </c>
      <c r="C1045" s="7" t="s">
        <v>1303</v>
      </c>
      <c r="D1045" s="7" t="n">
        <v>2036</v>
      </c>
      <c r="E1045" s="7" t="s">
        <v>50</v>
      </c>
      <c r="F1045" s="7" t="n">
        <v>-33.95198</v>
      </c>
      <c r="G1045" s="7" t="n">
        <v>151.231009</v>
      </c>
      <c r="H1045" s="7" t="s">
        <v>7094</v>
      </c>
    </row>
    <row r="1046" customFormat="false" ht="15" hidden="false" customHeight="false" outlineLevel="0" collapsed="false">
      <c r="A1046" s="7" t="s">
        <v>6947</v>
      </c>
      <c r="B1046" s="7" t="s">
        <v>7095</v>
      </c>
      <c r="C1046" s="7" t="s">
        <v>1304</v>
      </c>
      <c r="D1046" s="7" t="n">
        <v>2619</v>
      </c>
      <c r="E1046" s="7" t="s">
        <v>50</v>
      </c>
      <c r="F1046" s="7" t="n">
        <v>-35.380636</v>
      </c>
      <c r="G1046" s="7" t="n">
        <v>149.196683</v>
      </c>
      <c r="H1046" s="7" t="s">
        <v>7097</v>
      </c>
    </row>
    <row r="1047" customFormat="false" ht="15" hidden="false" customHeight="false" outlineLevel="0" collapsed="false">
      <c r="A1047" s="7" t="s">
        <v>6947</v>
      </c>
      <c r="B1047" s="7" t="s">
        <v>7044</v>
      </c>
      <c r="C1047" s="7" t="s">
        <v>1305</v>
      </c>
      <c r="D1047" s="7" t="n">
        <v>2280</v>
      </c>
      <c r="E1047" s="7" t="s">
        <v>50</v>
      </c>
      <c r="F1047" s="7" t="n">
        <v>-33.050962</v>
      </c>
      <c r="G1047" s="7" t="n">
        <v>151.655218</v>
      </c>
      <c r="H1047" s="7" t="s">
        <v>7092</v>
      </c>
    </row>
    <row r="1048" customFormat="false" ht="15" hidden="false" customHeight="false" outlineLevel="0" collapsed="false">
      <c r="A1048" s="7" t="s">
        <v>6947</v>
      </c>
      <c r="B1048" s="7" t="s">
        <v>7090</v>
      </c>
      <c r="C1048" s="7" t="s">
        <v>1306</v>
      </c>
      <c r="D1048" s="7" t="n">
        <v>2763</v>
      </c>
      <c r="E1048" s="7" t="s">
        <v>50</v>
      </c>
      <c r="F1048" s="7" t="n">
        <v>-33.729964</v>
      </c>
      <c r="G1048" s="7" t="n">
        <v>150.902284</v>
      </c>
      <c r="H1048" s="7" t="s">
        <v>7091</v>
      </c>
    </row>
    <row r="1049" customFormat="false" ht="15" hidden="false" customHeight="false" outlineLevel="0" collapsed="false">
      <c r="A1049" s="7" t="s">
        <v>6947</v>
      </c>
      <c r="B1049" s="7" t="s">
        <v>7093</v>
      </c>
      <c r="C1049" s="7" t="s">
        <v>1307</v>
      </c>
      <c r="D1049" s="7" t="n">
        <v>2575</v>
      </c>
      <c r="E1049" s="7" t="s">
        <v>50</v>
      </c>
      <c r="F1049" s="7" t="n">
        <v>-34.447063</v>
      </c>
      <c r="G1049" s="7" t="n">
        <v>150.436873</v>
      </c>
      <c r="H1049" s="7" t="s">
        <v>7094</v>
      </c>
    </row>
    <row r="1050" customFormat="false" ht="15" hidden="false" customHeight="false" outlineLevel="0" collapsed="false">
      <c r="A1050" s="7" t="s">
        <v>6947</v>
      </c>
      <c r="B1050" s="7" t="s">
        <v>1308</v>
      </c>
      <c r="C1050" s="7" t="s">
        <v>1309</v>
      </c>
      <c r="D1050" s="7" t="n">
        <v>2257</v>
      </c>
      <c r="E1050" s="7" t="s">
        <v>50</v>
      </c>
      <c r="F1050" s="7" t="n">
        <v>-33.521031</v>
      </c>
      <c r="G1050" s="7" t="n">
        <v>151.374641</v>
      </c>
      <c r="H1050" s="7" t="s">
        <v>7022</v>
      </c>
    </row>
    <row r="1051" customFormat="false" ht="15" hidden="false" customHeight="false" outlineLevel="0" collapsed="false">
      <c r="A1051" s="7" t="s">
        <v>6947</v>
      </c>
      <c r="B1051" s="7" t="s">
        <v>7044</v>
      </c>
      <c r="C1051" s="7" t="s">
        <v>1310</v>
      </c>
      <c r="D1051" s="7" t="n">
        <v>2032</v>
      </c>
      <c r="E1051" s="7" t="s">
        <v>50</v>
      </c>
      <c r="F1051" s="7" t="n">
        <v>-33.925037</v>
      </c>
      <c r="G1051" s="7" t="n">
        <v>151.225745</v>
      </c>
      <c r="H1051" s="7" t="s">
        <v>7092</v>
      </c>
    </row>
    <row r="1052" customFormat="false" ht="15" hidden="false" customHeight="false" outlineLevel="0" collapsed="false">
      <c r="A1052" s="7" t="s">
        <v>6947</v>
      </c>
      <c r="B1052" s="7" t="s">
        <v>1069</v>
      </c>
      <c r="C1052" s="7" t="s">
        <v>1311</v>
      </c>
      <c r="D1052" s="7" t="n">
        <v>2032</v>
      </c>
      <c r="E1052" s="7" t="s">
        <v>50</v>
      </c>
      <c r="F1052" s="7" t="n">
        <v>-33.924232</v>
      </c>
      <c r="G1052" s="7" t="n">
        <v>151.226679</v>
      </c>
      <c r="H1052" s="7" t="s">
        <v>7076</v>
      </c>
    </row>
    <row r="1053" customFormat="false" ht="15" hidden="false" customHeight="false" outlineLevel="0" collapsed="false">
      <c r="A1053" s="7" t="s">
        <v>6947</v>
      </c>
      <c r="B1053" s="7" t="s">
        <v>7095</v>
      </c>
      <c r="C1053" s="7" t="s">
        <v>1313</v>
      </c>
      <c r="D1053" s="7" t="n">
        <v>2131</v>
      </c>
      <c r="E1053" s="7" t="s">
        <v>50</v>
      </c>
      <c r="F1053" s="7" t="n">
        <v>-33.889437</v>
      </c>
      <c r="G1053" s="7" t="n">
        <v>151.124118</v>
      </c>
      <c r="H1053" s="7" t="s">
        <v>7102</v>
      </c>
    </row>
    <row r="1054" customFormat="false" ht="15" hidden="false" customHeight="false" outlineLevel="0" collapsed="false">
      <c r="A1054" s="7" t="s">
        <v>6947</v>
      </c>
      <c r="B1054" s="7" t="s">
        <v>7095</v>
      </c>
      <c r="C1054" s="7" t="s">
        <v>1314</v>
      </c>
      <c r="D1054" s="7" t="n">
        <v>2063</v>
      </c>
      <c r="E1054" s="7" t="s">
        <v>50</v>
      </c>
      <c r="F1054" s="7" t="n">
        <v>-33.810115</v>
      </c>
      <c r="G1054" s="7" t="n">
        <v>151.208816</v>
      </c>
      <c r="H1054" s="7" t="s">
        <v>7097</v>
      </c>
    </row>
    <row r="1055" customFormat="false" ht="15" hidden="false" customHeight="false" outlineLevel="0" collapsed="false">
      <c r="A1055" s="7" t="s">
        <v>6947</v>
      </c>
      <c r="B1055" s="7" t="s">
        <v>7095</v>
      </c>
      <c r="C1055" s="7" t="s">
        <v>1315</v>
      </c>
      <c r="D1055" s="7" t="n">
        <v>2627</v>
      </c>
      <c r="E1055" s="7" t="s">
        <v>50</v>
      </c>
      <c r="F1055" s="7" t="n">
        <v>-36.43725</v>
      </c>
      <c r="G1055" s="7" t="n">
        <v>148.601355</v>
      </c>
      <c r="H1055" s="7" t="s">
        <v>7097</v>
      </c>
    </row>
    <row r="1056" customFormat="false" ht="15" hidden="false" customHeight="false" outlineLevel="0" collapsed="false">
      <c r="A1056" s="7" t="s">
        <v>6947</v>
      </c>
      <c r="B1056" s="7" t="s">
        <v>7090</v>
      </c>
      <c r="C1056" s="7" t="s">
        <v>1316</v>
      </c>
      <c r="D1056" s="7" t="n">
        <v>2502</v>
      </c>
      <c r="E1056" s="7" t="s">
        <v>50</v>
      </c>
      <c r="F1056" s="7" t="n">
        <v>-34.488179</v>
      </c>
      <c r="G1056" s="7" t="n">
        <v>150.888074</v>
      </c>
      <c r="H1056" s="7" t="s">
        <v>7100</v>
      </c>
    </row>
    <row r="1057" customFormat="false" ht="15" hidden="false" customHeight="false" outlineLevel="0" collapsed="false">
      <c r="A1057" s="7" t="s">
        <v>6947</v>
      </c>
      <c r="B1057" s="7" t="s">
        <v>7095</v>
      </c>
      <c r="C1057" s="7" t="s">
        <v>1317</v>
      </c>
      <c r="D1057" s="7" t="n">
        <v>2000</v>
      </c>
      <c r="E1057" s="7" t="s">
        <v>50</v>
      </c>
      <c r="F1057" s="7" t="n">
        <v>-33.875882</v>
      </c>
      <c r="G1057" s="7" t="n">
        <v>151.205792</v>
      </c>
      <c r="H1057" s="7" t="s">
        <v>7097</v>
      </c>
    </row>
    <row r="1058" customFormat="false" ht="15" hidden="false" customHeight="false" outlineLevel="0" collapsed="false">
      <c r="A1058" s="7" t="s">
        <v>6947</v>
      </c>
      <c r="B1058" s="7" t="s">
        <v>1318</v>
      </c>
      <c r="C1058" s="7" t="s">
        <v>1319</v>
      </c>
      <c r="D1058" s="7" t="n">
        <v>2315</v>
      </c>
      <c r="E1058" s="7" t="s">
        <v>50</v>
      </c>
      <c r="F1058" s="7" t="n">
        <v>-32.721112</v>
      </c>
      <c r="G1058" s="7" t="n">
        <v>152.172841</v>
      </c>
      <c r="H1058" s="7" t="s">
        <v>7108</v>
      </c>
    </row>
    <row r="1059" customFormat="false" ht="15" hidden="false" customHeight="false" outlineLevel="0" collapsed="false">
      <c r="A1059" s="7" t="s">
        <v>6947</v>
      </c>
      <c r="B1059" s="7" t="s">
        <v>7093</v>
      </c>
      <c r="C1059" s="7" t="s">
        <v>1320</v>
      </c>
      <c r="D1059" s="7" t="n">
        <v>2250</v>
      </c>
      <c r="E1059" s="7" t="s">
        <v>50</v>
      </c>
      <c r="F1059" s="7" t="n">
        <v>-33.436606</v>
      </c>
      <c r="G1059" s="7" t="n">
        <v>151.392541</v>
      </c>
      <c r="H1059" s="7" t="s">
        <v>7094</v>
      </c>
    </row>
    <row r="1060" customFormat="false" ht="15" hidden="false" customHeight="false" outlineLevel="0" collapsed="false">
      <c r="A1060" s="7" t="s">
        <v>6947</v>
      </c>
      <c r="B1060" s="7" t="s">
        <v>7090</v>
      </c>
      <c r="C1060" s="7" t="s">
        <v>1321</v>
      </c>
      <c r="D1060" s="7" t="n">
        <v>2118</v>
      </c>
      <c r="E1060" s="7" t="s">
        <v>50</v>
      </c>
      <c r="F1060" s="7" t="n">
        <v>-33.763645</v>
      </c>
      <c r="G1060" s="7" t="n">
        <v>151.047408</v>
      </c>
      <c r="H1060" s="7" t="s">
        <v>7091</v>
      </c>
    </row>
    <row r="1061" customFormat="false" ht="15" hidden="false" customHeight="false" outlineLevel="0" collapsed="false">
      <c r="A1061" s="7" t="s">
        <v>6947</v>
      </c>
      <c r="B1061" s="7" t="s">
        <v>7090</v>
      </c>
      <c r="C1061" s="7" t="s">
        <v>1322</v>
      </c>
      <c r="D1061" s="7" t="n">
        <v>2485</v>
      </c>
      <c r="E1061" s="7" t="s">
        <v>50</v>
      </c>
      <c r="F1061" s="7" t="n">
        <v>-28.1859</v>
      </c>
      <c r="G1061" s="7" t="n">
        <v>153.525987</v>
      </c>
      <c r="H1061" s="7" t="s">
        <v>7091</v>
      </c>
    </row>
    <row r="1062" customFormat="false" ht="15" hidden="false" customHeight="false" outlineLevel="0" collapsed="false">
      <c r="A1062" s="7" t="s">
        <v>6947</v>
      </c>
      <c r="B1062" s="7" t="s">
        <v>7093</v>
      </c>
      <c r="C1062" s="7" t="s">
        <v>1323</v>
      </c>
      <c r="D1062" s="7" t="n">
        <v>2028</v>
      </c>
      <c r="E1062" s="7" t="s">
        <v>50</v>
      </c>
      <c r="F1062" s="7" t="n">
        <v>-33.878037</v>
      </c>
      <c r="G1062" s="7" t="n">
        <v>151.243956</v>
      </c>
      <c r="H1062" s="7" t="s">
        <v>7094</v>
      </c>
    </row>
    <row r="1063" customFormat="false" ht="15" hidden="false" customHeight="false" outlineLevel="0" collapsed="false">
      <c r="A1063" s="7" t="s">
        <v>6947</v>
      </c>
      <c r="B1063" s="7" t="s">
        <v>7093</v>
      </c>
      <c r="C1063" s="7" t="s">
        <v>1324</v>
      </c>
      <c r="D1063" s="7" t="n">
        <v>2064</v>
      </c>
      <c r="E1063" s="7" t="s">
        <v>50</v>
      </c>
      <c r="F1063" s="7" t="n">
        <v>-33.817079</v>
      </c>
      <c r="G1063" s="7" t="n">
        <v>151.188936</v>
      </c>
      <c r="H1063" s="7" t="s">
        <v>7098</v>
      </c>
    </row>
    <row r="1064" customFormat="false" ht="15" hidden="false" customHeight="false" outlineLevel="0" collapsed="false">
      <c r="A1064" s="7" t="s">
        <v>6947</v>
      </c>
      <c r="B1064" s="7" t="s">
        <v>1325</v>
      </c>
      <c r="C1064" s="7" t="s">
        <v>1326</v>
      </c>
      <c r="D1064" s="7" t="n">
        <v>2642</v>
      </c>
      <c r="E1064" s="7" t="s">
        <v>50</v>
      </c>
      <c r="F1064" s="7" t="n">
        <v>-36.214074</v>
      </c>
      <c r="G1064" s="7" t="n">
        <v>148.132409</v>
      </c>
      <c r="H1064" s="7" t="s">
        <v>7107</v>
      </c>
    </row>
    <row r="1065" customFormat="false" ht="15" hidden="false" customHeight="false" outlineLevel="0" collapsed="false">
      <c r="A1065" s="7" t="s">
        <v>6947</v>
      </c>
      <c r="B1065" s="7" t="s">
        <v>7095</v>
      </c>
      <c r="C1065" s="7" t="s">
        <v>546</v>
      </c>
      <c r="D1065" s="7" t="n">
        <v>2093</v>
      </c>
      <c r="E1065" s="7" t="s">
        <v>50</v>
      </c>
      <c r="F1065" s="7" t="n">
        <v>-33.792912</v>
      </c>
      <c r="G1065" s="7" t="n">
        <v>151.26453</v>
      </c>
      <c r="H1065" s="7" t="s">
        <v>7109</v>
      </c>
    </row>
    <row r="1066" customFormat="false" ht="15" hidden="false" customHeight="false" outlineLevel="0" collapsed="false">
      <c r="A1066" s="7" t="s">
        <v>6947</v>
      </c>
      <c r="B1066" s="7" t="s">
        <v>302</v>
      </c>
      <c r="C1066" s="7" t="s">
        <v>1327</v>
      </c>
      <c r="D1066" s="7" t="n">
        <v>2068</v>
      </c>
      <c r="E1066" s="7" t="s">
        <v>50</v>
      </c>
      <c r="F1066" s="7" t="n">
        <v>-33.807393</v>
      </c>
      <c r="G1066" s="7" t="n">
        <v>151.200067</v>
      </c>
      <c r="H1066" s="7" t="s">
        <v>6994</v>
      </c>
    </row>
    <row r="1067" customFormat="false" ht="15" hidden="false" customHeight="false" outlineLevel="0" collapsed="false">
      <c r="A1067" s="7" t="s">
        <v>6947</v>
      </c>
      <c r="B1067" s="7" t="s">
        <v>7095</v>
      </c>
      <c r="C1067" s="7" t="s">
        <v>1328</v>
      </c>
      <c r="D1067" s="7" t="n">
        <v>2541</v>
      </c>
      <c r="E1067" s="7" t="s">
        <v>50</v>
      </c>
      <c r="F1067" s="7" t="n">
        <v>-34.915856</v>
      </c>
      <c r="G1067" s="7" t="n">
        <v>150.60423</v>
      </c>
      <c r="H1067" s="7" t="s">
        <v>7096</v>
      </c>
    </row>
    <row r="1068" customFormat="false" ht="15" hidden="false" customHeight="false" outlineLevel="0" collapsed="false">
      <c r="A1068" s="7" t="s">
        <v>6947</v>
      </c>
      <c r="B1068" s="7" t="s">
        <v>7090</v>
      </c>
      <c r="C1068" s="7" t="s">
        <v>1329</v>
      </c>
      <c r="D1068" s="7" t="n">
        <v>2039</v>
      </c>
      <c r="E1068" s="7" t="s">
        <v>50</v>
      </c>
      <c r="F1068" s="7" t="n">
        <v>-33.8653</v>
      </c>
      <c r="G1068" s="7" t="n">
        <v>151.1716</v>
      </c>
      <c r="H1068" s="7" t="s">
        <v>7091</v>
      </c>
    </row>
    <row r="1069" customFormat="false" ht="15" hidden="false" customHeight="false" outlineLevel="0" collapsed="false">
      <c r="A1069" s="7" t="s">
        <v>6947</v>
      </c>
      <c r="B1069" s="7" t="s">
        <v>7090</v>
      </c>
      <c r="C1069" s="7" t="s">
        <v>1330</v>
      </c>
      <c r="D1069" s="7" t="n">
        <v>2765</v>
      </c>
      <c r="E1069" s="7" t="s">
        <v>50</v>
      </c>
      <c r="F1069" s="7" t="n">
        <v>-33.719523</v>
      </c>
      <c r="G1069" s="7" t="n">
        <v>150.844918</v>
      </c>
      <c r="H1069" s="7" t="s">
        <v>7091</v>
      </c>
    </row>
    <row r="1070" customFormat="false" ht="15" hidden="false" customHeight="false" outlineLevel="0" collapsed="false">
      <c r="A1070" s="7" t="s">
        <v>6947</v>
      </c>
      <c r="B1070" s="7" t="s">
        <v>7095</v>
      </c>
      <c r="C1070" s="7" t="s">
        <v>1331</v>
      </c>
      <c r="D1070" s="7" t="n">
        <v>2339</v>
      </c>
      <c r="E1070" s="7" t="s">
        <v>50</v>
      </c>
      <c r="F1070" s="7" t="n">
        <v>-31.649138</v>
      </c>
      <c r="G1070" s="7" t="n">
        <v>150.72663</v>
      </c>
      <c r="H1070" s="7" t="s">
        <v>7097</v>
      </c>
    </row>
    <row r="1071" customFormat="false" ht="15" hidden="false" customHeight="false" outlineLevel="0" collapsed="false">
      <c r="A1071" s="7" t="s">
        <v>6947</v>
      </c>
      <c r="B1071" s="7" t="s">
        <v>556</v>
      </c>
      <c r="C1071" s="7" t="s">
        <v>1332</v>
      </c>
      <c r="D1071" s="7" t="n">
        <v>2203</v>
      </c>
      <c r="E1071" s="7" t="s">
        <v>1333</v>
      </c>
      <c r="F1071" s="7" t="n">
        <v>-33.909859</v>
      </c>
      <c r="G1071" s="7" t="n">
        <v>151.141688</v>
      </c>
      <c r="H1071" s="7" t="s">
        <v>7036</v>
      </c>
    </row>
    <row r="1072" customFormat="false" ht="15" hidden="false" customHeight="false" outlineLevel="0" collapsed="false">
      <c r="A1072" s="7" t="s">
        <v>6947</v>
      </c>
      <c r="B1072" s="7" t="s">
        <v>7095</v>
      </c>
      <c r="C1072" s="7" t="s">
        <v>1334</v>
      </c>
      <c r="D1072" s="7" t="n">
        <v>2850</v>
      </c>
      <c r="E1072" s="7" t="s">
        <v>50</v>
      </c>
      <c r="F1072" s="7" t="n">
        <v>-32.592674</v>
      </c>
      <c r="G1072" s="7" t="n">
        <v>149.586973</v>
      </c>
      <c r="H1072" s="7" t="s">
        <v>7097</v>
      </c>
    </row>
    <row r="1073" customFormat="false" ht="15" hidden="false" customHeight="false" outlineLevel="0" collapsed="false">
      <c r="A1073" s="7" t="s">
        <v>6947</v>
      </c>
      <c r="B1073" s="7" t="s">
        <v>7090</v>
      </c>
      <c r="C1073" s="7" t="s">
        <v>1335</v>
      </c>
      <c r="D1073" s="7" t="n">
        <v>2117</v>
      </c>
      <c r="E1073" s="7" t="s">
        <v>50</v>
      </c>
      <c r="F1073" s="7" t="n">
        <v>-33.798925</v>
      </c>
      <c r="G1073" s="7" t="n">
        <v>151.054377</v>
      </c>
      <c r="H1073" s="7" t="s">
        <v>7091</v>
      </c>
    </row>
    <row r="1074" customFormat="false" ht="15" hidden="false" customHeight="false" outlineLevel="0" collapsed="false">
      <c r="A1074" s="7" t="s">
        <v>6947</v>
      </c>
      <c r="B1074" s="7" t="s">
        <v>302</v>
      </c>
      <c r="C1074" s="7" t="s">
        <v>1336</v>
      </c>
      <c r="D1074" s="7" t="n">
        <v>2094</v>
      </c>
      <c r="E1074" s="7" t="s">
        <v>50</v>
      </c>
      <c r="F1074" s="7" t="n">
        <v>-33.796445</v>
      </c>
      <c r="G1074" s="7" t="n">
        <v>151.275449</v>
      </c>
      <c r="H1074" s="7" t="s">
        <v>6994</v>
      </c>
    </row>
    <row r="1075" customFormat="false" ht="15" hidden="false" customHeight="false" outlineLevel="0" collapsed="false">
      <c r="A1075" s="7" t="s">
        <v>6947</v>
      </c>
      <c r="B1075" s="7" t="s">
        <v>7090</v>
      </c>
      <c r="C1075" s="7" t="s">
        <v>1337</v>
      </c>
      <c r="D1075" s="7" t="n">
        <v>2320</v>
      </c>
      <c r="E1075" s="7" t="s">
        <v>50</v>
      </c>
      <c r="F1075" s="7" t="n">
        <v>-32.715609</v>
      </c>
      <c r="G1075" s="7" t="n">
        <v>151.526582</v>
      </c>
      <c r="H1075" s="7" t="s">
        <v>7100</v>
      </c>
    </row>
    <row r="1076" customFormat="false" ht="15" hidden="false" customHeight="false" outlineLevel="0" collapsed="false">
      <c r="A1076" s="7" t="s">
        <v>6947</v>
      </c>
      <c r="B1076" s="7" t="s">
        <v>7110</v>
      </c>
      <c r="C1076" s="7" t="s">
        <v>1242</v>
      </c>
      <c r="D1076" s="7" t="n">
        <v>2522</v>
      </c>
      <c r="E1076" s="7" t="s">
        <v>50</v>
      </c>
      <c r="F1076" s="7" t="n">
        <v>-34.407957</v>
      </c>
      <c r="G1076" s="7" t="n">
        <v>150.877135</v>
      </c>
      <c r="H1076" s="7" t="s">
        <v>7111</v>
      </c>
    </row>
    <row r="1077" customFormat="false" ht="15" hidden="false" customHeight="false" outlineLevel="0" collapsed="false">
      <c r="A1077" s="7" t="s">
        <v>6947</v>
      </c>
      <c r="B1077" s="7" t="s">
        <v>7093</v>
      </c>
      <c r="C1077" s="7" t="s">
        <v>1339</v>
      </c>
      <c r="D1077" s="7" t="n">
        <v>2759</v>
      </c>
      <c r="E1077" s="7" t="s">
        <v>50</v>
      </c>
      <c r="F1077" s="7" t="n">
        <v>-33.804118</v>
      </c>
      <c r="G1077" s="7" t="n">
        <v>150.798898</v>
      </c>
      <c r="H1077" s="7" t="s">
        <v>7094</v>
      </c>
    </row>
    <row r="1078" customFormat="false" ht="15" hidden="false" customHeight="false" outlineLevel="0" collapsed="false">
      <c r="A1078" s="7" t="s">
        <v>6947</v>
      </c>
      <c r="B1078" s="7" t="s">
        <v>1340</v>
      </c>
      <c r="C1078" s="7" t="s">
        <v>1341</v>
      </c>
      <c r="D1078" s="7" t="n">
        <v>2508</v>
      </c>
      <c r="E1078" s="7" t="s">
        <v>50</v>
      </c>
      <c r="F1078" s="7" t="n">
        <v>-34.205571</v>
      </c>
      <c r="G1078" s="7" t="n">
        <v>150.968919</v>
      </c>
      <c r="H1078" s="7" t="s">
        <v>7112</v>
      </c>
    </row>
    <row r="1079" customFormat="false" ht="15" hidden="false" customHeight="false" outlineLevel="0" collapsed="false">
      <c r="A1079" s="7" t="s">
        <v>6947</v>
      </c>
      <c r="B1079" s="7" t="s">
        <v>1342</v>
      </c>
      <c r="C1079" s="7" t="s">
        <v>1343</v>
      </c>
      <c r="D1079" s="7" t="n">
        <v>2328</v>
      </c>
      <c r="E1079" s="7" t="s">
        <v>50</v>
      </c>
      <c r="F1079" s="7" t="n">
        <v>-32.394176</v>
      </c>
      <c r="G1079" s="7" t="n">
        <v>150.684487</v>
      </c>
      <c r="H1079" s="7" t="s">
        <v>7113</v>
      </c>
    </row>
    <row r="1080" customFormat="false" ht="15" hidden="false" customHeight="false" outlineLevel="0" collapsed="false">
      <c r="A1080" s="7" t="s">
        <v>6947</v>
      </c>
      <c r="B1080" s="7" t="s">
        <v>7090</v>
      </c>
      <c r="C1080" s="7" t="s">
        <v>1344</v>
      </c>
      <c r="D1080" s="7" t="n">
        <v>2571</v>
      </c>
      <c r="E1080" s="7" t="s">
        <v>50</v>
      </c>
      <c r="F1080" s="7" t="n">
        <v>-34.18809</v>
      </c>
      <c r="G1080" s="7" t="n">
        <v>150.607034</v>
      </c>
      <c r="H1080" s="7" t="s">
        <v>7099</v>
      </c>
    </row>
    <row r="1081" customFormat="false" ht="15" hidden="false" customHeight="false" outlineLevel="0" collapsed="false">
      <c r="A1081" s="7" t="s">
        <v>6947</v>
      </c>
      <c r="B1081" s="7" t="s">
        <v>7090</v>
      </c>
      <c r="C1081" s="7" t="s">
        <v>1345</v>
      </c>
      <c r="D1081" s="7" t="n">
        <v>2223</v>
      </c>
      <c r="E1081" s="7" t="s">
        <v>50</v>
      </c>
      <c r="F1081" s="7" t="n">
        <v>-33.970669</v>
      </c>
      <c r="G1081" s="7" t="n">
        <v>151.073689</v>
      </c>
      <c r="H1081" s="7" t="s">
        <v>7091</v>
      </c>
    </row>
    <row r="1082" customFormat="false" ht="15" hidden="false" customHeight="false" outlineLevel="0" collapsed="false">
      <c r="A1082" s="7" t="s">
        <v>6947</v>
      </c>
      <c r="B1082" s="7" t="s">
        <v>1346</v>
      </c>
      <c r="C1082" s="7" t="s">
        <v>1347</v>
      </c>
      <c r="D1082" s="7" t="n">
        <v>2404</v>
      </c>
      <c r="E1082" s="7" t="s">
        <v>50</v>
      </c>
      <c r="F1082" s="7" t="n">
        <v>-29.869128</v>
      </c>
      <c r="G1082" s="7" t="n">
        <v>150.571434</v>
      </c>
      <c r="H1082" s="7" t="s">
        <v>7113</v>
      </c>
    </row>
    <row r="1083" customFormat="false" ht="15" hidden="false" customHeight="false" outlineLevel="0" collapsed="false">
      <c r="A1083" s="7" t="s">
        <v>6947</v>
      </c>
      <c r="B1083" s="7" t="s">
        <v>7095</v>
      </c>
      <c r="C1083" s="7" t="s">
        <v>1348</v>
      </c>
      <c r="D1083" s="7" t="n">
        <v>2085</v>
      </c>
      <c r="E1083" s="7" t="s">
        <v>50</v>
      </c>
      <c r="F1083" s="7" t="n">
        <v>-33.703477</v>
      </c>
      <c r="G1083" s="7" t="n">
        <v>151.213149</v>
      </c>
      <c r="H1083" s="7" t="s">
        <v>7097</v>
      </c>
    </row>
    <row r="1084" customFormat="false" ht="15" hidden="false" customHeight="false" outlineLevel="0" collapsed="false">
      <c r="A1084" s="7" t="s">
        <v>6947</v>
      </c>
      <c r="B1084" s="7" t="s">
        <v>7095</v>
      </c>
      <c r="C1084" s="7" t="s">
        <v>1349</v>
      </c>
      <c r="D1084" s="7" t="n">
        <v>2550</v>
      </c>
      <c r="E1084" s="7" t="s">
        <v>50</v>
      </c>
      <c r="F1084" s="7" t="n">
        <v>-36.678476</v>
      </c>
      <c r="G1084" s="7" t="n">
        <v>149.839777</v>
      </c>
      <c r="H1084" s="7" t="s">
        <v>7097</v>
      </c>
    </row>
    <row r="1085" customFormat="false" ht="15" hidden="false" customHeight="false" outlineLevel="0" collapsed="false">
      <c r="A1085" s="7" t="s">
        <v>6947</v>
      </c>
      <c r="B1085" s="7" t="s">
        <v>7095</v>
      </c>
      <c r="C1085" s="7" t="s">
        <v>1350</v>
      </c>
      <c r="D1085" s="7" t="n">
        <v>2450</v>
      </c>
      <c r="E1085" s="7" t="s">
        <v>50</v>
      </c>
      <c r="F1085" s="7" t="n">
        <v>-30.295588</v>
      </c>
      <c r="G1085" s="7" t="n">
        <v>153.114628</v>
      </c>
      <c r="H1085" s="7" t="s">
        <v>7114</v>
      </c>
    </row>
    <row r="1086" customFormat="false" ht="15" hidden="false" customHeight="false" outlineLevel="0" collapsed="false">
      <c r="A1086" s="7" t="s">
        <v>6947</v>
      </c>
      <c r="B1086" s="7" t="s">
        <v>89</v>
      </c>
      <c r="C1086" s="7" t="s">
        <v>1351</v>
      </c>
      <c r="D1086" s="7" t="n">
        <v>2711</v>
      </c>
      <c r="E1086" s="7" t="s">
        <v>50</v>
      </c>
      <c r="F1086" s="7" t="n">
        <v>-34.508956</v>
      </c>
      <c r="G1086" s="7" t="n">
        <v>144.842843</v>
      </c>
      <c r="H1086" s="7" t="s">
        <v>6984</v>
      </c>
    </row>
    <row r="1087" customFormat="false" ht="15" hidden="false" customHeight="false" outlineLevel="0" collapsed="false">
      <c r="A1087" s="7" t="s">
        <v>6947</v>
      </c>
      <c r="B1087" s="7" t="s">
        <v>302</v>
      </c>
      <c r="C1087" s="7" t="s">
        <v>1352</v>
      </c>
      <c r="D1087" s="7" t="n">
        <v>2025</v>
      </c>
      <c r="E1087" s="7" t="s">
        <v>50</v>
      </c>
      <c r="F1087" s="7" t="n">
        <v>-33.888574</v>
      </c>
      <c r="G1087" s="7" t="n">
        <v>151.24441</v>
      </c>
      <c r="H1087" s="7" t="s">
        <v>6994</v>
      </c>
    </row>
    <row r="1088" customFormat="false" ht="15" hidden="false" customHeight="false" outlineLevel="0" collapsed="false">
      <c r="A1088" s="7" t="s">
        <v>6947</v>
      </c>
      <c r="B1088" s="7" t="s">
        <v>7095</v>
      </c>
      <c r="C1088" s="7" t="s">
        <v>603</v>
      </c>
      <c r="D1088" s="7" t="n">
        <v>2560</v>
      </c>
      <c r="E1088" s="7" t="s">
        <v>50</v>
      </c>
      <c r="F1088" s="7" t="n">
        <v>-34.072203</v>
      </c>
      <c r="G1088" s="7" t="n">
        <v>150.806816</v>
      </c>
      <c r="H1088" s="7" t="s">
        <v>7115</v>
      </c>
    </row>
    <row r="1089" customFormat="false" ht="15" hidden="false" customHeight="false" outlineLevel="0" collapsed="false">
      <c r="A1089" s="7" t="s">
        <v>6947</v>
      </c>
      <c r="B1089" s="7" t="s">
        <v>1353</v>
      </c>
      <c r="C1089" s="7" t="s">
        <v>1354</v>
      </c>
      <c r="D1089" s="7" t="n">
        <v>2586</v>
      </c>
      <c r="E1089" s="7" t="s">
        <v>50</v>
      </c>
      <c r="F1089" s="7" t="n">
        <v>-34.436689</v>
      </c>
      <c r="G1089" s="7" t="n">
        <v>148.723424</v>
      </c>
      <c r="H1089" s="7" t="s">
        <v>7116</v>
      </c>
    </row>
    <row r="1090" customFormat="false" ht="15" hidden="false" customHeight="false" outlineLevel="0" collapsed="false">
      <c r="A1090" s="7" t="s">
        <v>6947</v>
      </c>
      <c r="B1090" s="7" t="s">
        <v>7090</v>
      </c>
      <c r="C1090" s="7" t="s">
        <v>1356</v>
      </c>
      <c r="D1090" s="7" t="n">
        <v>2145</v>
      </c>
      <c r="E1090" s="7" t="s">
        <v>50</v>
      </c>
      <c r="F1090" s="7" t="n">
        <v>-33.815838</v>
      </c>
      <c r="G1090" s="7" t="n">
        <v>150.968757</v>
      </c>
      <c r="H1090" s="7" t="s">
        <v>7099</v>
      </c>
    </row>
    <row r="1091" customFormat="false" ht="15" hidden="false" customHeight="false" outlineLevel="0" collapsed="false">
      <c r="A1091" s="7" t="s">
        <v>6947</v>
      </c>
      <c r="B1091" s="7" t="s">
        <v>7095</v>
      </c>
      <c r="C1091" s="7" t="s">
        <v>1357</v>
      </c>
      <c r="D1091" s="7" t="n">
        <v>2135</v>
      </c>
      <c r="E1091" s="7" t="s">
        <v>50</v>
      </c>
      <c r="F1091" s="7" t="n">
        <v>-33.873225</v>
      </c>
      <c r="G1091" s="7" t="n">
        <v>151.093107</v>
      </c>
      <c r="H1091" s="7" t="s">
        <v>7102</v>
      </c>
    </row>
    <row r="1092" customFormat="false" ht="15" hidden="false" customHeight="false" outlineLevel="0" collapsed="false">
      <c r="A1092" s="7" t="s">
        <v>6947</v>
      </c>
      <c r="B1092" s="7" t="s">
        <v>7090</v>
      </c>
      <c r="C1092" s="7" t="s">
        <v>1358</v>
      </c>
      <c r="D1092" s="7" t="n">
        <v>2116</v>
      </c>
      <c r="E1092" s="7" t="s">
        <v>50</v>
      </c>
      <c r="F1092" s="7" t="n">
        <v>-33.811893</v>
      </c>
      <c r="G1092" s="7" t="n">
        <v>151.094727</v>
      </c>
      <c r="H1092" s="7" t="s">
        <v>7091</v>
      </c>
    </row>
    <row r="1093" customFormat="false" ht="15" hidden="false" customHeight="false" outlineLevel="0" collapsed="false">
      <c r="A1093" s="7" t="s">
        <v>6947</v>
      </c>
      <c r="B1093" s="7" t="s">
        <v>7090</v>
      </c>
      <c r="C1093" s="7" t="s">
        <v>1359</v>
      </c>
      <c r="D1093" s="7" t="n">
        <v>2171</v>
      </c>
      <c r="E1093" s="7" t="s">
        <v>50</v>
      </c>
      <c r="F1093" s="7" t="n">
        <v>-33.936058</v>
      </c>
      <c r="G1093" s="7" t="n">
        <v>150.845041</v>
      </c>
      <c r="H1093" s="7" t="s">
        <v>7100</v>
      </c>
    </row>
    <row r="1094" customFormat="false" ht="15" hidden="false" customHeight="false" outlineLevel="0" collapsed="false">
      <c r="A1094" s="7" t="s">
        <v>6947</v>
      </c>
      <c r="B1094" s="7" t="s">
        <v>1360</v>
      </c>
      <c r="C1094" s="7" t="s">
        <v>1361</v>
      </c>
      <c r="D1094" s="7" t="n">
        <v>2587</v>
      </c>
      <c r="E1094" s="7" t="s">
        <v>50</v>
      </c>
      <c r="F1094" s="7" t="n">
        <v>-34.562407</v>
      </c>
      <c r="G1094" s="7" t="n">
        <v>148.364106</v>
      </c>
      <c r="H1094" s="7" t="s">
        <v>7107</v>
      </c>
    </row>
    <row r="1095" customFormat="false" ht="15" hidden="false" customHeight="false" outlineLevel="0" collapsed="false">
      <c r="A1095" s="7" t="s">
        <v>6947</v>
      </c>
      <c r="B1095" s="7" t="s">
        <v>7090</v>
      </c>
      <c r="C1095" s="7" t="s">
        <v>1362</v>
      </c>
      <c r="D1095" s="7" t="n">
        <v>2177</v>
      </c>
      <c r="E1095" s="7" t="s">
        <v>50</v>
      </c>
      <c r="F1095" s="7" t="n">
        <v>-33.894281</v>
      </c>
      <c r="G1095" s="7" t="n">
        <v>150.857951</v>
      </c>
      <c r="H1095" s="7" t="s">
        <v>7091</v>
      </c>
    </row>
    <row r="1096" customFormat="false" ht="15" hidden="false" customHeight="false" outlineLevel="0" collapsed="false">
      <c r="A1096" s="7" t="s">
        <v>6947</v>
      </c>
      <c r="B1096" s="7" t="s">
        <v>7090</v>
      </c>
      <c r="C1096" s="7" t="s">
        <v>1363</v>
      </c>
      <c r="D1096" s="7" t="n">
        <v>2170</v>
      </c>
      <c r="E1096" s="7" t="s">
        <v>50</v>
      </c>
      <c r="F1096" s="7" t="n">
        <v>-33.929333</v>
      </c>
      <c r="G1096" s="7" t="n">
        <v>150.953202</v>
      </c>
      <c r="H1096" s="7" t="s">
        <v>7091</v>
      </c>
    </row>
    <row r="1097" customFormat="false" ht="15" hidden="false" customHeight="false" outlineLevel="0" collapsed="false">
      <c r="A1097" s="7" t="s">
        <v>6947</v>
      </c>
      <c r="B1097" s="7" t="s">
        <v>7090</v>
      </c>
      <c r="C1097" s="7" t="s">
        <v>1364</v>
      </c>
      <c r="D1097" s="7" t="n">
        <v>2199</v>
      </c>
      <c r="E1097" s="7" t="s">
        <v>50</v>
      </c>
      <c r="F1097" s="7" t="n">
        <v>-33.893399</v>
      </c>
      <c r="G1097" s="7" t="n">
        <v>151.038903</v>
      </c>
      <c r="H1097" s="7" t="s">
        <v>7091</v>
      </c>
    </row>
    <row r="1098" customFormat="false" ht="15" hidden="false" customHeight="false" outlineLevel="0" collapsed="false">
      <c r="A1098" s="7" t="s">
        <v>6947</v>
      </c>
      <c r="B1098" s="7" t="s">
        <v>7044</v>
      </c>
      <c r="C1098" s="7" t="s">
        <v>656</v>
      </c>
      <c r="D1098" s="7" t="n">
        <v>2567</v>
      </c>
      <c r="E1098" s="7" t="s">
        <v>50</v>
      </c>
      <c r="F1098" s="7" t="n">
        <v>-34.049537</v>
      </c>
      <c r="G1098" s="7" t="n">
        <v>150.760113</v>
      </c>
      <c r="H1098" s="7" t="s">
        <v>7045</v>
      </c>
    </row>
    <row r="1099" customFormat="false" ht="15" hidden="false" customHeight="false" outlineLevel="0" collapsed="false">
      <c r="A1099" s="7" t="s">
        <v>6947</v>
      </c>
      <c r="B1099" s="7" t="s">
        <v>194</v>
      </c>
      <c r="C1099" s="7" t="s">
        <v>1365</v>
      </c>
      <c r="D1099" s="7" t="n">
        <v>2640</v>
      </c>
      <c r="E1099" s="7" t="s">
        <v>50</v>
      </c>
      <c r="F1099" s="7" t="n">
        <v>-36.080635</v>
      </c>
      <c r="G1099" s="7" t="n">
        <v>146.921609</v>
      </c>
      <c r="H1099" s="7" t="s">
        <v>6984</v>
      </c>
    </row>
    <row r="1100" customFormat="false" ht="15" hidden="false" customHeight="false" outlineLevel="0" collapsed="false">
      <c r="A1100" s="7" t="s">
        <v>6947</v>
      </c>
      <c r="B1100" s="7" t="s">
        <v>7095</v>
      </c>
      <c r="C1100" s="7" t="s">
        <v>536</v>
      </c>
      <c r="D1100" s="7" t="n">
        <v>2525</v>
      </c>
      <c r="E1100" s="7" t="s">
        <v>50</v>
      </c>
      <c r="F1100" s="7" t="n">
        <v>-34.436615</v>
      </c>
      <c r="G1100" s="7" t="n">
        <v>150.863298</v>
      </c>
      <c r="H1100" s="7" t="s">
        <v>7109</v>
      </c>
    </row>
    <row r="1101" customFormat="false" ht="15" hidden="false" customHeight="false" outlineLevel="0" collapsed="false">
      <c r="A1101" s="7" t="s">
        <v>6947</v>
      </c>
      <c r="B1101" s="7" t="s">
        <v>7105</v>
      </c>
      <c r="C1101" s="7" t="s">
        <v>1366</v>
      </c>
      <c r="D1101" s="7" t="n">
        <v>2330</v>
      </c>
      <c r="E1101" s="7" t="s">
        <v>50</v>
      </c>
      <c r="F1101" s="7" t="n">
        <v>-32.56947</v>
      </c>
      <c r="G1101" s="7" t="n">
        <v>151.179984</v>
      </c>
      <c r="H1101" s="7" t="s">
        <v>7106</v>
      </c>
    </row>
    <row r="1102" customFormat="false" ht="15" hidden="false" customHeight="false" outlineLevel="0" collapsed="false">
      <c r="A1102" s="7" t="s">
        <v>6947</v>
      </c>
      <c r="B1102" s="7" t="s">
        <v>7093</v>
      </c>
      <c r="C1102" s="7" t="s">
        <v>1367</v>
      </c>
      <c r="D1102" s="7" t="n">
        <v>2095</v>
      </c>
      <c r="E1102" s="7" t="s">
        <v>50</v>
      </c>
      <c r="F1102" s="7" t="n">
        <v>-33.787031</v>
      </c>
      <c r="G1102" s="7" t="n">
        <v>151.281275</v>
      </c>
      <c r="H1102" s="7" t="s">
        <v>7094</v>
      </c>
    </row>
    <row r="1103" customFormat="false" ht="15" hidden="false" customHeight="false" outlineLevel="0" collapsed="false">
      <c r="A1103" s="7" t="s">
        <v>6947</v>
      </c>
      <c r="B1103" s="7" t="s">
        <v>7090</v>
      </c>
      <c r="C1103" s="7" t="s">
        <v>1368</v>
      </c>
      <c r="D1103" s="7" t="n">
        <v>2076</v>
      </c>
      <c r="E1103" s="7" t="s">
        <v>50</v>
      </c>
      <c r="F1103" s="7" t="n">
        <v>-33.7245</v>
      </c>
      <c r="G1103" s="7" t="n">
        <v>151.0901</v>
      </c>
      <c r="H1103" s="7" t="s">
        <v>7091</v>
      </c>
    </row>
    <row r="1104" customFormat="false" ht="15" hidden="false" customHeight="false" outlineLevel="0" collapsed="false">
      <c r="A1104" s="7" t="s">
        <v>6947</v>
      </c>
      <c r="B1104" s="7" t="s">
        <v>7093</v>
      </c>
      <c r="C1104" s="7" t="s">
        <v>1369</v>
      </c>
      <c r="D1104" s="7" t="n">
        <v>2127</v>
      </c>
      <c r="E1104" s="7" t="s">
        <v>50</v>
      </c>
      <c r="F1104" s="7" t="n">
        <v>-33.834299</v>
      </c>
      <c r="G1104" s="7" t="n">
        <v>151.056437</v>
      </c>
      <c r="H1104" s="7" t="s">
        <v>7094</v>
      </c>
    </row>
    <row r="1105" customFormat="false" ht="15" hidden="false" customHeight="false" outlineLevel="0" collapsed="false">
      <c r="A1105" s="7" t="s">
        <v>6947</v>
      </c>
      <c r="B1105" s="7" t="s">
        <v>7095</v>
      </c>
      <c r="C1105" s="7" t="s">
        <v>1370</v>
      </c>
      <c r="D1105" s="7" t="n">
        <v>2040</v>
      </c>
      <c r="E1105" s="7" t="s">
        <v>50</v>
      </c>
      <c r="F1105" s="7" t="n">
        <v>-33.885932</v>
      </c>
      <c r="G1105" s="7" t="n">
        <v>151.15798</v>
      </c>
      <c r="H1105" s="7" t="s">
        <v>7102</v>
      </c>
    </row>
    <row r="1106" customFormat="false" ht="15" hidden="false" customHeight="false" outlineLevel="0" collapsed="false">
      <c r="A1106" s="7" t="s">
        <v>6947</v>
      </c>
      <c r="B1106" s="7" t="s">
        <v>1371</v>
      </c>
      <c r="C1106" s="7" t="s">
        <v>1372</v>
      </c>
      <c r="D1106" s="7" t="n">
        <v>2041</v>
      </c>
      <c r="E1106" s="7" t="s">
        <v>50</v>
      </c>
      <c r="F1106" s="7" t="n">
        <v>-33.858428</v>
      </c>
      <c r="G1106" s="7" t="n">
        <v>151.186886</v>
      </c>
      <c r="H1106" s="7" t="s">
        <v>7117</v>
      </c>
    </row>
    <row r="1107" customFormat="false" ht="15" hidden="false" customHeight="false" outlineLevel="0" collapsed="false">
      <c r="A1107" s="7" t="s">
        <v>6947</v>
      </c>
      <c r="B1107" s="7" t="s">
        <v>7093</v>
      </c>
      <c r="C1107" s="7" t="s">
        <v>653</v>
      </c>
      <c r="D1107" s="7" t="n">
        <v>2282</v>
      </c>
      <c r="E1107" s="7" t="s">
        <v>50</v>
      </c>
      <c r="F1107" s="7" t="n">
        <v>-32.963798</v>
      </c>
      <c r="G1107" s="7" t="n">
        <v>151.662073</v>
      </c>
      <c r="H1107" s="7" t="s">
        <v>7094</v>
      </c>
    </row>
    <row r="1108" customFormat="false" ht="15" hidden="false" customHeight="false" outlineLevel="0" collapsed="false">
      <c r="A1108" s="7" t="s">
        <v>6947</v>
      </c>
      <c r="B1108" s="7" t="s">
        <v>7044</v>
      </c>
      <c r="C1108" s="7" t="s">
        <v>1373</v>
      </c>
      <c r="D1108" s="7" t="n">
        <v>2120</v>
      </c>
      <c r="E1108" s="7" t="s">
        <v>50</v>
      </c>
      <c r="F1108" s="7" t="n">
        <v>-33.739314</v>
      </c>
      <c r="G1108" s="7" t="n">
        <v>151.06797</v>
      </c>
      <c r="H1108" s="7" t="s">
        <v>7092</v>
      </c>
    </row>
    <row r="1109" customFormat="false" ht="15" hidden="false" customHeight="false" outlineLevel="0" collapsed="false">
      <c r="A1109" s="7" t="s">
        <v>6947</v>
      </c>
      <c r="B1109" s="7" t="s">
        <v>7095</v>
      </c>
      <c r="C1109" s="7" t="s">
        <v>1374</v>
      </c>
      <c r="D1109" s="7" t="n">
        <v>2165</v>
      </c>
      <c r="E1109" s="7" t="s">
        <v>50</v>
      </c>
      <c r="F1109" s="7" t="n">
        <v>-33.872915</v>
      </c>
      <c r="G1109" s="7" t="n">
        <v>150.958792</v>
      </c>
      <c r="H1109" s="7" t="s">
        <v>7118</v>
      </c>
    </row>
    <row r="1110" customFormat="false" ht="15" hidden="false" customHeight="false" outlineLevel="0" collapsed="false">
      <c r="A1110" s="7" t="s">
        <v>6947</v>
      </c>
      <c r="B1110" s="7" t="s">
        <v>237</v>
      </c>
      <c r="C1110" s="7" t="s">
        <v>1375</v>
      </c>
      <c r="D1110" s="7" t="n">
        <v>2293</v>
      </c>
      <c r="E1110" s="7" t="s">
        <v>50</v>
      </c>
      <c r="F1110" s="7" t="n">
        <v>-32.923023</v>
      </c>
      <c r="G1110" s="7" t="n">
        <v>151.757234</v>
      </c>
      <c r="H1110" s="7" t="s">
        <v>6983</v>
      </c>
    </row>
    <row r="1111" customFormat="false" ht="15" hidden="false" customHeight="false" outlineLevel="0" collapsed="false">
      <c r="A1111" s="7" t="s">
        <v>6947</v>
      </c>
      <c r="B1111" s="7" t="s">
        <v>7090</v>
      </c>
      <c r="C1111" s="7" t="s">
        <v>1376</v>
      </c>
      <c r="D1111" s="7" t="n">
        <v>2153</v>
      </c>
      <c r="E1111" s="7" t="s">
        <v>50</v>
      </c>
      <c r="F1111" s="7" t="n">
        <v>-33.761573</v>
      </c>
      <c r="G1111" s="7" t="n">
        <v>150.973758</v>
      </c>
      <c r="H1111" s="7" t="s">
        <v>7091</v>
      </c>
    </row>
    <row r="1112" customFormat="false" ht="15" hidden="false" customHeight="false" outlineLevel="0" collapsed="false">
      <c r="A1112" s="7" t="s">
        <v>6947</v>
      </c>
      <c r="B1112" s="7" t="s">
        <v>1377</v>
      </c>
      <c r="C1112" s="7" t="s">
        <v>1378</v>
      </c>
      <c r="D1112" s="7" t="n">
        <v>2640</v>
      </c>
      <c r="E1112" s="7" t="s">
        <v>50</v>
      </c>
      <c r="F1112" s="7" t="n">
        <v>-36.077714</v>
      </c>
      <c r="G1112" s="7" t="n">
        <v>146.943785</v>
      </c>
      <c r="H1112" s="7" t="s">
        <v>7010</v>
      </c>
    </row>
    <row r="1113" customFormat="false" ht="15" hidden="false" customHeight="false" outlineLevel="0" collapsed="false">
      <c r="A1113" s="7" t="s">
        <v>6947</v>
      </c>
      <c r="B1113" s="7" t="s">
        <v>7095</v>
      </c>
      <c r="C1113" s="7" t="s">
        <v>1379</v>
      </c>
      <c r="D1113" s="7" t="n">
        <v>2018</v>
      </c>
      <c r="E1113" s="7" t="s">
        <v>50</v>
      </c>
      <c r="F1113" s="7" t="n">
        <v>-33.924379</v>
      </c>
      <c r="G1113" s="7" t="n">
        <v>151.210394</v>
      </c>
      <c r="H1113" s="7" t="s">
        <v>7102</v>
      </c>
    </row>
    <row r="1114" customFormat="false" ht="15" hidden="false" customHeight="false" outlineLevel="0" collapsed="false">
      <c r="A1114" s="7" t="s">
        <v>6947</v>
      </c>
      <c r="B1114" s="7" t="s">
        <v>7095</v>
      </c>
      <c r="C1114" s="7" t="s">
        <v>1380</v>
      </c>
      <c r="D1114" s="7" t="n">
        <v>2033</v>
      </c>
      <c r="E1114" s="7" t="s">
        <v>50</v>
      </c>
      <c r="F1114" s="7" t="n">
        <v>-33.91683</v>
      </c>
      <c r="G1114" s="7" t="n">
        <v>151.225362</v>
      </c>
      <c r="H1114" s="7" t="s">
        <v>7097</v>
      </c>
    </row>
    <row r="1115" customFormat="false" ht="15" hidden="false" customHeight="false" outlineLevel="0" collapsed="false">
      <c r="A1115" s="7" t="s">
        <v>6947</v>
      </c>
      <c r="B1115" s="7" t="s">
        <v>1381</v>
      </c>
      <c r="C1115" s="7" t="s">
        <v>1382</v>
      </c>
      <c r="D1115" s="7" t="n">
        <v>2487</v>
      </c>
      <c r="E1115" s="7" t="s">
        <v>50</v>
      </c>
      <c r="F1115" s="7" t="n">
        <v>-28.285569</v>
      </c>
      <c r="G1115" s="7" t="n">
        <v>153.52529</v>
      </c>
      <c r="H1115" s="7" t="s">
        <v>7022</v>
      </c>
    </row>
    <row r="1116" customFormat="false" ht="15" hidden="false" customHeight="false" outlineLevel="0" collapsed="false">
      <c r="A1116" s="7" t="s">
        <v>6947</v>
      </c>
      <c r="B1116" s="7" t="s">
        <v>1383</v>
      </c>
      <c r="C1116" s="7" t="s">
        <v>1384</v>
      </c>
      <c r="D1116" s="7" t="n">
        <v>2478</v>
      </c>
      <c r="E1116" s="7" t="s">
        <v>50</v>
      </c>
      <c r="F1116" s="7" t="n">
        <v>-28.846856</v>
      </c>
      <c r="G1116" s="7" t="n">
        <v>153.555184</v>
      </c>
      <c r="H1116" s="7" t="s">
        <v>7089</v>
      </c>
    </row>
    <row r="1117" customFormat="false" ht="15" hidden="false" customHeight="false" outlineLevel="0" collapsed="false">
      <c r="A1117" s="7" t="s">
        <v>6947</v>
      </c>
      <c r="B1117" s="7" t="s">
        <v>1385</v>
      </c>
      <c r="C1117" s="7" t="s">
        <v>1386</v>
      </c>
      <c r="D1117" s="7" t="n">
        <v>2474</v>
      </c>
      <c r="E1117" s="7" t="s">
        <v>50</v>
      </c>
      <c r="F1117" s="7" t="n">
        <v>-28.615544</v>
      </c>
      <c r="G1117" s="7" t="n">
        <v>152.990109</v>
      </c>
      <c r="H1117" s="7" t="s">
        <v>7048</v>
      </c>
    </row>
    <row r="1118" customFormat="false" ht="15" hidden="false" customHeight="false" outlineLevel="0" collapsed="false">
      <c r="A1118" s="7" t="s">
        <v>6947</v>
      </c>
      <c r="B1118" s="7" t="s">
        <v>1387</v>
      </c>
      <c r="C1118" s="7" t="s">
        <v>1388</v>
      </c>
      <c r="D1118" s="7" t="n">
        <v>2480</v>
      </c>
      <c r="E1118" s="7" t="s">
        <v>50</v>
      </c>
      <c r="F1118" s="7" t="n">
        <v>-28.595333</v>
      </c>
      <c r="G1118" s="7" t="n">
        <v>153.226753</v>
      </c>
      <c r="H1118" s="7" t="s">
        <v>7022</v>
      </c>
    </row>
    <row r="1119" customFormat="false" ht="15" hidden="false" customHeight="false" outlineLevel="0" collapsed="false">
      <c r="A1119" s="7" t="s">
        <v>6947</v>
      </c>
      <c r="B1119" s="7" t="s">
        <v>1389</v>
      </c>
      <c r="C1119" s="7" t="s">
        <v>1390</v>
      </c>
      <c r="D1119" s="7" t="n">
        <v>2481</v>
      </c>
      <c r="E1119" s="7" t="s">
        <v>50</v>
      </c>
      <c r="F1119" s="7" t="n">
        <v>-28.625887</v>
      </c>
      <c r="G1119" s="7" t="n">
        <v>153.587066</v>
      </c>
      <c r="H1119" s="7" t="s">
        <v>7022</v>
      </c>
    </row>
    <row r="1120" customFormat="false" ht="15" hidden="false" customHeight="false" outlineLevel="0" collapsed="false">
      <c r="A1120" s="7" t="s">
        <v>6947</v>
      </c>
      <c r="B1120" s="7" t="s">
        <v>1391</v>
      </c>
      <c r="C1120" s="7" t="s">
        <v>1392</v>
      </c>
      <c r="D1120" s="7" t="n">
        <v>2463</v>
      </c>
      <c r="E1120" s="7" t="s">
        <v>50</v>
      </c>
      <c r="F1120" s="7" t="n">
        <v>-29.39484</v>
      </c>
      <c r="G1120" s="7" t="n">
        <v>153.312118</v>
      </c>
      <c r="H1120" s="7" t="s">
        <v>7022</v>
      </c>
    </row>
    <row r="1121" customFormat="false" ht="15" hidden="false" customHeight="false" outlineLevel="0" collapsed="false">
      <c r="A1121" s="7" t="s">
        <v>6947</v>
      </c>
      <c r="B1121" s="7" t="s">
        <v>1393</v>
      </c>
      <c r="C1121" s="7" t="s">
        <v>1394</v>
      </c>
      <c r="D1121" s="7" t="n">
        <v>2357</v>
      </c>
      <c r="E1121" s="7" t="s">
        <v>50</v>
      </c>
      <c r="F1121" s="7" t="n">
        <v>-31.273104</v>
      </c>
      <c r="G1121" s="7" t="n">
        <v>149.279218</v>
      </c>
      <c r="H1121" s="7" t="s">
        <v>7089</v>
      </c>
    </row>
    <row r="1122" customFormat="false" ht="15" hidden="false" customHeight="false" outlineLevel="0" collapsed="false">
      <c r="A1122" s="7" t="s">
        <v>6947</v>
      </c>
      <c r="B1122" s="7" t="s">
        <v>1395</v>
      </c>
      <c r="C1122" s="7" t="s">
        <v>1396</v>
      </c>
      <c r="D1122" s="7" t="n">
        <v>2390</v>
      </c>
      <c r="E1122" s="7" t="s">
        <v>1397</v>
      </c>
      <c r="F1122" s="7" t="n">
        <v>-30.327861</v>
      </c>
      <c r="G1122" s="7" t="n">
        <v>149.785666</v>
      </c>
      <c r="H1122" s="7" t="s">
        <v>7089</v>
      </c>
    </row>
    <row r="1123" customFormat="false" ht="15" hidden="false" customHeight="false" outlineLevel="0" collapsed="false">
      <c r="A1123" s="7" t="s">
        <v>6947</v>
      </c>
      <c r="B1123" s="7" t="s">
        <v>1398</v>
      </c>
      <c r="C1123" s="7" t="s">
        <v>1399</v>
      </c>
      <c r="D1123" s="7" t="n">
        <v>2340</v>
      </c>
      <c r="E1123" s="7" t="s">
        <v>50</v>
      </c>
      <c r="F1123" s="7" t="n">
        <v>-31.100102</v>
      </c>
      <c r="G1123" s="7" t="n">
        <v>150.940734</v>
      </c>
      <c r="H1123" s="7" t="s">
        <v>7089</v>
      </c>
    </row>
    <row r="1124" customFormat="false" ht="15" hidden="false" customHeight="false" outlineLevel="0" collapsed="false">
      <c r="A1124" s="7" t="s">
        <v>6947</v>
      </c>
      <c r="B1124" s="7" t="s">
        <v>1400</v>
      </c>
      <c r="C1124" s="7" t="s">
        <v>1401</v>
      </c>
      <c r="D1124" s="7" t="n">
        <v>2428</v>
      </c>
      <c r="E1124" s="7" t="s">
        <v>50</v>
      </c>
      <c r="F1124" s="7" t="n">
        <v>-32.186889</v>
      </c>
      <c r="G1124" s="7" t="n">
        <v>152.527904</v>
      </c>
      <c r="H1124" s="7" t="s">
        <v>7089</v>
      </c>
    </row>
    <row r="1125" customFormat="false" ht="15" hidden="false" customHeight="false" outlineLevel="0" collapsed="false">
      <c r="A1125" s="7" t="s">
        <v>6947</v>
      </c>
      <c r="B1125" s="7" t="s">
        <v>1402</v>
      </c>
      <c r="C1125" s="7" t="s">
        <v>1403</v>
      </c>
      <c r="D1125" s="7" t="n">
        <v>2430</v>
      </c>
      <c r="E1125" s="7" t="s">
        <v>50</v>
      </c>
      <c r="F1125" s="7" t="n">
        <v>-31.915015</v>
      </c>
      <c r="G1125" s="7" t="n">
        <v>152.459983</v>
      </c>
      <c r="H1125" s="7" t="s">
        <v>7022</v>
      </c>
    </row>
    <row r="1126" customFormat="false" ht="15" hidden="false" customHeight="false" outlineLevel="0" collapsed="false">
      <c r="A1126" s="7" t="s">
        <v>6947</v>
      </c>
      <c r="B1126" s="7" t="s">
        <v>1404</v>
      </c>
      <c r="C1126" s="7" t="s">
        <v>1405</v>
      </c>
      <c r="D1126" s="7" t="n">
        <v>2444</v>
      </c>
      <c r="E1126" s="7" t="s">
        <v>50</v>
      </c>
      <c r="F1126" s="7" t="n">
        <v>-31.45128</v>
      </c>
      <c r="G1126" s="7" t="n">
        <v>152.886164</v>
      </c>
      <c r="H1126" s="7" t="s">
        <v>7048</v>
      </c>
    </row>
    <row r="1127" customFormat="false" ht="15" hidden="false" customHeight="false" outlineLevel="0" collapsed="false">
      <c r="A1127" s="7" t="s">
        <v>6947</v>
      </c>
      <c r="B1127" s="7" t="s">
        <v>1406</v>
      </c>
      <c r="C1127" s="7" t="s">
        <v>1407</v>
      </c>
      <c r="D1127" s="7" t="n">
        <v>2333</v>
      </c>
      <c r="E1127" s="7" t="s">
        <v>50</v>
      </c>
      <c r="F1127" s="7" t="n">
        <v>-32.283618</v>
      </c>
      <c r="G1127" s="7" t="n">
        <v>150.895286</v>
      </c>
      <c r="H1127" s="7" t="s">
        <v>7089</v>
      </c>
    </row>
    <row r="1128" customFormat="false" ht="15" hidden="false" customHeight="false" outlineLevel="0" collapsed="false">
      <c r="A1128" s="7" t="s">
        <v>6947</v>
      </c>
      <c r="B1128" s="7" t="s">
        <v>1408</v>
      </c>
      <c r="C1128" s="7" t="s">
        <v>1409</v>
      </c>
      <c r="D1128" s="7" t="n">
        <v>2444</v>
      </c>
      <c r="E1128" s="7" t="s">
        <v>50</v>
      </c>
      <c r="F1128" s="7" t="n">
        <v>-31.443168</v>
      </c>
      <c r="G1128" s="7" t="n">
        <v>152.923258</v>
      </c>
      <c r="H1128" s="7" t="s">
        <v>7119</v>
      </c>
    </row>
    <row r="1129" customFormat="false" ht="15" hidden="false" customHeight="false" outlineLevel="0" collapsed="false">
      <c r="A1129" s="7" t="s">
        <v>6947</v>
      </c>
      <c r="B1129" s="7" t="s">
        <v>1402</v>
      </c>
      <c r="C1129" s="7" t="s">
        <v>1410</v>
      </c>
      <c r="D1129" s="7" t="n">
        <v>2430</v>
      </c>
      <c r="E1129" s="7" t="s">
        <v>50</v>
      </c>
      <c r="F1129" s="7" t="n">
        <v>-31.934185</v>
      </c>
      <c r="G1129" s="7" t="n">
        <v>152.464983</v>
      </c>
      <c r="H1129" s="7" t="s">
        <v>7022</v>
      </c>
    </row>
    <row r="1130" customFormat="false" ht="15" hidden="false" customHeight="false" outlineLevel="0" collapsed="false">
      <c r="A1130" s="7" t="s">
        <v>6947</v>
      </c>
      <c r="B1130" s="7" t="s">
        <v>1411</v>
      </c>
      <c r="C1130" s="7" t="s">
        <v>1412</v>
      </c>
      <c r="D1130" s="7" t="n">
        <v>2850</v>
      </c>
      <c r="E1130" s="7" t="s">
        <v>50</v>
      </c>
      <c r="F1130" s="7" t="n">
        <v>-32.681111</v>
      </c>
      <c r="G1130" s="7" t="n">
        <v>149.705102</v>
      </c>
      <c r="H1130" s="7" t="s">
        <v>7022</v>
      </c>
    </row>
    <row r="1131" customFormat="false" ht="15" hidden="false" customHeight="false" outlineLevel="0" collapsed="false">
      <c r="A1131" s="7" t="s">
        <v>6947</v>
      </c>
      <c r="B1131" s="7" t="s">
        <v>1413</v>
      </c>
      <c r="C1131" s="7" t="s">
        <v>1414</v>
      </c>
      <c r="D1131" s="7" t="n">
        <v>2850</v>
      </c>
      <c r="E1131" s="7" t="s">
        <v>50</v>
      </c>
      <c r="F1131" s="7" t="n">
        <v>-32.612219</v>
      </c>
      <c r="G1131" s="7" t="n">
        <v>149.595867</v>
      </c>
      <c r="H1131" s="7" t="s">
        <v>7022</v>
      </c>
    </row>
    <row r="1132" customFormat="false" ht="15" hidden="false" customHeight="false" outlineLevel="0" collapsed="false">
      <c r="A1132" s="7" t="s">
        <v>6947</v>
      </c>
      <c r="B1132" s="7" t="s">
        <v>1415</v>
      </c>
      <c r="C1132" s="7" t="s">
        <v>1416</v>
      </c>
      <c r="D1132" s="7" t="n">
        <v>2850</v>
      </c>
      <c r="E1132" s="7" t="s">
        <v>50</v>
      </c>
      <c r="F1132" s="7" t="n">
        <v>-32.56084</v>
      </c>
      <c r="G1132" s="7" t="n">
        <v>149.62468</v>
      </c>
      <c r="H1132" s="7" t="s">
        <v>7089</v>
      </c>
    </row>
    <row r="1133" customFormat="false" ht="15" hidden="false" customHeight="false" outlineLevel="0" collapsed="false">
      <c r="A1133" s="7" t="s">
        <v>6947</v>
      </c>
      <c r="B1133" s="7" t="s">
        <v>1417</v>
      </c>
      <c r="C1133" s="7" t="s">
        <v>1418</v>
      </c>
      <c r="D1133" s="7" t="n">
        <v>2850</v>
      </c>
      <c r="E1133" s="7" t="s">
        <v>50</v>
      </c>
      <c r="F1133" s="7" t="n">
        <v>-32.606438</v>
      </c>
      <c r="G1133" s="7" t="n">
        <v>149.598797</v>
      </c>
      <c r="H1133" s="7" t="s">
        <v>7089</v>
      </c>
    </row>
    <row r="1134" customFormat="false" ht="15" hidden="false" customHeight="false" outlineLevel="0" collapsed="false">
      <c r="A1134" s="7" t="s">
        <v>6947</v>
      </c>
      <c r="B1134" s="7" t="s">
        <v>1419</v>
      </c>
      <c r="C1134" s="7" t="s">
        <v>1420</v>
      </c>
      <c r="D1134" s="7" t="n">
        <v>2335</v>
      </c>
      <c r="E1134" s="7" t="s">
        <v>50</v>
      </c>
      <c r="F1134" s="7" t="n">
        <v>-32.669893</v>
      </c>
      <c r="G1134" s="7" t="n">
        <v>151.350755</v>
      </c>
      <c r="H1134" s="7" t="s">
        <v>7022</v>
      </c>
    </row>
    <row r="1135" customFormat="false" ht="15" hidden="false" customHeight="false" outlineLevel="0" collapsed="false">
      <c r="A1135" s="7" t="s">
        <v>6947</v>
      </c>
      <c r="B1135" s="7" t="s">
        <v>1421</v>
      </c>
      <c r="C1135" s="7" t="s">
        <v>1422</v>
      </c>
      <c r="D1135" s="7" t="n">
        <v>2320</v>
      </c>
      <c r="E1135" s="7" t="s">
        <v>50</v>
      </c>
      <c r="F1135" s="7" t="n">
        <v>-32.702698</v>
      </c>
      <c r="G1135" s="7" t="n">
        <v>151.258256</v>
      </c>
      <c r="H1135" s="7" t="s">
        <v>7016</v>
      </c>
    </row>
    <row r="1136" customFormat="false" ht="15" hidden="false" customHeight="false" outlineLevel="0" collapsed="false">
      <c r="A1136" s="7" t="s">
        <v>6947</v>
      </c>
      <c r="B1136" s="7" t="s">
        <v>1423</v>
      </c>
      <c r="C1136" s="7" t="s">
        <v>1424</v>
      </c>
      <c r="D1136" s="7" t="n">
        <v>2320</v>
      </c>
      <c r="E1136" s="7" t="s">
        <v>50</v>
      </c>
      <c r="F1136" s="7" t="n">
        <v>-32.693746</v>
      </c>
      <c r="G1136" s="7" t="n">
        <v>151.262329</v>
      </c>
      <c r="H1136" s="7" t="s">
        <v>7089</v>
      </c>
    </row>
    <row r="1137" customFormat="false" ht="15" hidden="false" customHeight="false" outlineLevel="0" collapsed="false">
      <c r="A1137" s="7" t="s">
        <v>6947</v>
      </c>
      <c r="B1137" s="7" t="s">
        <v>1425</v>
      </c>
      <c r="C1137" s="7" t="s">
        <v>1426</v>
      </c>
      <c r="D1137" s="7" t="n">
        <v>2319</v>
      </c>
      <c r="E1137" s="7" t="s">
        <v>50</v>
      </c>
      <c r="F1137" s="7" t="n">
        <v>-32.731023</v>
      </c>
      <c r="G1137" s="7" t="n">
        <v>152.039877</v>
      </c>
      <c r="H1137" s="7" t="s">
        <v>7022</v>
      </c>
    </row>
    <row r="1138" customFormat="false" ht="15" hidden="false" customHeight="false" outlineLevel="0" collapsed="false">
      <c r="A1138" s="7" t="s">
        <v>6947</v>
      </c>
      <c r="B1138" s="7" t="s">
        <v>1427</v>
      </c>
      <c r="C1138" s="7" t="s">
        <v>1428</v>
      </c>
      <c r="D1138" s="7" t="n">
        <v>2328</v>
      </c>
      <c r="E1138" s="7" t="s">
        <v>50</v>
      </c>
      <c r="F1138" s="7" t="n">
        <v>-32.383189</v>
      </c>
      <c r="G1138" s="7" t="n">
        <v>150.68188</v>
      </c>
      <c r="H1138" s="7" t="s">
        <v>7048</v>
      </c>
    </row>
    <row r="1139" customFormat="false" ht="15" hidden="false" customHeight="false" outlineLevel="0" collapsed="false">
      <c r="A1139" s="7" t="s">
        <v>6947</v>
      </c>
      <c r="B1139" s="7" t="s">
        <v>1429</v>
      </c>
      <c r="C1139" s="7" t="s">
        <v>1430</v>
      </c>
      <c r="D1139" s="7" t="n">
        <v>2790</v>
      </c>
      <c r="E1139" s="7" t="s">
        <v>50</v>
      </c>
      <c r="F1139" s="7" t="n">
        <v>-33.477304</v>
      </c>
      <c r="G1139" s="7" t="n">
        <v>150.221031</v>
      </c>
      <c r="H1139" s="7" t="s">
        <v>7022</v>
      </c>
    </row>
    <row r="1140" customFormat="false" ht="15" hidden="false" customHeight="false" outlineLevel="0" collapsed="false">
      <c r="A1140" s="7" t="s">
        <v>6947</v>
      </c>
      <c r="B1140" s="7" t="s">
        <v>1431</v>
      </c>
      <c r="C1140" s="7" t="s">
        <v>1432</v>
      </c>
      <c r="D1140" s="7" t="n">
        <v>2800</v>
      </c>
      <c r="E1140" s="7" t="s">
        <v>50</v>
      </c>
      <c r="F1140" s="7" t="n">
        <v>-33.315586</v>
      </c>
      <c r="G1140" s="7" t="n">
        <v>149.090134</v>
      </c>
      <c r="H1140" s="7" t="s">
        <v>7119</v>
      </c>
    </row>
    <row r="1141" customFormat="false" ht="15" hidden="false" customHeight="false" outlineLevel="0" collapsed="false">
      <c r="A1141" s="7" t="s">
        <v>6947</v>
      </c>
      <c r="B1141" s="7" t="s">
        <v>1433</v>
      </c>
      <c r="C1141" s="7" t="s">
        <v>1434</v>
      </c>
      <c r="D1141" s="7" t="n">
        <v>2798</v>
      </c>
      <c r="E1141" s="7" t="s">
        <v>50</v>
      </c>
      <c r="F1141" s="7" t="n">
        <v>-33.445766</v>
      </c>
      <c r="G1141" s="7" t="n">
        <v>149.184589</v>
      </c>
      <c r="H1141" s="7" t="s">
        <v>7089</v>
      </c>
    </row>
    <row r="1142" customFormat="false" ht="15" hidden="false" customHeight="false" outlineLevel="0" collapsed="false">
      <c r="A1142" s="7" t="s">
        <v>6947</v>
      </c>
      <c r="B1142" s="7" t="s">
        <v>1436</v>
      </c>
      <c r="C1142" s="7" t="s">
        <v>1437</v>
      </c>
      <c r="D1142" s="7" t="n">
        <v>2284</v>
      </c>
      <c r="E1142" s="7" t="s">
        <v>50</v>
      </c>
      <c r="F1142" s="7" t="n">
        <v>-32.968337</v>
      </c>
      <c r="G1142" s="7" t="n">
        <v>151.606128</v>
      </c>
      <c r="H1142" s="7" t="s">
        <v>7022</v>
      </c>
    </row>
    <row r="1143" customFormat="false" ht="15" hidden="false" customHeight="false" outlineLevel="0" collapsed="false">
      <c r="A1143" s="7" t="s">
        <v>6947</v>
      </c>
      <c r="B1143" s="7" t="s">
        <v>1438</v>
      </c>
      <c r="C1143" s="7" t="s">
        <v>1439</v>
      </c>
      <c r="D1143" s="7" t="n">
        <v>2325</v>
      </c>
      <c r="E1143" s="7" t="s">
        <v>50</v>
      </c>
      <c r="F1143" s="7" t="n">
        <v>-32.990431</v>
      </c>
      <c r="G1143" s="7" t="n">
        <v>151.130706</v>
      </c>
      <c r="H1143" s="7" t="s">
        <v>7089</v>
      </c>
    </row>
    <row r="1144" customFormat="false" ht="15" hidden="false" customHeight="false" outlineLevel="0" collapsed="false">
      <c r="A1144" s="7" t="s">
        <v>6947</v>
      </c>
      <c r="B1144" s="7" t="s">
        <v>1440</v>
      </c>
      <c r="C1144" s="7" t="s">
        <v>1441</v>
      </c>
      <c r="D1144" s="7" t="n">
        <v>2307</v>
      </c>
      <c r="E1144" s="7" t="s">
        <v>50</v>
      </c>
      <c r="F1144" s="7" t="n">
        <v>-32.876347</v>
      </c>
      <c r="G1144" s="7" t="n">
        <v>151.696633</v>
      </c>
      <c r="H1144" s="7" t="s">
        <v>7022</v>
      </c>
    </row>
    <row r="1145" customFormat="false" ht="15" hidden="false" customHeight="false" outlineLevel="0" collapsed="false">
      <c r="A1145" s="7" t="s">
        <v>6947</v>
      </c>
      <c r="B1145" s="7" t="s">
        <v>1442</v>
      </c>
      <c r="C1145" s="7" t="s">
        <v>1443</v>
      </c>
      <c r="D1145" s="7" t="n">
        <v>2280</v>
      </c>
      <c r="E1145" s="7" t="s">
        <v>50</v>
      </c>
      <c r="F1145" s="7" t="n">
        <v>-33.010143</v>
      </c>
      <c r="G1145" s="7" t="n">
        <v>151.672687</v>
      </c>
      <c r="H1145" s="7" t="s">
        <v>7022</v>
      </c>
    </row>
    <row r="1146" customFormat="false" ht="15" hidden="false" customHeight="false" outlineLevel="0" collapsed="false">
      <c r="A1146" s="7" t="s">
        <v>6947</v>
      </c>
      <c r="B1146" s="7" t="s">
        <v>1444</v>
      </c>
      <c r="C1146" s="7" t="s">
        <v>1445</v>
      </c>
      <c r="D1146" s="7" t="n">
        <v>2281</v>
      </c>
      <c r="E1146" s="7" t="s">
        <v>50</v>
      </c>
      <c r="F1146" s="7" t="n">
        <v>-33.104721</v>
      </c>
      <c r="G1146" s="7" t="n">
        <v>151.64765</v>
      </c>
      <c r="H1146" s="7" t="s">
        <v>7016</v>
      </c>
    </row>
    <row r="1147" customFormat="false" ht="15" hidden="false" customHeight="false" outlineLevel="0" collapsed="false">
      <c r="A1147" s="7" t="s">
        <v>6947</v>
      </c>
      <c r="B1147" s="7" t="s">
        <v>1446</v>
      </c>
      <c r="C1147" s="7" t="s">
        <v>1447</v>
      </c>
      <c r="D1147" s="7" t="n">
        <v>2083</v>
      </c>
      <c r="E1147" s="7" t="s">
        <v>50</v>
      </c>
      <c r="F1147" s="7" t="n">
        <v>-33.549392</v>
      </c>
      <c r="G1147" s="7" t="n">
        <v>151.201616</v>
      </c>
      <c r="H1147" s="7" t="s">
        <v>7089</v>
      </c>
    </row>
    <row r="1148" customFormat="false" ht="15" hidden="false" customHeight="false" outlineLevel="0" collapsed="false">
      <c r="A1148" s="7" t="s">
        <v>6947</v>
      </c>
      <c r="B1148" s="7" t="s">
        <v>7037</v>
      </c>
      <c r="C1148" s="7" t="s">
        <v>1448</v>
      </c>
      <c r="D1148" s="7" t="n">
        <v>2640</v>
      </c>
      <c r="E1148" s="7" t="s">
        <v>50</v>
      </c>
      <c r="F1148" s="7" t="n">
        <v>-35.915114</v>
      </c>
      <c r="G1148" s="7" t="n">
        <v>147.322613</v>
      </c>
      <c r="H1148" s="7" t="s">
        <v>7089</v>
      </c>
    </row>
    <row r="1149" customFormat="false" ht="15" hidden="false" customHeight="false" outlineLevel="0" collapsed="false">
      <c r="A1149" s="7" t="s">
        <v>6947</v>
      </c>
      <c r="B1149" s="7" t="s">
        <v>1449</v>
      </c>
      <c r="C1149" s="7" t="s">
        <v>1450</v>
      </c>
      <c r="D1149" s="7" t="n">
        <v>2538</v>
      </c>
      <c r="E1149" s="7" t="s">
        <v>50</v>
      </c>
      <c r="F1149" s="7" t="n">
        <v>-35.334356</v>
      </c>
      <c r="G1149" s="7" t="n">
        <v>150.416016</v>
      </c>
      <c r="H1149" s="7" t="s">
        <v>7089</v>
      </c>
    </row>
    <row r="1150" customFormat="false" ht="15" hidden="false" customHeight="false" outlineLevel="0" collapsed="false">
      <c r="A1150" s="7" t="s">
        <v>6947</v>
      </c>
      <c r="B1150" s="7" t="s">
        <v>1451</v>
      </c>
      <c r="C1150" s="7" t="s">
        <v>1452</v>
      </c>
      <c r="D1150" s="7" t="n">
        <v>2620</v>
      </c>
      <c r="E1150" s="7" t="s">
        <v>50</v>
      </c>
      <c r="F1150" s="7" t="n">
        <v>-35.354755</v>
      </c>
      <c r="G1150" s="7" t="n">
        <v>149.233936</v>
      </c>
      <c r="H1150" s="7" t="s">
        <v>7120</v>
      </c>
    </row>
    <row r="1151" customFormat="false" ht="15" hidden="false" customHeight="false" outlineLevel="0" collapsed="false">
      <c r="A1151" s="7" t="s">
        <v>6947</v>
      </c>
      <c r="B1151" s="7" t="s">
        <v>1453</v>
      </c>
      <c r="C1151" s="7" t="s">
        <v>1454</v>
      </c>
      <c r="D1151" s="7" t="n">
        <v>2537</v>
      </c>
      <c r="E1151" s="7" t="s">
        <v>50</v>
      </c>
      <c r="F1151" s="7" t="n">
        <v>-35.848315</v>
      </c>
      <c r="G1151" s="7" t="n">
        <v>150.175825</v>
      </c>
      <c r="H1151" s="7" t="s">
        <v>7022</v>
      </c>
    </row>
    <row r="1152" customFormat="false" ht="15" hidden="false" customHeight="false" outlineLevel="0" collapsed="false">
      <c r="A1152" s="7" t="s">
        <v>6947</v>
      </c>
      <c r="B1152" s="7" t="s">
        <v>1455</v>
      </c>
      <c r="C1152" s="7" t="s">
        <v>1456</v>
      </c>
      <c r="D1152" s="7" t="n">
        <v>2539</v>
      </c>
      <c r="E1152" s="7" t="s">
        <v>50</v>
      </c>
      <c r="F1152" s="7" t="n">
        <v>-35.341299</v>
      </c>
      <c r="G1152" s="7" t="n">
        <v>150.464988</v>
      </c>
      <c r="H1152" s="7" t="s">
        <v>7089</v>
      </c>
    </row>
    <row r="1153" customFormat="false" ht="15" hidden="false" customHeight="false" outlineLevel="0" collapsed="false">
      <c r="A1153" s="7" t="s">
        <v>6947</v>
      </c>
      <c r="B1153" s="7" t="s">
        <v>1457</v>
      </c>
      <c r="C1153" s="7" t="s">
        <v>1458</v>
      </c>
      <c r="D1153" s="7" t="n">
        <v>2640</v>
      </c>
      <c r="E1153" s="7" t="s">
        <v>50</v>
      </c>
      <c r="F1153" s="7" t="n">
        <v>-36.090319</v>
      </c>
      <c r="G1153" s="7" t="n">
        <v>146.914596</v>
      </c>
      <c r="H1153" s="7" t="s">
        <v>7089</v>
      </c>
    </row>
    <row r="1154" customFormat="false" ht="15" hidden="false" customHeight="false" outlineLevel="0" collapsed="false">
      <c r="A1154" s="7" t="s">
        <v>6947</v>
      </c>
      <c r="B1154" s="7" t="s">
        <v>1459</v>
      </c>
      <c r="C1154" s="7" t="s">
        <v>1460</v>
      </c>
      <c r="D1154" s="7" t="n">
        <v>2720</v>
      </c>
      <c r="E1154" s="7" t="s">
        <v>50</v>
      </c>
      <c r="F1154" s="7" t="n">
        <v>-35.583485</v>
      </c>
      <c r="G1154" s="7" t="n">
        <v>148.296641</v>
      </c>
      <c r="H1154" s="7" t="s">
        <v>7089</v>
      </c>
    </row>
    <row r="1155" customFormat="false" ht="15" hidden="false" customHeight="false" outlineLevel="0" collapsed="false">
      <c r="A1155" s="7" t="s">
        <v>6947</v>
      </c>
      <c r="B1155" s="7" t="s">
        <v>1461</v>
      </c>
      <c r="C1155" s="7" t="s">
        <v>1462</v>
      </c>
      <c r="D1155" s="7" t="n">
        <v>2622</v>
      </c>
      <c r="E1155" s="7" t="s">
        <v>50</v>
      </c>
      <c r="F1155" s="7" t="n">
        <v>-35.163405</v>
      </c>
      <c r="G1155" s="7" t="n">
        <v>149.95818</v>
      </c>
      <c r="H1155" s="7" t="s">
        <v>7089</v>
      </c>
    </row>
    <row r="1156" customFormat="false" ht="15" hidden="false" customHeight="false" outlineLevel="0" collapsed="false">
      <c r="A1156" s="7" t="s">
        <v>6947</v>
      </c>
      <c r="B1156" s="7" t="s">
        <v>1463</v>
      </c>
      <c r="C1156" s="7" t="s">
        <v>1464</v>
      </c>
      <c r="D1156" s="7" t="n">
        <v>2579</v>
      </c>
      <c r="E1156" s="7" t="s">
        <v>50</v>
      </c>
      <c r="F1156" s="7" t="n">
        <v>-34.67272</v>
      </c>
      <c r="G1156" s="7" t="n">
        <v>150.212398</v>
      </c>
      <c r="H1156" s="7" t="s">
        <v>7089</v>
      </c>
    </row>
    <row r="1157" customFormat="false" ht="15" hidden="false" customHeight="false" outlineLevel="0" collapsed="false">
      <c r="A1157" s="7" t="s">
        <v>6947</v>
      </c>
      <c r="B1157" s="7" t="s">
        <v>1465</v>
      </c>
      <c r="C1157" s="7" t="s">
        <v>1466</v>
      </c>
      <c r="D1157" s="7" t="n">
        <v>2533</v>
      </c>
      <c r="E1157" s="7" t="s">
        <v>50</v>
      </c>
      <c r="F1157" s="7" t="n">
        <v>-34.677374</v>
      </c>
      <c r="G1157" s="7" t="n">
        <v>150.849718</v>
      </c>
      <c r="H1157" s="7" t="s">
        <v>7022</v>
      </c>
    </row>
    <row r="1158" customFormat="false" ht="15" hidden="false" customHeight="false" outlineLevel="0" collapsed="false">
      <c r="A1158" s="7" t="s">
        <v>6947</v>
      </c>
      <c r="B1158" s="7" t="s">
        <v>1467</v>
      </c>
      <c r="C1158" s="7" t="s">
        <v>1468</v>
      </c>
      <c r="D1158" s="7" t="n">
        <v>2533</v>
      </c>
      <c r="E1158" s="7" t="s">
        <v>50</v>
      </c>
      <c r="F1158" s="7" t="n">
        <v>-34.680824</v>
      </c>
      <c r="G1158" s="7" t="n">
        <v>150.849409</v>
      </c>
      <c r="H1158" s="7" t="s">
        <v>7089</v>
      </c>
    </row>
    <row r="1159" customFormat="false" ht="15" hidden="false" customHeight="false" outlineLevel="0" collapsed="false">
      <c r="A1159" s="7" t="s">
        <v>6947</v>
      </c>
      <c r="B1159" s="7" t="s">
        <v>1469</v>
      </c>
      <c r="C1159" s="7" t="s">
        <v>1470</v>
      </c>
      <c r="D1159" s="7" t="n">
        <v>2575</v>
      </c>
      <c r="E1159" s="7" t="s">
        <v>50</v>
      </c>
      <c r="F1159" s="7" t="n">
        <v>-34.449959</v>
      </c>
      <c r="G1159" s="7" t="n">
        <v>150.451961</v>
      </c>
      <c r="H1159" s="7" t="s">
        <v>7089</v>
      </c>
    </row>
    <row r="1160" customFormat="false" ht="15" hidden="false" customHeight="false" outlineLevel="0" collapsed="false">
      <c r="A1160" s="7" t="s">
        <v>6947</v>
      </c>
      <c r="B1160" s="7" t="s">
        <v>1471</v>
      </c>
      <c r="C1160" s="7" t="s">
        <v>1472</v>
      </c>
      <c r="D1160" s="7" t="n">
        <v>2580</v>
      </c>
      <c r="E1160" s="7" t="s">
        <v>50</v>
      </c>
      <c r="F1160" s="7" t="n">
        <v>-34.39875</v>
      </c>
      <c r="G1160" s="7" t="n">
        <v>149.819457</v>
      </c>
      <c r="H1160" s="7" t="s">
        <v>7022</v>
      </c>
    </row>
    <row r="1161" customFormat="false" ht="15" hidden="false" customHeight="false" outlineLevel="0" collapsed="false">
      <c r="A1161" s="7" t="s">
        <v>6947</v>
      </c>
      <c r="B1161" s="7" t="s">
        <v>1474</v>
      </c>
      <c r="C1161" s="7" t="s">
        <v>536</v>
      </c>
      <c r="D1161" s="7" t="n">
        <v>2525</v>
      </c>
      <c r="E1161" s="7" t="s">
        <v>50</v>
      </c>
      <c r="F1161" s="7" t="n">
        <v>-34.436615</v>
      </c>
      <c r="G1161" s="7" t="n">
        <v>150.863298</v>
      </c>
      <c r="H1161" s="7" t="s">
        <v>7022</v>
      </c>
    </row>
    <row r="1162" customFormat="false" ht="15" hidden="false" customHeight="false" outlineLevel="0" collapsed="false">
      <c r="A1162" s="7" t="s">
        <v>6947</v>
      </c>
      <c r="B1162" s="7" t="s">
        <v>1475</v>
      </c>
      <c r="C1162" s="7" t="s">
        <v>1476</v>
      </c>
      <c r="D1162" s="7" t="n">
        <v>2573</v>
      </c>
      <c r="E1162" s="7" t="s">
        <v>50</v>
      </c>
      <c r="F1162" s="7" t="n">
        <v>-34.223231</v>
      </c>
      <c r="G1162" s="7" t="n">
        <v>150.593042</v>
      </c>
      <c r="H1162" s="7" t="s">
        <v>7048</v>
      </c>
    </row>
    <row r="1163" customFormat="false" ht="15" hidden="false" customHeight="false" outlineLevel="0" collapsed="false">
      <c r="A1163" s="7" t="s">
        <v>6947</v>
      </c>
      <c r="B1163" s="7" t="s">
        <v>1477</v>
      </c>
      <c r="C1163" s="7" t="s">
        <v>1478</v>
      </c>
      <c r="D1163" s="7" t="n">
        <v>2230</v>
      </c>
      <c r="E1163" s="7" t="s">
        <v>50</v>
      </c>
      <c r="F1163" s="7" t="n">
        <v>-34.038445</v>
      </c>
      <c r="G1163" s="7" t="n">
        <v>151.142967</v>
      </c>
      <c r="H1163" s="7" t="s">
        <v>7016</v>
      </c>
    </row>
    <row r="1164" customFormat="false" ht="15" hidden="false" customHeight="false" outlineLevel="0" collapsed="false">
      <c r="A1164" s="7" t="s">
        <v>6947</v>
      </c>
      <c r="B1164" s="7" t="s">
        <v>1479</v>
      </c>
      <c r="C1164" s="7" t="s">
        <v>1480</v>
      </c>
      <c r="D1164" s="7" t="n">
        <v>2230</v>
      </c>
      <c r="E1164" s="7" t="s">
        <v>50</v>
      </c>
      <c r="F1164" s="7" t="n">
        <v>-34.062404</v>
      </c>
      <c r="G1164" s="7" t="n">
        <v>151.140517</v>
      </c>
      <c r="H1164" s="7" t="s">
        <v>7022</v>
      </c>
    </row>
    <row r="1165" customFormat="false" ht="15" hidden="false" customHeight="false" outlineLevel="0" collapsed="false">
      <c r="A1165" s="7" t="s">
        <v>6947</v>
      </c>
      <c r="B1165" s="7" t="s">
        <v>1481</v>
      </c>
      <c r="C1165" s="7" t="s">
        <v>1482</v>
      </c>
      <c r="D1165" s="7" t="n">
        <v>2179</v>
      </c>
      <c r="E1165" s="7" t="s">
        <v>50</v>
      </c>
      <c r="F1165" s="7" t="n">
        <v>-33.99648</v>
      </c>
      <c r="G1165" s="7" t="n">
        <v>150.792441</v>
      </c>
      <c r="H1165" s="7" t="s">
        <v>7022</v>
      </c>
    </row>
    <row r="1166" customFormat="false" ht="15" hidden="false" customHeight="false" outlineLevel="0" collapsed="false">
      <c r="A1166" s="7" t="s">
        <v>6947</v>
      </c>
      <c r="B1166" s="7" t="s">
        <v>7037</v>
      </c>
      <c r="C1166" s="7" t="s">
        <v>1483</v>
      </c>
      <c r="D1166" s="7" t="n">
        <v>2216</v>
      </c>
      <c r="E1166" s="7" t="s">
        <v>50</v>
      </c>
      <c r="F1166" s="7" t="n">
        <v>-33.953397</v>
      </c>
      <c r="G1166" s="7" t="n">
        <v>151.157943</v>
      </c>
      <c r="H1166" s="7" t="s">
        <v>7089</v>
      </c>
    </row>
    <row r="1167" customFormat="false" ht="15" hidden="false" customHeight="false" outlineLevel="0" collapsed="false">
      <c r="A1167" s="7" t="s">
        <v>6947</v>
      </c>
      <c r="B1167" s="7" t="s">
        <v>1484</v>
      </c>
      <c r="C1167" s="7" t="s">
        <v>1485</v>
      </c>
      <c r="D1167" s="7" t="n">
        <v>2031</v>
      </c>
      <c r="E1167" s="7" t="s">
        <v>50</v>
      </c>
      <c r="F1167" s="7" t="n">
        <v>-33.920121</v>
      </c>
      <c r="G1167" s="7" t="n">
        <v>151.24379</v>
      </c>
      <c r="H1167" s="7" t="s">
        <v>7022</v>
      </c>
    </row>
    <row r="1168" customFormat="false" ht="15" hidden="false" customHeight="false" outlineLevel="0" collapsed="false">
      <c r="A1168" s="7" t="s">
        <v>6947</v>
      </c>
      <c r="B1168" s="7" t="s">
        <v>1486</v>
      </c>
      <c r="C1168" s="7" t="s">
        <v>1487</v>
      </c>
      <c r="D1168" s="7" t="n">
        <v>2207</v>
      </c>
      <c r="E1168" s="7" t="s">
        <v>50</v>
      </c>
      <c r="F1168" s="7" t="n">
        <v>-33.941275</v>
      </c>
      <c r="G1168" s="7" t="n">
        <v>151.109664</v>
      </c>
      <c r="H1168" s="7" t="s">
        <v>7089</v>
      </c>
    </row>
    <row r="1169" customFormat="false" ht="15" hidden="false" customHeight="false" outlineLevel="0" collapsed="false">
      <c r="A1169" s="7" t="s">
        <v>6947</v>
      </c>
      <c r="B1169" s="7" t="s">
        <v>1488</v>
      </c>
      <c r="C1169" s="7" t="s">
        <v>1489</v>
      </c>
      <c r="D1169" s="7" t="n">
        <v>2166</v>
      </c>
      <c r="E1169" s="7" t="s">
        <v>50</v>
      </c>
      <c r="F1169" s="7" t="n">
        <v>-33.894012</v>
      </c>
      <c r="G1169" s="7" t="n">
        <v>150.934825</v>
      </c>
      <c r="H1169" s="7" t="s">
        <v>7016</v>
      </c>
    </row>
    <row r="1170" customFormat="false" ht="15" hidden="false" customHeight="false" outlineLevel="0" collapsed="false">
      <c r="A1170" s="7" t="s">
        <v>6947</v>
      </c>
      <c r="B1170" s="7" t="s">
        <v>1490</v>
      </c>
      <c r="C1170" s="7" t="s">
        <v>1491</v>
      </c>
      <c r="D1170" s="7" t="n">
        <v>2209</v>
      </c>
      <c r="E1170" s="7" t="s">
        <v>50</v>
      </c>
      <c r="F1170" s="7" t="n">
        <v>-33.949402</v>
      </c>
      <c r="G1170" s="7" t="n">
        <v>151.068209</v>
      </c>
      <c r="H1170" s="7" t="s">
        <v>7089</v>
      </c>
    </row>
    <row r="1171" customFormat="false" ht="15" hidden="false" customHeight="false" outlineLevel="0" collapsed="false">
      <c r="A1171" s="7" t="s">
        <v>6947</v>
      </c>
      <c r="B1171" s="7" t="s">
        <v>1492</v>
      </c>
      <c r="C1171" s="7" t="s">
        <v>1493</v>
      </c>
      <c r="D1171" s="7" t="n">
        <v>2007</v>
      </c>
      <c r="E1171" s="7" t="s">
        <v>50</v>
      </c>
      <c r="F1171" s="7" t="n">
        <v>-33.883247</v>
      </c>
      <c r="G1171" s="7" t="n">
        <v>151.198673</v>
      </c>
      <c r="H1171" s="7" t="s">
        <v>7022</v>
      </c>
    </row>
    <row r="1172" customFormat="false" ht="15" hidden="false" customHeight="false" outlineLevel="0" collapsed="false">
      <c r="A1172" s="7" t="s">
        <v>6947</v>
      </c>
      <c r="B1172" s="7" t="s">
        <v>1494</v>
      </c>
      <c r="C1172" s="7" t="s">
        <v>1495</v>
      </c>
      <c r="D1172" s="7" t="n">
        <v>2135</v>
      </c>
      <c r="E1172" s="7" t="s">
        <v>50</v>
      </c>
      <c r="F1172" s="7" t="n">
        <v>-33.872198</v>
      </c>
      <c r="G1172" s="7" t="n">
        <v>151.093423</v>
      </c>
      <c r="H1172" s="7" t="s">
        <v>7089</v>
      </c>
    </row>
    <row r="1173" customFormat="false" ht="15" hidden="false" customHeight="false" outlineLevel="0" collapsed="false">
      <c r="A1173" s="7" t="s">
        <v>6947</v>
      </c>
      <c r="B1173" s="7" t="s">
        <v>1496</v>
      </c>
      <c r="C1173" s="7" t="s">
        <v>1497</v>
      </c>
      <c r="D1173" s="7" t="n">
        <v>2140</v>
      </c>
      <c r="E1173" s="7" t="s">
        <v>50</v>
      </c>
      <c r="F1173" s="7" t="n">
        <v>-33.852894</v>
      </c>
      <c r="G1173" s="7" t="n">
        <v>151.080192</v>
      </c>
      <c r="H1173" s="7" t="s">
        <v>7089</v>
      </c>
    </row>
    <row r="1174" customFormat="false" ht="15" hidden="false" customHeight="false" outlineLevel="0" collapsed="false">
      <c r="A1174" s="7" t="s">
        <v>6947</v>
      </c>
      <c r="B1174" s="7" t="s">
        <v>1498</v>
      </c>
      <c r="C1174" s="7" t="s">
        <v>1499</v>
      </c>
      <c r="D1174" s="7" t="n">
        <v>2640</v>
      </c>
      <c r="E1174" s="7" t="s">
        <v>50</v>
      </c>
      <c r="F1174" s="7" t="n">
        <v>-36.080212</v>
      </c>
      <c r="G1174" s="7" t="n">
        <v>146.914813</v>
      </c>
      <c r="H1174" s="7" t="s">
        <v>7089</v>
      </c>
    </row>
    <row r="1175" customFormat="false" ht="15" hidden="false" customHeight="false" outlineLevel="0" collapsed="false">
      <c r="A1175" s="7" t="s">
        <v>6947</v>
      </c>
      <c r="B1175" s="7" t="s">
        <v>1500</v>
      </c>
      <c r="C1175" s="7" t="s">
        <v>1501</v>
      </c>
      <c r="D1175" s="7" t="n">
        <v>2650</v>
      </c>
      <c r="E1175" s="7" t="s">
        <v>50</v>
      </c>
      <c r="F1175" s="7" t="n">
        <v>-35.171168</v>
      </c>
      <c r="G1175" s="7" t="n">
        <v>147.379285</v>
      </c>
      <c r="H1175" s="7" t="s">
        <v>7022</v>
      </c>
    </row>
    <row r="1176" customFormat="false" ht="15" hidden="false" customHeight="false" outlineLevel="0" collapsed="false">
      <c r="A1176" s="7" t="s">
        <v>6947</v>
      </c>
      <c r="B1176" s="7" t="s">
        <v>1502</v>
      </c>
      <c r="C1176" s="7" t="s">
        <v>1503</v>
      </c>
      <c r="D1176" s="7" t="n">
        <v>2731</v>
      </c>
      <c r="E1176" s="7" t="s">
        <v>50</v>
      </c>
      <c r="F1176" s="7" t="n">
        <v>-36.112753</v>
      </c>
      <c r="G1176" s="7" t="n">
        <v>144.754931</v>
      </c>
      <c r="H1176" s="7" t="s">
        <v>7022</v>
      </c>
    </row>
    <row r="1177" customFormat="false" ht="15" hidden="false" customHeight="false" outlineLevel="0" collapsed="false">
      <c r="A1177" s="7" t="s">
        <v>6947</v>
      </c>
      <c r="B1177" s="7" t="s">
        <v>1504</v>
      </c>
      <c r="C1177" s="7" t="s">
        <v>1505</v>
      </c>
      <c r="D1177" s="7" t="n">
        <v>2804</v>
      </c>
      <c r="E1177" s="7" t="s">
        <v>50</v>
      </c>
      <c r="F1177" s="7" t="n">
        <v>-33.565527</v>
      </c>
      <c r="G1177" s="7" t="n">
        <v>148.663931</v>
      </c>
      <c r="H1177" s="7" t="s">
        <v>7089</v>
      </c>
    </row>
    <row r="1178" customFormat="false" ht="15" hidden="false" customHeight="false" outlineLevel="0" collapsed="false">
      <c r="A1178" s="7" t="s">
        <v>6947</v>
      </c>
      <c r="B1178" s="7" t="s">
        <v>1506</v>
      </c>
      <c r="C1178" s="7" t="s">
        <v>1507</v>
      </c>
      <c r="D1178" s="7" t="n">
        <v>2650</v>
      </c>
      <c r="E1178" s="7" t="s">
        <v>50</v>
      </c>
      <c r="F1178" s="7" t="n">
        <v>-35.103675</v>
      </c>
      <c r="G1178" s="7" t="n">
        <v>147.367574</v>
      </c>
      <c r="H1178" s="7" t="s">
        <v>7022</v>
      </c>
    </row>
    <row r="1179" customFormat="false" ht="15" hidden="false" customHeight="false" outlineLevel="0" collapsed="false">
      <c r="A1179" s="7" t="s">
        <v>6947</v>
      </c>
      <c r="B1179" s="7" t="s">
        <v>1508</v>
      </c>
      <c r="C1179" s="7" t="s">
        <v>1509</v>
      </c>
      <c r="D1179" s="7" t="n">
        <v>2792</v>
      </c>
      <c r="E1179" s="7" t="s">
        <v>50</v>
      </c>
      <c r="F1179" s="7" t="n">
        <v>-33.648316</v>
      </c>
      <c r="G1179" s="7" t="n">
        <v>149.075088</v>
      </c>
      <c r="H1179" s="7" t="s">
        <v>7089</v>
      </c>
    </row>
    <row r="1180" customFormat="false" ht="15" hidden="false" customHeight="false" outlineLevel="0" collapsed="false">
      <c r="A1180" s="7" t="s">
        <v>6947</v>
      </c>
      <c r="B1180" s="7" t="s">
        <v>1510</v>
      </c>
      <c r="C1180" s="7" t="s">
        <v>1511</v>
      </c>
      <c r="D1180" s="7" t="n">
        <v>2756</v>
      </c>
      <c r="E1180" s="7" t="s">
        <v>50</v>
      </c>
      <c r="F1180" s="7" t="n">
        <v>-33.628167</v>
      </c>
      <c r="G1180" s="7" t="n">
        <v>150.832627</v>
      </c>
      <c r="H1180" s="7" t="s">
        <v>7016</v>
      </c>
    </row>
    <row r="1181" customFormat="false" ht="15" hidden="false" customHeight="false" outlineLevel="0" collapsed="false">
      <c r="A1181" s="7" t="s">
        <v>6947</v>
      </c>
      <c r="B1181" s="7" t="s">
        <v>1512</v>
      </c>
      <c r="C1181" s="7" t="s">
        <v>1513</v>
      </c>
      <c r="D1181" s="7" t="n">
        <v>2761</v>
      </c>
      <c r="E1181" s="7" t="s">
        <v>50</v>
      </c>
      <c r="F1181" s="7" t="n">
        <v>-33.75196</v>
      </c>
      <c r="G1181" s="7" t="n">
        <v>150.857878</v>
      </c>
      <c r="H1181" s="7" t="s">
        <v>7022</v>
      </c>
    </row>
    <row r="1182" customFormat="false" ht="15" hidden="false" customHeight="false" outlineLevel="0" collapsed="false">
      <c r="A1182" s="7" t="s">
        <v>6947</v>
      </c>
      <c r="B1182" s="7" t="s">
        <v>1514</v>
      </c>
      <c r="C1182" s="7" t="s">
        <v>1515</v>
      </c>
      <c r="D1182" s="7" t="n">
        <v>2142</v>
      </c>
      <c r="E1182" s="7" t="s">
        <v>50</v>
      </c>
      <c r="F1182" s="7" t="n">
        <v>-33.832117</v>
      </c>
      <c r="G1182" s="7" t="n">
        <v>151.012986</v>
      </c>
      <c r="H1182" s="7" t="s">
        <v>7048</v>
      </c>
    </row>
    <row r="1183" customFormat="false" ht="15" hidden="false" customHeight="false" outlineLevel="0" collapsed="false">
      <c r="A1183" s="7" t="s">
        <v>6947</v>
      </c>
      <c r="B1183" s="7" t="s">
        <v>1516</v>
      </c>
      <c r="C1183" s="7" t="s">
        <v>1517</v>
      </c>
      <c r="D1183" s="7" t="n">
        <v>2762</v>
      </c>
      <c r="E1183" s="7" t="s">
        <v>50</v>
      </c>
      <c r="F1183" s="7" t="n">
        <v>-33.692353</v>
      </c>
      <c r="G1183" s="7" t="n">
        <v>150.907068</v>
      </c>
      <c r="H1183" s="7" t="s">
        <v>7121</v>
      </c>
    </row>
    <row r="1184" customFormat="false" ht="15" hidden="false" customHeight="false" outlineLevel="0" collapsed="false">
      <c r="A1184" s="7" t="s">
        <v>6947</v>
      </c>
      <c r="B1184" s="7" t="s">
        <v>1518</v>
      </c>
      <c r="C1184" s="7" t="s">
        <v>1519</v>
      </c>
      <c r="D1184" s="7" t="n">
        <v>2145</v>
      </c>
      <c r="E1184" s="7" t="s">
        <v>50</v>
      </c>
      <c r="F1184" s="7" t="n">
        <v>-33.812394</v>
      </c>
      <c r="G1184" s="7" t="n">
        <v>150.962918</v>
      </c>
      <c r="H1184" s="7" t="s">
        <v>7048</v>
      </c>
    </row>
    <row r="1185" customFormat="false" ht="15" hidden="false" customHeight="false" outlineLevel="0" collapsed="false">
      <c r="A1185" s="7" t="s">
        <v>6947</v>
      </c>
      <c r="B1185" s="7" t="s">
        <v>1520</v>
      </c>
      <c r="C1185" s="7" t="s">
        <v>1521</v>
      </c>
      <c r="D1185" s="7" t="n">
        <v>2790</v>
      </c>
      <c r="E1185" s="7" t="s">
        <v>50</v>
      </c>
      <c r="F1185" s="7" t="n">
        <v>-33.567109</v>
      </c>
      <c r="G1185" s="7" t="n">
        <v>150.203535</v>
      </c>
      <c r="H1185" s="7" t="s">
        <v>7048</v>
      </c>
    </row>
    <row r="1186" customFormat="false" ht="15" hidden="false" customHeight="false" outlineLevel="0" collapsed="false">
      <c r="A1186" s="7" t="s">
        <v>6947</v>
      </c>
      <c r="B1186" s="7" t="s">
        <v>1522</v>
      </c>
      <c r="C1186" s="7" t="s">
        <v>1523</v>
      </c>
      <c r="D1186" s="7" t="n">
        <v>2766</v>
      </c>
      <c r="E1186" s="7" t="s">
        <v>50</v>
      </c>
      <c r="F1186" s="7" t="n">
        <v>-33.786142</v>
      </c>
      <c r="G1186" s="7" t="n">
        <v>150.854099</v>
      </c>
      <c r="H1186" s="7" t="s">
        <v>7048</v>
      </c>
    </row>
    <row r="1187" customFormat="false" ht="15" hidden="false" customHeight="false" outlineLevel="0" collapsed="false">
      <c r="A1187" s="7" t="s">
        <v>6947</v>
      </c>
      <c r="B1187" s="7" t="s">
        <v>1524</v>
      </c>
      <c r="C1187" s="7" t="s">
        <v>1525</v>
      </c>
      <c r="D1187" s="7" t="n">
        <v>2150</v>
      </c>
      <c r="E1187" s="7" t="s">
        <v>50</v>
      </c>
      <c r="F1187" s="7" t="n">
        <v>-33.819101</v>
      </c>
      <c r="G1187" s="7" t="n">
        <v>151.00456</v>
      </c>
      <c r="H1187" s="7" t="s">
        <v>7048</v>
      </c>
    </row>
    <row r="1188" customFormat="false" ht="15" hidden="false" customHeight="false" outlineLevel="0" collapsed="false">
      <c r="A1188" s="7" t="s">
        <v>6947</v>
      </c>
      <c r="B1188" s="7" t="s">
        <v>1526</v>
      </c>
      <c r="C1188" s="7" t="s">
        <v>1527</v>
      </c>
      <c r="D1188" s="7" t="n">
        <v>2105</v>
      </c>
      <c r="E1188" s="7" t="s">
        <v>50</v>
      </c>
      <c r="F1188" s="7" t="n">
        <v>-33.651025</v>
      </c>
      <c r="G1188" s="7" t="n">
        <v>151.28913</v>
      </c>
      <c r="H1188" s="7" t="s">
        <v>7022</v>
      </c>
    </row>
    <row r="1189" customFormat="false" ht="15" hidden="false" customHeight="false" outlineLevel="0" collapsed="false">
      <c r="A1189" s="7" t="s">
        <v>6947</v>
      </c>
      <c r="B1189" s="7" t="s">
        <v>1528</v>
      </c>
      <c r="C1189" s="7" t="s">
        <v>1529</v>
      </c>
      <c r="D1189" s="7" t="n">
        <v>2097</v>
      </c>
      <c r="E1189" s="7" t="s">
        <v>50</v>
      </c>
      <c r="F1189" s="7" t="n">
        <v>-33.730726</v>
      </c>
      <c r="G1189" s="7" t="n">
        <v>151.301064</v>
      </c>
      <c r="H1189" s="7" t="s">
        <v>7022</v>
      </c>
    </row>
    <row r="1190" customFormat="false" ht="15" hidden="false" customHeight="false" outlineLevel="0" collapsed="false">
      <c r="A1190" s="7" t="s">
        <v>6947</v>
      </c>
      <c r="B1190" s="7" t="s">
        <v>1530</v>
      </c>
      <c r="C1190" s="7" t="s">
        <v>1531</v>
      </c>
      <c r="D1190" s="7" t="n">
        <v>2100</v>
      </c>
      <c r="E1190" s="7" t="s">
        <v>50</v>
      </c>
      <c r="F1190" s="7" t="n">
        <v>-33.760516</v>
      </c>
      <c r="G1190" s="7" t="n">
        <v>151.279858</v>
      </c>
      <c r="H1190" s="7" t="s">
        <v>7089</v>
      </c>
    </row>
    <row r="1191" customFormat="false" ht="15" hidden="false" customHeight="false" outlineLevel="0" collapsed="false">
      <c r="A1191" s="7" t="s">
        <v>6947</v>
      </c>
      <c r="B1191" s="7" t="s">
        <v>1532</v>
      </c>
      <c r="C1191" s="7" t="s">
        <v>1533</v>
      </c>
      <c r="D1191" s="7" t="n">
        <v>2102</v>
      </c>
      <c r="E1191" s="7" t="s">
        <v>50</v>
      </c>
      <c r="F1191" s="7" t="n">
        <v>-33.677453</v>
      </c>
      <c r="G1191" s="7" t="n">
        <v>151.290911</v>
      </c>
      <c r="H1191" s="7" t="s">
        <v>7022</v>
      </c>
    </row>
    <row r="1192" customFormat="false" ht="15" hidden="false" customHeight="false" outlineLevel="0" collapsed="false">
      <c r="A1192" s="7" t="s">
        <v>6947</v>
      </c>
      <c r="B1192" s="7" t="s">
        <v>1534</v>
      </c>
      <c r="C1192" s="7" t="s">
        <v>1535</v>
      </c>
      <c r="D1192" s="7" t="n">
        <v>2086</v>
      </c>
      <c r="E1192" s="7" t="s">
        <v>50</v>
      </c>
      <c r="F1192" s="7" t="n">
        <v>-33.751535</v>
      </c>
      <c r="G1192" s="7" t="n">
        <v>151.244171</v>
      </c>
      <c r="H1192" s="7" t="s">
        <v>7089</v>
      </c>
    </row>
    <row r="1193" customFormat="false" ht="15" hidden="false" customHeight="false" outlineLevel="0" collapsed="false">
      <c r="A1193" s="7" t="s">
        <v>6947</v>
      </c>
      <c r="B1193" s="7" t="s">
        <v>1536</v>
      </c>
      <c r="C1193" s="7" t="s">
        <v>1537</v>
      </c>
      <c r="D1193" s="7" t="n">
        <v>2100</v>
      </c>
      <c r="E1193" s="7" t="s">
        <v>50</v>
      </c>
      <c r="F1193" s="7" t="n">
        <v>-33.764561</v>
      </c>
      <c r="G1193" s="7" t="n">
        <v>151.270573</v>
      </c>
      <c r="H1193" s="7" t="s">
        <v>7022</v>
      </c>
    </row>
    <row r="1194" customFormat="false" ht="15" hidden="false" customHeight="false" outlineLevel="0" collapsed="false">
      <c r="A1194" s="7" t="s">
        <v>6947</v>
      </c>
      <c r="B1194" s="7" t="s">
        <v>1538</v>
      </c>
      <c r="C1194" s="7" t="s">
        <v>1539</v>
      </c>
      <c r="D1194" s="7" t="n">
        <v>2020</v>
      </c>
      <c r="E1194" s="7" t="s">
        <v>50</v>
      </c>
      <c r="F1194" s="7" t="n">
        <v>-33.927478</v>
      </c>
      <c r="G1194" s="7" t="n">
        <v>151.186967</v>
      </c>
      <c r="H1194" s="7" t="s">
        <v>7022</v>
      </c>
    </row>
    <row r="1195" customFormat="false" ht="15" hidden="false" customHeight="false" outlineLevel="0" collapsed="false">
      <c r="A1195" s="7" t="s">
        <v>6947</v>
      </c>
      <c r="B1195" s="7" t="s">
        <v>1540</v>
      </c>
      <c r="C1195" s="7" t="s">
        <v>1541</v>
      </c>
      <c r="D1195" s="7" t="n">
        <v>2065</v>
      </c>
      <c r="E1195" s="7" t="s">
        <v>50</v>
      </c>
      <c r="F1195" s="7" t="n">
        <v>-33.818564</v>
      </c>
      <c r="G1195" s="7" t="n">
        <v>151.189419</v>
      </c>
      <c r="H1195" s="7" t="s">
        <v>7022</v>
      </c>
    </row>
    <row r="1196" customFormat="false" ht="15" hidden="false" customHeight="false" outlineLevel="0" collapsed="false">
      <c r="A1196" s="7" t="s">
        <v>6947</v>
      </c>
      <c r="B1196" s="7" t="s">
        <v>7037</v>
      </c>
      <c r="C1196" s="7" t="s">
        <v>1542</v>
      </c>
      <c r="D1196" s="7" t="n">
        <v>2065</v>
      </c>
      <c r="E1196" s="7" t="s">
        <v>50</v>
      </c>
      <c r="F1196" s="7" t="n">
        <v>-33.82693</v>
      </c>
      <c r="G1196" s="7" t="n">
        <v>151.199102</v>
      </c>
      <c r="H1196" s="7" t="s">
        <v>7022</v>
      </c>
    </row>
    <row r="1197" customFormat="false" ht="15" hidden="false" customHeight="false" outlineLevel="0" collapsed="false">
      <c r="A1197" s="7" t="s">
        <v>6947</v>
      </c>
      <c r="B1197" s="7" t="s">
        <v>1543</v>
      </c>
      <c r="C1197" s="7" t="s">
        <v>1544</v>
      </c>
      <c r="D1197" s="7" t="n">
        <v>2112</v>
      </c>
      <c r="E1197" s="7" t="s">
        <v>50</v>
      </c>
      <c r="F1197" s="7" t="n">
        <v>-33.812306</v>
      </c>
      <c r="G1197" s="7" t="n">
        <v>151.105928</v>
      </c>
      <c r="H1197" s="7" t="s">
        <v>7022</v>
      </c>
    </row>
    <row r="1198" customFormat="false" ht="15" hidden="false" customHeight="false" outlineLevel="0" collapsed="false">
      <c r="A1198" s="7" t="s">
        <v>6947</v>
      </c>
      <c r="B1198" s="7" t="s">
        <v>1545</v>
      </c>
      <c r="C1198" s="7" t="s">
        <v>1546</v>
      </c>
      <c r="D1198" s="7" t="n">
        <v>2065</v>
      </c>
      <c r="E1198" s="7" t="s">
        <v>50</v>
      </c>
      <c r="F1198" s="7" t="n">
        <v>-33.82444</v>
      </c>
      <c r="G1198" s="7" t="n">
        <v>151.199879</v>
      </c>
      <c r="H1198" s="7" t="s">
        <v>7022</v>
      </c>
    </row>
    <row r="1199" customFormat="false" ht="15" hidden="false" customHeight="false" outlineLevel="0" collapsed="false">
      <c r="A1199" s="7" t="s">
        <v>6947</v>
      </c>
      <c r="B1199" s="7" t="s">
        <v>1547</v>
      </c>
      <c r="C1199" s="7" t="s">
        <v>1548</v>
      </c>
      <c r="D1199" s="7" t="n">
        <v>2067</v>
      </c>
      <c r="E1199" s="7" t="s">
        <v>50</v>
      </c>
      <c r="F1199" s="7" t="n">
        <v>-33.794945</v>
      </c>
      <c r="G1199" s="7" t="n">
        <v>151.188291</v>
      </c>
      <c r="H1199" s="7" t="s">
        <v>7022</v>
      </c>
    </row>
    <row r="1200" customFormat="false" ht="15" hidden="false" customHeight="false" outlineLevel="0" collapsed="false">
      <c r="A1200" s="7" t="s">
        <v>6947</v>
      </c>
      <c r="B1200" s="7" t="s">
        <v>1549</v>
      </c>
      <c r="C1200" s="7" t="s">
        <v>1550</v>
      </c>
      <c r="D1200" s="7" t="n">
        <v>2060</v>
      </c>
      <c r="E1200" s="7" t="s">
        <v>50</v>
      </c>
      <c r="F1200" s="7" t="n">
        <v>-33.843209</v>
      </c>
      <c r="G1200" s="7" t="n">
        <v>151.217059</v>
      </c>
      <c r="H1200" s="7" t="s">
        <v>7016</v>
      </c>
    </row>
    <row r="1201" customFormat="false" ht="15" hidden="false" customHeight="false" outlineLevel="0" collapsed="false">
      <c r="A1201" s="7" t="s">
        <v>6947</v>
      </c>
      <c r="B1201" s="7" t="s">
        <v>1551</v>
      </c>
      <c r="C1201" s="7" t="s">
        <v>1552</v>
      </c>
      <c r="D1201" s="7" t="n">
        <v>2000</v>
      </c>
      <c r="E1201" s="7" t="s">
        <v>50</v>
      </c>
      <c r="F1201" s="7" t="n">
        <v>-33.85934</v>
      </c>
      <c r="G1201" s="7" t="n">
        <v>151.213523</v>
      </c>
      <c r="H1201" s="7" t="s">
        <v>7022</v>
      </c>
    </row>
    <row r="1202" customFormat="false" ht="15" hidden="false" customHeight="false" outlineLevel="0" collapsed="false">
      <c r="A1202" s="7" t="s">
        <v>6947</v>
      </c>
      <c r="B1202" s="7" t="s">
        <v>1553</v>
      </c>
      <c r="C1202" s="7" t="s">
        <v>1554</v>
      </c>
      <c r="D1202" s="7" t="n">
        <v>2000</v>
      </c>
      <c r="E1202" s="7" t="s">
        <v>50</v>
      </c>
      <c r="F1202" s="7" t="n">
        <v>-33.878274</v>
      </c>
      <c r="G1202" s="7" t="n">
        <v>151.202595</v>
      </c>
      <c r="H1202" s="7" t="s">
        <v>7022</v>
      </c>
    </row>
    <row r="1203" customFormat="false" ht="15" hidden="false" customHeight="false" outlineLevel="0" collapsed="false">
      <c r="A1203" s="7" t="s">
        <v>6947</v>
      </c>
      <c r="B1203" s="7" t="s">
        <v>1555</v>
      </c>
      <c r="C1203" s="7" t="s">
        <v>1556</v>
      </c>
      <c r="D1203" s="7" t="n">
        <v>2008</v>
      </c>
      <c r="E1203" s="7" t="s">
        <v>50</v>
      </c>
      <c r="F1203" s="7" t="n">
        <v>-33.884713</v>
      </c>
      <c r="G1203" s="7" t="n">
        <v>151.19901</v>
      </c>
      <c r="H1203" s="7" t="s">
        <v>7048</v>
      </c>
    </row>
    <row r="1204" customFormat="false" ht="15" hidden="false" customHeight="false" outlineLevel="0" collapsed="false">
      <c r="A1204" s="7" t="s">
        <v>6947</v>
      </c>
      <c r="B1204" s="7" t="s">
        <v>1557</v>
      </c>
      <c r="C1204" s="7" t="s">
        <v>1558</v>
      </c>
      <c r="D1204" s="7" t="n">
        <v>2580</v>
      </c>
      <c r="E1204" s="7" t="s">
        <v>50</v>
      </c>
      <c r="F1204" s="7" t="n">
        <v>-34.747564</v>
      </c>
      <c r="G1204" s="7" t="n">
        <v>149.743786</v>
      </c>
      <c r="H1204" s="7" t="s">
        <v>7022</v>
      </c>
    </row>
    <row r="1205" customFormat="false" ht="15" hidden="false" customHeight="false" outlineLevel="0" collapsed="false">
      <c r="A1205" s="7" t="s">
        <v>6947</v>
      </c>
      <c r="B1205" s="7" t="s">
        <v>1559</v>
      </c>
      <c r="C1205" s="7" t="s">
        <v>1560</v>
      </c>
      <c r="D1205" s="7" t="n">
        <v>2546</v>
      </c>
      <c r="E1205" s="7" t="s">
        <v>50</v>
      </c>
      <c r="F1205" s="7" t="n">
        <v>-36.426337</v>
      </c>
      <c r="G1205" s="7" t="n">
        <v>150.081242</v>
      </c>
      <c r="H1205" s="7" t="s">
        <v>7022</v>
      </c>
    </row>
    <row r="1206" customFormat="false" ht="15" hidden="false" customHeight="false" outlineLevel="0" collapsed="false">
      <c r="A1206" s="7" t="s">
        <v>6947</v>
      </c>
      <c r="B1206" s="7" t="s">
        <v>1561</v>
      </c>
      <c r="C1206" s="7" t="s">
        <v>1562</v>
      </c>
      <c r="D1206" s="7" t="n">
        <v>2722</v>
      </c>
      <c r="E1206" s="7" t="s">
        <v>50</v>
      </c>
      <c r="F1206" s="7" t="n">
        <v>-35.06431</v>
      </c>
      <c r="G1206" s="7" t="n">
        <v>148.097832</v>
      </c>
      <c r="H1206" s="7" t="s">
        <v>7022</v>
      </c>
    </row>
    <row r="1207" customFormat="false" ht="15" hidden="false" customHeight="false" outlineLevel="0" collapsed="false">
      <c r="A1207" s="7" t="s">
        <v>6947</v>
      </c>
      <c r="B1207" s="7" t="s">
        <v>1563</v>
      </c>
      <c r="C1207" s="7" t="s">
        <v>1564</v>
      </c>
      <c r="D1207" s="7" t="n">
        <v>2481</v>
      </c>
      <c r="E1207" s="7" t="s">
        <v>50</v>
      </c>
      <c r="F1207" s="7" t="n">
        <v>-28.637344</v>
      </c>
      <c r="G1207" s="7" t="n">
        <v>153.580625</v>
      </c>
      <c r="H1207" s="7" t="s">
        <v>7016</v>
      </c>
    </row>
    <row r="1208" customFormat="false" ht="15" hidden="false" customHeight="false" outlineLevel="0" collapsed="false">
      <c r="A1208" s="7" t="s">
        <v>6947</v>
      </c>
      <c r="B1208" s="7" t="s">
        <v>1565</v>
      </c>
      <c r="C1208" s="7" t="s">
        <v>1566</v>
      </c>
      <c r="D1208" s="7" t="n">
        <v>2722</v>
      </c>
      <c r="E1208" s="7" t="s">
        <v>50</v>
      </c>
      <c r="F1208" s="7" t="n">
        <v>-35.054226</v>
      </c>
      <c r="G1208" s="7" t="n">
        <v>148.104493</v>
      </c>
      <c r="H1208" s="7" t="s">
        <v>7016</v>
      </c>
    </row>
    <row r="1209" customFormat="false" ht="15" hidden="false" customHeight="false" outlineLevel="0" collapsed="false">
      <c r="A1209" s="7" t="s">
        <v>6947</v>
      </c>
      <c r="B1209" s="7" t="s">
        <v>1567</v>
      </c>
      <c r="C1209" s="7" t="s">
        <v>1568</v>
      </c>
      <c r="D1209" s="7" t="n">
        <v>2546</v>
      </c>
      <c r="E1209" s="7" t="s">
        <v>50</v>
      </c>
      <c r="F1209" s="7" t="n">
        <v>-36.31205</v>
      </c>
      <c r="G1209" s="7" t="n">
        <v>150.076511</v>
      </c>
      <c r="H1209" s="7" t="s">
        <v>7089</v>
      </c>
    </row>
    <row r="1210" customFormat="false" ht="15" hidden="false" customHeight="false" outlineLevel="0" collapsed="false">
      <c r="A1210" s="7" t="s">
        <v>6947</v>
      </c>
      <c r="B1210" s="7" t="s">
        <v>1569</v>
      </c>
      <c r="C1210" s="7" t="s">
        <v>1570</v>
      </c>
      <c r="D1210" s="7" t="n">
        <v>2540</v>
      </c>
      <c r="E1210" s="7" t="s">
        <v>50</v>
      </c>
      <c r="F1210" s="7" t="n">
        <v>-35.039918</v>
      </c>
      <c r="G1210" s="7" t="n">
        <v>150.672039</v>
      </c>
      <c r="H1210" s="7" t="s">
        <v>7089</v>
      </c>
    </row>
    <row r="1211" customFormat="false" ht="15" hidden="false" customHeight="false" outlineLevel="0" collapsed="false">
      <c r="A1211" s="7" t="s">
        <v>6947</v>
      </c>
      <c r="B1211" s="7" t="s">
        <v>1571</v>
      </c>
      <c r="C1211" s="7" t="s">
        <v>1572</v>
      </c>
      <c r="D1211" s="7" t="n">
        <v>2463</v>
      </c>
      <c r="E1211" s="7" t="s">
        <v>50</v>
      </c>
      <c r="F1211" s="7" t="n">
        <v>-29.450129</v>
      </c>
      <c r="G1211" s="7" t="n">
        <v>153.200503</v>
      </c>
      <c r="H1211" s="7" t="s">
        <v>7016</v>
      </c>
    </row>
    <row r="1212" customFormat="false" ht="15" hidden="false" customHeight="false" outlineLevel="0" collapsed="false">
      <c r="A1212" s="7" t="s">
        <v>6947</v>
      </c>
      <c r="B1212" s="7" t="s">
        <v>1573</v>
      </c>
      <c r="C1212" s="7" t="s">
        <v>1574</v>
      </c>
      <c r="D1212" s="7" t="n">
        <v>2850</v>
      </c>
      <c r="E1212" s="7" t="s">
        <v>50</v>
      </c>
      <c r="F1212" s="7" t="n">
        <v>-32.527193</v>
      </c>
      <c r="G1212" s="7" t="n">
        <v>149.624023</v>
      </c>
      <c r="H1212" s="7" t="s">
        <v>7089</v>
      </c>
    </row>
    <row r="1213" customFormat="false" ht="15" hidden="false" customHeight="false" outlineLevel="0" collapsed="false">
      <c r="A1213" s="7" t="s">
        <v>6947</v>
      </c>
      <c r="B1213" s="7" t="s">
        <v>1575</v>
      </c>
      <c r="C1213" s="7" t="s">
        <v>397</v>
      </c>
      <c r="D1213" s="7" t="n">
        <v>2450</v>
      </c>
      <c r="E1213" s="7" t="s">
        <v>50</v>
      </c>
      <c r="F1213" s="7" t="n">
        <v>-30.292611</v>
      </c>
      <c r="G1213" s="7" t="n">
        <v>153.118387</v>
      </c>
      <c r="H1213" s="7" t="s">
        <v>7016</v>
      </c>
    </row>
    <row r="1214" customFormat="false" ht="15" hidden="false" customHeight="false" outlineLevel="0" collapsed="false">
      <c r="A1214" s="7" t="s">
        <v>6947</v>
      </c>
      <c r="B1214" s="7" t="s">
        <v>7037</v>
      </c>
      <c r="C1214" s="7" t="s">
        <v>1576</v>
      </c>
      <c r="D1214" s="7" t="n">
        <v>2539</v>
      </c>
      <c r="E1214" s="7" t="s">
        <v>50</v>
      </c>
      <c r="F1214" s="7" t="n">
        <v>-35.564023</v>
      </c>
      <c r="G1214" s="7" t="n">
        <v>150.368081</v>
      </c>
      <c r="H1214" s="7" t="s">
        <v>7089</v>
      </c>
    </row>
    <row r="1215" customFormat="false" ht="15" hidden="false" customHeight="false" outlineLevel="0" collapsed="false">
      <c r="A1215" s="7" t="s">
        <v>6947</v>
      </c>
      <c r="B1215" s="7" t="s">
        <v>1577</v>
      </c>
      <c r="C1215" s="7" t="s">
        <v>1578</v>
      </c>
      <c r="D1215" s="7" t="n">
        <v>2785</v>
      </c>
      <c r="E1215" s="7" t="s">
        <v>50</v>
      </c>
      <c r="F1215" s="7" t="n">
        <v>-33.649426</v>
      </c>
      <c r="G1215" s="7" t="n">
        <v>150.287268</v>
      </c>
      <c r="H1215" s="7" t="s">
        <v>7016</v>
      </c>
    </row>
    <row r="1216" customFormat="false" ht="15" hidden="false" customHeight="false" outlineLevel="0" collapsed="false">
      <c r="A1216" s="7" t="s">
        <v>6947</v>
      </c>
      <c r="B1216" s="7" t="s">
        <v>1579</v>
      </c>
      <c r="C1216" s="7" t="s">
        <v>1580</v>
      </c>
      <c r="D1216" s="7" t="n">
        <v>2333</v>
      </c>
      <c r="E1216" s="7" t="s">
        <v>50</v>
      </c>
      <c r="F1216" s="7" t="n">
        <v>-32.251742</v>
      </c>
      <c r="G1216" s="7" t="n">
        <v>150.891013</v>
      </c>
      <c r="H1216" s="7" t="s">
        <v>7016</v>
      </c>
    </row>
    <row r="1217" customFormat="false" ht="15" hidden="false" customHeight="false" outlineLevel="0" collapsed="false">
      <c r="A1217" s="7" t="s">
        <v>6947</v>
      </c>
      <c r="B1217" s="7" t="s">
        <v>1581</v>
      </c>
      <c r="C1217" s="7" t="s">
        <v>1582</v>
      </c>
      <c r="D1217" s="7" t="n">
        <v>2631</v>
      </c>
      <c r="E1217" s="7" t="s">
        <v>50</v>
      </c>
      <c r="F1217" s="7" t="n">
        <v>-36.505705</v>
      </c>
      <c r="G1217" s="7" t="n">
        <v>149.284652</v>
      </c>
      <c r="H1217" s="7" t="s">
        <v>7022</v>
      </c>
    </row>
    <row r="1218" customFormat="false" ht="15" hidden="false" customHeight="false" outlineLevel="0" collapsed="false">
      <c r="A1218" s="7" t="s">
        <v>6947</v>
      </c>
      <c r="B1218" s="7" t="s">
        <v>1583</v>
      </c>
      <c r="C1218" s="7" t="s">
        <v>1584</v>
      </c>
      <c r="D1218" s="7" t="n">
        <v>2711</v>
      </c>
      <c r="E1218" s="7" t="s">
        <v>50</v>
      </c>
      <c r="F1218" s="7" t="n">
        <v>-34.507837</v>
      </c>
      <c r="G1218" s="7" t="n">
        <v>144.84319</v>
      </c>
      <c r="H1218" s="7" t="s">
        <v>7022</v>
      </c>
    </row>
    <row r="1219" customFormat="false" ht="15" hidden="false" customHeight="false" outlineLevel="0" collapsed="false">
      <c r="A1219" s="7" t="s">
        <v>6947</v>
      </c>
      <c r="B1219" s="7" t="s">
        <v>1585</v>
      </c>
      <c r="C1219" s="7" t="s">
        <v>1586</v>
      </c>
      <c r="D1219" s="7" t="n">
        <v>2700</v>
      </c>
      <c r="E1219" s="7" t="s">
        <v>50</v>
      </c>
      <c r="F1219" s="7" t="n">
        <v>-34.763256</v>
      </c>
      <c r="G1219" s="7" t="n">
        <v>146.537421</v>
      </c>
      <c r="H1219" s="7" t="s">
        <v>7022</v>
      </c>
    </row>
    <row r="1220" customFormat="false" ht="15" hidden="false" customHeight="false" outlineLevel="0" collapsed="false">
      <c r="A1220" s="7" t="s">
        <v>6947</v>
      </c>
      <c r="B1220" s="7" t="s">
        <v>1587</v>
      </c>
      <c r="C1220" s="7" t="s">
        <v>1588</v>
      </c>
      <c r="D1220" s="7" t="n">
        <v>2257</v>
      </c>
      <c r="E1220" s="7" t="s">
        <v>50</v>
      </c>
      <c r="F1220" s="7" t="n">
        <v>-33.524295</v>
      </c>
      <c r="G1220" s="7" t="n">
        <v>151.375162</v>
      </c>
      <c r="H1220" s="7" t="s">
        <v>7089</v>
      </c>
    </row>
    <row r="1221" customFormat="false" ht="15" hidden="false" customHeight="false" outlineLevel="0" collapsed="false">
      <c r="A1221" s="7" t="s">
        <v>6947</v>
      </c>
      <c r="B1221" s="7" t="s">
        <v>1589</v>
      </c>
      <c r="C1221" s="7" t="s">
        <v>1590</v>
      </c>
      <c r="D1221" s="7" t="n">
        <v>2580</v>
      </c>
      <c r="E1221" s="7" t="s">
        <v>50</v>
      </c>
      <c r="F1221" s="7" t="n">
        <v>-35.02389</v>
      </c>
      <c r="G1221" s="7" t="n">
        <v>149.829478</v>
      </c>
      <c r="H1221" s="7" t="s">
        <v>7089</v>
      </c>
    </row>
    <row r="1222" customFormat="false" ht="15" hidden="false" customHeight="false" outlineLevel="0" collapsed="false">
      <c r="A1222" s="7" t="s">
        <v>6947</v>
      </c>
      <c r="B1222" s="7" t="s">
        <v>1591</v>
      </c>
      <c r="C1222" s="7" t="s">
        <v>1592</v>
      </c>
      <c r="D1222" s="7" t="n">
        <v>2551</v>
      </c>
      <c r="E1222" s="7" t="s">
        <v>50</v>
      </c>
      <c r="F1222" s="7" t="n">
        <v>-37.067768</v>
      </c>
      <c r="G1222" s="7" t="n">
        <v>149.908046</v>
      </c>
      <c r="H1222" s="7" t="s">
        <v>7022</v>
      </c>
    </row>
    <row r="1223" customFormat="false" ht="15" hidden="false" customHeight="false" outlineLevel="0" collapsed="false">
      <c r="A1223" s="7" t="s">
        <v>6947</v>
      </c>
      <c r="B1223" s="7" t="s">
        <v>1593</v>
      </c>
      <c r="C1223" s="7" t="s">
        <v>1594</v>
      </c>
      <c r="D1223" s="7" t="n">
        <v>2473</v>
      </c>
      <c r="E1223" s="7" t="s">
        <v>50</v>
      </c>
      <c r="F1223" s="7" t="n">
        <v>-29.115317</v>
      </c>
      <c r="G1223" s="7" t="n">
        <v>153.433247</v>
      </c>
      <c r="H1223" s="7" t="s">
        <v>7016</v>
      </c>
    </row>
    <row r="1224" customFormat="false" ht="15" hidden="false" customHeight="false" outlineLevel="0" collapsed="false">
      <c r="A1224" s="7" t="s">
        <v>6947</v>
      </c>
      <c r="B1224" s="7" t="s">
        <v>1595</v>
      </c>
      <c r="C1224" s="7" t="s">
        <v>1596</v>
      </c>
      <c r="D1224" s="7" t="n">
        <v>2261</v>
      </c>
      <c r="E1224" s="7" t="s">
        <v>50</v>
      </c>
      <c r="F1224" s="7" t="n">
        <v>-33.350285</v>
      </c>
      <c r="G1224" s="7" t="n">
        <v>151.492775</v>
      </c>
      <c r="H1224" s="7" t="s">
        <v>7022</v>
      </c>
    </row>
    <row r="1225" customFormat="false" ht="15" hidden="false" customHeight="false" outlineLevel="0" collapsed="false">
      <c r="A1225" s="7" t="s">
        <v>6947</v>
      </c>
      <c r="B1225" s="7" t="s">
        <v>1597</v>
      </c>
      <c r="C1225" s="7" t="s">
        <v>1598</v>
      </c>
      <c r="D1225" s="7" t="n">
        <v>2732</v>
      </c>
      <c r="E1225" s="7" t="s">
        <v>50</v>
      </c>
      <c r="F1225" s="7" t="n">
        <v>-35.627466</v>
      </c>
      <c r="G1225" s="7" t="n">
        <v>144.125139</v>
      </c>
      <c r="H1225" s="7" t="s">
        <v>7022</v>
      </c>
    </row>
    <row r="1226" customFormat="false" ht="15" hidden="false" customHeight="false" outlineLevel="0" collapsed="false">
      <c r="A1226" s="7" t="s">
        <v>6947</v>
      </c>
      <c r="B1226" s="7" t="s">
        <v>1599</v>
      </c>
      <c r="C1226" s="7" t="s">
        <v>1600</v>
      </c>
      <c r="D1226" s="7" t="n">
        <v>2325</v>
      </c>
      <c r="E1226" s="7" t="s">
        <v>50</v>
      </c>
      <c r="F1226" s="7" t="n">
        <v>-32.797257</v>
      </c>
      <c r="G1226" s="7" t="n">
        <v>151.368245</v>
      </c>
      <c r="H1226" s="7" t="s">
        <v>7089</v>
      </c>
    </row>
    <row r="1227" customFormat="false" ht="15" hidden="false" customHeight="false" outlineLevel="0" collapsed="false">
      <c r="A1227" s="7" t="s">
        <v>6947</v>
      </c>
      <c r="B1227" s="7" t="s">
        <v>1601</v>
      </c>
      <c r="C1227" s="7" t="s">
        <v>1602</v>
      </c>
      <c r="D1227" s="7" t="n">
        <v>2360</v>
      </c>
      <c r="E1227" s="7" t="s">
        <v>50</v>
      </c>
      <c r="F1227" s="7" t="n">
        <v>-29.781602</v>
      </c>
      <c r="G1227" s="7" t="n">
        <v>151.132368</v>
      </c>
      <c r="H1227" s="7" t="s">
        <v>7022</v>
      </c>
    </row>
    <row r="1228" customFormat="false" ht="15" hidden="false" customHeight="false" outlineLevel="0" collapsed="false">
      <c r="A1228" s="7" t="s">
        <v>6947</v>
      </c>
      <c r="B1228" s="7" t="s">
        <v>1603</v>
      </c>
      <c r="C1228" s="7" t="s">
        <v>1604</v>
      </c>
      <c r="D1228" s="7" t="n">
        <v>2550</v>
      </c>
      <c r="E1228" s="7" t="s">
        <v>50</v>
      </c>
      <c r="F1228" s="7" t="n">
        <v>-36.682365</v>
      </c>
      <c r="G1228" s="7" t="n">
        <v>149.839409</v>
      </c>
      <c r="H1228" s="7" t="s">
        <v>7048</v>
      </c>
    </row>
    <row r="1229" customFormat="false" ht="15" hidden="false" customHeight="false" outlineLevel="0" collapsed="false">
      <c r="A1229" s="7" t="s">
        <v>6947</v>
      </c>
      <c r="B1229" s="7" t="s">
        <v>7037</v>
      </c>
      <c r="C1229" s="7" t="s">
        <v>1605</v>
      </c>
      <c r="D1229" s="7" t="n">
        <v>2785</v>
      </c>
      <c r="E1229" s="7" t="s">
        <v>50</v>
      </c>
      <c r="F1229" s="7" t="n">
        <v>-33.640443</v>
      </c>
      <c r="G1229" s="7" t="n">
        <v>150.285698</v>
      </c>
      <c r="H1229" s="7" t="s">
        <v>7016</v>
      </c>
    </row>
    <row r="1230" customFormat="false" ht="15" hidden="false" customHeight="false" outlineLevel="0" collapsed="false">
      <c r="A1230" s="7" t="s">
        <v>6947</v>
      </c>
      <c r="B1230" s="7" t="s">
        <v>1606</v>
      </c>
      <c r="C1230" s="7" t="s">
        <v>1607</v>
      </c>
      <c r="D1230" s="7" t="n">
        <v>2463</v>
      </c>
      <c r="E1230" s="7" t="s">
        <v>50</v>
      </c>
      <c r="F1230" s="7" t="n">
        <v>-29.45687</v>
      </c>
      <c r="G1230" s="7" t="n">
        <v>153.198811</v>
      </c>
      <c r="H1230" s="7" t="s">
        <v>7022</v>
      </c>
    </row>
    <row r="1231" customFormat="false" ht="15" hidden="false" customHeight="false" outlineLevel="0" collapsed="false">
      <c r="A1231" s="7" t="s">
        <v>6947</v>
      </c>
      <c r="B1231" s="7" t="s">
        <v>1608</v>
      </c>
      <c r="C1231" s="7" t="s">
        <v>1609</v>
      </c>
      <c r="D1231" s="7" t="n">
        <v>2540</v>
      </c>
      <c r="E1231" s="7" t="s">
        <v>50</v>
      </c>
      <c r="F1231" s="7" t="n">
        <v>-35.048461</v>
      </c>
      <c r="G1231" s="7" t="n">
        <v>150.674738</v>
      </c>
      <c r="H1231" s="7" t="s">
        <v>7089</v>
      </c>
    </row>
    <row r="1232" customFormat="false" ht="15" hidden="false" customHeight="false" outlineLevel="0" collapsed="false">
      <c r="A1232" s="7" t="s">
        <v>6947</v>
      </c>
      <c r="B1232" s="7" t="s">
        <v>1610</v>
      </c>
      <c r="C1232" s="7" t="s">
        <v>1611</v>
      </c>
      <c r="D1232" s="7" t="n">
        <v>2320</v>
      </c>
      <c r="E1232" s="7" t="s">
        <v>50</v>
      </c>
      <c r="F1232" s="7" t="n">
        <v>-32.753151</v>
      </c>
      <c r="G1232" s="7" t="n">
        <v>151.319067</v>
      </c>
      <c r="H1232" s="7" t="s">
        <v>7016</v>
      </c>
    </row>
    <row r="1233" customFormat="false" ht="15" hidden="false" customHeight="false" outlineLevel="0" collapsed="false">
      <c r="A1233" s="7" t="s">
        <v>6947</v>
      </c>
      <c r="B1233" s="7" t="s">
        <v>1612</v>
      </c>
      <c r="C1233" s="7" t="s">
        <v>1613</v>
      </c>
      <c r="D1233" s="7" t="n">
        <v>2830</v>
      </c>
      <c r="E1233" s="7" t="s">
        <v>50</v>
      </c>
      <c r="F1233" s="7" t="n">
        <v>-32.250909</v>
      </c>
      <c r="G1233" s="7" t="n">
        <v>148.601418</v>
      </c>
      <c r="H1233" s="7" t="s">
        <v>7022</v>
      </c>
    </row>
    <row r="1234" customFormat="false" ht="15" hidden="false" customHeight="false" outlineLevel="0" collapsed="false">
      <c r="A1234" s="7" t="s">
        <v>6947</v>
      </c>
      <c r="B1234" s="7" t="s">
        <v>1614</v>
      </c>
      <c r="C1234" s="7" t="s">
        <v>1615</v>
      </c>
      <c r="D1234" s="7" t="n">
        <v>2680</v>
      </c>
      <c r="E1234" s="7" t="s">
        <v>50</v>
      </c>
      <c r="F1234" s="7" t="n">
        <v>-34.266839</v>
      </c>
      <c r="G1234" s="7" t="n">
        <v>146.062046</v>
      </c>
      <c r="H1234" s="7" t="s">
        <v>7022</v>
      </c>
    </row>
    <row r="1235" customFormat="false" ht="15" hidden="false" customHeight="false" outlineLevel="0" collapsed="false">
      <c r="A1235" s="7" t="s">
        <v>6947</v>
      </c>
      <c r="B1235" s="7" t="s">
        <v>1616</v>
      </c>
      <c r="C1235" s="7" t="s">
        <v>1617</v>
      </c>
      <c r="D1235" s="7" t="n">
        <v>2785</v>
      </c>
      <c r="E1235" s="7" t="s">
        <v>50</v>
      </c>
      <c r="F1235" s="7" t="n">
        <v>-33.632531</v>
      </c>
      <c r="G1235" s="7" t="n">
        <v>150.281671</v>
      </c>
      <c r="H1235" s="7" t="s">
        <v>7089</v>
      </c>
    </row>
    <row r="1236" customFormat="false" ht="15" hidden="false" customHeight="false" outlineLevel="0" collapsed="false">
      <c r="A1236" s="7" t="s">
        <v>6947</v>
      </c>
      <c r="B1236" s="7" t="s">
        <v>1618</v>
      </c>
      <c r="C1236" s="7" t="s">
        <v>1619</v>
      </c>
      <c r="D1236" s="7" t="n">
        <v>2315</v>
      </c>
      <c r="E1236" s="7" t="s">
        <v>50</v>
      </c>
      <c r="F1236" s="7" t="n">
        <v>-32.750793</v>
      </c>
      <c r="G1236" s="7" t="n">
        <v>152.168761</v>
      </c>
      <c r="H1236" s="7" t="s">
        <v>7089</v>
      </c>
    </row>
    <row r="1237" customFormat="false" ht="15" hidden="false" customHeight="false" outlineLevel="0" collapsed="false">
      <c r="A1237" s="7" t="s">
        <v>6947</v>
      </c>
      <c r="B1237" s="7" t="s">
        <v>1620</v>
      </c>
      <c r="C1237" s="7" t="s">
        <v>1621</v>
      </c>
      <c r="D1237" s="7" t="n">
        <v>2706</v>
      </c>
      <c r="E1237" s="7" t="s">
        <v>50</v>
      </c>
      <c r="F1237" s="7" t="n">
        <v>-34.573573</v>
      </c>
      <c r="G1237" s="7" t="n">
        <v>145.992624</v>
      </c>
      <c r="H1237" s="7" t="s">
        <v>7022</v>
      </c>
    </row>
    <row r="1238" customFormat="false" ht="15" hidden="false" customHeight="false" outlineLevel="0" collapsed="false">
      <c r="A1238" s="7" t="s">
        <v>6947</v>
      </c>
      <c r="B1238" s="7" t="s">
        <v>1623</v>
      </c>
      <c r="C1238" s="7" t="s">
        <v>1624</v>
      </c>
      <c r="D1238" s="7" t="n">
        <v>2323</v>
      </c>
      <c r="E1238" s="7" t="s">
        <v>50</v>
      </c>
      <c r="F1238" s="7" t="n">
        <v>-32.753464</v>
      </c>
      <c r="G1238" s="7" t="n">
        <v>151.586702</v>
      </c>
      <c r="H1238" s="7" t="s">
        <v>7016</v>
      </c>
    </row>
    <row r="1239" customFormat="false" ht="15" hidden="false" customHeight="false" outlineLevel="0" collapsed="false">
      <c r="A1239" s="7" t="s">
        <v>6947</v>
      </c>
      <c r="B1239" s="7" t="s">
        <v>1625</v>
      </c>
      <c r="C1239" s="7" t="s">
        <v>1626</v>
      </c>
      <c r="D1239" s="7" t="n">
        <v>2320</v>
      </c>
      <c r="E1239" s="7" t="s">
        <v>50</v>
      </c>
      <c r="F1239" s="7" t="n">
        <v>-32.820791</v>
      </c>
      <c r="G1239" s="7" t="n">
        <v>151.297099</v>
      </c>
      <c r="H1239" s="7" t="s">
        <v>7016</v>
      </c>
    </row>
    <row r="1240" customFormat="false" ht="15" hidden="false" customHeight="false" outlineLevel="0" collapsed="false">
      <c r="A1240" s="7" t="s">
        <v>6947</v>
      </c>
      <c r="B1240" s="7" t="s">
        <v>1627</v>
      </c>
      <c r="C1240" s="7" t="s">
        <v>1628</v>
      </c>
      <c r="D1240" s="7" t="n">
        <v>2540</v>
      </c>
      <c r="E1240" s="7" t="s">
        <v>50</v>
      </c>
      <c r="F1240" s="7" t="n">
        <v>-35.100385</v>
      </c>
      <c r="G1240" s="7" t="n">
        <v>150.689888</v>
      </c>
      <c r="H1240" s="7" t="s">
        <v>7089</v>
      </c>
    </row>
    <row r="1241" customFormat="false" ht="15" hidden="false" customHeight="false" outlineLevel="0" collapsed="false">
      <c r="A1241" s="7" t="s">
        <v>6947</v>
      </c>
      <c r="B1241" s="7" t="s">
        <v>1629</v>
      </c>
      <c r="C1241" s="7" t="s">
        <v>1630</v>
      </c>
      <c r="D1241" s="7" t="n">
        <v>2548</v>
      </c>
      <c r="E1241" s="7" t="s">
        <v>50</v>
      </c>
      <c r="F1241" s="7" t="n">
        <v>-36.888253</v>
      </c>
      <c r="G1241" s="7" t="n">
        <v>149.907751</v>
      </c>
      <c r="H1241" s="7" t="s">
        <v>7022</v>
      </c>
    </row>
    <row r="1242" customFormat="false" ht="15" hidden="false" customHeight="false" outlineLevel="0" collapsed="false">
      <c r="A1242" s="7" t="s">
        <v>6947</v>
      </c>
      <c r="B1242" s="7" t="s">
        <v>1631</v>
      </c>
      <c r="C1242" s="7" t="s">
        <v>1632</v>
      </c>
      <c r="D1242" s="7" t="n">
        <v>2839</v>
      </c>
      <c r="E1242" s="7" t="s">
        <v>50</v>
      </c>
      <c r="F1242" s="7" t="n">
        <v>-29.962402</v>
      </c>
      <c r="G1242" s="7" t="n">
        <v>146.856824</v>
      </c>
      <c r="H1242" s="7" t="s">
        <v>7089</v>
      </c>
    </row>
    <row r="1243" customFormat="false" ht="15" hidden="false" customHeight="false" outlineLevel="0" collapsed="false">
      <c r="A1243" s="7" t="s">
        <v>6947</v>
      </c>
      <c r="B1243" s="7" t="s">
        <v>1633</v>
      </c>
      <c r="C1243" s="7" t="s">
        <v>1634</v>
      </c>
      <c r="D1243" s="7" t="n">
        <v>2428</v>
      </c>
      <c r="E1243" s="7" t="s">
        <v>50</v>
      </c>
      <c r="F1243" s="7" t="n">
        <v>-32.368836</v>
      </c>
      <c r="G1243" s="7" t="n">
        <v>152.481477</v>
      </c>
      <c r="H1243" s="7" t="s">
        <v>7089</v>
      </c>
    </row>
    <row r="1244" customFormat="false" ht="15" hidden="false" customHeight="false" outlineLevel="0" collapsed="false">
      <c r="A1244" s="7" t="s">
        <v>6947</v>
      </c>
      <c r="B1244" s="7" t="s">
        <v>1635</v>
      </c>
      <c r="C1244" s="7" t="s">
        <v>1636</v>
      </c>
      <c r="D1244" s="7" t="n">
        <v>2340</v>
      </c>
      <c r="E1244" s="7" t="s">
        <v>50</v>
      </c>
      <c r="F1244" s="7" t="n">
        <v>-31.09579</v>
      </c>
      <c r="G1244" s="7" t="n">
        <v>150.911055</v>
      </c>
      <c r="H1244" s="7" t="s">
        <v>7022</v>
      </c>
    </row>
    <row r="1245" customFormat="false" ht="15" hidden="false" customHeight="false" outlineLevel="0" collapsed="false">
      <c r="A1245" s="7" t="s">
        <v>6947</v>
      </c>
      <c r="B1245" s="7" t="s">
        <v>1637</v>
      </c>
      <c r="C1245" s="7" t="s">
        <v>1638</v>
      </c>
      <c r="D1245" s="7" t="n">
        <v>2464</v>
      </c>
      <c r="E1245" s="7" t="s">
        <v>50</v>
      </c>
      <c r="F1245" s="7" t="n">
        <v>-29.434133</v>
      </c>
      <c r="G1245" s="7" t="n">
        <v>153.342621</v>
      </c>
      <c r="H1245" s="7" t="s">
        <v>7022</v>
      </c>
    </row>
    <row r="1246" customFormat="false" ht="15" hidden="false" customHeight="false" outlineLevel="0" collapsed="false">
      <c r="A1246" s="7" t="s">
        <v>6947</v>
      </c>
      <c r="B1246" s="7" t="s">
        <v>1639</v>
      </c>
      <c r="C1246" s="7" t="s">
        <v>1640</v>
      </c>
      <c r="D1246" s="7" t="n">
        <v>2427</v>
      </c>
      <c r="E1246" s="7" t="s">
        <v>50</v>
      </c>
      <c r="F1246" s="7" t="n">
        <v>-31.871397</v>
      </c>
      <c r="G1246" s="7" t="n">
        <v>152.686433</v>
      </c>
      <c r="H1246" s="7" t="s">
        <v>7022</v>
      </c>
    </row>
    <row r="1247" customFormat="false" ht="15" hidden="false" customHeight="false" outlineLevel="0" collapsed="false">
      <c r="A1247" s="7" t="s">
        <v>6947</v>
      </c>
      <c r="B1247" s="7" t="s">
        <v>1641</v>
      </c>
      <c r="C1247" s="7" t="s">
        <v>1642</v>
      </c>
      <c r="D1247" s="7" t="n">
        <v>2540</v>
      </c>
      <c r="E1247" s="7" t="s">
        <v>50</v>
      </c>
      <c r="F1247" s="7" t="n">
        <v>-35.048039</v>
      </c>
      <c r="G1247" s="7" t="n">
        <v>150.674874</v>
      </c>
      <c r="H1247" s="7" t="s">
        <v>7089</v>
      </c>
    </row>
    <row r="1248" customFormat="false" ht="15" hidden="false" customHeight="false" outlineLevel="0" collapsed="false">
      <c r="A1248" s="7" t="s">
        <v>6947</v>
      </c>
      <c r="B1248" s="7" t="s">
        <v>1643</v>
      </c>
      <c r="C1248" s="7" t="s">
        <v>1644</v>
      </c>
      <c r="D1248" s="7" t="n">
        <v>2444</v>
      </c>
      <c r="E1248" s="7" t="s">
        <v>50</v>
      </c>
      <c r="F1248" s="7" t="n">
        <v>-31.428743</v>
      </c>
      <c r="G1248" s="7" t="n">
        <v>152.910134</v>
      </c>
      <c r="H1248" s="7" t="s">
        <v>7022</v>
      </c>
    </row>
    <row r="1249" customFormat="false" ht="15" hidden="false" customHeight="false" outlineLevel="0" collapsed="false">
      <c r="A1249" s="7" t="s">
        <v>6947</v>
      </c>
      <c r="B1249" s="7" t="s">
        <v>1645</v>
      </c>
      <c r="C1249" s="7" t="s">
        <v>711</v>
      </c>
      <c r="D1249" s="7" t="n">
        <v>2322</v>
      </c>
      <c r="E1249" s="7" t="s">
        <v>50</v>
      </c>
      <c r="F1249" s="7" t="n">
        <v>-32.803227</v>
      </c>
      <c r="G1249" s="7" t="n">
        <v>151.632758</v>
      </c>
      <c r="H1249" s="7" t="s">
        <v>7048</v>
      </c>
    </row>
    <row r="1250" customFormat="false" ht="15" hidden="false" customHeight="false" outlineLevel="0" collapsed="false">
      <c r="A1250" s="7" t="s">
        <v>6947</v>
      </c>
      <c r="B1250" s="7" t="s">
        <v>1646</v>
      </c>
      <c r="C1250" s="7" t="s">
        <v>1647</v>
      </c>
      <c r="D1250" s="7" t="n">
        <v>2360</v>
      </c>
      <c r="E1250" s="7" t="s">
        <v>50</v>
      </c>
      <c r="F1250" s="7" t="n">
        <v>-29.779773</v>
      </c>
      <c r="G1250" s="7" t="n">
        <v>151.120363</v>
      </c>
      <c r="H1250" s="7" t="s">
        <v>7022</v>
      </c>
    </row>
    <row r="1251" customFormat="false" ht="15" hidden="false" customHeight="false" outlineLevel="0" collapsed="false">
      <c r="A1251" s="7" t="s">
        <v>6947</v>
      </c>
      <c r="B1251" s="7" t="s">
        <v>7037</v>
      </c>
      <c r="C1251" s="7" t="s">
        <v>1648</v>
      </c>
      <c r="D1251" s="7" t="n">
        <v>2536</v>
      </c>
      <c r="E1251" s="7" t="s">
        <v>50</v>
      </c>
      <c r="F1251" s="7" t="n">
        <v>-35.801038</v>
      </c>
      <c r="G1251" s="7" t="n">
        <v>150.156231</v>
      </c>
      <c r="H1251" s="7" t="s">
        <v>7022</v>
      </c>
    </row>
    <row r="1252" customFormat="false" ht="15" hidden="false" customHeight="false" outlineLevel="0" collapsed="false">
      <c r="A1252" s="7" t="s">
        <v>6947</v>
      </c>
      <c r="B1252" s="7" t="s">
        <v>1649</v>
      </c>
      <c r="C1252" s="7" t="s">
        <v>1650</v>
      </c>
      <c r="D1252" s="7" t="n">
        <v>2354</v>
      </c>
      <c r="E1252" s="7" t="s">
        <v>50</v>
      </c>
      <c r="F1252" s="7" t="n">
        <v>-30.985481</v>
      </c>
      <c r="G1252" s="7" t="n">
        <v>151.592206</v>
      </c>
      <c r="H1252" s="7" t="s">
        <v>7089</v>
      </c>
    </row>
    <row r="1253" customFormat="false" ht="15" hidden="false" customHeight="false" outlineLevel="0" collapsed="false">
      <c r="A1253" s="7" t="s">
        <v>6947</v>
      </c>
      <c r="B1253" s="7" t="s">
        <v>1651</v>
      </c>
      <c r="C1253" s="7" t="s">
        <v>1652</v>
      </c>
      <c r="D1253" s="7" t="n">
        <v>2428</v>
      </c>
      <c r="E1253" s="7" t="s">
        <v>50</v>
      </c>
      <c r="F1253" s="7" t="n">
        <v>-32.17236</v>
      </c>
      <c r="G1253" s="7" t="n">
        <v>152.504355</v>
      </c>
      <c r="H1253" s="7" t="s">
        <v>7016</v>
      </c>
    </row>
    <row r="1254" customFormat="false" ht="15" hidden="false" customHeight="false" outlineLevel="0" collapsed="false">
      <c r="A1254" s="7" t="s">
        <v>6947</v>
      </c>
      <c r="B1254" s="7" t="s">
        <v>1653</v>
      </c>
      <c r="C1254" s="7" t="s">
        <v>1654</v>
      </c>
      <c r="D1254" s="7" t="n">
        <v>2444</v>
      </c>
      <c r="E1254" s="7" t="s">
        <v>50</v>
      </c>
      <c r="F1254" s="7" t="n">
        <v>-31.433792</v>
      </c>
      <c r="G1254" s="7" t="n">
        <v>152.915333</v>
      </c>
      <c r="H1254" s="7" t="s">
        <v>7016</v>
      </c>
    </row>
    <row r="1255" customFormat="false" ht="15" hidden="false" customHeight="false" outlineLevel="0" collapsed="false">
      <c r="A1255" s="7" t="s">
        <v>6947</v>
      </c>
      <c r="B1255" s="7" t="s">
        <v>1655</v>
      </c>
      <c r="C1255" s="7" t="s">
        <v>1656</v>
      </c>
      <c r="D1255" s="7" t="n">
        <v>2714</v>
      </c>
      <c r="E1255" s="7" t="s">
        <v>50</v>
      </c>
      <c r="F1255" s="7" t="n">
        <v>-35.820038</v>
      </c>
      <c r="G1255" s="7" t="n">
        <v>145.579125</v>
      </c>
      <c r="H1255" s="7" t="s">
        <v>7022</v>
      </c>
    </row>
    <row r="1256" customFormat="false" ht="15" hidden="false" customHeight="false" outlineLevel="0" collapsed="false">
      <c r="A1256" s="7" t="s">
        <v>6947</v>
      </c>
      <c r="B1256" s="7" t="s">
        <v>7037</v>
      </c>
      <c r="C1256" s="7" t="s">
        <v>1657</v>
      </c>
      <c r="D1256" s="7" t="n">
        <v>2257</v>
      </c>
      <c r="E1256" s="7" t="s">
        <v>50</v>
      </c>
      <c r="F1256" s="7" t="n">
        <v>-33.528721</v>
      </c>
      <c r="G1256" s="7" t="n">
        <v>151.3436</v>
      </c>
      <c r="H1256" s="7" t="s">
        <v>7022</v>
      </c>
    </row>
    <row r="1257" customFormat="false" ht="15" hidden="false" customHeight="false" outlineLevel="0" collapsed="false">
      <c r="A1257" s="7" t="s">
        <v>6947</v>
      </c>
      <c r="B1257" s="7" t="s">
        <v>1658</v>
      </c>
      <c r="C1257" s="7" t="s">
        <v>1659</v>
      </c>
      <c r="D1257" s="7" t="n">
        <v>2646</v>
      </c>
      <c r="E1257" s="7" t="s">
        <v>50</v>
      </c>
      <c r="F1257" s="7" t="n">
        <v>-35.98758</v>
      </c>
      <c r="G1257" s="7" t="n">
        <v>146.398336</v>
      </c>
      <c r="H1257" s="7" t="s">
        <v>7022</v>
      </c>
    </row>
    <row r="1258" customFormat="false" ht="15" hidden="false" customHeight="false" outlineLevel="0" collapsed="false">
      <c r="A1258" s="7" t="s">
        <v>6947</v>
      </c>
      <c r="B1258" s="7" t="s">
        <v>1660</v>
      </c>
      <c r="C1258" s="7" t="s">
        <v>1661</v>
      </c>
      <c r="D1258" s="7" t="n">
        <v>2350</v>
      </c>
      <c r="E1258" s="7" t="s">
        <v>50</v>
      </c>
      <c r="F1258" s="7" t="n">
        <v>-30.506123</v>
      </c>
      <c r="G1258" s="7" t="n">
        <v>151.671657</v>
      </c>
      <c r="H1258" s="7" t="s">
        <v>7022</v>
      </c>
    </row>
    <row r="1259" customFormat="false" ht="15" hidden="false" customHeight="false" outlineLevel="0" collapsed="false">
      <c r="A1259" s="7" t="s">
        <v>6947</v>
      </c>
      <c r="B1259" s="7" t="s">
        <v>1346</v>
      </c>
      <c r="C1259" s="7" t="s">
        <v>1662</v>
      </c>
      <c r="D1259" s="7" t="n">
        <v>2653</v>
      </c>
      <c r="E1259" s="7" t="s">
        <v>50</v>
      </c>
      <c r="F1259" s="7" t="n">
        <v>-35.803917</v>
      </c>
      <c r="G1259" s="7" t="n">
        <v>147.934187</v>
      </c>
      <c r="H1259" s="7" t="s">
        <v>7022</v>
      </c>
    </row>
    <row r="1260" customFormat="false" ht="15" hidden="false" customHeight="false" outlineLevel="0" collapsed="false">
      <c r="A1260" s="7" t="s">
        <v>6947</v>
      </c>
      <c r="B1260" s="7" t="s">
        <v>1663</v>
      </c>
      <c r="C1260" s="7" t="s">
        <v>1664</v>
      </c>
      <c r="D1260" s="7" t="n">
        <v>2537</v>
      </c>
      <c r="E1260" s="7" t="s">
        <v>50</v>
      </c>
      <c r="F1260" s="7" t="n">
        <v>-35.90861</v>
      </c>
      <c r="G1260" s="7" t="n">
        <v>150.081586</v>
      </c>
      <c r="H1260" s="7" t="s">
        <v>7022</v>
      </c>
    </row>
    <row r="1261" customFormat="false" ht="15" hidden="false" customHeight="false" outlineLevel="0" collapsed="false">
      <c r="A1261" s="7" t="s">
        <v>6947</v>
      </c>
      <c r="B1261" s="7" t="s">
        <v>7037</v>
      </c>
      <c r="C1261" s="7" t="s">
        <v>1665</v>
      </c>
      <c r="D1261" s="7" t="n">
        <v>2722</v>
      </c>
      <c r="E1261" s="7" t="s">
        <v>50</v>
      </c>
      <c r="F1261" s="7" t="n">
        <v>-35.061314</v>
      </c>
      <c r="G1261" s="7" t="n">
        <v>148.101937</v>
      </c>
      <c r="H1261" s="7" t="s">
        <v>7016</v>
      </c>
    </row>
    <row r="1262" customFormat="false" ht="15" hidden="false" customHeight="false" outlineLevel="0" collapsed="false">
      <c r="A1262" s="7" t="s">
        <v>6947</v>
      </c>
      <c r="B1262" s="7" t="s">
        <v>7037</v>
      </c>
      <c r="C1262" s="7" t="s">
        <v>1666</v>
      </c>
      <c r="D1262" s="7" t="n">
        <v>2533</v>
      </c>
      <c r="E1262" s="7" t="s">
        <v>50</v>
      </c>
      <c r="F1262" s="7" t="n">
        <v>-34.673079</v>
      </c>
      <c r="G1262" s="7" t="n">
        <v>150.821348</v>
      </c>
      <c r="H1262" s="7" t="s">
        <v>7048</v>
      </c>
    </row>
    <row r="1263" customFormat="false" ht="15" hidden="false" customHeight="false" outlineLevel="0" collapsed="false">
      <c r="A1263" s="7" t="s">
        <v>6947</v>
      </c>
      <c r="B1263" s="7" t="s">
        <v>1668</v>
      </c>
      <c r="C1263" s="7" t="s">
        <v>1669</v>
      </c>
      <c r="D1263" s="7" t="n">
        <v>2800</v>
      </c>
      <c r="E1263" s="7" t="s">
        <v>50</v>
      </c>
      <c r="F1263" s="7" t="n">
        <v>-33.299286</v>
      </c>
      <c r="G1263" s="7" t="n">
        <v>149.07518</v>
      </c>
      <c r="H1263" s="7" t="s">
        <v>7022</v>
      </c>
    </row>
    <row r="1264" customFormat="false" ht="15" hidden="false" customHeight="false" outlineLevel="0" collapsed="false">
      <c r="A1264" s="7" t="s">
        <v>6947</v>
      </c>
      <c r="B1264" s="7" t="s">
        <v>1670</v>
      </c>
      <c r="C1264" s="7" t="s">
        <v>1671</v>
      </c>
      <c r="D1264" s="7" t="n">
        <v>2540</v>
      </c>
      <c r="E1264" s="7" t="s">
        <v>50</v>
      </c>
      <c r="F1264" s="7" t="n">
        <v>-35.047647</v>
      </c>
      <c r="G1264" s="7" t="n">
        <v>150.671632</v>
      </c>
      <c r="H1264" s="7" t="s">
        <v>7089</v>
      </c>
    </row>
    <row r="1265" customFormat="false" ht="15" hidden="false" customHeight="false" outlineLevel="0" collapsed="false">
      <c r="A1265" s="7" t="s">
        <v>6947</v>
      </c>
      <c r="B1265" s="7" t="s">
        <v>1672</v>
      </c>
      <c r="C1265" s="7" t="s">
        <v>1673</v>
      </c>
      <c r="D1265" s="7" t="n">
        <v>2264</v>
      </c>
      <c r="E1265" s="7" t="s">
        <v>50</v>
      </c>
      <c r="F1265" s="7" t="n">
        <v>-33.096134</v>
      </c>
      <c r="G1265" s="7" t="n">
        <v>151.545609</v>
      </c>
      <c r="H1265" s="7" t="s">
        <v>7016</v>
      </c>
    </row>
    <row r="1266" customFormat="false" ht="15" hidden="false" customHeight="false" outlineLevel="0" collapsed="false">
      <c r="A1266" s="7" t="s">
        <v>6947</v>
      </c>
      <c r="B1266" s="7" t="s">
        <v>1674</v>
      </c>
      <c r="C1266" s="7" t="s">
        <v>1675</v>
      </c>
      <c r="D1266" s="7" t="n">
        <v>2337</v>
      </c>
      <c r="E1266" s="7" t="s">
        <v>50</v>
      </c>
      <c r="F1266" s="7" t="n">
        <v>-32.033636</v>
      </c>
      <c r="G1266" s="7" t="n">
        <v>150.833641</v>
      </c>
      <c r="H1266" s="7" t="s">
        <v>7016</v>
      </c>
    </row>
    <row r="1267" customFormat="false" ht="15" hidden="false" customHeight="false" outlineLevel="0" collapsed="false">
      <c r="A1267" s="7" t="s">
        <v>6947</v>
      </c>
      <c r="B1267" s="7" t="s">
        <v>1676</v>
      </c>
      <c r="C1267" s="7" t="s">
        <v>1677</v>
      </c>
      <c r="D1267" s="7" t="n">
        <v>2454</v>
      </c>
      <c r="E1267" s="7" t="s">
        <v>50</v>
      </c>
      <c r="F1267" s="7" t="n">
        <v>-30.515497</v>
      </c>
      <c r="G1267" s="7" t="n">
        <v>152.919118</v>
      </c>
      <c r="H1267" s="7" t="s">
        <v>7089</v>
      </c>
    </row>
    <row r="1268" customFormat="false" ht="15" hidden="false" customHeight="false" outlineLevel="0" collapsed="false">
      <c r="A1268" s="7" t="s">
        <v>6947</v>
      </c>
      <c r="B1268" s="7" t="s">
        <v>1678</v>
      </c>
      <c r="C1268" s="7" t="s">
        <v>1679</v>
      </c>
      <c r="D1268" s="7" t="n">
        <v>2786</v>
      </c>
      <c r="E1268" s="7" t="s">
        <v>50</v>
      </c>
      <c r="F1268" s="7" t="n">
        <v>-33.585202</v>
      </c>
      <c r="G1268" s="7" t="n">
        <v>150.247854</v>
      </c>
      <c r="H1268" s="7" t="s">
        <v>7022</v>
      </c>
    </row>
    <row r="1269" customFormat="false" ht="15" hidden="false" customHeight="false" outlineLevel="0" collapsed="false">
      <c r="A1269" s="7" t="s">
        <v>6947</v>
      </c>
      <c r="B1269" s="7" t="s">
        <v>1680</v>
      </c>
      <c r="C1269" s="7" t="s">
        <v>1681</v>
      </c>
      <c r="D1269" s="7" t="n">
        <v>2357</v>
      </c>
      <c r="E1269" s="7" t="s">
        <v>50</v>
      </c>
      <c r="F1269" s="7" t="n">
        <v>-31.273088</v>
      </c>
      <c r="G1269" s="7" t="n">
        <v>149.277781</v>
      </c>
      <c r="H1269" s="7" t="s">
        <v>7089</v>
      </c>
    </row>
    <row r="1270" customFormat="false" ht="15" hidden="false" customHeight="false" outlineLevel="0" collapsed="false">
      <c r="A1270" s="7" t="s">
        <v>6947</v>
      </c>
      <c r="B1270" s="7" t="s">
        <v>1682</v>
      </c>
      <c r="C1270" s="7" t="s">
        <v>1683</v>
      </c>
      <c r="D1270" s="7" t="n">
        <v>2540</v>
      </c>
      <c r="E1270" s="7" t="s">
        <v>50</v>
      </c>
      <c r="F1270" s="7" t="n">
        <v>-35.103339</v>
      </c>
      <c r="G1270" s="7" t="n">
        <v>150.62791</v>
      </c>
      <c r="H1270" s="7" t="s">
        <v>7089</v>
      </c>
    </row>
    <row r="1271" customFormat="false" ht="15" hidden="false" customHeight="false" outlineLevel="0" collapsed="false">
      <c r="A1271" s="7" t="s">
        <v>6947</v>
      </c>
      <c r="B1271" s="7" t="s">
        <v>1684</v>
      </c>
      <c r="C1271" s="7" t="s">
        <v>1685</v>
      </c>
      <c r="D1271" s="7" t="n">
        <v>2625</v>
      </c>
      <c r="E1271" s="7" t="s">
        <v>50</v>
      </c>
      <c r="F1271" s="7" t="n">
        <v>-36.506328</v>
      </c>
      <c r="G1271" s="7" t="n">
        <v>148.298673</v>
      </c>
      <c r="H1271" s="7" t="s">
        <v>7022</v>
      </c>
    </row>
    <row r="1272" customFormat="false" ht="15" hidden="false" customHeight="false" outlineLevel="0" collapsed="false">
      <c r="A1272" s="7" t="s">
        <v>6947</v>
      </c>
      <c r="B1272" s="7" t="s">
        <v>1686</v>
      </c>
      <c r="C1272" s="7" t="s">
        <v>1687</v>
      </c>
      <c r="D1272" s="7" t="n">
        <v>2782</v>
      </c>
      <c r="E1272" s="7" t="s">
        <v>50</v>
      </c>
      <c r="F1272" s="7" t="n">
        <v>-33.723516</v>
      </c>
      <c r="G1272" s="7" t="n">
        <v>150.369556</v>
      </c>
      <c r="H1272" s="7" t="s">
        <v>7089</v>
      </c>
    </row>
    <row r="1273" customFormat="false" ht="15" hidden="false" customHeight="false" outlineLevel="0" collapsed="false">
      <c r="A1273" s="7" t="s">
        <v>6947</v>
      </c>
      <c r="B1273" s="7" t="s">
        <v>1688</v>
      </c>
      <c r="C1273" s="7" t="s">
        <v>1689</v>
      </c>
      <c r="D1273" s="7" t="n">
        <v>2320</v>
      </c>
      <c r="E1273" s="7" t="s">
        <v>50</v>
      </c>
      <c r="F1273" s="7" t="n">
        <v>-32.696341</v>
      </c>
      <c r="G1273" s="7" t="n">
        <v>151.256009</v>
      </c>
      <c r="H1273" s="7" t="s">
        <v>7089</v>
      </c>
    </row>
    <row r="1274" customFormat="false" ht="15" hidden="false" customHeight="false" outlineLevel="0" collapsed="false">
      <c r="A1274" s="7" t="s">
        <v>6947</v>
      </c>
      <c r="B1274" s="7" t="s">
        <v>1690</v>
      </c>
      <c r="C1274" s="7" t="s">
        <v>1691</v>
      </c>
      <c r="D1274" s="7" t="n">
        <v>2785</v>
      </c>
      <c r="E1274" s="7" t="s">
        <v>50</v>
      </c>
      <c r="F1274" s="7" t="n">
        <v>-33.63616</v>
      </c>
      <c r="G1274" s="7" t="n">
        <v>150.287214</v>
      </c>
      <c r="H1274" s="7" t="s">
        <v>7089</v>
      </c>
    </row>
    <row r="1275" customFormat="false" ht="15" hidden="false" customHeight="false" outlineLevel="0" collapsed="false">
      <c r="A1275" s="7" t="s">
        <v>6947</v>
      </c>
      <c r="B1275" s="7" t="s">
        <v>1692</v>
      </c>
      <c r="C1275" s="7" t="s">
        <v>1693</v>
      </c>
      <c r="D1275" s="7" t="n">
        <v>2500</v>
      </c>
      <c r="E1275" s="7" t="s">
        <v>50</v>
      </c>
      <c r="F1275" s="7" t="n">
        <v>-34.419822</v>
      </c>
      <c r="G1275" s="7" t="n">
        <v>150.8929</v>
      </c>
      <c r="H1275" s="7" t="s">
        <v>7016</v>
      </c>
    </row>
    <row r="1276" customFormat="false" ht="15" hidden="false" customHeight="false" outlineLevel="0" collapsed="false">
      <c r="A1276" s="7" t="s">
        <v>6947</v>
      </c>
      <c r="B1276" s="7" t="s">
        <v>1694</v>
      </c>
      <c r="C1276" s="7" t="s">
        <v>1695</v>
      </c>
      <c r="D1276" s="7" t="n">
        <v>2325</v>
      </c>
      <c r="E1276" s="7" t="s">
        <v>50</v>
      </c>
      <c r="F1276" s="7" t="n">
        <v>-32.850141</v>
      </c>
      <c r="G1276" s="7" t="n">
        <v>151.256149</v>
      </c>
      <c r="H1276" s="7" t="s">
        <v>7016</v>
      </c>
    </row>
    <row r="1277" customFormat="false" ht="15" hidden="false" customHeight="false" outlineLevel="0" collapsed="false">
      <c r="A1277" s="7" t="s">
        <v>6947</v>
      </c>
      <c r="B1277" s="7" t="s">
        <v>1696</v>
      </c>
      <c r="C1277" s="7" t="s">
        <v>1697</v>
      </c>
      <c r="D1277" s="7" t="n">
        <v>2337</v>
      </c>
      <c r="E1277" s="7" t="s">
        <v>50</v>
      </c>
      <c r="F1277" s="7" t="n">
        <v>-31.945383</v>
      </c>
      <c r="G1277" s="7" t="n">
        <v>151.049205</v>
      </c>
      <c r="H1277" s="7" t="s">
        <v>7089</v>
      </c>
    </row>
    <row r="1278" customFormat="false" ht="15" hidden="false" customHeight="false" outlineLevel="0" collapsed="false">
      <c r="A1278" s="7" t="s">
        <v>6947</v>
      </c>
      <c r="B1278" s="7" t="s">
        <v>1698</v>
      </c>
      <c r="C1278" s="7" t="s">
        <v>1699</v>
      </c>
      <c r="D1278" s="7" t="n">
        <v>2640</v>
      </c>
      <c r="E1278" s="7" t="s">
        <v>50</v>
      </c>
      <c r="F1278" s="7" t="n">
        <v>-36.079835</v>
      </c>
      <c r="G1278" s="7" t="n">
        <v>146.911398</v>
      </c>
      <c r="H1278" s="7" t="s">
        <v>7022</v>
      </c>
    </row>
    <row r="1279" customFormat="false" ht="15" hidden="false" customHeight="false" outlineLevel="0" collapsed="false">
      <c r="A1279" s="7" t="s">
        <v>6947</v>
      </c>
      <c r="B1279" s="7" t="s">
        <v>1700</v>
      </c>
      <c r="C1279" s="7" t="s">
        <v>1701</v>
      </c>
      <c r="D1279" s="7" t="n">
        <v>2720</v>
      </c>
      <c r="E1279" s="7" t="s">
        <v>50</v>
      </c>
      <c r="F1279" s="7" t="n">
        <v>-35.301761</v>
      </c>
      <c r="G1279" s="7" t="n">
        <v>148.219463</v>
      </c>
      <c r="H1279" s="7" t="s">
        <v>7022</v>
      </c>
    </row>
    <row r="1280" customFormat="false" ht="15" hidden="false" customHeight="false" outlineLevel="0" collapsed="false">
      <c r="A1280" s="7" t="s">
        <v>6947</v>
      </c>
      <c r="B1280" s="7" t="s">
        <v>1702</v>
      </c>
      <c r="C1280" s="7" t="s">
        <v>1703</v>
      </c>
      <c r="D1280" s="7" t="n">
        <v>2800</v>
      </c>
      <c r="E1280" s="7" t="s">
        <v>50</v>
      </c>
      <c r="F1280" s="7" t="n">
        <v>-33.281823</v>
      </c>
      <c r="G1280" s="7" t="n">
        <v>149.094469</v>
      </c>
      <c r="H1280" s="7" t="s">
        <v>7016</v>
      </c>
    </row>
    <row r="1281" customFormat="false" ht="15" hidden="false" customHeight="false" outlineLevel="0" collapsed="false">
      <c r="A1281" s="7" t="s">
        <v>6947</v>
      </c>
      <c r="B1281" s="7" t="s">
        <v>1318</v>
      </c>
      <c r="C1281" s="7" t="s">
        <v>1704</v>
      </c>
      <c r="D1281" s="7" t="n">
        <v>2430</v>
      </c>
      <c r="E1281" s="7" t="s">
        <v>50</v>
      </c>
      <c r="F1281" s="7" t="n">
        <v>-32.031321</v>
      </c>
      <c r="G1281" s="7" t="n">
        <v>152.542672</v>
      </c>
      <c r="H1281" s="7" t="s">
        <v>7016</v>
      </c>
    </row>
    <row r="1282" customFormat="false" ht="15" hidden="false" customHeight="false" outlineLevel="0" collapsed="false">
      <c r="A1282" s="7" t="s">
        <v>6947</v>
      </c>
      <c r="B1282" s="7" t="s">
        <v>1705</v>
      </c>
      <c r="C1282" s="7" t="s">
        <v>1706</v>
      </c>
      <c r="D1282" s="7" t="n">
        <v>2280</v>
      </c>
      <c r="E1282" s="7" t="s">
        <v>50</v>
      </c>
      <c r="F1282" s="7" t="n">
        <v>-33.058672</v>
      </c>
      <c r="G1282" s="7" t="n">
        <v>151.651734</v>
      </c>
      <c r="H1282" s="7" t="s">
        <v>7022</v>
      </c>
    </row>
    <row r="1283" customFormat="false" ht="15" hidden="false" customHeight="false" outlineLevel="0" collapsed="false">
      <c r="A1283" s="7" t="s">
        <v>6947</v>
      </c>
      <c r="B1283" s="7" t="s">
        <v>1707</v>
      </c>
      <c r="C1283" s="7" t="s">
        <v>1708</v>
      </c>
      <c r="D1283" s="7" t="n">
        <v>2711</v>
      </c>
      <c r="E1283" s="7" t="s">
        <v>50</v>
      </c>
      <c r="F1283" s="7" t="n">
        <v>-34.510837</v>
      </c>
      <c r="G1283" s="7" t="n">
        <v>144.844224</v>
      </c>
      <c r="H1283" s="7" t="s">
        <v>7016</v>
      </c>
    </row>
    <row r="1284" customFormat="false" ht="15" hidden="false" customHeight="false" outlineLevel="0" collapsed="false">
      <c r="A1284" s="7" t="s">
        <v>6947</v>
      </c>
      <c r="B1284" s="7" t="s">
        <v>1709</v>
      </c>
      <c r="C1284" s="7" t="s">
        <v>1710</v>
      </c>
      <c r="D1284" s="7" t="n">
        <v>2479</v>
      </c>
      <c r="E1284" s="7" t="s">
        <v>50</v>
      </c>
      <c r="F1284" s="7" t="n">
        <v>-28.697943</v>
      </c>
      <c r="G1284" s="7" t="n">
        <v>153.508938</v>
      </c>
      <c r="H1284" s="7" t="s">
        <v>7022</v>
      </c>
    </row>
    <row r="1285" customFormat="false" ht="15" hidden="false" customHeight="false" outlineLevel="0" collapsed="false">
      <c r="A1285" s="7" t="s">
        <v>6947</v>
      </c>
      <c r="B1285" s="7" t="s">
        <v>1711</v>
      </c>
      <c r="C1285" s="7" t="s">
        <v>1712</v>
      </c>
      <c r="D1285" s="7" t="n">
        <v>2320</v>
      </c>
      <c r="E1285" s="7" t="s">
        <v>50</v>
      </c>
      <c r="F1285" s="7" t="n">
        <v>-32.700823</v>
      </c>
      <c r="G1285" s="7" t="n">
        <v>151.604682</v>
      </c>
      <c r="H1285" s="7" t="s">
        <v>7089</v>
      </c>
    </row>
    <row r="1286" customFormat="false" ht="15" hidden="false" customHeight="false" outlineLevel="0" collapsed="false">
      <c r="A1286" s="7" t="s">
        <v>6947</v>
      </c>
      <c r="B1286" s="7" t="s">
        <v>1713</v>
      </c>
      <c r="C1286" s="7" t="s">
        <v>1714</v>
      </c>
      <c r="D1286" s="7" t="n">
        <v>2579</v>
      </c>
      <c r="E1286" s="7" t="s">
        <v>50</v>
      </c>
      <c r="F1286" s="7" t="n">
        <v>-34.718835</v>
      </c>
      <c r="G1286" s="7" t="n">
        <v>150.085437</v>
      </c>
      <c r="H1286" s="7" t="s">
        <v>7022</v>
      </c>
    </row>
    <row r="1287" customFormat="false" ht="15" hidden="false" customHeight="false" outlineLevel="0" collapsed="false">
      <c r="A1287" s="7" t="s">
        <v>6947</v>
      </c>
      <c r="B1287" s="7" t="s">
        <v>1715</v>
      </c>
      <c r="C1287" s="7" t="s">
        <v>1716</v>
      </c>
      <c r="D1287" s="7" t="n">
        <v>2646</v>
      </c>
      <c r="E1287" s="7" t="s">
        <v>50</v>
      </c>
      <c r="F1287" s="7" t="n">
        <v>-36.005731</v>
      </c>
      <c r="G1287" s="7" t="n">
        <v>146.379035</v>
      </c>
      <c r="H1287" s="7" t="s">
        <v>7022</v>
      </c>
    </row>
    <row r="1288" customFormat="false" ht="15" hidden="false" customHeight="false" outlineLevel="0" collapsed="false">
      <c r="A1288" s="7" t="s">
        <v>6947</v>
      </c>
      <c r="B1288" s="7" t="s">
        <v>1717</v>
      </c>
      <c r="C1288" s="7" t="s">
        <v>1718</v>
      </c>
      <c r="D1288" s="7" t="n">
        <v>2579</v>
      </c>
      <c r="E1288" s="7" t="s">
        <v>50</v>
      </c>
      <c r="F1288" s="7" t="n">
        <v>-34.678274</v>
      </c>
      <c r="G1288" s="7" t="n">
        <v>150.218814</v>
      </c>
      <c r="H1288" s="7" t="s">
        <v>7089</v>
      </c>
    </row>
    <row r="1289" customFormat="false" ht="15" hidden="false" customHeight="false" outlineLevel="0" collapsed="false">
      <c r="A1289" s="7" t="s">
        <v>6947</v>
      </c>
      <c r="B1289" s="7" t="s">
        <v>1719</v>
      </c>
      <c r="C1289" s="7" t="s">
        <v>1720</v>
      </c>
      <c r="D1289" s="7" t="n">
        <v>2330</v>
      </c>
      <c r="E1289" s="7" t="s">
        <v>50</v>
      </c>
      <c r="F1289" s="7" t="n">
        <v>-32.745655</v>
      </c>
      <c r="G1289" s="7" t="n">
        <v>151.065513</v>
      </c>
      <c r="H1289" s="7" t="s">
        <v>7089</v>
      </c>
    </row>
    <row r="1290" customFormat="false" ht="15" hidden="false" customHeight="false" outlineLevel="0" collapsed="false">
      <c r="A1290" s="7" t="s">
        <v>6947</v>
      </c>
      <c r="B1290" s="7" t="s">
        <v>1721</v>
      </c>
      <c r="C1290" s="7" t="s">
        <v>1071</v>
      </c>
      <c r="D1290" s="7" t="n">
        <v>2445</v>
      </c>
      <c r="E1290" s="7" t="s">
        <v>50</v>
      </c>
      <c r="F1290" s="7" t="n">
        <v>-31.591868</v>
      </c>
      <c r="G1290" s="7" t="n">
        <v>152.840609</v>
      </c>
      <c r="H1290" s="7" t="s">
        <v>7016</v>
      </c>
    </row>
    <row r="1291" customFormat="false" ht="15" hidden="false" customHeight="false" outlineLevel="0" collapsed="false">
      <c r="A1291" s="7" t="s">
        <v>6947</v>
      </c>
      <c r="B1291" s="7" t="s">
        <v>1722</v>
      </c>
      <c r="C1291" s="7" t="s">
        <v>1723</v>
      </c>
      <c r="D1291" s="7" t="n">
        <v>2800</v>
      </c>
      <c r="E1291" s="7" t="s">
        <v>50</v>
      </c>
      <c r="F1291" s="7" t="n">
        <v>-33.281555</v>
      </c>
      <c r="G1291" s="7" t="n">
        <v>149.097468</v>
      </c>
      <c r="H1291" s="7" t="s">
        <v>7022</v>
      </c>
    </row>
    <row r="1292" customFormat="false" ht="15" hidden="false" customHeight="false" outlineLevel="0" collapsed="false">
      <c r="A1292" s="7" t="s">
        <v>6947</v>
      </c>
      <c r="B1292" s="7" t="s">
        <v>1724</v>
      </c>
      <c r="C1292" s="7" t="s">
        <v>1725</v>
      </c>
      <c r="D1292" s="7" t="n">
        <v>2551</v>
      </c>
      <c r="E1292" s="7" t="s">
        <v>50</v>
      </c>
      <c r="F1292" s="7" t="n">
        <v>-37.056335</v>
      </c>
      <c r="G1292" s="7" t="n">
        <v>149.91215</v>
      </c>
      <c r="H1292" s="7" t="s">
        <v>7016</v>
      </c>
    </row>
    <row r="1293" customFormat="false" ht="15" hidden="false" customHeight="false" outlineLevel="0" collapsed="false">
      <c r="A1293" s="7" t="s">
        <v>6947</v>
      </c>
      <c r="B1293" s="7" t="s">
        <v>1726</v>
      </c>
      <c r="C1293" s="7" t="s">
        <v>1727</v>
      </c>
      <c r="D1293" s="7" t="n">
        <v>2539</v>
      </c>
      <c r="E1293" s="7" t="s">
        <v>50</v>
      </c>
      <c r="F1293" s="7" t="n">
        <v>-35.343525</v>
      </c>
      <c r="G1293" s="7" t="n">
        <v>150.473359</v>
      </c>
      <c r="H1293" s="7" t="s">
        <v>7089</v>
      </c>
    </row>
    <row r="1294" customFormat="false" ht="15" hidden="false" customHeight="false" outlineLevel="0" collapsed="false">
      <c r="A1294" s="7" t="s">
        <v>6947</v>
      </c>
      <c r="B1294" s="7" t="s">
        <v>1728</v>
      </c>
      <c r="C1294" s="7" t="s">
        <v>1729</v>
      </c>
      <c r="D1294" s="7" t="n">
        <v>2478</v>
      </c>
      <c r="E1294" s="7" t="s">
        <v>50</v>
      </c>
      <c r="F1294" s="7" t="n">
        <v>-28.786568</v>
      </c>
      <c r="G1294" s="7" t="n">
        <v>153.593394</v>
      </c>
      <c r="H1294" s="7" t="s">
        <v>7022</v>
      </c>
    </row>
    <row r="1295" customFormat="false" ht="15" hidden="false" customHeight="false" outlineLevel="0" collapsed="false">
      <c r="A1295" s="7" t="s">
        <v>6947</v>
      </c>
      <c r="B1295" s="7" t="s">
        <v>1730</v>
      </c>
      <c r="C1295" s="7" t="s">
        <v>1731</v>
      </c>
      <c r="D1295" s="7" t="n">
        <v>2787</v>
      </c>
      <c r="E1295" s="7" t="s">
        <v>50</v>
      </c>
      <c r="F1295" s="7" t="n">
        <v>-33.706303</v>
      </c>
      <c r="G1295" s="7" t="n">
        <v>149.862936</v>
      </c>
      <c r="H1295" s="7" t="s">
        <v>7016</v>
      </c>
    </row>
    <row r="1296" customFormat="false" ht="15" hidden="false" customHeight="false" outlineLevel="0" collapsed="false">
      <c r="A1296" s="7" t="s">
        <v>6947</v>
      </c>
      <c r="B1296" s="7" t="s">
        <v>7037</v>
      </c>
      <c r="C1296" s="7" t="s">
        <v>1732</v>
      </c>
      <c r="D1296" s="7" t="n">
        <v>2736</v>
      </c>
      <c r="E1296" s="7" t="s">
        <v>50</v>
      </c>
      <c r="F1296" s="7" t="n">
        <v>-34.996669</v>
      </c>
      <c r="G1296" s="7" t="n">
        <v>143.332111</v>
      </c>
      <c r="H1296" s="7" t="s">
        <v>7022</v>
      </c>
    </row>
    <row r="1297" customFormat="false" ht="15" hidden="false" customHeight="false" outlineLevel="0" collapsed="false">
      <c r="A1297" s="7" t="s">
        <v>6947</v>
      </c>
      <c r="B1297" s="7" t="s">
        <v>7037</v>
      </c>
      <c r="C1297" s="7" t="s">
        <v>1733</v>
      </c>
      <c r="D1297" s="7" t="n">
        <v>2450</v>
      </c>
      <c r="E1297" s="7" t="s">
        <v>50</v>
      </c>
      <c r="F1297" s="7" t="n">
        <v>-30.250442</v>
      </c>
      <c r="G1297" s="7" t="n">
        <v>153.137804</v>
      </c>
      <c r="H1297" s="7" t="s">
        <v>7022</v>
      </c>
    </row>
    <row r="1298" customFormat="false" ht="15" hidden="false" customHeight="false" outlineLevel="0" collapsed="false">
      <c r="A1298" s="7" t="s">
        <v>6947</v>
      </c>
      <c r="B1298" s="7" t="s">
        <v>7037</v>
      </c>
      <c r="C1298" s="7" t="s">
        <v>1734</v>
      </c>
      <c r="D1298" s="7" t="n">
        <v>2483</v>
      </c>
      <c r="E1298" s="7" t="s">
        <v>50</v>
      </c>
      <c r="F1298" s="7" t="n">
        <v>-28.534126</v>
      </c>
      <c r="G1298" s="7" t="n">
        <v>153.537687</v>
      </c>
      <c r="H1298" s="7" t="s">
        <v>7016</v>
      </c>
    </row>
    <row r="1299" customFormat="false" ht="15" hidden="false" customHeight="false" outlineLevel="0" collapsed="false">
      <c r="A1299" s="7" t="s">
        <v>6947</v>
      </c>
      <c r="B1299" s="7" t="s">
        <v>7037</v>
      </c>
      <c r="C1299" s="7" t="s">
        <v>1735</v>
      </c>
      <c r="D1299" s="7" t="n">
        <v>2850</v>
      </c>
      <c r="E1299" s="7" t="s">
        <v>50</v>
      </c>
      <c r="F1299" s="7" t="n">
        <v>-32.611573</v>
      </c>
      <c r="G1299" s="7" t="n">
        <v>149.591106</v>
      </c>
      <c r="H1299" s="7" t="s">
        <v>7089</v>
      </c>
    </row>
    <row r="1300" customFormat="false" ht="15" hidden="false" customHeight="false" outlineLevel="0" collapsed="false">
      <c r="A1300" s="7" t="s">
        <v>6947</v>
      </c>
      <c r="B1300" s="7" t="s">
        <v>7037</v>
      </c>
      <c r="C1300" s="7" t="s">
        <v>1736</v>
      </c>
      <c r="D1300" s="7" t="n">
        <v>2315</v>
      </c>
      <c r="E1300" s="7" t="s">
        <v>50</v>
      </c>
      <c r="F1300" s="7" t="n">
        <v>-32.72596</v>
      </c>
      <c r="G1300" s="7" t="n">
        <v>152.138734</v>
      </c>
      <c r="H1300" s="7" t="s">
        <v>7022</v>
      </c>
    </row>
    <row r="1301" customFormat="false" ht="15" hidden="false" customHeight="false" outlineLevel="0" collapsed="false">
      <c r="A1301" s="7" t="s">
        <v>6947</v>
      </c>
      <c r="B1301" s="7" t="s">
        <v>1737</v>
      </c>
      <c r="C1301" s="7" t="s">
        <v>1738</v>
      </c>
      <c r="D1301" s="7" t="n">
        <v>2780</v>
      </c>
      <c r="E1301" s="7" t="s">
        <v>50</v>
      </c>
      <c r="F1301" s="7" t="n">
        <v>-33.721435</v>
      </c>
      <c r="G1301" s="7" t="n">
        <v>150.313799</v>
      </c>
      <c r="H1301" s="7" t="s">
        <v>7022</v>
      </c>
    </row>
    <row r="1302" customFormat="false" ht="15" hidden="false" customHeight="false" outlineLevel="0" collapsed="false">
      <c r="A1302" s="7" t="s">
        <v>6947</v>
      </c>
      <c r="B1302" s="7" t="s">
        <v>7122</v>
      </c>
      <c r="C1302" s="7" t="s">
        <v>1739</v>
      </c>
      <c r="D1302" s="7" t="n">
        <v>2042</v>
      </c>
      <c r="E1302" s="7" t="s">
        <v>50</v>
      </c>
      <c r="F1302" s="7" t="n">
        <v>-33.903967</v>
      </c>
      <c r="G1302" s="7" t="n">
        <v>151.179043</v>
      </c>
      <c r="H1302" s="7" t="s">
        <v>7117</v>
      </c>
    </row>
    <row r="1303" customFormat="false" ht="15" hidden="false" customHeight="false" outlineLevel="0" collapsed="false">
      <c r="A1303" s="7" t="s">
        <v>6947</v>
      </c>
      <c r="B1303" s="7" t="s">
        <v>1740</v>
      </c>
      <c r="C1303" s="7" t="s">
        <v>1741</v>
      </c>
      <c r="D1303" s="7" t="n">
        <v>2550</v>
      </c>
      <c r="E1303" s="7" t="s">
        <v>50</v>
      </c>
      <c r="F1303" s="7" t="n">
        <v>-36.726175</v>
      </c>
      <c r="G1303" s="7" t="n">
        <v>149.978392</v>
      </c>
      <c r="H1303" s="7" t="s">
        <v>6984</v>
      </c>
    </row>
    <row r="1304" customFormat="false" ht="15" hidden="false" customHeight="false" outlineLevel="0" collapsed="false">
      <c r="A1304" s="7" t="s">
        <v>6947</v>
      </c>
      <c r="B1304" s="7" t="s">
        <v>7122</v>
      </c>
      <c r="C1304" s="7" t="s">
        <v>1742</v>
      </c>
      <c r="D1304" s="7" t="n">
        <v>2040</v>
      </c>
      <c r="E1304" s="7" t="s">
        <v>50</v>
      </c>
      <c r="F1304" s="7" t="n">
        <v>-33.871549</v>
      </c>
      <c r="G1304" s="7" t="n">
        <v>151.165208</v>
      </c>
      <c r="H1304" s="7" t="s">
        <v>7117</v>
      </c>
    </row>
    <row r="1305" customFormat="false" ht="15" hidden="false" customHeight="false" outlineLevel="0" collapsed="false">
      <c r="A1305" s="7" t="s">
        <v>6947</v>
      </c>
      <c r="B1305" s="7" t="s">
        <v>7123</v>
      </c>
      <c r="C1305" s="7" t="s">
        <v>1743</v>
      </c>
      <c r="D1305" s="7" t="n">
        <v>2065</v>
      </c>
      <c r="E1305" s="7" t="s">
        <v>50</v>
      </c>
      <c r="F1305" s="7" t="n">
        <v>-33.827269</v>
      </c>
      <c r="G1305" s="7" t="n">
        <v>151.19934</v>
      </c>
      <c r="H1305" s="7" t="s">
        <v>7124</v>
      </c>
    </row>
    <row r="1306" customFormat="false" ht="15" hidden="false" customHeight="false" outlineLevel="0" collapsed="false">
      <c r="A1306" s="7" t="s">
        <v>6947</v>
      </c>
      <c r="B1306" s="7" t="s">
        <v>7122</v>
      </c>
      <c r="C1306" s="7" t="s">
        <v>1745</v>
      </c>
      <c r="D1306" s="7" t="n">
        <v>2031</v>
      </c>
      <c r="E1306" s="7" t="s">
        <v>50</v>
      </c>
      <c r="F1306" s="7" t="n">
        <v>-33.913993</v>
      </c>
      <c r="G1306" s="7" t="n">
        <v>151.237625</v>
      </c>
      <c r="H1306" s="7" t="s">
        <v>7117</v>
      </c>
    </row>
    <row r="1307" customFormat="false" ht="15" hidden="false" customHeight="false" outlineLevel="0" collapsed="false">
      <c r="A1307" s="7" t="s">
        <v>6947</v>
      </c>
      <c r="B1307" s="7" t="s">
        <v>1746</v>
      </c>
      <c r="C1307" s="7" t="s">
        <v>1747</v>
      </c>
      <c r="D1307" s="7" t="n">
        <v>2880</v>
      </c>
      <c r="E1307" s="7" t="s">
        <v>50</v>
      </c>
      <c r="F1307" s="7" t="n">
        <v>-31.961011</v>
      </c>
      <c r="G1307" s="7" t="n">
        <v>141.462977</v>
      </c>
      <c r="H1307" s="7" t="s">
        <v>7125</v>
      </c>
    </row>
    <row r="1308" customFormat="false" ht="15" hidden="false" customHeight="false" outlineLevel="0" collapsed="false">
      <c r="A1308" s="7" t="s">
        <v>6947</v>
      </c>
      <c r="B1308" s="7" t="s">
        <v>6993</v>
      </c>
      <c r="C1308" s="7" t="s">
        <v>1749</v>
      </c>
      <c r="D1308" s="7" t="n">
        <v>2045</v>
      </c>
      <c r="E1308" s="7" t="s">
        <v>50</v>
      </c>
      <c r="F1308" s="7" t="n">
        <v>-33.879732</v>
      </c>
      <c r="G1308" s="7" t="n">
        <v>151.144857</v>
      </c>
      <c r="H1308" s="7" t="s">
        <v>6994</v>
      </c>
    </row>
    <row r="1309" customFormat="false" ht="15" hidden="false" customHeight="false" outlineLevel="0" collapsed="false">
      <c r="A1309" s="7" t="s">
        <v>6947</v>
      </c>
      <c r="B1309" s="7" t="s">
        <v>6964</v>
      </c>
      <c r="C1309" s="7" t="s">
        <v>1750</v>
      </c>
      <c r="D1309" s="7" t="n">
        <v>2200</v>
      </c>
      <c r="E1309" s="7" t="s">
        <v>50</v>
      </c>
      <c r="F1309" s="7" t="n">
        <v>-33.933602</v>
      </c>
      <c r="G1309" s="7" t="n">
        <v>151.029935</v>
      </c>
      <c r="H1309" s="7" t="s">
        <v>6997</v>
      </c>
    </row>
    <row r="1310" customFormat="false" ht="15" hidden="false" customHeight="false" outlineLevel="0" collapsed="false">
      <c r="A1310" s="7" t="s">
        <v>6947</v>
      </c>
      <c r="B1310" s="7" t="s">
        <v>1299</v>
      </c>
      <c r="C1310" s="7" t="s">
        <v>1751</v>
      </c>
      <c r="D1310" s="7" t="n">
        <v>2390</v>
      </c>
      <c r="E1310" s="7" t="s">
        <v>50</v>
      </c>
      <c r="F1310" s="7" t="n">
        <v>-30.322526</v>
      </c>
      <c r="G1310" s="7" t="n">
        <v>149.781996</v>
      </c>
      <c r="H1310" s="7" t="s">
        <v>6984</v>
      </c>
    </row>
    <row r="1311" customFormat="false" ht="15" hidden="false" customHeight="false" outlineLevel="0" collapsed="false">
      <c r="A1311" s="7" t="s">
        <v>6947</v>
      </c>
      <c r="B1311" s="7" t="s">
        <v>1342</v>
      </c>
      <c r="C1311" s="7" t="s">
        <v>1752</v>
      </c>
      <c r="D1311" s="7" t="n">
        <v>2675</v>
      </c>
      <c r="E1311" s="7" t="s">
        <v>50</v>
      </c>
      <c r="F1311" s="7" t="n">
        <v>-33.485076</v>
      </c>
      <c r="G1311" s="7" t="n">
        <v>145.531447</v>
      </c>
      <c r="H1311" s="7" t="s">
        <v>6984</v>
      </c>
    </row>
    <row r="1312" customFormat="false" ht="15" hidden="false" customHeight="false" outlineLevel="0" collapsed="false">
      <c r="A1312" s="7" t="s">
        <v>6947</v>
      </c>
      <c r="B1312" s="7" t="s">
        <v>7122</v>
      </c>
      <c r="C1312" s="7" t="s">
        <v>1753</v>
      </c>
      <c r="D1312" s="7" t="n">
        <v>2034</v>
      </c>
      <c r="E1312" s="7" t="s">
        <v>50</v>
      </c>
      <c r="F1312" s="7" t="n">
        <v>-33.924808</v>
      </c>
      <c r="G1312" s="7" t="n">
        <v>151.256992</v>
      </c>
      <c r="H1312" s="7" t="s">
        <v>7117</v>
      </c>
    </row>
    <row r="1313" customFormat="false" ht="15" hidden="false" customHeight="false" outlineLevel="0" collapsed="false">
      <c r="A1313" s="7" t="s">
        <v>6947</v>
      </c>
      <c r="B1313" s="7" t="s">
        <v>7122</v>
      </c>
      <c r="C1313" s="7" t="s">
        <v>1754</v>
      </c>
      <c r="D1313" s="7" t="n">
        <v>2041</v>
      </c>
      <c r="E1313" s="7" t="s">
        <v>50</v>
      </c>
      <c r="F1313" s="7" t="n">
        <v>-33.858388</v>
      </c>
      <c r="G1313" s="7" t="n">
        <v>151.187053</v>
      </c>
      <c r="H1313" s="7" t="s">
        <v>7117</v>
      </c>
    </row>
    <row r="1314" customFormat="false" ht="15" hidden="false" customHeight="false" outlineLevel="0" collapsed="false">
      <c r="A1314" s="7" t="s">
        <v>6947</v>
      </c>
      <c r="B1314" s="7" t="s">
        <v>6993</v>
      </c>
      <c r="C1314" s="7" t="s">
        <v>1755</v>
      </c>
      <c r="D1314" s="7" t="n">
        <v>2035</v>
      </c>
      <c r="E1314" s="7" t="s">
        <v>50</v>
      </c>
      <c r="F1314" s="7" t="n">
        <v>-33.947111</v>
      </c>
      <c r="G1314" s="7" t="n">
        <v>151.254972</v>
      </c>
      <c r="H1314" s="7" t="s">
        <v>6994</v>
      </c>
    </row>
    <row r="1315" customFormat="false" ht="15" hidden="false" customHeight="false" outlineLevel="0" collapsed="false">
      <c r="A1315" s="7" t="s">
        <v>6947</v>
      </c>
      <c r="B1315" s="7" t="s">
        <v>1756</v>
      </c>
      <c r="C1315" s="7" t="s">
        <v>1757</v>
      </c>
      <c r="D1315" s="7" t="n">
        <v>2527</v>
      </c>
      <c r="E1315" s="7" t="s">
        <v>50</v>
      </c>
      <c r="F1315" s="7" t="n">
        <v>-34.57038</v>
      </c>
      <c r="G1315" s="7" t="n">
        <v>150.768699</v>
      </c>
      <c r="H1315" s="7" t="s">
        <v>6981</v>
      </c>
    </row>
    <row r="1316" customFormat="false" ht="15" hidden="false" customHeight="false" outlineLevel="0" collapsed="false">
      <c r="A1316" s="7" t="s">
        <v>6947</v>
      </c>
      <c r="B1316" s="7" t="s">
        <v>6962</v>
      </c>
      <c r="C1316" s="7" t="s">
        <v>1758</v>
      </c>
      <c r="D1316" s="7" t="n">
        <v>2026</v>
      </c>
      <c r="E1316" s="7" t="s">
        <v>50</v>
      </c>
      <c r="F1316" s="7" t="n">
        <v>-33.889737</v>
      </c>
      <c r="G1316" s="7" t="n">
        <v>151.274881</v>
      </c>
      <c r="H1316" s="7" t="s">
        <v>6979</v>
      </c>
    </row>
    <row r="1317" customFormat="false" ht="15" hidden="false" customHeight="false" outlineLevel="0" collapsed="false">
      <c r="A1317" s="7" t="s">
        <v>6947</v>
      </c>
      <c r="B1317" s="7" t="s">
        <v>1759</v>
      </c>
      <c r="C1317" s="7" t="s">
        <v>1760</v>
      </c>
      <c r="D1317" s="7" t="n">
        <v>2320</v>
      </c>
      <c r="E1317" s="7" t="s">
        <v>50</v>
      </c>
      <c r="F1317" s="7" t="n">
        <v>-32.764056</v>
      </c>
      <c r="G1317" s="7" t="n">
        <v>151.291599</v>
      </c>
      <c r="H1317" s="7" t="s">
        <v>6991</v>
      </c>
    </row>
    <row r="1318" customFormat="false" ht="15" hidden="false" customHeight="false" outlineLevel="0" collapsed="false">
      <c r="A1318" s="7" t="s">
        <v>6947</v>
      </c>
      <c r="B1318" s="7" t="s">
        <v>6964</v>
      </c>
      <c r="C1318" s="7" t="s">
        <v>1761</v>
      </c>
      <c r="D1318" s="7" t="n">
        <v>2580</v>
      </c>
      <c r="E1318" s="7" t="s">
        <v>50</v>
      </c>
      <c r="F1318" s="7" t="n">
        <v>-34.77206</v>
      </c>
      <c r="G1318" s="7" t="n">
        <v>149.692377</v>
      </c>
      <c r="H1318" s="7" t="s">
        <v>7082</v>
      </c>
    </row>
    <row r="1319" customFormat="false" ht="15" hidden="false" customHeight="false" outlineLevel="0" collapsed="false">
      <c r="A1319" s="7" t="s">
        <v>6947</v>
      </c>
      <c r="B1319" s="7" t="s">
        <v>6993</v>
      </c>
      <c r="C1319" s="7" t="s">
        <v>1762</v>
      </c>
      <c r="D1319" s="7" t="n">
        <v>2106</v>
      </c>
      <c r="E1319" s="7" t="s">
        <v>50</v>
      </c>
      <c r="F1319" s="7" t="n">
        <v>-33.657198</v>
      </c>
      <c r="G1319" s="7" t="n">
        <v>151.315274</v>
      </c>
      <c r="H1319" s="7" t="s">
        <v>6994</v>
      </c>
    </row>
    <row r="1320" customFormat="false" ht="15" hidden="false" customHeight="false" outlineLevel="0" collapsed="false">
      <c r="A1320" s="7" t="s">
        <v>6947</v>
      </c>
      <c r="B1320" s="7" t="s">
        <v>6993</v>
      </c>
      <c r="C1320" s="7" t="s">
        <v>1763</v>
      </c>
      <c r="D1320" s="7" t="n">
        <v>2022</v>
      </c>
      <c r="E1320" s="7" t="s">
        <v>50</v>
      </c>
      <c r="F1320" s="7" t="n">
        <v>-33.894021</v>
      </c>
      <c r="G1320" s="7" t="n">
        <v>151.255312</v>
      </c>
      <c r="H1320" s="7" t="s">
        <v>6994</v>
      </c>
    </row>
    <row r="1321" customFormat="false" ht="15" hidden="false" customHeight="false" outlineLevel="0" collapsed="false">
      <c r="A1321" s="7" t="s">
        <v>6947</v>
      </c>
      <c r="B1321" s="7" t="s">
        <v>1764</v>
      </c>
      <c r="C1321" s="7" t="s">
        <v>1765</v>
      </c>
      <c r="D1321" s="7" t="n">
        <v>2625</v>
      </c>
      <c r="E1321" s="7" t="s">
        <v>50</v>
      </c>
      <c r="F1321" s="7" t="n">
        <v>-36.507083</v>
      </c>
      <c r="G1321" s="7" t="n">
        <v>148.301236</v>
      </c>
      <c r="H1321" s="7" t="s">
        <v>6959</v>
      </c>
    </row>
    <row r="1322" customFormat="false" ht="15" hidden="false" customHeight="false" outlineLevel="0" collapsed="false">
      <c r="A1322" s="7" t="s">
        <v>6947</v>
      </c>
      <c r="B1322" s="7" t="s">
        <v>1766</v>
      </c>
      <c r="C1322" s="7" t="s">
        <v>1767</v>
      </c>
      <c r="D1322" s="7" t="n">
        <v>2780</v>
      </c>
      <c r="E1322" s="7" t="s">
        <v>50</v>
      </c>
      <c r="F1322" s="7" t="n">
        <v>-33.729507</v>
      </c>
      <c r="G1322" s="7" t="n">
        <v>150.311969</v>
      </c>
      <c r="H1322" s="7" t="s">
        <v>7018</v>
      </c>
    </row>
    <row r="1323" customFormat="false" ht="15" hidden="false" customHeight="false" outlineLevel="0" collapsed="false">
      <c r="A1323" s="7" t="s">
        <v>6947</v>
      </c>
      <c r="B1323" s="7" t="s">
        <v>6993</v>
      </c>
      <c r="C1323" s="7" t="s">
        <v>1768</v>
      </c>
      <c r="D1323" s="7" t="n">
        <v>2148</v>
      </c>
      <c r="E1323" s="7" t="s">
        <v>50</v>
      </c>
      <c r="F1323" s="7" t="n">
        <v>-33.788289</v>
      </c>
      <c r="G1323" s="7" t="n">
        <v>150.877346</v>
      </c>
      <c r="H1323" s="7" t="s">
        <v>6994</v>
      </c>
    </row>
    <row r="1324" customFormat="false" ht="15" hidden="false" customHeight="false" outlineLevel="0" collapsed="false">
      <c r="A1324" s="7" t="s">
        <v>6947</v>
      </c>
      <c r="B1324" s="7" t="s">
        <v>1769</v>
      </c>
      <c r="C1324" s="7" t="s">
        <v>1770</v>
      </c>
      <c r="D1324" s="7" t="n">
        <v>2548</v>
      </c>
      <c r="E1324" s="7" t="s">
        <v>50</v>
      </c>
      <c r="F1324" s="7" t="n">
        <v>-36.888184</v>
      </c>
      <c r="G1324" s="7" t="n">
        <v>149.90851</v>
      </c>
      <c r="H1324" s="7" t="s">
        <v>7025</v>
      </c>
    </row>
    <row r="1325" customFormat="false" ht="15" hidden="false" customHeight="false" outlineLevel="0" collapsed="false">
      <c r="A1325" s="7" t="s">
        <v>6947</v>
      </c>
      <c r="B1325" s="7" t="s">
        <v>6993</v>
      </c>
      <c r="C1325" s="7" t="s">
        <v>1771</v>
      </c>
      <c r="D1325" s="7" t="n">
        <v>2135</v>
      </c>
      <c r="E1325" s="7" t="s">
        <v>50</v>
      </c>
      <c r="F1325" s="7" t="n">
        <v>-33.875311</v>
      </c>
      <c r="G1325" s="7" t="n">
        <v>151.096069</v>
      </c>
      <c r="H1325" s="7" t="s">
        <v>6994</v>
      </c>
    </row>
    <row r="1326" customFormat="false" ht="15" hidden="false" customHeight="false" outlineLevel="0" collapsed="false">
      <c r="A1326" s="7" t="s">
        <v>6947</v>
      </c>
      <c r="B1326" s="7" t="s">
        <v>7122</v>
      </c>
      <c r="C1326" s="7" t="s">
        <v>1772</v>
      </c>
      <c r="D1326" s="7" t="n">
        <v>2041</v>
      </c>
      <c r="E1326" s="7" t="s">
        <v>50</v>
      </c>
      <c r="F1326" s="7" t="n">
        <v>-33.858428</v>
      </c>
      <c r="G1326" s="7" t="n">
        <v>151.186886</v>
      </c>
      <c r="H1326" s="7" t="s">
        <v>7117</v>
      </c>
    </row>
    <row r="1327" customFormat="false" ht="15" hidden="false" customHeight="false" outlineLevel="0" collapsed="false">
      <c r="A1327" s="7" t="s">
        <v>6947</v>
      </c>
      <c r="B1327" s="7" t="s">
        <v>1773</v>
      </c>
      <c r="C1327" s="7" t="s">
        <v>1774</v>
      </c>
      <c r="D1327" s="7" t="n">
        <v>2539</v>
      </c>
      <c r="E1327" s="7" t="s">
        <v>50</v>
      </c>
      <c r="F1327" s="7" t="n">
        <v>-35.27024</v>
      </c>
      <c r="G1327" s="7" t="n">
        <v>150.477728</v>
      </c>
      <c r="H1327" s="7" t="s">
        <v>7126</v>
      </c>
    </row>
    <row r="1328" customFormat="false" ht="15" hidden="false" customHeight="false" outlineLevel="0" collapsed="false">
      <c r="A1328" s="7" t="s">
        <v>6947</v>
      </c>
      <c r="B1328" s="7" t="s">
        <v>1775</v>
      </c>
      <c r="C1328" s="7" t="s">
        <v>1776</v>
      </c>
      <c r="D1328" s="7" t="n">
        <v>2780</v>
      </c>
      <c r="E1328" s="7" t="s">
        <v>50</v>
      </c>
      <c r="F1328" s="7" t="n">
        <v>-33.706427</v>
      </c>
      <c r="G1328" s="7" t="n">
        <v>150.318539</v>
      </c>
      <c r="H1328" s="7" t="s">
        <v>7071</v>
      </c>
    </row>
    <row r="1329" customFormat="false" ht="15" hidden="false" customHeight="false" outlineLevel="0" collapsed="false">
      <c r="A1329" s="7" t="s">
        <v>6947</v>
      </c>
      <c r="B1329" s="7" t="s">
        <v>7122</v>
      </c>
      <c r="C1329" s="7" t="s">
        <v>1777</v>
      </c>
      <c r="D1329" s="7" t="n">
        <v>2039</v>
      </c>
      <c r="E1329" s="7" t="s">
        <v>50</v>
      </c>
      <c r="F1329" s="7" t="n">
        <v>-33.866547</v>
      </c>
      <c r="G1329" s="7" t="n">
        <v>151.17067</v>
      </c>
      <c r="H1329" s="7" t="s">
        <v>7117</v>
      </c>
    </row>
    <row r="1330" customFormat="false" ht="15" hidden="false" customHeight="false" outlineLevel="0" collapsed="false">
      <c r="A1330" s="7" t="s">
        <v>6947</v>
      </c>
      <c r="B1330" s="7" t="s">
        <v>147</v>
      </c>
      <c r="C1330" s="7" t="s">
        <v>1778</v>
      </c>
      <c r="D1330" s="7" t="n">
        <v>2650</v>
      </c>
      <c r="E1330" s="7" t="s">
        <v>50</v>
      </c>
      <c r="F1330" s="7" t="n">
        <v>-35.109475</v>
      </c>
      <c r="G1330" s="7" t="n">
        <v>147.373417</v>
      </c>
      <c r="H1330" s="7" t="s">
        <v>7127</v>
      </c>
    </row>
    <row r="1331" customFormat="false" ht="15" hidden="false" customHeight="false" outlineLevel="0" collapsed="false">
      <c r="A1331" s="7" t="s">
        <v>6947</v>
      </c>
      <c r="B1331" s="7" t="s">
        <v>1779</v>
      </c>
      <c r="C1331" s="7" t="s">
        <v>1780</v>
      </c>
      <c r="D1331" s="7" t="n">
        <v>2870</v>
      </c>
      <c r="E1331" s="7" t="s">
        <v>50</v>
      </c>
      <c r="F1331" s="7" t="n">
        <v>-33.123602</v>
      </c>
      <c r="G1331" s="7" t="n">
        <v>148.17431</v>
      </c>
      <c r="H1331" s="7" t="s">
        <v>6984</v>
      </c>
    </row>
    <row r="1332" customFormat="false" ht="15" hidden="false" customHeight="false" outlineLevel="0" collapsed="false">
      <c r="A1332" s="7" t="s">
        <v>6947</v>
      </c>
      <c r="B1332" s="7" t="s">
        <v>1781</v>
      </c>
      <c r="C1332" s="7" t="s">
        <v>1782</v>
      </c>
      <c r="D1332" s="7" t="n">
        <v>2320</v>
      </c>
      <c r="E1332" s="7" t="s">
        <v>50</v>
      </c>
      <c r="F1332" s="7" t="n">
        <v>-32.769186</v>
      </c>
      <c r="G1332" s="7" t="n">
        <v>151.273708</v>
      </c>
      <c r="H1332" s="7" t="s">
        <v>6981</v>
      </c>
    </row>
    <row r="1333" customFormat="false" ht="15" hidden="false" customHeight="false" outlineLevel="0" collapsed="false">
      <c r="A1333" s="7" t="s">
        <v>6947</v>
      </c>
      <c r="B1333" s="7" t="s">
        <v>7122</v>
      </c>
      <c r="C1333" s="7" t="s">
        <v>1783</v>
      </c>
      <c r="D1333" s="7" t="n">
        <v>2034</v>
      </c>
      <c r="E1333" s="7" t="s">
        <v>50</v>
      </c>
      <c r="F1333" s="7" t="n">
        <v>-33.914998</v>
      </c>
      <c r="G1333" s="7" t="n">
        <v>151.249421</v>
      </c>
      <c r="H1333" s="7" t="s">
        <v>7117</v>
      </c>
    </row>
    <row r="1334" customFormat="false" ht="15" hidden="false" customHeight="false" outlineLevel="0" collapsed="false">
      <c r="A1334" s="7" t="s">
        <v>6947</v>
      </c>
      <c r="B1334" s="7" t="s">
        <v>1784</v>
      </c>
      <c r="C1334" s="7" t="s">
        <v>1785</v>
      </c>
      <c r="D1334" s="7" t="n">
        <v>2643</v>
      </c>
      <c r="E1334" s="7" t="s">
        <v>50</v>
      </c>
      <c r="F1334" s="7" t="n">
        <v>-35.985295</v>
      </c>
      <c r="G1334" s="7" t="n">
        <v>146.644284</v>
      </c>
      <c r="H1334" s="7" t="s">
        <v>7128</v>
      </c>
    </row>
    <row r="1335" customFormat="false" ht="15" hidden="false" customHeight="false" outlineLevel="0" collapsed="false">
      <c r="A1335" s="7" t="s">
        <v>6947</v>
      </c>
      <c r="B1335" s="7" t="s">
        <v>6993</v>
      </c>
      <c r="C1335" s="7" t="s">
        <v>1787</v>
      </c>
      <c r="D1335" s="7" t="n">
        <v>2039</v>
      </c>
      <c r="E1335" s="7" t="s">
        <v>50</v>
      </c>
      <c r="F1335" s="7" t="n">
        <v>-33.860664</v>
      </c>
      <c r="G1335" s="7" t="n">
        <v>151.172695</v>
      </c>
      <c r="H1335" s="7" t="s">
        <v>6994</v>
      </c>
    </row>
    <row r="1336" customFormat="false" ht="15" hidden="false" customHeight="false" outlineLevel="0" collapsed="false">
      <c r="A1336" s="7" t="s">
        <v>6947</v>
      </c>
      <c r="B1336" s="7" t="s">
        <v>6964</v>
      </c>
      <c r="C1336" s="7" t="s">
        <v>1788</v>
      </c>
      <c r="D1336" s="7" t="n">
        <v>2650</v>
      </c>
      <c r="E1336" s="7" t="s">
        <v>50</v>
      </c>
      <c r="F1336" s="7" t="n">
        <v>-35.131775</v>
      </c>
      <c r="G1336" s="7" t="n">
        <v>147.339846</v>
      </c>
      <c r="H1336" s="7" t="s">
        <v>6997</v>
      </c>
    </row>
    <row r="1337" customFormat="false" ht="15" hidden="false" customHeight="false" outlineLevel="0" collapsed="false">
      <c r="A1337" s="7" t="s">
        <v>6947</v>
      </c>
      <c r="B1337" s="7" t="s">
        <v>801</v>
      </c>
      <c r="C1337" s="7" t="s">
        <v>1789</v>
      </c>
      <c r="D1337" s="7" t="n">
        <v>2474</v>
      </c>
      <c r="E1337" s="7" t="s">
        <v>50</v>
      </c>
      <c r="F1337" s="7" t="n">
        <v>-28.621513</v>
      </c>
      <c r="G1337" s="7" t="n">
        <v>153.002795</v>
      </c>
      <c r="H1337" s="7" t="s">
        <v>6984</v>
      </c>
    </row>
    <row r="1338" customFormat="false" ht="15" hidden="false" customHeight="false" outlineLevel="0" collapsed="false">
      <c r="A1338" s="7" t="s">
        <v>6947</v>
      </c>
      <c r="B1338" s="7" t="s">
        <v>7122</v>
      </c>
      <c r="C1338" s="7" t="s">
        <v>1790</v>
      </c>
      <c r="D1338" s="7" t="n">
        <v>2031</v>
      </c>
      <c r="E1338" s="7" t="s">
        <v>50</v>
      </c>
      <c r="F1338" s="7" t="n">
        <v>-33.918659</v>
      </c>
      <c r="G1338" s="7" t="n">
        <v>151.247203</v>
      </c>
      <c r="H1338" s="7" t="s">
        <v>7117</v>
      </c>
    </row>
    <row r="1339" customFormat="false" ht="15" hidden="false" customHeight="false" outlineLevel="0" collapsed="false">
      <c r="A1339" s="7" t="s">
        <v>6947</v>
      </c>
      <c r="B1339" s="7" t="s">
        <v>6962</v>
      </c>
      <c r="C1339" s="7" t="s">
        <v>1791</v>
      </c>
      <c r="D1339" s="7" t="n">
        <v>2047</v>
      </c>
      <c r="E1339" s="7" t="s">
        <v>50</v>
      </c>
      <c r="F1339" s="7" t="n">
        <v>-33.855785</v>
      </c>
      <c r="G1339" s="7" t="n">
        <v>151.161208</v>
      </c>
      <c r="H1339" s="7" t="s">
        <v>6979</v>
      </c>
    </row>
    <row r="1340" customFormat="false" ht="15" hidden="false" customHeight="false" outlineLevel="0" collapsed="false">
      <c r="A1340" s="7" t="s">
        <v>6947</v>
      </c>
      <c r="B1340" s="7" t="s">
        <v>6977</v>
      </c>
      <c r="C1340" s="7" t="s">
        <v>1792</v>
      </c>
      <c r="D1340" s="7" t="n">
        <v>2871</v>
      </c>
      <c r="E1340" s="7" t="s">
        <v>50</v>
      </c>
      <c r="F1340" s="7" t="n">
        <v>-33.38415</v>
      </c>
      <c r="G1340" s="7" t="n">
        <v>148.009987</v>
      </c>
      <c r="H1340" s="7" t="s">
        <v>6984</v>
      </c>
    </row>
    <row r="1341" customFormat="false" ht="15" hidden="false" customHeight="false" outlineLevel="0" collapsed="false">
      <c r="A1341" s="7" t="s">
        <v>6947</v>
      </c>
      <c r="B1341" s="7" t="s">
        <v>1793</v>
      </c>
      <c r="C1341" s="7" t="s">
        <v>1794</v>
      </c>
      <c r="D1341" s="7" t="n">
        <v>2782</v>
      </c>
      <c r="E1341" s="7" t="s">
        <v>50</v>
      </c>
      <c r="F1341" s="7" t="n">
        <v>-33.709548</v>
      </c>
      <c r="G1341" s="7" t="n">
        <v>150.375699</v>
      </c>
      <c r="H1341" s="7" t="s">
        <v>7129</v>
      </c>
    </row>
    <row r="1342" customFormat="false" ht="15" hidden="false" customHeight="false" outlineLevel="0" collapsed="false">
      <c r="A1342" s="7" t="s">
        <v>6947</v>
      </c>
      <c r="B1342" s="7" t="s">
        <v>1796</v>
      </c>
      <c r="C1342" s="7" t="s">
        <v>1797</v>
      </c>
      <c r="D1342" s="7" t="n">
        <v>2666</v>
      </c>
      <c r="E1342" s="7" t="s">
        <v>50</v>
      </c>
      <c r="F1342" s="7" t="n">
        <v>-34.427372</v>
      </c>
      <c r="G1342" s="7" t="n">
        <v>147.515236</v>
      </c>
      <c r="H1342" s="7" t="s">
        <v>7130</v>
      </c>
    </row>
    <row r="1343" customFormat="false" ht="15" hidden="false" customHeight="false" outlineLevel="0" collapsed="false">
      <c r="A1343" s="7" t="s">
        <v>6947</v>
      </c>
      <c r="B1343" s="7" t="s">
        <v>1798</v>
      </c>
      <c r="C1343" s="7" t="s">
        <v>1799</v>
      </c>
      <c r="D1343" s="7" t="n">
        <v>2420</v>
      </c>
      <c r="E1343" s="7" t="s">
        <v>50</v>
      </c>
      <c r="F1343" s="7" t="n">
        <v>-32.402119</v>
      </c>
      <c r="G1343" s="7" t="n">
        <v>151.757848</v>
      </c>
      <c r="H1343" s="7" t="s">
        <v>6981</v>
      </c>
    </row>
    <row r="1344" customFormat="false" ht="15" hidden="false" customHeight="false" outlineLevel="0" collapsed="false">
      <c r="A1344" s="7" t="s">
        <v>6947</v>
      </c>
      <c r="B1344" s="7" t="s">
        <v>1801</v>
      </c>
      <c r="C1344" s="7" t="s">
        <v>1802</v>
      </c>
      <c r="D1344" s="7" t="n">
        <v>2340</v>
      </c>
      <c r="E1344" s="7" t="s">
        <v>50</v>
      </c>
      <c r="F1344" s="7" t="n">
        <v>-31.106728</v>
      </c>
      <c r="G1344" s="7" t="n">
        <v>150.922098</v>
      </c>
      <c r="H1344" s="7" t="s">
        <v>7131</v>
      </c>
    </row>
    <row r="1345" customFormat="false" ht="15" hidden="false" customHeight="false" outlineLevel="0" collapsed="false">
      <c r="A1345" s="7" t="s">
        <v>6947</v>
      </c>
      <c r="B1345" s="7" t="s">
        <v>1803</v>
      </c>
      <c r="C1345" s="7" t="s">
        <v>1804</v>
      </c>
      <c r="D1345" s="7" t="n">
        <v>2343</v>
      </c>
      <c r="E1345" s="7" t="s">
        <v>50</v>
      </c>
      <c r="F1345" s="7" t="n">
        <v>-31.507326</v>
      </c>
      <c r="G1345" s="7" t="n">
        <v>150.680478</v>
      </c>
      <c r="H1345" s="7" t="s">
        <v>6984</v>
      </c>
    </row>
    <row r="1346" customFormat="false" ht="15" hidden="false" customHeight="false" outlineLevel="0" collapsed="false">
      <c r="A1346" s="7" t="s">
        <v>6947</v>
      </c>
      <c r="B1346" s="7" t="s">
        <v>6993</v>
      </c>
      <c r="C1346" s="7" t="s">
        <v>1805</v>
      </c>
      <c r="D1346" s="7" t="n">
        <v>2134</v>
      </c>
      <c r="E1346" s="7" t="s">
        <v>50</v>
      </c>
      <c r="F1346" s="7" t="n">
        <v>-33.874873</v>
      </c>
      <c r="G1346" s="7" t="n">
        <v>151.101629</v>
      </c>
      <c r="H1346" s="7" t="s">
        <v>6994</v>
      </c>
    </row>
    <row r="1347" customFormat="false" ht="15" hidden="false" customHeight="false" outlineLevel="0" collapsed="false">
      <c r="A1347" s="7" t="s">
        <v>6947</v>
      </c>
      <c r="B1347" s="7" t="s">
        <v>6962</v>
      </c>
      <c r="C1347" s="7" t="s">
        <v>1806</v>
      </c>
      <c r="D1347" s="7" t="n">
        <v>2035</v>
      </c>
      <c r="E1347" s="7" t="s">
        <v>50</v>
      </c>
      <c r="F1347" s="7" t="n">
        <v>-33.951213</v>
      </c>
      <c r="G1347" s="7" t="n">
        <v>151.255544</v>
      </c>
      <c r="H1347" s="7" t="s">
        <v>6983</v>
      </c>
    </row>
    <row r="1348" customFormat="false" ht="15" hidden="false" customHeight="false" outlineLevel="0" collapsed="false">
      <c r="A1348" s="7" t="s">
        <v>6947</v>
      </c>
      <c r="B1348" s="7" t="s">
        <v>7122</v>
      </c>
      <c r="C1348" s="7" t="s">
        <v>1807</v>
      </c>
      <c r="D1348" s="7" t="n">
        <v>2042</v>
      </c>
      <c r="E1348" s="7" t="s">
        <v>50</v>
      </c>
      <c r="F1348" s="7" t="n">
        <v>-33.903175</v>
      </c>
      <c r="G1348" s="7" t="n">
        <v>151.179103</v>
      </c>
      <c r="H1348" s="7" t="s">
        <v>7117</v>
      </c>
    </row>
    <row r="1349" customFormat="false" ht="15" hidden="false" customHeight="false" outlineLevel="0" collapsed="false">
      <c r="A1349" s="7" t="s">
        <v>6947</v>
      </c>
      <c r="B1349" s="7" t="s">
        <v>7122</v>
      </c>
      <c r="C1349" s="7" t="s">
        <v>1808</v>
      </c>
      <c r="D1349" s="7" t="n">
        <v>2130</v>
      </c>
      <c r="E1349" s="7" t="s">
        <v>50</v>
      </c>
      <c r="F1349" s="7" t="n">
        <v>-33.891353</v>
      </c>
      <c r="G1349" s="7" t="n">
        <v>151.13349</v>
      </c>
      <c r="H1349" s="7" t="s">
        <v>7117</v>
      </c>
    </row>
    <row r="1350" customFormat="false" ht="15" hidden="false" customHeight="false" outlineLevel="0" collapsed="false">
      <c r="A1350" s="7" t="s">
        <v>6947</v>
      </c>
      <c r="B1350" s="7" t="s">
        <v>1809</v>
      </c>
      <c r="C1350" s="7" t="s">
        <v>1810</v>
      </c>
      <c r="D1350" s="7" t="n">
        <v>2550</v>
      </c>
      <c r="E1350" s="7" t="s">
        <v>50</v>
      </c>
      <c r="F1350" s="7" t="n">
        <v>-36.722655</v>
      </c>
      <c r="G1350" s="7" t="n">
        <v>149.978439</v>
      </c>
      <c r="H1350" s="7" t="s">
        <v>6981</v>
      </c>
    </row>
    <row r="1351" customFormat="false" ht="15" hidden="false" customHeight="false" outlineLevel="0" collapsed="false">
      <c r="A1351" s="7" t="s">
        <v>6947</v>
      </c>
      <c r="B1351" s="7" t="s">
        <v>1811</v>
      </c>
      <c r="C1351" s="7" t="s">
        <v>1812</v>
      </c>
      <c r="D1351" s="7" t="n">
        <v>2430</v>
      </c>
      <c r="E1351" s="7" t="s">
        <v>50</v>
      </c>
      <c r="F1351" s="7" t="n">
        <v>-31.934089</v>
      </c>
      <c r="G1351" s="7" t="n">
        <v>152.465381</v>
      </c>
      <c r="H1351" s="7" t="s">
        <v>6981</v>
      </c>
    </row>
    <row r="1352" customFormat="false" ht="15" hidden="false" customHeight="false" outlineLevel="0" collapsed="false">
      <c r="A1352" s="7" t="s">
        <v>6947</v>
      </c>
      <c r="B1352" s="7" t="s">
        <v>1813</v>
      </c>
      <c r="C1352" s="7" t="s">
        <v>1814</v>
      </c>
      <c r="D1352" s="7" t="n">
        <v>2551</v>
      </c>
      <c r="E1352" s="7" t="s">
        <v>50</v>
      </c>
      <c r="F1352" s="7" t="n">
        <v>-37.05098</v>
      </c>
      <c r="G1352" s="7" t="n">
        <v>149.901281</v>
      </c>
      <c r="H1352" s="7" t="s">
        <v>7116</v>
      </c>
    </row>
    <row r="1353" customFormat="false" ht="15" hidden="false" customHeight="false" outlineLevel="0" collapsed="false">
      <c r="A1353" s="7" t="s">
        <v>6947</v>
      </c>
      <c r="B1353" s="7" t="s">
        <v>1815</v>
      </c>
      <c r="C1353" s="7" t="s">
        <v>1816</v>
      </c>
      <c r="D1353" s="7" t="n">
        <v>2533</v>
      </c>
      <c r="E1353" s="7" t="s">
        <v>50</v>
      </c>
      <c r="F1353" s="7" t="n">
        <v>-34.674819</v>
      </c>
      <c r="G1353" s="7" t="n">
        <v>150.85707</v>
      </c>
      <c r="H1353" s="7" t="s">
        <v>6981</v>
      </c>
    </row>
    <row r="1354" customFormat="false" ht="15" hidden="false" customHeight="false" outlineLevel="0" collapsed="false">
      <c r="A1354" s="7" t="s">
        <v>6947</v>
      </c>
      <c r="B1354" s="7" t="s">
        <v>6964</v>
      </c>
      <c r="C1354" s="7" t="s">
        <v>1817</v>
      </c>
      <c r="D1354" s="7" t="n">
        <v>2680</v>
      </c>
      <c r="E1354" s="7" t="s">
        <v>50</v>
      </c>
      <c r="F1354" s="7" t="n">
        <v>-34.292264</v>
      </c>
      <c r="G1354" s="7" t="n">
        <v>146.050702</v>
      </c>
      <c r="H1354" s="7" t="s">
        <v>6997</v>
      </c>
    </row>
    <row r="1355" customFormat="false" ht="15" hidden="false" customHeight="false" outlineLevel="0" collapsed="false">
      <c r="A1355" s="7" t="s">
        <v>6947</v>
      </c>
      <c r="B1355" s="7" t="s">
        <v>6993</v>
      </c>
      <c r="C1355" s="7" t="s">
        <v>1818</v>
      </c>
      <c r="D1355" s="7" t="n">
        <v>2042</v>
      </c>
      <c r="E1355" s="7" t="s">
        <v>50</v>
      </c>
      <c r="F1355" s="7" t="n">
        <v>-33.898813</v>
      </c>
      <c r="G1355" s="7" t="n">
        <v>151.170842</v>
      </c>
      <c r="H1355" s="7" t="s">
        <v>6994</v>
      </c>
    </row>
    <row r="1356" customFormat="false" ht="15" hidden="false" customHeight="false" outlineLevel="0" collapsed="false">
      <c r="A1356" s="7" t="s">
        <v>6947</v>
      </c>
      <c r="B1356" s="7" t="s">
        <v>1819</v>
      </c>
      <c r="C1356" s="7" t="s">
        <v>1820</v>
      </c>
      <c r="D1356" s="7" t="n">
        <v>2870</v>
      </c>
      <c r="E1356" s="7" t="s">
        <v>50</v>
      </c>
      <c r="F1356" s="7" t="n">
        <v>-33.138175</v>
      </c>
      <c r="G1356" s="7" t="n">
        <v>148.173085</v>
      </c>
      <c r="H1356" s="7" t="s">
        <v>6981</v>
      </c>
    </row>
    <row r="1357" customFormat="false" ht="15" hidden="false" customHeight="false" outlineLevel="0" collapsed="false">
      <c r="A1357" s="7" t="s">
        <v>6947</v>
      </c>
      <c r="B1357" s="7" t="s">
        <v>7075</v>
      </c>
      <c r="C1357" s="7" t="s">
        <v>1821</v>
      </c>
      <c r="D1357" s="7" t="n">
        <v>2036</v>
      </c>
      <c r="E1357" s="7" t="s">
        <v>50</v>
      </c>
      <c r="F1357" s="7" t="n">
        <v>-33.980816</v>
      </c>
      <c r="G1357" s="7" t="n">
        <v>151.249864</v>
      </c>
      <c r="H1357" s="7" t="s">
        <v>7076</v>
      </c>
    </row>
    <row r="1358" customFormat="false" ht="15" hidden="false" customHeight="false" outlineLevel="0" collapsed="false">
      <c r="A1358" s="7" t="s">
        <v>6947</v>
      </c>
      <c r="B1358" s="7" t="s">
        <v>1822</v>
      </c>
      <c r="C1358" s="7" t="s">
        <v>1823</v>
      </c>
      <c r="D1358" s="7" t="n">
        <v>2404</v>
      </c>
      <c r="E1358" s="7" t="s">
        <v>50</v>
      </c>
      <c r="F1358" s="7" t="n">
        <v>-29.864475</v>
      </c>
      <c r="G1358" s="7" t="n">
        <v>150.57712</v>
      </c>
      <c r="H1358" s="7" t="s">
        <v>6984</v>
      </c>
    </row>
    <row r="1359" customFormat="false" ht="15" hidden="false" customHeight="false" outlineLevel="0" collapsed="false">
      <c r="A1359" s="7" t="s">
        <v>6947</v>
      </c>
      <c r="B1359" s="7" t="s">
        <v>7035</v>
      </c>
      <c r="C1359" s="7" t="s">
        <v>1824</v>
      </c>
      <c r="D1359" s="7" t="n">
        <v>2045</v>
      </c>
      <c r="E1359" s="7" t="s">
        <v>50</v>
      </c>
      <c r="F1359" s="7" t="n">
        <v>-33.884617</v>
      </c>
      <c r="G1359" s="7" t="n">
        <v>151.13661</v>
      </c>
      <c r="H1359" s="7" t="s">
        <v>7036</v>
      </c>
    </row>
    <row r="1360" customFormat="false" ht="15" hidden="false" customHeight="false" outlineLevel="0" collapsed="false">
      <c r="A1360" s="7" t="s">
        <v>6947</v>
      </c>
      <c r="B1360" s="7" t="s">
        <v>7122</v>
      </c>
      <c r="C1360" s="7" t="s">
        <v>1825</v>
      </c>
      <c r="D1360" s="7" t="n">
        <v>2030</v>
      </c>
      <c r="E1360" s="7" t="s">
        <v>50</v>
      </c>
      <c r="F1360" s="7" t="n">
        <v>-33.861029</v>
      </c>
      <c r="G1360" s="7" t="n">
        <v>151.278808</v>
      </c>
      <c r="H1360" s="7" t="s">
        <v>7117</v>
      </c>
    </row>
    <row r="1361" customFormat="false" ht="15" hidden="false" customHeight="false" outlineLevel="0" collapsed="false">
      <c r="A1361" s="7" t="s">
        <v>6947</v>
      </c>
      <c r="B1361" s="7" t="s">
        <v>7122</v>
      </c>
      <c r="C1361" s="7" t="s">
        <v>1826</v>
      </c>
      <c r="D1361" s="7" t="n">
        <v>2204</v>
      </c>
      <c r="E1361" s="7" t="s">
        <v>50</v>
      </c>
      <c r="F1361" s="7" t="n">
        <v>-33.904639</v>
      </c>
      <c r="G1361" s="7" t="n">
        <v>151.148293</v>
      </c>
      <c r="H1361" s="7" t="s">
        <v>7117</v>
      </c>
    </row>
    <row r="1362" customFormat="false" ht="15" hidden="false" customHeight="false" outlineLevel="0" collapsed="false">
      <c r="A1362" s="7" t="s">
        <v>6947</v>
      </c>
      <c r="B1362" s="7" t="s">
        <v>6962</v>
      </c>
      <c r="C1362" s="7" t="s">
        <v>1827</v>
      </c>
      <c r="D1362" s="7" t="n">
        <v>2030</v>
      </c>
      <c r="E1362" s="7" t="s">
        <v>50</v>
      </c>
      <c r="F1362" s="7" t="n">
        <v>-33.8531</v>
      </c>
      <c r="G1362" s="7" t="n">
        <v>151.269942</v>
      </c>
      <c r="H1362" s="7" t="s">
        <v>6983</v>
      </c>
    </row>
    <row r="1363" customFormat="false" ht="15" hidden="false" customHeight="false" outlineLevel="0" collapsed="false">
      <c r="A1363" s="7" t="s">
        <v>6947</v>
      </c>
      <c r="B1363" s="7" t="s">
        <v>7122</v>
      </c>
      <c r="C1363" s="7" t="s">
        <v>1828</v>
      </c>
      <c r="D1363" s="7" t="n">
        <v>2022</v>
      </c>
      <c r="E1363" s="7" t="s">
        <v>50</v>
      </c>
      <c r="F1363" s="7" t="n">
        <v>-33.894363</v>
      </c>
      <c r="G1363" s="7" t="n">
        <v>151.251772</v>
      </c>
      <c r="H1363" s="7" t="s">
        <v>7117</v>
      </c>
    </row>
    <row r="1364" customFormat="false" ht="15" hidden="false" customHeight="false" outlineLevel="0" collapsed="false">
      <c r="A1364" s="7" t="s">
        <v>6947</v>
      </c>
      <c r="B1364" s="7" t="s">
        <v>7123</v>
      </c>
      <c r="C1364" s="7" t="s">
        <v>1829</v>
      </c>
      <c r="D1364" s="7" t="n">
        <v>2060</v>
      </c>
      <c r="E1364" s="7" t="s">
        <v>50</v>
      </c>
      <c r="F1364" s="7" t="n">
        <v>-33.833866</v>
      </c>
      <c r="G1364" s="7" t="n">
        <v>151.206388</v>
      </c>
      <c r="H1364" s="7" t="s">
        <v>7124</v>
      </c>
    </row>
    <row r="1365" customFormat="false" ht="15" hidden="false" customHeight="false" outlineLevel="0" collapsed="false">
      <c r="A1365" s="7" t="s">
        <v>6947</v>
      </c>
      <c r="B1365" s="7" t="s">
        <v>6993</v>
      </c>
      <c r="C1365" s="7" t="s">
        <v>1830</v>
      </c>
      <c r="D1365" s="7" t="n">
        <v>2041</v>
      </c>
      <c r="E1365" s="7" t="s">
        <v>50</v>
      </c>
      <c r="F1365" s="7" t="n">
        <v>-33.855604</v>
      </c>
      <c r="G1365" s="7" t="n">
        <v>151.176035</v>
      </c>
      <c r="H1365" s="7" t="s">
        <v>6994</v>
      </c>
    </row>
    <row r="1366" customFormat="false" ht="15" hidden="false" customHeight="false" outlineLevel="0" collapsed="false">
      <c r="A1366" s="7" t="s">
        <v>6947</v>
      </c>
      <c r="B1366" s="7" t="s">
        <v>7122</v>
      </c>
      <c r="C1366" s="7" t="s">
        <v>1831</v>
      </c>
      <c r="D1366" s="7" t="n">
        <v>2026</v>
      </c>
      <c r="E1366" s="7" t="s">
        <v>50</v>
      </c>
      <c r="F1366" s="7" t="n">
        <v>-33.894378</v>
      </c>
      <c r="G1366" s="7" t="n">
        <v>151.261093</v>
      </c>
      <c r="H1366" s="7" t="s">
        <v>7117</v>
      </c>
    </row>
    <row r="1367" customFormat="false" ht="15" hidden="false" customHeight="false" outlineLevel="0" collapsed="false">
      <c r="A1367" s="7" t="s">
        <v>6947</v>
      </c>
      <c r="B1367" s="7" t="s">
        <v>6993</v>
      </c>
      <c r="C1367" s="7" t="s">
        <v>1832</v>
      </c>
      <c r="D1367" s="7" t="n">
        <v>2040</v>
      </c>
      <c r="E1367" s="7" t="s">
        <v>50</v>
      </c>
      <c r="F1367" s="7" t="n">
        <v>-33.884004</v>
      </c>
      <c r="G1367" s="7" t="n">
        <v>151.156494</v>
      </c>
      <c r="H1367" s="7" t="s">
        <v>6994</v>
      </c>
    </row>
    <row r="1368" customFormat="false" ht="15" hidden="false" customHeight="false" outlineLevel="0" collapsed="false">
      <c r="A1368" s="7" t="s">
        <v>6947</v>
      </c>
      <c r="B1368" s="7" t="s">
        <v>1833</v>
      </c>
      <c r="C1368" s="7" t="s">
        <v>1834</v>
      </c>
      <c r="D1368" s="7" t="n">
        <v>2533</v>
      </c>
      <c r="E1368" s="7" t="s">
        <v>50</v>
      </c>
      <c r="F1368" s="7" t="n">
        <v>-34.668343</v>
      </c>
      <c r="G1368" s="7" t="n">
        <v>150.85495</v>
      </c>
      <c r="H1368" s="7" t="s">
        <v>6984</v>
      </c>
    </row>
    <row r="1369" customFormat="false" ht="15" hidden="false" customHeight="false" outlineLevel="0" collapsed="false">
      <c r="A1369" s="7" t="s">
        <v>6947</v>
      </c>
      <c r="B1369" s="7" t="s">
        <v>6964</v>
      </c>
      <c r="C1369" s="7" t="s">
        <v>1835</v>
      </c>
      <c r="D1369" s="7" t="n">
        <v>2450</v>
      </c>
      <c r="E1369" s="7" t="s">
        <v>50</v>
      </c>
      <c r="F1369" s="7" t="n">
        <v>-30.204973</v>
      </c>
      <c r="G1369" s="7" t="n">
        <v>153.150103</v>
      </c>
      <c r="H1369" s="7" t="s">
        <v>7132</v>
      </c>
    </row>
    <row r="1370" customFormat="false" ht="15" hidden="false" customHeight="false" outlineLevel="0" collapsed="false">
      <c r="A1370" s="7" t="s">
        <v>6947</v>
      </c>
      <c r="B1370" s="7" t="s">
        <v>7122</v>
      </c>
      <c r="C1370" s="7" t="s">
        <v>1836</v>
      </c>
      <c r="D1370" s="7" t="n">
        <v>2204</v>
      </c>
      <c r="E1370" s="7" t="s">
        <v>50</v>
      </c>
      <c r="F1370" s="7" t="n">
        <v>-33.91435</v>
      </c>
      <c r="G1370" s="7" t="n">
        <v>151.148581</v>
      </c>
      <c r="H1370" s="7" t="s">
        <v>7117</v>
      </c>
    </row>
    <row r="1371" customFormat="false" ht="15" hidden="false" customHeight="false" outlineLevel="0" collapsed="false">
      <c r="A1371" s="7" t="s">
        <v>6947</v>
      </c>
      <c r="B1371" s="7" t="s">
        <v>7122</v>
      </c>
      <c r="C1371" s="7" t="s">
        <v>1837</v>
      </c>
      <c r="D1371" s="7" t="n">
        <v>2021</v>
      </c>
      <c r="E1371" s="7" t="s">
        <v>50</v>
      </c>
      <c r="F1371" s="7" t="n">
        <v>-33.88336</v>
      </c>
      <c r="G1371" s="7" t="n">
        <v>151.237178</v>
      </c>
      <c r="H1371" s="7" t="s">
        <v>7117</v>
      </c>
    </row>
    <row r="1372" customFormat="false" ht="15" hidden="false" customHeight="false" outlineLevel="0" collapsed="false">
      <c r="A1372" s="7" t="s">
        <v>6947</v>
      </c>
      <c r="B1372" s="7" t="s">
        <v>1838</v>
      </c>
      <c r="C1372" s="7" t="s">
        <v>1839</v>
      </c>
      <c r="D1372" s="7" t="n">
        <v>2464</v>
      </c>
      <c r="E1372" s="7" t="s">
        <v>50</v>
      </c>
      <c r="F1372" s="7" t="n">
        <v>-29.437165</v>
      </c>
      <c r="G1372" s="7" t="n">
        <v>153.365714</v>
      </c>
      <c r="H1372" s="7" t="s">
        <v>6983</v>
      </c>
    </row>
    <row r="1373" customFormat="false" ht="15" hidden="false" customHeight="false" outlineLevel="0" collapsed="false">
      <c r="A1373" s="7" t="s">
        <v>6947</v>
      </c>
      <c r="B1373" s="7" t="s">
        <v>6962</v>
      </c>
      <c r="C1373" s="7" t="s">
        <v>1840</v>
      </c>
      <c r="D1373" s="7" t="n">
        <v>2026</v>
      </c>
      <c r="E1373" s="7" t="s">
        <v>50</v>
      </c>
      <c r="F1373" s="7" t="n">
        <v>-33.889666</v>
      </c>
      <c r="G1373" s="7" t="n">
        <v>151.266977</v>
      </c>
      <c r="H1373" s="7" t="s">
        <v>6983</v>
      </c>
    </row>
    <row r="1374" customFormat="false" ht="15" hidden="false" customHeight="false" outlineLevel="0" collapsed="false">
      <c r="A1374" s="7" t="s">
        <v>6947</v>
      </c>
      <c r="B1374" s="7" t="s">
        <v>1841</v>
      </c>
      <c r="C1374" s="7" t="s">
        <v>1842</v>
      </c>
      <c r="D1374" s="7" t="n">
        <v>2548</v>
      </c>
      <c r="E1374" s="7" t="s">
        <v>50</v>
      </c>
      <c r="F1374" s="7" t="n">
        <v>-36.886674</v>
      </c>
      <c r="G1374" s="7" t="n">
        <v>149.930371</v>
      </c>
      <c r="H1374" s="7" t="s">
        <v>6981</v>
      </c>
    </row>
    <row r="1375" customFormat="false" ht="15" hidden="false" customHeight="false" outlineLevel="0" collapsed="false">
      <c r="A1375" s="7" t="s">
        <v>6947</v>
      </c>
      <c r="B1375" s="7" t="s">
        <v>1843</v>
      </c>
      <c r="C1375" s="7" t="s">
        <v>1844</v>
      </c>
      <c r="D1375" s="7" t="n">
        <v>2320</v>
      </c>
      <c r="E1375" s="7" t="s">
        <v>50</v>
      </c>
      <c r="F1375" s="7" t="n">
        <v>-32.730062</v>
      </c>
      <c r="G1375" s="7" t="n">
        <v>151.553594</v>
      </c>
      <c r="H1375" s="7" t="s">
        <v>6984</v>
      </c>
    </row>
    <row r="1376" customFormat="false" ht="15" hidden="false" customHeight="false" outlineLevel="0" collapsed="false">
      <c r="A1376" s="7" t="s">
        <v>6947</v>
      </c>
      <c r="B1376" s="7" t="s">
        <v>6993</v>
      </c>
      <c r="C1376" s="7" t="s">
        <v>1845</v>
      </c>
      <c r="D1376" s="7" t="n">
        <v>2040</v>
      </c>
      <c r="E1376" s="7" t="s">
        <v>50</v>
      </c>
      <c r="F1376" s="7" t="n">
        <v>-33.889515</v>
      </c>
      <c r="G1376" s="7" t="n">
        <v>151.146582</v>
      </c>
      <c r="H1376" s="7" t="s">
        <v>6994</v>
      </c>
    </row>
    <row r="1377" customFormat="false" ht="15" hidden="false" customHeight="false" outlineLevel="0" collapsed="false">
      <c r="A1377" s="7" t="s">
        <v>6947</v>
      </c>
      <c r="B1377" s="7" t="s">
        <v>1846</v>
      </c>
      <c r="C1377" s="7" t="s">
        <v>1847</v>
      </c>
      <c r="D1377" s="7" t="n">
        <v>2263</v>
      </c>
      <c r="E1377" s="7" t="s">
        <v>50</v>
      </c>
      <c r="F1377" s="7" t="n">
        <v>-33.259753</v>
      </c>
      <c r="G1377" s="7" t="n">
        <v>151.516506</v>
      </c>
      <c r="H1377" s="7" t="s">
        <v>6984</v>
      </c>
    </row>
    <row r="1378" customFormat="false" ht="15" hidden="false" customHeight="false" outlineLevel="0" collapsed="false">
      <c r="A1378" s="7" t="s">
        <v>6947</v>
      </c>
      <c r="B1378" s="7" t="s">
        <v>1848</v>
      </c>
      <c r="C1378" s="7" t="s">
        <v>1849</v>
      </c>
      <c r="D1378" s="7" t="n">
        <v>2287</v>
      </c>
      <c r="E1378" s="7" t="s">
        <v>50</v>
      </c>
      <c r="F1378" s="7" t="n">
        <v>-32.901378</v>
      </c>
      <c r="G1378" s="7" t="n">
        <v>151.671176</v>
      </c>
      <c r="H1378" s="7" t="s">
        <v>6981</v>
      </c>
    </row>
    <row r="1379" customFormat="false" ht="15" hidden="false" customHeight="false" outlineLevel="0" collapsed="false">
      <c r="A1379" s="7" t="s">
        <v>6947</v>
      </c>
      <c r="B1379" s="7" t="s">
        <v>1850</v>
      </c>
      <c r="C1379" s="7" t="s">
        <v>1851</v>
      </c>
      <c r="D1379" s="7" t="n">
        <v>2780</v>
      </c>
      <c r="E1379" s="7" t="s">
        <v>50</v>
      </c>
      <c r="F1379" s="7" t="n">
        <v>-33.729373</v>
      </c>
      <c r="G1379" s="7" t="n">
        <v>150.300429</v>
      </c>
      <c r="H1379" s="7" t="s">
        <v>6981</v>
      </c>
    </row>
    <row r="1380" customFormat="false" ht="15" hidden="false" customHeight="false" outlineLevel="0" collapsed="false">
      <c r="A1380" s="7" t="s">
        <v>6947</v>
      </c>
      <c r="B1380" s="7" t="s">
        <v>7122</v>
      </c>
      <c r="C1380" s="7" t="s">
        <v>1852</v>
      </c>
      <c r="D1380" s="7" t="n">
        <v>2034</v>
      </c>
      <c r="E1380" s="7" t="s">
        <v>50</v>
      </c>
      <c r="F1380" s="7" t="n">
        <v>-33.929314</v>
      </c>
      <c r="G1380" s="7" t="n">
        <v>151.250644</v>
      </c>
      <c r="H1380" s="7" t="s">
        <v>7117</v>
      </c>
    </row>
    <row r="1381" customFormat="false" ht="15" hidden="false" customHeight="false" outlineLevel="0" collapsed="false">
      <c r="A1381" s="7" t="s">
        <v>6947</v>
      </c>
      <c r="B1381" s="7" t="s">
        <v>1853</v>
      </c>
      <c r="C1381" s="7" t="s">
        <v>1854</v>
      </c>
      <c r="D1381" s="7" t="n">
        <v>2485</v>
      </c>
      <c r="E1381" s="7" t="s">
        <v>50</v>
      </c>
      <c r="F1381" s="7" t="n">
        <v>-28.168593</v>
      </c>
      <c r="G1381" s="7" t="n">
        <v>153.544099</v>
      </c>
      <c r="H1381" s="7" t="s">
        <v>6979</v>
      </c>
    </row>
    <row r="1382" customFormat="false" ht="15" hidden="false" customHeight="false" outlineLevel="0" collapsed="false">
      <c r="A1382" s="7" t="s">
        <v>6947</v>
      </c>
      <c r="B1382" s="7" t="s">
        <v>7035</v>
      </c>
      <c r="C1382" s="7" t="s">
        <v>1855</v>
      </c>
      <c r="D1382" s="7" t="n">
        <v>2204</v>
      </c>
      <c r="E1382" s="7" t="s">
        <v>50</v>
      </c>
      <c r="F1382" s="7" t="n">
        <v>-33.912849</v>
      </c>
      <c r="G1382" s="7" t="n">
        <v>151.15147</v>
      </c>
      <c r="H1382" s="7" t="s">
        <v>7036</v>
      </c>
    </row>
    <row r="1383" customFormat="false" ht="15" hidden="false" customHeight="false" outlineLevel="0" collapsed="false">
      <c r="A1383" s="7" t="s">
        <v>6947</v>
      </c>
      <c r="B1383" s="7" t="s">
        <v>7122</v>
      </c>
      <c r="C1383" s="7" t="s">
        <v>1856</v>
      </c>
      <c r="D1383" s="7" t="n">
        <v>2050</v>
      </c>
      <c r="E1383" s="7" t="s">
        <v>50</v>
      </c>
      <c r="F1383" s="7" t="n">
        <v>-33.893123</v>
      </c>
      <c r="G1383" s="7" t="n">
        <v>151.179311</v>
      </c>
      <c r="H1383" s="7" t="s">
        <v>7117</v>
      </c>
    </row>
    <row r="1384" customFormat="false" ht="15" hidden="false" customHeight="false" outlineLevel="0" collapsed="false">
      <c r="A1384" s="7" t="s">
        <v>6947</v>
      </c>
      <c r="B1384" s="7" t="s">
        <v>7122</v>
      </c>
      <c r="C1384" s="7" t="s">
        <v>1857</v>
      </c>
      <c r="D1384" s="7" t="n">
        <v>2041</v>
      </c>
      <c r="E1384" s="7" t="s">
        <v>50</v>
      </c>
      <c r="F1384" s="7" t="n">
        <v>-33.859225</v>
      </c>
      <c r="G1384" s="7" t="n">
        <v>151.194044</v>
      </c>
      <c r="H1384" s="7" t="s">
        <v>7117</v>
      </c>
    </row>
    <row r="1385" customFormat="false" ht="15" hidden="false" customHeight="false" outlineLevel="0" collapsed="false">
      <c r="A1385" s="7" t="s">
        <v>6947</v>
      </c>
      <c r="B1385" s="7" t="s">
        <v>1858</v>
      </c>
      <c r="C1385" s="7" t="s">
        <v>1859</v>
      </c>
      <c r="D1385" s="7" t="n">
        <v>2306</v>
      </c>
      <c r="E1385" s="7" t="s">
        <v>50</v>
      </c>
      <c r="F1385" s="7" t="n">
        <v>-32.993368</v>
      </c>
      <c r="G1385" s="7" t="n">
        <v>151.681613</v>
      </c>
      <c r="H1385" s="7" t="s">
        <v>7018</v>
      </c>
    </row>
    <row r="1386" customFormat="false" ht="15" hidden="false" customHeight="false" outlineLevel="0" collapsed="false">
      <c r="A1386" s="7" t="s">
        <v>6947</v>
      </c>
      <c r="B1386" s="7" t="s">
        <v>1860</v>
      </c>
      <c r="C1386" s="7" t="s">
        <v>1861</v>
      </c>
      <c r="D1386" s="7" t="n">
        <v>2482</v>
      </c>
      <c r="E1386" s="7" t="s">
        <v>50</v>
      </c>
      <c r="F1386" s="7" t="n">
        <v>-28.554117</v>
      </c>
      <c r="G1386" s="7" t="n">
        <v>153.514918</v>
      </c>
      <c r="H1386" s="7" t="s">
        <v>7133</v>
      </c>
    </row>
    <row r="1387" customFormat="false" ht="15" hidden="false" customHeight="false" outlineLevel="0" collapsed="false">
      <c r="A1387" s="7" t="s">
        <v>6947</v>
      </c>
      <c r="B1387" s="7" t="s">
        <v>1863</v>
      </c>
      <c r="C1387" s="7" t="s">
        <v>1864</v>
      </c>
      <c r="D1387" s="7" t="n">
        <v>2259</v>
      </c>
      <c r="E1387" s="7" t="s">
        <v>50</v>
      </c>
      <c r="F1387" s="7" t="n">
        <v>-33.150488</v>
      </c>
      <c r="G1387" s="7" t="n">
        <v>151.539768</v>
      </c>
      <c r="H1387" s="7" t="s">
        <v>6981</v>
      </c>
    </row>
    <row r="1388" customFormat="false" ht="15" hidden="false" customHeight="false" outlineLevel="0" collapsed="false">
      <c r="A1388" s="7" t="s">
        <v>6947</v>
      </c>
      <c r="B1388" s="7" t="s">
        <v>1865</v>
      </c>
      <c r="C1388" s="7" t="s">
        <v>1866</v>
      </c>
      <c r="D1388" s="7" t="n">
        <v>2258</v>
      </c>
      <c r="E1388" s="7" t="s">
        <v>50</v>
      </c>
      <c r="F1388" s="7" t="n">
        <v>-33.354043</v>
      </c>
      <c r="G1388" s="7" t="n">
        <v>151.369647</v>
      </c>
      <c r="H1388" s="7" t="s">
        <v>7133</v>
      </c>
    </row>
    <row r="1389" customFormat="false" ht="15" hidden="false" customHeight="false" outlineLevel="0" collapsed="false">
      <c r="A1389" s="7" t="s">
        <v>6947</v>
      </c>
      <c r="B1389" s="7" t="s">
        <v>1867</v>
      </c>
      <c r="C1389" s="7" t="s">
        <v>1868</v>
      </c>
      <c r="D1389" s="7" t="n">
        <v>2519</v>
      </c>
      <c r="E1389" s="7" t="s">
        <v>50</v>
      </c>
      <c r="F1389" s="7" t="n">
        <v>-34.389582</v>
      </c>
      <c r="G1389" s="7" t="n">
        <v>150.906374</v>
      </c>
      <c r="H1389" s="7" t="s">
        <v>6984</v>
      </c>
    </row>
    <row r="1390" customFormat="false" ht="15" hidden="false" customHeight="false" outlineLevel="0" collapsed="false">
      <c r="A1390" s="7" t="s">
        <v>6947</v>
      </c>
      <c r="B1390" s="7" t="s">
        <v>6962</v>
      </c>
      <c r="C1390" s="7" t="s">
        <v>1869</v>
      </c>
      <c r="D1390" s="7" t="n">
        <v>2131</v>
      </c>
      <c r="E1390" s="7" t="s">
        <v>50</v>
      </c>
      <c r="F1390" s="7" t="n">
        <v>-33.881045</v>
      </c>
      <c r="G1390" s="7" t="n">
        <v>151.131807</v>
      </c>
      <c r="H1390" s="7" t="s">
        <v>6969</v>
      </c>
    </row>
    <row r="1391" customFormat="false" ht="15" hidden="false" customHeight="false" outlineLevel="0" collapsed="false">
      <c r="A1391" s="7" t="s">
        <v>6947</v>
      </c>
      <c r="B1391" s="7" t="s">
        <v>1870</v>
      </c>
      <c r="C1391" s="7" t="s">
        <v>1871</v>
      </c>
      <c r="D1391" s="7" t="n">
        <v>2536</v>
      </c>
      <c r="E1391" s="7" t="s">
        <v>50</v>
      </c>
      <c r="F1391" s="7" t="n">
        <v>-35.72967</v>
      </c>
      <c r="G1391" s="7" t="n">
        <v>150.196077</v>
      </c>
      <c r="H1391" s="7" t="s">
        <v>6991</v>
      </c>
    </row>
    <row r="1392" customFormat="false" ht="15" hidden="false" customHeight="false" outlineLevel="0" collapsed="false">
      <c r="A1392" s="7" t="s">
        <v>6947</v>
      </c>
      <c r="B1392" s="7" t="s">
        <v>1872</v>
      </c>
      <c r="C1392" s="7" t="s">
        <v>1873</v>
      </c>
      <c r="D1392" s="7" t="n">
        <v>2800</v>
      </c>
      <c r="E1392" s="7" t="s">
        <v>50</v>
      </c>
      <c r="F1392" s="7" t="n">
        <v>-33.313194</v>
      </c>
      <c r="G1392" s="7" t="n">
        <v>149.008859</v>
      </c>
      <c r="H1392" s="7" t="s">
        <v>6969</v>
      </c>
    </row>
    <row r="1393" customFormat="false" ht="15" hidden="false" customHeight="false" outlineLevel="0" collapsed="false">
      <c r="A1393" s="7" t="s">
        <v>6947</v>
      </c>
      <c r="B1393" s="7" t="s">
        <v>1874</v>
      </c>
      <c r="C1393" s="7" t="s">
        <v>1875</v>
      </c>
      <c r="D1393" s="7" t="n">
        <v>2322</v>
      </c>
      <c r="E1393" s="7" t="s">
        <v>50</v>
      </c>
      <c r="F1393" s="7" t="n">
        <v>-32.794497</v>
      </c>
      <c r="G1393" s="7" t="n">
        <v>151.637358</v>
      </c>
      <c r="H1393" s="7" t="s">
        <v>6983</v>
      </c>
    </row>
    <row r="1394" customFormat="false" ht="15" hidden="false" customHeight="false" outlineLevel="0" collapsed="false">
      <c r="A1394" s="7" t="s">
        <v>6947</v>
      </c>
      <c r="B1394" s="7" t="s">
        <v>1876</v>
      </c>
      <c r="C1394" s="7" t="s">
        <v>1877</v>
      </c>
      <c r="D1394" s="7" t="n">
        <v>2540</v>
      </c>
      <c r="E1394" s="7" t="s">
        <v>50</v>
      </c>
      <c r="F1394" s="7" t="n">
        <v>-35.019784</v>
      </c>
      <c r="G1394" s="7" t="n">
        <v>150.639103</v>
      </c>
      <c r="H1394" s="7" t="s">
        <v>6984</v>
      </c>
    </row>
    <row r="1395" customFormat="false" ht="15" hidden="false" customHeight="false" outlineLevel="0" collapsed="false">
      <c r="A1395" s="7" t="s">
        <v>6947</v>
      </c>
      <c r="B1395" s="7" t="s">
        <v>7035</v>
      </c>
      <c r="C1395" s="7" t="s">
        <v>1878</v>
      </c>
      <c r="D1395" s="7" t="n">
        <v>2040</v>
      </c>
      <c r="E1395" s="7" t="s">
        <v>50</v>
      </c>
      <c r="F1395" s="7" t="n">
        <v>-33.875569</v>
      </c>
      <c r="G1395" s="7" t="n">
        <v>151.163287</v>
      </c>
      <c r="H1395" s="7" t="s">
        <v>7036</v>
      </c>
    </row>
    <row r="1396" customFormat="false" ht="15" hidden="false" customHeight="false" outlineLevel="0" collapsed="false">
      <c r="A1396" s="7" t="s">
        <v>6947</v>
      </c>
      <c r="B1396" s="7" t="s">
        <v>7122</v>
      </c>
      <c r="C1396" s="7" t="s">
        <v>1879</v>
      </c>
      <c r="D1396" s="7" t="n">
        <v>2048</v>
      </c>
      <c r="E1396" s="7" t="s">
        <v>50</v>
      </c>
      <c r="F1396" s="7" t="n">
        <v>-33.888843</v>
      </c>
      <c r="G1396" s="7" t="n">
        <v>151.171034</v>
      </c>
      <c r="H1396" s="7" t="s">
        <v>7117</v>
      </c>
    </row>
    <row r="1397" customFormat="false" ht="15" hidden="false" customHeight="false" outlineLevel="0" collapsed="false">
      <c r="A1397" s="7" t="s">
        <v>6947</v>
      </c>
      <c r="B1397" s="7" t="s">
        <v>1880</v>
      </c>
      <c r="C1397" s="7" t="s">
        <v>1881</v>
      </c>
      <c r="D1397" s="7" t="n">
        <v>2324</v>
      </c>
      <c r="E1397" s="7" t="s">
        <v>50</v>
      </c>
      <c r="F1397" s="7" t="n">
        <v>-32.662369</v>
      </c>
      <c r="G1397" s="7" t="n">
        <v>152.156593</v>
      </c>
      <c r="H1397" s="7" t="s">
        <v>7134</v>
      </c>
    </row>
    <row r="1398" customFormat="false" ht="15" hidden="false" customHeight="false" outlineLevel="0" collapsed="false">
      <c r="A1398" s="7" t="s">
        <v>6947</v>
      </c>
      <c r="B1398" s="7" t="s">
        <v>1882</v>
      </c>
      <c r="C1398" s="7" t="s">
        <v>1883</v>
      </c>
      <c r="D1398" s="7" t="n">
        <v>2780</v>
      </c>
      <c r="E1398" s="7" t="s">
        <v>50</v>
      </c>
      <c r="F1398" s="7" t="n">
        <v>-33.717405</v>
      </c>
      <c r="G1398" s="7" t="n">
        <v>150.3112</v>
      </c>
      <c r="H1398" s="7" t="s">
        <v>7018</v>
      </c>
    </row>
    <row r="1399" customFormat="false" ht="15" hidden="false" customHeight="false" outlineLevel="0" collapsed="false">
      <c r="A1399" s="7" t="s">
        <v>6947</v>
      </c>
      <c r="B1399" s="7" t="s">
        <v>7135</v>
      </c>
      <c r="C1399" s="7" t="s">
        <v>1884</v>
      </c>
      <c r="D1399" s="7" t="n">
        <v>2780</v>
      </c>
      <c r="E1399" s="7" t="s">
        <v>50</v>
      </c>
      <c r="F1399" s="7" t="n">
        <v>-33.717702</v>
      </c>
      <c r="G1399" s="7" t="n">
        <v>150.31129</v>
      </c>
      <c r="H1399" s="7" t="s">
        <v>7136</v>
      </c>
    </row>
    <row r="1400" customFormat="false" ht="15" hidden="false" customHeight="false" outlineLevel="0" collapsed="false">
      <c r="A1400" s="7" t="s">
        <v>6947</v>
      </c>
      <c r="B1400" s="7" t="s">
        <v>6993</v>
      </c>
      <c r="C1400" s="7" t="s">
        <v>1886</v>
      </c>
      <c r="D1400" s="7" t="n">
        <v>2040</v>
      </c>
      <c r="E1400" s="7" t="s">
        <v>50</v>
      </c>
      <c r="F1400" s="7" t="n">
        <v>-33.879457</v>
      </c>
      <c r="G1400" s="7" t="n">
        <v>151.156284</v>
      </c>
      <c r="H1400" s="7" t="s">
        <v>6994</v>
      </c>
    </row>
    <row r="1401" customFormat="false" ht="15" hidden="false" customHeight="false" outlineLevel="0" collapsed="false">
      <c r="A1401" s="7" t="s">
        <v>6947</v>
      </c>
      <c r="B1401" s="7" t="s">
        <v>1887</v>
      </c>
      <c r="C1401" s="7" t="s">
        <v>1888</v>
      </c>
      <c r="D1401" s="7" t="n">
        <v>2800</v>
      </c>
      <c r="E1401" s="7" t="s">
        <v>50</v>
      </c>
      <c r="F1401" s="7" t="n">
        <v>-33.288714</v>
      </c>
      <c r="G1401" s="7" t="n">
        <v>149.091687</v>
      </c>
      <c r="H1401" s="7" t="s">
        <v>7137</v>
      </c>
    </row>
    <row r="1402" customFormat="false" ht="15" hidden="false" customHeight="false" outlineLevel="0" collapsed="false">
      <c r="A1402" s="7" t="s">
        <v>6947</v>
      </c>
      <c r="B1402" s="7" t="s">
        <v>7122</v>
      </c>
      <c r="C1402" s="7" t="s">
        <v>1890</v>
      </c>
      <c r="D1402" s="7" t="n">
        <v>2065</v>
      </c>
      <c r="E1402" s="7" t="s">
        <v>50</v>
      </c>
      <c r="F1402" s="7" t="n">
        <v>-33.824901</v>
      </c>
      <c r="G1402" s="7" t="n">
        <v>151.187229</v>
      </c>
      <c r="H1402" s="7" t="s">
        <v>7117</v>
      </c>
    </row>
    <row r="1403" customFormat="false" ht="15" hidden="false" customHeight="false" outlineLevel="0" collapsed="false">
      <c r="A1403" s="7" t="s">
        <v>6947</v>
      </c>
      <c r="B1403" s="7" t="s">
        <v>6993</v>
      </c>
      <c r="C1403" s="7" t="s">
        <v>1891</v>
      </c>
      <c r="D1403" s="7" t="n">
        <v>2134</v>
      </c>
      <c r="E1403" s="7" t="s">
        <v>50</v>
      </c>
      <c r="F1403" s="7" t="n">
        <v>-33.8819</v>
      </c>
      <c r="G1403" s="7" t="n">
        <v>151.1045</v>
      </c>
      <c r="H1403" s="7" t="s">
        <v>6994</v>
      </c>
    </row>
    <row r="1404" customFormat="false" ht="15" hidden="false" customHeight="false" outlineLevel="0" collapsed="false">
      <c r="A1404" s="7" t="s">
        <v>6947</v>
      </c>
      <c r="B1404" s="7" t="s">
        <v>1892</v>
      </c>
      <c r="C1404" s="7" t="s">
        <v>1893</v>
      </c>
      <c r="D1404" s="7" t="n">
        <v>2834</v>
      </c>
      <c r="E1404" s="7" t="s">
        <v>50</v>
      </c>
      <c r="F1404" s="7" t="n">
        <v>-29.429237</v>
      </c>
      <c r="G1404" s="7" t="n">
        <v>147.976815</v>
      </c>
      <c r="H1404" s="7" t="s">
        <v>6981</v>
      </c>
    </row>
    <row r="1405" customFormat="false" ht="15" hidden="false" customHeight="false" outlineLevel="0" collapsed="false">
      <c r="A1405" s="7" t="s">
        <v>6947</v>
      </c>
      <c r="B1405" s="7" t="s">
        <v>7122</v>
      </c>
      <c r="C1405" s="7" t="s">
        <v>1894</v>
      </c>
      <c r="D1405" s="7" t="n">
        <v>2021</v>
      </c>
      <c r="E1405" s="7" t="s">
        <v>50</v>
      </c>
      <c r="F1405" s="7" t="n">
        <v>-33.883576</v>
      </c>
      <c r="G1405" s="7" t="n">
        <v>151.228935</v>
      </c>
      <c r="H1405" s="7" t="s">
        <v>7117</v>
      </c>
    </row>
    <row r="1406" customFormat="false" ht="15" hidden="false" customHeight="false" outlineLevel="0" collapsed="false">
      <c r="A1406" s="7" t="s">
        <v>6947</v>
      </c>
      <c r="B1406" s="7" t="s">
        <v>7123</v>
      </c>
      <c r="C1406" s="7" t="s">
        <v>1895</v>
      </c>
      <c r="D1406" s="7" t="n">
        <v>2060</v>
      </c>
      <c r="E1406" s="7" t="s">
        <v>50</v>
      </c>
      <c r="F1406" s="7" t="n">
        <v>-33.836149</v>
      </c>
      <c r="G1406" s="7" t="n">
        <v>151.208531</v>
      </c>
      <c r="H1406" s="7" t="s">
        <v>7138</v>
      </c>
    </row>
    <row r="1407" customFormat="false" ht="15" hidden="false" customHeight="false" outlineLevel="0" collapsed="false">
      <c r="A1407" s="7" t="s">
        <v>6947</v>
      </c>
      <c r="B1407" s="7" t="s">
        <v>1896</v>
      </c>
      <c r="C1407" s="7" t="s">
        <v>1897</v>
      </c>
      <c r="D1407" s="7" t="n">
        <v>2539</v>
      </c>
      <c r="E1407" s="7" t="s">
        <v>50</v>
      </c>
      <c r="F1407" s="7" t="n">
        <v>-35.368421</v>
      </c>
      <c r="G1407" s="7" t="n">
        <v>150.470608</v>
      </c>
      <c r="H1407" s="7" t="s">
        <v>6981</v>
      </c>
    </row>
    <row r="1408" customFormat="false" ht="15" hidden="false" customHeight="false" outlineLevel="0" collapsed="false">
      <c r="A1408" s="7" t="s">
        <v>6947</v>
      </c>
      <c r="B1408" s="7" t="s">
        <v>1898</v>
      </c>
      <c r="C1408" s="7" t="s">
        <v>1899</v>
      </c>
      <c r="D1408" s="7" t="n">
        <v>2340</v>
      </c>
      <c r="E1408" s="7" t="s">
        <v>50</v>
      </c>
      <c r="F1408" s="7" t="n">
        <v>-31.164771</v>
      </c>
      <c r="G1408" s="7" t="n">
        <v>150.918107</v>
      </c>
      <c r="H1408" s="7" t="s">
        <v>7139</v>
      </c>
    </row>
    <row r="1409" customFormat="false" ht="15" hidden="false" customHeight="false" outlineLevel="0" collapsed="false">
      <c r="A1409" s="7" t="s">
        <v>6947</v>
      </c>
      <c r="B1409" s="7" t="s">
        <v>7122</v>
      </c>
      <c r="C1409" s="7" t="s">
        <v>1900</v>
      </c>
      <c r="D1409" s="7" t="n">
        <v>2031</v>
      </c>
      <c r="E1409" s="7" t="s">
        <v>50</v>
      </c>
      <c r="F1409" s="7" t="n">
        <v>-33.903701</v>
      </c>
      <c r="G1409" s="7" t="n">
        <v>151.248929</v>
      </c>
      <c r="H1409" s="7" t="s">
        <v>7117</v>
      </c>
    </row>
    <row r="1410" customFormat="false" ht="15" hidden="false" customHeight="false" outlineLevel="0" collapsed="false">
      <c r="A1410" s="7" t="s">
        <v>6947</v>
      </c>
      <c r="B1410" s="7" t="s">
        <v>6993</v>
      </c>
      <c r="C1410" s="7" t="s">
        <v>1901</v>
      </c>
      <c r="D1410" s="7" t="n">
        <v>2021</v>
      </c>
      <c r="E1410" s="7" t="s">
        <v>50</v>
      </c>
      <c r="F1410" s="7" t="n">
        <v>-33.887218</v>
      </c>
      <c r="G1410" s="7" t="n">
        <v>151.224606</v>
      </c>
      <c r="H1410" s="7" t="s">
        <v>6994</v>
      </c>
    </row>
    <row r="1411" customFormat="false" ht="15" hidden="false" customHeight="false" outlineLevel="0" collapsed="false">
      <c r="A1411" s="7" t="s">
        <v>6947</v>
      </c>
      <c r="B1411" s="7" t="s">
        <v>7122</v>
      </c>
      <c r="C1411" s="7" t="s">
        <v>1902</v>
      </c>
      <c r="D1411" s="7" t="n">
        <v>2022</v>
      </c>
      <c r="E1411" s="7" t="s">
        <v>50</v>
      </c>
      <c r="F1411" s="7" t="n">
        <v>-33.898109</v>
      </c>
      <c r="G1411" s="7" t="n">
        <v>151.24348</v>
      </c>
      <c r="H1411" s="7" t="s">
        <v>7117</v>
      </c>
    </row>
    <row r="1412" customFormat="false" ht="15" hidden="false" customHeight="false" outlineLevel="0" collapsed="false">
      <c r="A1412" s="7" t="s">
        <v>6947</v>
      </c>
      <c r="B1412" s="7" t="s">
        <v>7122</v>
      </c>
      <c r="C1412" s="7" t="s">
        <v>1903</v>
      </c>
      <c r="D1412" s="7" t="n">
        <v>2032</v>
      </c>
      <c r="E1412" s="7" t="s">
        <v>50</v>
      </c>
      <c r="F1412" s="7" t="n">
        <v>-33.922372</v>
      </c>
      <c r="G1412" s="7" t="n">
        <v>151.224858</v>
      </c>
      <c r="H1412" s="7" t="s">
        <v>7117</v>
      </c>
    </row>
    <row r="1413" customFormat="false" ht="15" hidden="false" customHeight="false" outlineLevel="0" collapsed="false">
      <c r="A1413" s="7" t="s">
        <v>6947</v>
      </c>
      <c r="B1413" s="7" t="s">
        <v>7122</v>
      </c>
      <c r="C1413" s="7" t="s">
        <v>1904</v>
      </c>
      <c r="D1413" s="7" t="n">
        <v>2203</v>
      </c>
      <c r="E1413" s="7" t="s">
        <v>50</v>
      </c>
      <c r="F1413" s="7" t="n">
        <v>-33.906522</v>
      </c>
      <c r="G1413" s="7" t="n">
        <v>151.13815</v>
      </c>
      <c r="H1413" s="7" t="s">
        <v>7117</v>
      </c>
    </row>
    <row r="1414" customFormat="false" ht="15" hidden="false" customHeight="false" outlineLevel="0" collapsed="false">
      <c r="A1414" s="7" t="s">
        <v>6947</v>
      </c>
      <c r="B1414" s="7" t="s">
        <v>7037</v>
      </c>
      <c r="C1414" s="7" t="s">
        <v>1905</v>
      </c>
      <c r="D1414" s="7" t="n">
        <v>2830</v>
      </c>
      <c r="E1414" s="7" t="s">
        <v>50</v>
      </c>
      <c r="F1414" s="7" t="n">
        <v>-32.252573</v>
      </c>
      <c r="G1414" s="7" t="n">
        <v>148.604923</v>
      </c>
      <c r="H1414" s="7" t="s">
        <v>7089</v>
      </c>
    </row>
    <row r="1415" customFormat="false" ht="15" hidden="false" customHeight="false" outlineLevel="0" collapsed="false">
      <c r="A1415" s="7" t="s">
        <v>6947</v>
      </c>
      <c r="B1415" s="7" t="s">
        <v>7075</v>
      </c>
      <c r="C1415" s="7" t="s">
        <v>1906</v>
      </c>
      <c r="D1415" s="7" t="n">
        <v>2060</v>
      </c>
      <c r="E1415" s="7" t="s">
        <v>50</v>
      </c>
      <c r="F1415" s="7" t="n">
        <v>-33.833276</v>
      </c>
      <c r="G1415" s="7" t="n">
        <v>151.207193</v>
      </c>
      <c r="H1415" s="7" t="s">
        <v>7140</v>
      </c>
    </row>
    <row r="1416" customFormat="false" ht="15" hidden="false" customHeight="false" outlineLevel="0" collapsed="false">
      <c r="A1416" s="7" t="s">
        <v>6947</v>
      </c>
      <c r="B1416" s="7" t="s">
        <v>7122</v>
      </c>
      <c r="C1416" s="7" t="s">
        <v>1907</v>
      </c>
      <c r="D1416" s="7" t="n">
        <v>2038</v>
      </c>
      <c r="E1416" s="7" t="s">
        <v>50</v>
      </c>
      <c r="F1416" s="7" t="n">
        <v>-33.88648</v>
      </c>
      <c r="G1416" s="7" t="n">
        <v>151.166494</v>
      </c>
      <c r="H1416" s="7" t="s">
        <v>7117</v>
      </c>
    </row>
    <row r="1417" customFormat="false" ht="15" hidden="false" customHeight="false" outlineLevel="0" collapsed="false">
      <c r="A1417" s="7" t="s">
        <v>6947</v>
      </c>
      <c r="B1417" s="7" t="s">
        <v>1908</v>
      </c>
      <c r="C1417" s="7" t="s">
        <v>1909</v>
      </c>
      <c r="D1417" s="7" t="n">
        <v>2445</v>
      </c>
      <c r="E1417" s="7" t="s">
        <v>50</v>
      </c>
      <c r="F1417" s="7" t="n">
        <v>-31.585403</v>
      </c>
      <c r="G1417" s="7" t="n">
        <v>152.836622</v>
      </c>
      <c r="H1417" s="7" t="s">
        <v>6984</v>
      </c>
    </row>
    <row r="1418" customFormat="false" ht="15" hidden="false" customHeight="false" outlineLevel="0" collapsed="false">
      <c r="A1418" s="7" t="s">
        <v>6947</v>
      </c>
      <c r="B1418" s="7" t="s">
        <v>1910</v>
      </c>
      <c r="C1418" s="7" t="s">
        <v>1911</v>
      </c>
      <c r="D1418" s="7" t="n">
        <v>2473</v>
      </c>
      <c r="E1418" s="7" t="s">
        <v>50</v>
      </c>
      <c r="F1418" s="7" t="n">
        <v>-29.1191</v>
      </c>
      <c r="G1418" s="7" t="n">
        <v>153.428405</v>
      </c>
      <c r="H1418" s="7" t="s">
        <v>7011</v>
      </c>
    </row>
    <row r="1419" customFormat="false" ht="15" hidden="false" customHeight="false" outlineLevel="0" collapsed="false">
      <c r="A1419" s="7" t="s">
        <v>6947</v>
      </c>
      <c r="B1419" s="7" t="s">
        <v>6993</v>
      </c>
      <c r="C1419" s="7" t="s">
        <v>1912</v>
      </c>
      <c r="D1419" s="7" t="n">
        <v>2147</v>
      </c>
      <c r="E1419" s="7" t="s">
        <v>50</v>
      </c>
      <c r="F1419" s="7" t="n">
        <v>-33.777479</v>
      </c>
      <c r="G1419" s="7" t="n">
        <v>150.941166</v>
      </c>
      <c r="H1419" s="7" t="s">
        <v>6994</v>
      </c>
    </row>
    <row r="1420" customFormat="false" ht="15" hidden="false" customHeight="false" outlineLevel="0" collapsed="false">
      <c r="A1420" s="7" t="s">
        <v>6947</v>
      </c>
      <c r="B1420" s="7" t="s">
        <v>1913</v>
      </c>
      <c r="C1420" s="7" t="s">
        <v>1914</v>
      </c>
      <c r="D1420" s="7" t="n">
        <v>2262</v>
      </c>
      <c r="E1420" s="7" t="s">
        <v>50</v>
      </c>
      <c r="F1420" s="7" t="n">
        <v>-33.232872</v>
      </c>
      <c r="G1420" s="7" t="n">
        <v>151.555373</v>
      </c>
      <c r="H1420" s="7" t="s">
        <v>7141</v>
      </c>
    </row>
    <row r="1421" customFormat="false" ht="15" hidden="false" customHeight="false" outlineLevel="0" collapsed="false">
      <c r="A1421" s="7" t="s">
        <v>6947</v>
      </c>
      <c r="B1421" s="7" t="s">
        <v>1915</v>
      </c>
      <c r="C1421" s="7" t="s">
        <v>1916</v>
      </c>
      <c r="D1421" s="7" t="n">
        <v>2447</v>
      </c>
      <c r="E1421" s="7" t="s">
        <v>50</v>
      </c>
      <c r="F1421" s="7" t="n">
        <v>-30.708612</v>
      </c>
      <c r="G1421" s="7" t="n">
        <v>152.918765</v>
      </c>
      <c r="H1421" s="7" t="s">
        <v>7089</v>
      </c>
    </row>
    <row r="1422" customFormat="false" ht="15" hidden="false" customHeight="false" outlineLevel="0" collapsed="false">
      <c r="A1422" s="7" t="s">
        <v>6947</v>
      </c>
      <c r="B1422" s="7" t="s">
        <v>1853</v>
      </c>
      <c r="C1422" s="7" t="s">
        <v>1917</v>
      </c>
      <c r="D1422" s="7" t="n">
        <v>2485</v>
      </c>
      <c r="E1422" s="7" t="s">
        <v>50</v>
      </c>
      <c r="F1422" s="7" t="n">
        <v>-28.168735</v>
      </c>
      <c r="G1422" s="7" t="n">
        <v>153.542992</v>
      </c>
      <c r="H1422" s="7" t="s">
        <v>6983</v>
      </c>
    </row>
    <row r="1423" customFormat="false" ht="15" hidden="false" customHeight="false" outlineLevel="0" collapsed="false">
      <c r="A1423" s="7" t="s">
        <v>6947</v>
      </c>
      <c r="B1423" s="7" t="s">
        <v>1918</v>
      </c>
      <c r="C1423" s="7" t="s">
        <v>1919</v>
      </c>
      <c r="D1423" s="7" t="n">
        <v>2320</v>
      </c>
      <c r="E1423" s="7" t="s">
        <v>50</v>
      </c>
      <c r="F1423" s="7" t="n">
        <v>-32.777785</v>
      </c>
      <c r="G1423" s="7" t="n">
        <v>151.336137</v>
      </c>
      <c r="H1423" s="7" t="s">
        <v>7134</v>
      </c>
    </row>
    <row r="1424" customFormat="false" ht="15" hidden="false" customHeight="false" outlineLevel="0" collapsed="false">
      <c r="A1424" s="7" t="s">
        <v>6947</v>
      </c>
      <c r="B1424" s="7" t="s">
        <v>1920</v>
      </c>
      <c r="C1424" s="7" t="s">
        <v>1921</v>
      </c>
      <c r="D1424" s="7" t="n">
        <v>2800</v>
      </c>
      <c r="E1424" s="7" t="s">
        <v>50</v>
      </c>
      <c r="F1424" s="7" t="n">
        <v>-33.280815</v>
      </c>
      <c r="G1424" s="7" t="n">
        <v>149.099513</v>
      </c>
      <c r="H1424" s="7" t="s">
        <v>7142</v>
      </c>
    </row>
    <row r="1425" customFormat="false" ht="15" hidden="false" customHeight="false" outlineLevel="0" collapsed="false">
      <c r="A1425" s="7" t="s">
        <v>6947</v>
      </c>
      <c r="B1425" s="7" t="s">
        <v>1922</v>
      </c>
      <c r="C1425" s="7" t="s">
        <v>1923</v>
      </c>
      <c r="D1425" s="7" t="n">
        <v>2340</v>
      </c>
      <c r="E1425" s="7" t="s">
        <v>50</v>
      </c>
      <c r="F1425" s="7" t="n">
        <v>-31.098466</v>
      </c>
      <c r="G1425" s="7" t="n">
        <v>150.940734</v>
      </c>
      <c r="H1425" s="7" t="s">
        <v>7066</v>
      </c>
    </row>
    <row r="1426" customFormat="false" ht="15" hidden="false" customHeight="false" outlineLevel="0" collapsed="false">
      <c r="A1426" s="7" t="s">
        <v>6947</v>
      </c>
      <c r="B1426" s="7" t="s">
        <v>1924</v>
      </c>
      <c r="C1426" s="7" t="s">
        <v>1925</v>
      </c>
      <c r="D1426" s="7" t="n">
        <v>2720</v>
      </c>
      <c r="E1426" s="7" t="s">
        <v>50</v>
      </c>
      <c r="F1426" s="7" t="n">
        <v>-35.581829</v>
      </c>
      <c r="G1426" s="7" t="n">
        <v>148.305703</v>
      </c>
      <c r="H1426" s="7" t="s">
        <v>7143</v>
      </c>
    </row>
    <row r="1427" customFormat="false" ht="15" hidden="false" customHeight="false" outlineLevel="0" collapsed="false">
      <c r="A1427" s="7" t="s">
        <v>6947</v>
      </c>
      <c r="B1427" s="7" t="s">
        <v>1926</v>
      </c>
      <c r="C1427" s="7" t="s">
        <v>1927</v>
      </c>
      <c r="D1427" s="7" t="n">
        <v>2444</v>
      </c>
      <c r="E1427" s="7" t="s">
        <v>50</v>
      </c>
      <c r="F1427" s="7" t="n">
        <v>-31.430177</v>
      </c>
      <c r="G1427" s="7" t="n">
        <v>152.901745</v>
      </c>
      <c r="H1427" s="7" t="s">
        <v>6981</v>
      </c>
    </row>
    <row r="1428" customFormat="false" ht="15" hidden="false" customHeight="false" outlineLevel="0" collapsed="false">
      <c r="A1428" s="7" t="s">
        <v>6947</v>
      </c>
      <c r="B1428" s="7" t="s">
        <v>6964</v>
      </c>
      <c r="C1428" s="7" t="s">
        <v>1928</v>
      </c>
      <c r="D1428" s="7" t="n">
        <v>2017</v>
      </c>
      <c r="E1428" s="7" t="s">
        <v>50</v>
      </c>
      <c r="F1428" s="7" t="n">
        <v>-33.898174</v>
      </c>
      <c r="G1428" s="7" t="n">
        <v>151.211772</v>
      </c>
      <c r="H1428" s="7" t="s">
        <v>7032</v>
      </c>
    </row>
    <row r="1429" customFormat="false" ht="15" hidden="false" customHeight="false" outlineLevel="0" collapsed="false">
      <c r="A1429" s="7" t="s">
        <v>6947</v>
      </c>
      <c r="B1429" s="7" t="s">
        <v>1929</v>
      </c>
      <c r="C1429" s="7" t="s">
        <v>1930</v>
      </c>
      <c r="D1429" s="7" t="n">
        <v>2646</v>
      </c>
      <c r="E1429" s="7" t="s">
        <v>50</v>
      </c>
      <c r="F1429" s="7" t="n">
        <v>-36.001891</v>
      </c>
      <c r="G1429" s="7" t="n">
        <v>146.386422</v>
      </c>
      <c r="H1429" s="7" t="s">
        <v>7016</v>
      </c>
    </row>
    <row r="1430" customFormat="false" ht="15" hidden="false" customHeight="false" outlineLevel="0" collapsed="false">
      <c r="A1430" s="7" t="s">
        <v>6947</v>
      </c>
      <c r="B1430" s="7" t="s">
        <v>7122</v>
      </c>
      <c r="C1430" s="7" t="s">
        <v>1931</v>
      </c>
      <c r="D1430" s="7" t="n">
        <v>2022</v>
      </c>
      <c r="E1430" s="7" t="s">
        <v>50</v>
      </c>
      <c r="F1430" s="7" t="n">
        <v>-33.893609</v>
      </c>
      <c r="G1430" s="7" t="n">
        <v>151.252359</v>
      </c>
      <c r="H1430" s="7" t="s">
        <v>7117</v>
      </c>
    </row>
    <row r="1431" customFormat="false" ht="15" hidden="false" customHeight="false" outlineLevel="0" collapsed="false">
      <c r="A1431" s="7" t="s">
        <v>6947</v>
      </c>
      <c r="B1431" s="7" t="s">
        <v>1932</v>
      </c>
      <c r="C1431" s="7" t="s">
        <v>1933</v>
      </c>
      <c r="D1431" s="7" t="n">
        <v>2330</v>
      </c>
      <c r="E1431" s="7" t="s">
        <v>50</v>
      </c>
      <c r="F1431" s="7" t="n">
        <v>-32.745457</v>
      </c>
      <c r="G1431" s="7" t="n">
        <v>151.105639</v>
      </c>
      <c r="H1431" s="7" t="s">
        <v>6984</v>
      </c>
    </row>
    <row r="1432" customFormat="false" ht="15" hidden="false" customHeight="false" outlineLevel="0" collapsed="false">
      <c r="A1432" s="7" t="s">
        <v>6947</v>
      </c>
      <c r="B1432" s="7" t="s">
        <v>1934</v>
      </c>
      <c r="C1432" s="7" t="s">
        <v>1935</v>
      </c>
      <c r="D1432" s="7" t="n">
        <v>2430</v>
      </c>
      <c r="E1432" s="7" t="s">
        <v>50</v>
      </c>
      <c r="F1432" s="7" t="n">
        <v>-31.969264</v>
      </c>
      <c r="G1432" s="7" t="n">
        <v>152.588376</v>
      </c>
      <c r="H1432" s="7" t="s">
        <v>6981</v>
      </c>
    </row>
    <row r="1433" customFormat="false" ht="15" hidden="false" customHeight="false" outlineLevel="0" collapsed="false">
      <c r="A1433" s="7" t="s">
        <v>6947</v>
      </c>
      <c r="B1433" s="7" t="s">
        <v>1936</v>
      </c>
      <c r="C1433" s="7" t="s">
        <v>1937</v>
      </c>
      <c r="D1433" s="7" t="n">
        <v>2321</v>
      </c>
      <c r="E1433" s="7" t="s">
        <v>50</v>
      </c>
      <c r="F1433" s="7" t="n">
        <v>-32.764313</v>
      </c>
      <c r="G1433" s="7" t="n">
        <v>151.531112</v>
      </c>
      <c r="H1433" s="7" t="s">
        <v>6984</v>
      </c>
    </row>
    <row r="1434" customFormat="false" ht="15" hidden="false" customHeight="false" outlineLevel="0" collapsed="false">
      <c r="A1434" s="7" t="s">
        <v>6947</v>
      </c>
      <c r="B1434" s="7" t="s">
        <v>6962</v>
      </c>
      <c r="C1434" s="7" t="s">
        <v>1938</v>
      </c>
      <c r="D1434" s="7" t="n">
        <v>2579</v>
      </c>
      <c r="E1434" s="7" t="s">
        <v>50</v>
      </c>
      <c r="F1434" s="7" t="n">
        <v>-34.611584</v>
      </c>
      <c r="G1434" s="7" t="n">
        <v>150.326391</v>
      </c>
      <c r="H1434" s="7" t="s">
        <v>6983</v>
      </c>
    </row>
    <row r="1435" customFormat="false" ht="15" hidden="false" customHeight="false" outlineLevel="0" collapsed="false">
      <c r="A1435" s="7" t="s">
        <v>6947</v>
      </c>
      <c r="B1435" s="7" t="s">
        <v>1939</v>
      </c>
      <c r="C1435" s="7" t="s">
        <v>1940</v>
      </c>
      <c r="D1435" s="7" t="n">
        <v>2795</v>
      </c>
      <c r="E1435" s="7" t="s">
        <v>50</v>
      </c>
      <c r="F1435" s="7" t="n">
        <v>-33.418553</v>
      </c>
      <c r="G1435" s="7" t="n">
        <v>149.627254</v>
      </c>
      <c r="H1435" s="7" t="s">
        <v>6983</v>
      </c>
    </row>
    <row r="1436" customFormat="false" ht="15" hidden="false" customHeight="false" outlineLevel="0" collapsed="false">
      <c r="A1436" s="7" t="s">
        <v>6947</v>
      </c>
      <c r="B1436" s="7" t="s">
        <v>1941</v>
      </c>
      <c r="C1436" s="7" t="s">
        <v>1942</v>
      </c>
      <c r="D1436" s="7" t="n">
        <v>2516</v>
      </c>
      <c r="E1436" s="7" t="s">
        <v>50</v>
      </c>
      <c r="F1436" s="7" t="n">
        <v>-34.334447</v>
      </c>
      <c r="G1436" s="7" t="n">
        <v>150.913523</v>
      </c>
      <c r="H1436" s="7" t="s">
        <v>7128</v>
      </c>
    </row>
    <row r="1437" customFormat="false" ht="15" hidden="false" customHeight="false" outlineLevel="0" collapsed="false">
      <c r="A1437" s="7" t="s">
        <v>6947</v>
      </c>
      <c r="B1437" s="7" t="s">
        <v>1943</v>
      </c>
      <c r="C1437" s="7" t="s">
        <v>1944</v>
      </c>
      <c r="D1437" s="7" t="n">
        <v>2320</v>
      </c>
      <c r="E1437" s="7" t="s">
        <v>50</v>
      </c>
      <c r="F1437" s="7" t="n">
        <v>-32.718898</v>
      </c>
      <c r="G1437" s="7" t="n">
        <v>151.527537</v>
      </c>
      <c r="H1437" s="7" t="s">
        <v>7142</v>
      </c>
    </row>
    <row r="1438" customFormat="false" ht="15" hidden="false" customHeight="false" outlineLevel="0" collapsed="false">
      <c r="A1438" s="7" t="s">
        <v>6947</v>
      </c>
      <c r="B1438" s="7" t="s">
        <v>1945</v>
      </c>
      <c r="C1438" s="7" t="s">
        <v>1946</v>
      </c>
      <c r="D1438" s="7" t="n">
        <v>2250</v>
      </c>
      <c r="E1438" s="7" t="s">
        <v>50</v>
      </c>
      <c r="F1438" s="7" t="n">
        <v>-33.428325</v>
      </c>
      <c r="G1438" s="7" t="n">
        <v>151.322115</v>
      </c>
      <c r="H1438" s="7" t="s">
        <v>6981</v>
      </c>
    </row>
    <row r="1439" customFormat="false" ht="15" hidden="false" customHeight="false" outlineLevel="0" collapsed="false">
      <c r="A1439" s="7" t="s">
        <v>6947</v>
      </c>
      <c r="B1439" s="7" t="s">
        <v>6962</v>
      </c>
      <c r="C1439" s="7" t="s">
        <v>1947</v>
      </c>
      <c r="D1439" s="7" t="n">
        <v>2029</v>
      </c>
      <c r="E1439" s="7" t="s">
        <v>50</v>
      </c>
      <c r="F1439" s="7" t="n">
        <v>-33.875821</v>
      </c>
      <c r="G1439" s="7" t="n">
        <v>151.263194</v>
      </c>
      <c r="H1439" s="7" t="s">
        <v>6983</v>
      </c>
    </row>
    <row r="1440" customFormat="false" ht="15" hidden="false" customHeight="false" outlineLevel="0" collapsed="false">
      <c r="A1440" s="7" t="s">
        <v>6947</v>
      </c>
      <c r="B1440" s="7" t="s">
        <v>7122</v>
      </c>
      <c r="C1440" s="7" t="s">
        <v>1948</v>
      </c>
      <c r="D1440" s="7" t="n">
        <v>2038</v>
      </c>
      <c r="E1440" s="7" t="s">
        <v>50</v>
      </c>
      <c r="F1440" s="7" t="n">
        <v>-33.886212</v>
      </c>
      <c r="G1440" s="7" t="n">
        <v>151.1714</v>
      </c>
      <c r="H1440" s="7" t="s">
        <v>7117</v>
      </c>
    </row>
    <row r="1441" customFormat="false" ht="15" hidden="false" customHeight="false" outlineLevel="0" collapsed="false">
      <c r="A1441" s="7" t="s">
        <v>6947</v>
      </c>
      <c r="B1441" s="7" t="s">
        <v>6993</v>
      </c>
      <c r="C1441" s="7" t="s">
        <v>1949</v>
      </c>
      <c r="D1441" s="7" t="n">
        <v>2041</v>
      </c>
      <c r="E1441" s="7" t="s">
        <v>50</v>
      </c>
      <c r="F1441" s="7" t="n">
        <v>-33.857791</v>
      </c>
      <c r="G1441" s="7" t="n">
        <v>151.17134</v>
      </c>
      <c r="H1441" s="7" t="s">
        <v>6994</v>
      </c>
    </row>
    <row r="1442" customFormat="false" ht="15" hidden="false" customHeight="false" outlineLevel="0" collapsed="false">
      <c r="A1442" s="7" t="s">
        <v>6947</v>
      </c>
      <c r="B1442" s="7" t="s">
        <v>6964</v>
      </c>
      <c r="C1442" s="7" t="s">
        <v>1950</v>
      </c>
      <c r="D1442" s="7" t="n">
        <v>2067</v>
      </c>
      <c r="E1442" s="7" t="s">
        <v>50</v>
      </c>
      <c r="F1442" s="7" t="n">
        <v>-33.794945</v>
      </c>
      <c r="G1442" s="7" t="n">
        <v>151.188291</v>
      </c>
      <c r="H1442" s="7" t="s">
        <v>7032</v>
      </c>
    </row>
    <row r="1443" customFormat="false" ht="15" hidden="false" customHeight="false" outlineLevel="0" collapsed="false">
      <c r="A1443" s="7" t="s">
        <v>6947</v>
      </c>
      <c r="B1443" s="7" t="s">
        <v>7122</v>
      </c>
      <c r="C1443" s="7" t="s">
        <v>1951</v>
      </c>
      <c r="D1443" s="7" t="n">
        <v>2031</v>
      </c>
      <c r="E1443" s="7" t="s">
        <v>50</v>
      </c>
      <c r="F1443" s="7" t="n">
        <v>-33.911579</v>
      </c>
      <c r="G1443" s="7" t="n">
        <v>151.256422</v>
      </c>
      <c r="H1443" s="7" t="s">
        <v>7117</v>
      </c>
    </row>
    <row r="1444" customFormat="false" ht="15" hidden="false" customHeight="false" outlineLevel="0" collapsed="false">
      <c r="A1444" s="7" t="s">
        <v>6947</v>
      </c>
      <c r="B1444" s="7" t="s">
        <v>1952</v>
      </c>
      <c r="C1444" s="7" t="s">
        <v>1953</v>
      </c>
      <c r="D1444" s="7" t="n">
        <v>2320</v>
      </c>
      <c r="E1444" s="7" t="s">
        <v>50</v>
      </c>
      <c r="F1444" s="7" t="n">
        <v>-32.737652</v>
      </c>
      <c r="G1444" s="7" t="n">
        <v>151.560454</v>
      </c>
      <c r="H1444" s="7" t="s">
        <v>6984</v>
      </c>
    </row>
    <row r="1445" customFormat="false" ht="15" hidden="false" customHeight="false" outlineLevel="0" collapsed="false">
      <c r="A1445" s="7" t="s">
        <v>6947</v>
      </c>
      <c r="B1445" s="7" t="s">
        <v>1954</v>
      </c>
      <c r="C1445" s="7" t="s">
        <v>1955</v>
      </c>
      <c r="D1445" s="7" t="n">
        <v>2787</v>
      </c>
      <c r="E1445" s="7" t="s">
        <v>50</v>
      </c>
      <c r="F1445" s="7" t="n">
        <v>-33.744353</v>
      </c>
      <c r="G1445" s="7" t="n">
        <v>149.900452</v>
      </c>
      <c r="H1445" s="7" t="s">
        <v>7144</v>
      </c>
    </row>
    <row r="1446" customFormat="false" ht="15" hidden="false" customHeight="false" outlineLevel="0" collapsed="false">
      <c r="A1446" s="7" t="s">
        <v>6947</v>
      </c>
      <c r="B1446" s="7" t="s">
        <v>7122</v>
      </c>
      <c r="C1446" s="7" t="s">
        <v>1957</v>
      </c>
      <c r="D1446" s="7" t="n">
        <v>2038</v>
      </c>
      <c r="E1446" s="7" t="s">
        <v>50</v>
      </c>
      <c r="F1446" s="7" t="n">
        <v>-33.874969</v>
      </c>
      <c r="G1446" s="7" t="n">
        <v>151.173207</v>
      </c>
      <c r="H1446" s="7" t="s">
        <v>7117</v>
      </c>
    </row>
    <row r="1447" customFormat="false" ht="15" hidden="false" customHeight="false" outlineLevel="0" collapsed="false">
      <c r="A1447" s="7" t="s">
        <v>6947</v>
      </c>
      <c r="B1447" s="7" t="s">
        <v>7122</v>
      </c>
      <c r="C1447" s="7" t="s">
        <v>1958</v>
      </c>
      <c r="D1447" s="7" t="n">
        <v>2035</v>
      </c>
      <c r="E1447" s="7" t="s">
        <v>50</v>
      </c>
      <c r="F1447" s="7" t="n">
        <v>-33.942431</v>
      </c>
      <c r="G1447" s="7" t="n">
        <v>151.242799</v>
      </c>
      <c r="H1447" s="7" t="s">
        <v>7117</v>
      </c>
    </row>
    <row r="1448" customFormat="false" ht="15" hidden="false" customHeight="false" outlineLevel="0" collapsed="false">
      <c r="A1448" s="7" t="s">
        <v>6947</v>
      </c>
      <c r="B1448" s="7" t="s">
        <v>7122</v>
      </c>
      <c r="C1448" s="7" t="s">
        <v>1959</v>
      </c>
      <c r="D1448" s="7" t="n">
        <v>2026</v>
      </c>
      <c r="E1448" s="7" t="s">
        <v>50</v>
      </c>
      <c r="F1448" s="7" t="n">
        <v>-33.895384</v>
      </c>
      <c r="G1448" s="7" t="n">
        <v>151.260061</v>
      </c>
      <c r="H1448" s="7" t="s">
        <v>7117</v>
      </c>
    </row>
    <row r="1449" customFormat="false" ht="15" hidden="false" customHeight="false" outlineLevel="0" collapsed="false">
      <c r="A1449" s="7" t="s">
        <v>6947</v>
      </c>
      <c r="B1449" s="7" t="s">
        <v>6993</v>
      </c>
      <c r="C1449" s="7" t="s">
        <v>1960</v>
      </c>
      <c r="D1449" s="7" t="n">
        <v>2093</v>
      </c>
      <c r="E1449" s="7" t="s">
        <v>50</v>
      </c>
      <c r="F1449" s="7" t="n">
        <v>-33.781463</v>
      </c>
      <c r="G1449" s="7" t="n">
        <v>151.270742</v>
      </c>
      <c r="H1449" s="7" t="s">
        <v>6994</v>
      </c>
    </row>
    <row r="1450" customFormat="false" ht="15" hidden="false" customHeight="false" outlineLevel="0" collapsed="false">
      <c r="A1450" s="7" t="s">
        <v>6947</v>
      </c>
      <c r="B1450" s="7" t="s">
        <v>7122</v>
      </c>
      <c r="C1450" s="7" t="s">
        <v>1961</v>
      </c>
      <c r="D1450" s="7" t="n">
        <v>2038</v>
      </c>
      <c r="E1450" s="7" t="s">
        <v>50</v>
      </c>
      <c r="F1450" s="7" t="n">
        <v>-33.874576</v>
      </c>
      <c r="G1450" s="7" t="n">
        <v>151.173427</v>
      </c>
      <c r="H1450" s="7" t="s">
        <v>7117</v>
      </c>
    </row>
    <row r="1451" customFormat="false" ht="15" hidden="false" customHeight="false" outlineLevel="0" collapsed="false">
      <c r="A1451" s="7" t="s">
        <v>6947</v>
      </c>
      <c r="B1451" s="7" t="s">
        <v>7122</v>
      </c>
      <c r="C1451" s="7" t="s">
        <v>1962</v>
      </c>
      <c r="D1451" s="7" t="n">
        <v>2038</v>
      </c>
      <c r="E1451" s="7" t="s">
        <v>50</v>
      </c>
      <c r="F1451" s="7" t="n">
        <v>-33.874318</v>
      </c>
      <c r="G1451" s="7" t="n">
        <v>151.173363</v>
      </c>
      <c r="H1451" s="7" t="s">
        <v>7117</v>
      </c>
    </row>
    <row r="1452" customFormat="false" ht="15" hidden="false" customHeight="false" outlineLevel="0" collapsed="false">
      <c r="A1452" s="7" t="s">
        <v>6947</v>
      </c>
      <c r="B1452" s="7" t="s">
        <v>7122</v>
      </c>
      <c r="C1452" s="7" t="s">
        <v>1963</v>
      </c>
      <c r="D1452" s="7" t="n">
        <v>2026</v>
      </c>
      <c r="E1452" s="7" t="s">
        <v>50</v>
      </c>
      <c r="F1452" s="7" t="n">
        <v>-33.897053</v>
      </c>
      <c r="G1452" s="7" t="n">
        <v>151.260705</v>
      </c>
      <c r="H1452" s="7" t="s">
        <v>7117</v>
      </c>
    </row>
    <row r="1453" customFormat="false" ht="15" hidden="false" customHeight="false" outlineLevel="0" collapsed="false">
      <c r="A1453" s="7" t="s">
        <v>6947</v>
      </c>
      <c r="B1453" s="7" t="s">
        <v>1943</v>
      </c>
      <c r="C1453" s="7" t="s">
        <v>1964</v>
      </c>
      <c r="D1453" s="7" t="n">
        <v>2320</v>
      </c>
      <c r="E1453" s="7" t="s">
        <v>50</v>
      </c>
      <c r="F1453" s="7" t="n">
        <v>-32.717234</v>
      </c>
      <c r="G1453" s="7" t="n">
        <v>151.525465</v>
      </c>
      <c r="H1453" s="7" t="s">
        <v>7145</v>
      </c>
    </row>
    <row r="1454" customFormat="false" ht="15" hidden="false" customHeight="false" outlineLevel="0" collapsed="false">
      <c r="A1454" s="7" t="s">
        <v>6947</v>
      </c>
      <c r="B1454" s="7" t="s">
        <v>1965</v>
      </c>
      <c r="C1454" s="7" t="s">
        <v>1966</v>
      </c>
      <c r="D1454" s="7" t="n">
        <v>2800</v>
      </c>
      <c r="E1454" s="7" t="s">
        <v>50</v>
      </c>
      <c r="F1454" s="7" t="n">
        <v>-33.316946</v>
      </c>
      <c r="G1454" s="7" t="n">
        <v>148.985843</v>
      </c>
      <c r="H1454" s="7" t="s">
        <v>6984</v>
      </c>
    </row>
    <row r="1455" customFormat="false" ht="15" hidden="false" customHeight="false" outlineLevel="0" collapsed="false">
      <c r="A1455" s="7" t="s">
        <v>6947</v>
      </c>
      <c r="B1455" s="7" t="s">
        <v>6962</v>
      </c>
      <c r="C1455" s="7" t="s">
        <v>1967</v>
      </c>
      <c r="D1455" s="7" t="n">
        <v>2026</v>
      </c>
      <c r="E1455" s="7" t="s">
        <v>50</v>
      </c>
      <c r="F1455" s="7" t="n">
        <v>-33.898383</v>
      </c>
      <c r="G1455" s="7" t="n">
        <v>151.274253</v>
      </c>
      <c r="H1455" s="7" t="s">
        <v>6983</v>
      </c>
    </row>
    <row r="1456" customFormat="false" ht="15" hidden="false" customHeight="false" outlineLevel="0" collapsed="false">
      <c r="A1456" s="7" t="s">
        <v>6947</v>
      </c>
      <c r="B1456" s="7" t="s">
        <v>7075</v>
      </c>
      <c r="C1456" s="7" t="s">
        <v>1968</v>
      </c>
      <c r="D1456" s="7" t="n">
        <v>2074</v>
      </c>
      <c r="E1456" s="7" t="s">
        <v>50</v>
      </c>
      <c r="F1456" s="7" t="n">
        <v>-33.732342</v>
      </c>
      <c r="G1456" s="7" t="n">
        <v>151.130414</v>
      </c>
      <c r="H1456" s="7" t="s">
        <v>7140</v>
      </c>
    </row>
    <row r="1457" customFormat="false" ht="15" hidden="false" customHeight="false" outlineLevel="0" collapsed="false">
      <c r="A1457" s="7" t="s">
        <v>6947</v>
      </c>
      <c r="B1457" s="7" t="s">
        <v>6993</v>
      </c>
      <c r="C1457" s="7" t="s">
        <v>1969</v>
      </c>
      <c r="D1457" s="7" t="n">
        <v>2030</v>
      </c>
      <c r="E1457" s="7" t="s">
        <v>50</v>
      </c>
      <c r="F1457" s="7" t="n">
        <v>-33.846737</v>
      </c>
      <c r="G1457" s="7" t="n">
        <v>151.283676</v>
      </c>
      <c r="H1457" s="7" t="s">
        <v>6994</v>
      </c>
    </row>
    <row r="1458" customFormat="false" ht="15" hidden="false" customHeight="false" outlineLevel="0" collapsed="false">
      <c r="A1458" s="7" t="s">
        <v>6947</v>
      </c>
      <c r="B1458" s="7" t="s">
        <v>7122</v>
      </c>
      <c r="C1458" s="7" t="s">
        <v>1970</v>
      </c>
      <c r="D1458" s="7" t="n">
        <v>2045</v>
      </c>
      <c r="E1458" s="7" t="s">
        <v>50</v>
      </c>
      <c r="F1458" s="7" t="n">
        <v>-33.873503</v>
      </c>
      <c r="G1458" s="7" t="n">
        <v>151.133651</v>
      </c>
      <c r="H1458" s="7" t="s">
        <v>7117</v>
      </c>
    </row>
    <row r="1459" customFormat="false" ht="15" hidden="false" customHeight="false" outlineLevel="0" collapsed="false">
      <c r="A1459" s="7" t="s">
        <v>6947</v>
      </c>
      <c r="B1459" s="7" t="s">
        <v>1971</v>
      </c>
      <c r="C1459" s="7" t="s">
        <v>1972</v>
      </c>
      <c r="D1459" s="7" t="n">
        <v>2460</v>
      </c>
      <c r="E1459" s="7" t="s">
        <v>50</v>
      </c>
      <c r="F1459" s="7" t="n">
        <v>-29.734395</v>
      </c>
      <c r="G1459" s="7" t="n">
        <v>152.940054</v>
      </c>
      <c r="H1459" s="7" t="s">
        <v>7016</v>
      </c>
    </row>
    <row r="1460" customFormat="false" ht="15" hidden="false" customHeight="false" outlineLevel="0" collapsed="false">
      <c r="A1460" s="7" t="s">
        <v>6947</v>
      </c>
      <c r="B1460" s="7" t="s">
        <v>1973</v>
      </c>
      <c r="C1460" s="7" t="s">
        <v>1974</v>
      </c>
      <c r="D1460" s="7" t="n">
        <v>2537</v>
      </c>
      <c r="E1460" s="7" t="s">
        <v>50</v>
      </c>
      <c r="F1460" s="7" t="n">
        <v>-35.914061</v>
      </c>
      <c r="G1460" s="7" t="n">
        <v>150.075238</v>
      </c>
      <c r="H1460" s="7" t="s">
        <v>7022</v>
      </c>
    </row>
    <row r="1461" customFormat="false" ht="15" hidden="false" customHeight="false" outlineLevel="0" collapsed="false">
      <c r="A1461" s="7" t="s">
        <v>6947</v>
      </c>
      <c r="B1461" s="7" t="s">
        <v>6993</v>
      </c>
      <c r="C1461" s="7" t="s">
        <v>1975</v>
      </c>
      <c r="D1461" s="7" t="n">
        <v>2024</v>
      </c>
      <c r="E1461" s="7" t="s">
        <v>50</v>
      </c>
      <c r="F1461" s="7" t="n">
        <v>-33.898639</v>
      </c>
      <c r="G1461" s="7" t="n">
        <v>151.253046</v>
      </c>
      <c r="H1461" s="7" t="s">
        <v>6994</v>
      </c>
    </row>
    <row r="1462" customFormat="false" ht="15" hidden="false" customHeight="false" outlineLevel="0" collapsed="false">
      <c r="A1462" s="7" t="s">
        <v>6947</v>
      </c>
      <c r="B1462" s="7" t="s">
        <v>7122</v>
      </c>
      <c r="C1462" s="7" t="s">
        <v>1976</v>
      </c>
      <c r="D1462" s="7" t="n">
        <v>2040</v>
      </c>
      <c r="E1462" s="7" t="s">
        <v>50</v>
      </c>
      <c r="F1462" s="7" t="n">
        <v>-33.884432</v>
      </c>
      <c r="G1462" s="7" t="n">
        <v>151.155095</v>
      </c>
      <c r="H1462" s="7" t="s">
        <v>7117</v>
      </c>
    </row>
    <row r="1463" customFormat="false" ht="15" hidden="false" customHeight="false" outlineLevel="0" collapsed="false">
      <c r="A1463" s="7" t="s">
        <v>6947</v>
      </c>
      <c r="B1463" s="7" t="s">
        <v>1977</v>
      </c>
      <c r="C1463" s="7" t="s">
        <v>1978</v>
      </c>
      <c r="D1463" s="7" t="n">
        <v>2548</v>
      </c>
      <c r="E1463" s="7" t="s">
        <v>50</v>
      </c>
      <c r="F1463" s="7" t="n">
        <v>-36.884252</v>
      </c>
      <c r="G1463" s="7" t="n">
        <v>149.904533</v>
      </c>
      <c r="H1463" s="7" t="s">
        <v>7146</v>
      </c>
    </row>
    <row r="1464" customFormat="false" ht="15" hidden="false" customHeight="false" outlineLevel="0" collapsed="false">
      <c r="A1464" s="7" t="s">
        <v>6947</v>
      </c>
      <c r="B1464" s="7" t="s">
        <v>801</v>
      </c>
      <c r="C1464" s="7" t="s">
        <v>1979</v>
      </c>
      <c r="D1464" s="7" t="n">
        <v>2469</v>
      </c>
      <c r="E1464" s="7" t="s">
        <v>50</v>
      </c>
      <c r="F1464" s="7" t="n">
        <v>-28.73861</v>
      </c>
      <c r="G1464" s="7" t="n">
        <v>152.628368</v>
      </c>
      <c r="H1464" s="7" t="s">
        <v>6984</v>
      </c>
    </row>
    <row r="1465" customFormat="false" ht="15" hidden="false" customHeight="false" outlineLevel="0" collapsed="false">
      <c r="A1465" s="7" t="s">
        <v>6947</v>
      </c>
      <c r="B1465" s="7" t="s">
        <v>1980</v>
      </c>
      <c r="C1465" s="7" t="s">
        <v>1981</v>
      </c>
      <c r="D1465" s="7" t="n">
        <v>2300</v>
      </c>
      <c r="E1465" s="7" t="s">
        <v>50</v>
      </c>
      <c r="F1465" s="7" t="n">
        <v>-32.928833</v>
      </c>
      <c r="G1465" s="7" t="n">
        <v>151.767996</v>
      </c>
      <c r="H1465" s="7" t="s">
        <v>7147</v>
      </c>
    </row>
    <row r="1466" customFormat="false" ht="15" hidden="false" customHeight="false" outlineLevel="0" collapsed="false">
      <c r="A1466" s="7" t="s">
        <v>6947</v>
      </c>
      <c r="B1466" s="7" t="s">
        <v>1982</v>
      </c>
      <c r="C1466" s="7" t="s">
        <v>1983</v>
      </c>
      <c r="D1466" s="7" t="n">
        <v>2320</v>
      </c>
      <c r="E1466" s="7" t="s">
        <v>50</v>
      </c>
      <c r="F1466" s="7" t="n">
        <v>-32.808154</v>
      </c>
      <c r="G1466" s="7" t="n">
        <v>151.317939</v>
      </c>
      <c r="H1466" s="7" t="s">
        <v>6983</v>
      </c>
    </row>
    <row r="1467" customFormat="false" ht="15" hidden="false" customHeight="false" outlineLevel="0" collapsed="false">
      <c r="A1467" s="7" t="s">
        <v>6947</v>
      </c>
      <c r="B1467" s="7" t="s">
        <v>6993</v>
      </c>
      <c r="C1467" s="7" t="s">
        <v>1984</v>
      </c>
      <c r="D1467" s="7" t="n">
        <v>2065</v>
      </c>
      <c r="E1467" s="7" t="s">
        <v>50</v>
      </c>
      <c r="F1467" s="7" t="n">
        <v>-33.81606</v>
      </c>
      <c r="G1467" s="7" t="n">
        <v>151.201309</v>
      </c>
      <c r="H1467" s="7" t="s">
        <v>6994</v>
      </c>
    </row>
    <row r="1468" customFormat="false" ht="15" hidden="false" customHeight="false" outlineLevel="0" collapsed="false">
      <c r="A1468" s="7" t="s">
        <v>6947</v>
      </c>
      <c r="B1468" s="7" t="s">
        <v>7122</v>
      </c>
      <c r="C1468" s="7" t="s">
        <v>1985</v>
      </c>
      <c r="D1468" s="7" t="n">
        <v>2031</v>
      </c>
      <c r="E1468" s="7" t="s">
        <v>50</v>
      </c>
      <c r="F1468" s="7" t="n">
        <v>-33.910206</v>
      </c>
      <c r="G1468" s="7" t="n">
        <v>151.236876</v>
      </c>
      <c r="H1468" s="7" t="s">
        <v>7117</v>
      </c>
    </row>
    <row r="1469" customFormat="false" ht="15" hidden="false" customHeight="false" outlineLevel="0" collapsed="false">
      <c r="A1469" s="7" t="s">
        <v>6947</v>
      </c>
      <c r="B1469" s="7" t="s">
        <v>7122</v>
      </c>
      <c r="C1469" s="7" t="s">
        <v>1986</v>
      </c>
      <c r="D1469" s="7" t="n">
        <v>2029</v>
      </c>
      <c r="E1469" s="7" t="s">
        <v>50</v>
      </c>
      <c r="F1469" s="7" t="n">
        <v>-33.875011</v>
      </c>
      <c r="G1469" s="7" t="n">
        <v>151.273071</v>
      </c>
      <c r="H1469" s="7" t="s">
        <v>7117</v>
      </c>
    </row>
    <row r="1470" customFormat="false" ht="15" hidden="false" customHeight="false" outlineLevel="0" collapsed="false">
      <c r="A1470" s="7" t="s">
        <v>6947</v>
      </c>
      <c r="B1470" s="7" t="s">
        <v>1987</v>
      </c>
      <c r="C1470" s="7" t="s">
        <v>1988</v>
      </c>
      <c r="D1470" s="7" t="n">
        <v>2290</v>
      </c>
      <c r="E1470" s="7" t="s">
        <v>50</v>
      </c>
      <c r="F1470" s="7" t="n">
        <v>-33.014116</v>
      </c>
      <c r="G1470" s="7" t="n">
        <v>151.716829</v>
      </c>
      <c r="H1470" s="7" t="s">
        <v>7018</v>
      </c>
    </row>
    <row r="1471" customFormat="false" ht="15" hidden="false" customHeight="false" outlineLevel="0" collapsed="false">
      <c r="A1471" s="7" t="s">
        <v>6947</v>
      </c>
      <c r="B1471" s="7" t="s">
        <v>1989</v>
      </c>
      <c r="C1471" s="7" t="s">
        <v>1990</v>
      </c>
      <c r="D1471" s="7" t="n">
        <v>2790</v>
      </c>
      <c r="E1471" s="7" t="s">
        <v>50</v>
      </c>
      <c r="F1471" s="7" t="n">
        <v>-33.485343</v>
      </c>
      <c r="G1471" s="7" t="n">
        <v>150.15202</v>
      </c>
      <c r="H1471" s="7" t="s">
        <v>7139</v>
      </c>
    </row>
    <row r="1472" customFormat="false" ht="15" hidden="false" customHeight="false" outlineLevel="0" collapsed="false">
      <c r="A1472" s="7" t="s">
        <v>6947</v>
      </c>
      <c r="B1472" s="7" t="s">
        <v>1991</v>
      </c>
      <c r="C1472" s="7" t="s">
        <v>1992</v>
      </c>
      <c r="D1472" s="7" t="n">
        <v>2261</v>
      </c>
      <c r="E1472" s="7" t="s">
        <v>50</v>
      </c>
      <c r="F1472" s="7" t="n">
        <v>-33.377381</v>
      </c>
      <c r="G1472" s="7" t="n">
        <v>151.473372</v>
      </c>
      <c r="H1472" s="7" t="s">
        <v>6981</v>
      </c>
    </row>
    <row r="1473" customFormat="false" ht="15" hidden="false" customHeight="false" outlineLevel="0" collapsed="false">
      <c r="A1473" s="7" t="s">
        <v>6947</v>
      </c>
      <c r="B1473" s="7" t="s">
        <v>7122</v>
      </c>
      <c r="C1473" s="7" t="s">
        <v>1993</v>
      </c>
      <c r="D1473" s="7" t="n">
        <v>2022</v>
      </c>
      <c r="E1473" s="7" t="s">
        <v>50</v>
      </c>
      <c r="F1473" s="7" t="n">
        <v>-33.893342</v>
      </c>
      <c r="G1473" s="7" t="n">
        <v>151.25394</v>
      </c>
      <c r="H1473" s="7" t="s">
        <v>7117</v>
      </c>
    </row>
    <row r="1474" customFormat="false" ht="15" hidden="false" customHeight="false" outlineLevel="0" collapsed="false">
      <c r="A1474" s="7" t="s">
        <v>6947</v>
      </c>
      <c r="B1474" s="7" t="s">
        <v>7122</v>
      </c>
      <c r="C1474" s="7" t="s">
        <v>1994</v>
      </c>
      <c r="D1474" s="7" t="n">
        <v>2033</v>
      </c>
      <c r="E1474" s="7" t="s">
        <v>50</v>
      </c>
      <c r="F1474" s="7" t="n">
        <v>-33.905658</v>
      </c>
      <c r="G1474" s="7" t="n">
        <v>151.225658</v>
      </c>
      <c r="H1474" s="7" t="s">
        <v>7117</v>
      </c>
    </row>
    <row r="1475" customFormat="false" ht="15" hidden="false" customHeight="false" outlineLevel="0" collapsed="false">
      <c r="A1475" s="7" t="s">
        <v>6947</v>
      </c>
      <c r="B1475" s="7" t="s">
        <v>7122</v>
      </c>
      <c r="C1475" s="7" t="s">
        <v>1995</v>
      </c>
      <c r="D1475" s="7" t="n">
        <v>2042</v>
      </c>
      <c r="E1475" s="7" t="s">
        <v>50</v>
      </c>
      <c r="F1475" s="7" t="n">
        <v>-33.897535</v>
      </c>
      <c r="G1475" s="7" t="n">
        <v>151.175004</v>
      </c>
      <c r="H1475" s="7" t="s">
        <v>7117</v>
      </c>
    </row>
    <row r="1476" customFormat="false" ht="15" hidden="false" customHeight="false" outlineLevel="0" collapsed="false">
      <c r="A1476" s="7" t="s">
        <v>6947</v>
      </c>
      <c r="B1476" s="7" t="s">
        <v>7122</v>
      </c>
      <c r="C1476" s="7" t="s">
        <v>1996</v>
      </c>
      <c r="D1476" s="7" t="n">
        <v>2049</v>
      </c>
      <c r="E1476" s="7" t="s">
        <v>50</v>
      </c>
      <c r="F1476" s="7" t="n">
        <v>-33.897354</v>
      </c>
      <c r="G1476" s="7" t="n">
        <v>151.149033</v>
      </c>
      <c r="H1476" s="7" t="s">
        <v>7117</v>
      </c>
    </row>
    <row r="1477" customFormat="false" ht="15" hidden="false" customHeight="false" outlineLevel="0" collapsed="false">
      <c r="A1477" s="7" t="s">
        <v>6947</v>
      </c>
      <c r="B1477" s="7" t="s">
        <v>6993</v>
      </c>
      <c r="C1477" s="7" t="s">
        <v>1997</v>
      </c>
      <c r="D1477" s="7" t="n">
        <v>2041</v>
      </c>
      <c r="E1477" s="7" t="s">
        <v>50</v>
      </c>
      <c r="F1477" s="7" t="n">
        <v>-33.857383</v>
      </c>
      <c r="G1477" s="7" t="n">
        <v>151.195333</v>
      </c>
      <c r="H1477" s="7" t="s">
        <v>6994</v>
      </c>
    </row>
    <row r="1478" customFormat="false" ht="15" hidden="false" customHeight="false" outlineLevel="0" collapsed="false">
      <c r="A1478" s="7" t="s">
        <v>6947</v>
      </c>
      <c r="B1478" s="7" t="s">
        <v>7122</v>
      </c>
      <c r="C1478" s="7" t="s">
        <v>1998</v>
      </c>
      <c r="D1478" s="7" t="n">
        <v>2031</v>
      </c>
      <c r="E1478" s="7" t="s">
        <v>50</v>
      </c>
      <c r="F1478" s="7" t="n">
        <v>-33.90725</v>
      </c>
      <c r="G1478" s="7" t="n">
        <v>151.234859</v>
      </c>
      <c r="H1478" s="7" t="s">
        <v>7117</v>
      </c>
    </row>
    <row r="1479" customFormat="false" ht="15" hidden="false" customHeight="false" outlineLevel="0" collapsed="false">
      <c r="A1479" s="7" t="s">
        <v>6947</v>
      </c>
      <c r="B1479" s="7" t="s">
        <v>1999</v>
      </c>
      <c r="C1479" s="7" t="s">
        <v>2000</v>
      </c>
      <c r="D1479" s="7" t="n">
        <v>2333</v>
      </c>
      <c r="E1479" s="7" t="s">
        <v>50</v>
      </c>
      <c r="F1479" s="7" t="n">
        <v>-32.257966</v>
      </c>
      <c r="G1479" s="7" t="n">
        <v>150.885393</v>
      </c>
      <c r="H1479" s="7" t="s">
        <v>7141</v>
      </c>
    </row>
    <row r="1480" customFormat="false" ht="15" hidden="false" customHeight="false" outlineLevel="0" collapsed="false">
      <c r="A1480" s="7" t="s">
        <v>6947</v>
      </c>
      <c r="B1480" s="7" t="s">
        <v>2001</v>
      </c>
      <c r="C1480" s="7" t="s">
        <v>2002</v>
      </c>
      <c r="D1480" s="7" t="n">
        <v>2646</v>
      </c>
      <c r="E1480" s="7" t="s">
        <v>50</v>
      </c>
      <c r="F1480" s="7" t="n">
        <v>-35.995241</v>
      </c>
      <c r="G1480" s="7" t="n">
        <v>146.386008</v>
      </c>
      <c r="H1480" s="7" t="s">
        <v>7130</v>
      </c>
    </row>
    <row r="1481" customFormat="false" ht="15" hidden="false" customHeight="false" outlineLevel="0" collapsed="false">
      <c r="A1481" s="7" t="s">
        <v>6947</v>
      </c>
      <c r="B1481" s="7" t="s">
        <v>2003</v>
      </c>
      <c r="C1481" s="7" t="s">
        <v>2004</v>
      </c>
      <c r="D1481" s="7" t="n">
        <v>2281</v>
      </c>
      <c r="E1481" s="7" t="s">
        <v>50</v>
      </c>
      <c r="F1481" s="7" t="n">
        <v>-33.08079</v>
      </c>
      <c r="G1481" s="7" t="n">
        <v>151.652057</v>
      </c>
      <c r="H1481" s="7" t="s">
        <v>6974</v>
      </c>
    </row>
    <row r="1482" customFormat="false" ht="15" hidden="false" customHeight="false" outlineLevel="0" collapsed="false">
      <c r="A1482" s="7" t="s">
        <v>6947</v>
      </c>
      <c r="B1482" s="7" t="s">
        <v>7035</v>
      </c>
      <c r="C1482" s="7" t="s">
        <v>2005</v>
      </c>
      <c r="D1482" s="7" t="n">
        <v>2204</v>
      </c>
      <c r="E1482" s="7" t="s">
        <v>50</v>
      </c>
      <c r="F1482" s="7" t="n">
        <v>-33.917825</v>
      </c>
      <c r="G1482" s="7" t="n">
        <v>151.145636</v>
      </c>
      <c r="H1482" s="7" t="s">
        <v>7148</v>
      </c>
    </row>
    <row r="1483" customFormat="false" ht="15" hidden="false" customHeight="false" outlineLevel="0" collapsed="false">
      <c r="A1483" s="7" t="s">
        <v>6947</v>
      </c>
      <c r="B1483" s="7" t="s">
        <v>7122</v>
      </c>
      <c r="C1483" s="7" t="s">
        <v>2006</v>
      </c>
      <c r="D1483" s="7" t="n">
        <v>2066</v>
      </c>
      <c r="E1483" s="7" t="s">
        <v>50</v>
      </c>
      <c r="F1483" s="7" t="n">
        <v>-33.815608</v>
      </c>
      <c r="G1483" s="7" t="n">
        <v>151.171682</v>
      </c>
      <c r="H1483" s="7" t="s">
        <v>7117</v>
      </c>
    </row>
    <row r="1484" customFormat="false" ht="15" hidden="false" customHeight="false" outlineLevel="0" collapsed="false">
      <c r="A1484" s="7" t="s">
        <v>6947</v>
      </c>
      <c r="B1484" s="7" t="s">
        <v>6993</v>
      </c>
      <c r="C1484" s="7" t="s">
        <v>2007</v>
      </c>
      <c r="D1484" s="7" t="n">
        <v>2026</v>
      </c>
      <c r="E1484" s="7" t="s">
        <v>50</v>
      </c>
      <c r="F1484" s="7" t="n">
        <v>-33.88577</v>
      </c>
      <c r="G1484" s="7" t="n">
        <v>151.284206</v>
      </c>
      <c r="H1484" s="7" t="s">
        <v>6994</v>
      </c>
    </row>
    <row r="1485" customFormat="false" ht="15" hidden="false" customHeight="false" outlineLevel="0" collapsed="false">
      <c r="A1485" s="7" t="s">
        <v>6947</v>
      </c>
      <c r="B1485" s="7" t="s">
        <v>6993</v>
      </c>
      <c r="C1485" s="7" t="s">
        <v>2008</v>
      </c>
      <c r="D1485" s="7" t="n">
        <v>2101</v>
      </c>
      <c r="E1485" s="7" t="s">
        <v>50</v>
      </c>
      <c r="F1485" s="7" t="n">
        <v>-33.719534</v>
      </c>
      <c r="G1485" s="7" t="n">
        <v>151.288859</v>
      </c>
      <c r="H1485" s="7" t="s">
        <v>6994</v>
      </c>
    </row>
    <row r="1486" customFormat="false" ht="15" hidden="false" customHeight="false" outlineLevel="0" collapsed="false">
      <c r="A1486" s="7" t="s">
        <v>6947</v>
      </c>
      <c r="B1486" s="7" t="s">
        <v>2009</v>
      </c>
      <c r="C1486" s="7" t="s">
        <v>2010</v>
      </c>
      <c r="D1486" s="7" t="n">
        <v>2800</v>
      </c>
      <c r="E1486" s="7" t="s">
        <v>50</v>
      </c>
      <c r="F1486" s="7" t="n">
        <v>-33.256288</v>
      </c>
      <c r="G1486" s="7" t="n">
        <v>149.097551</v>
      </c>
      <c r="H1486" s="7" t="s">
        <v>6981</v>
      </c>
    </row>
    <row r="1487" customFormat="false" ht="15" hidden="false" customHeight="false" outlineLevel="0" collapsed="false">
      <c r="A1487" s="7" t="s">
        <v>6947</v>
      </c>
      <c r="B1487" s="7" t="s">
        <v>2011</v>
      </c>
      <c r="C1487" s="7" t="s">
        <v>2012</v>
      </c>
      <c r="D1487" s="7" t="n">
        <v>2539</v>
      </c>
      <c r="E1487" s="7" t="s">
        <v>50</v>
      </c>
      <c r="F1487" s="7" t="n">
        <v>-35.372939</v>
      </c>
      <c r="G1487" s="7" t="n">
        <v>150.463673</v>
      </c>
      <c r="H1487" s="7" t="s">
        <v>6981</v>
      </c>
    </row>
    <row r="1488" customFormat="false" ht="15" hidden="false" customHeight="false" outlineLevel="0" collapsed="false">
      <c r="A1488" s="7" t="s">
        <v>6947</v>
      </c>
      <c r="B1488" s="7" t="s">
        <v>2013</v>
      </c>
      <c r="C1488" s="7" t="s">
        <v>2014</v>
      </c>
      <c r="D1488" s="7" t="n">
        <v>2577</v>
      </c>
      <c r="E1488" s="7" t="s">
        <v>50</v>
      </c>
      <c r="F1488" s="7" t="n">
        <v>-34.465689</v>
      </c>
      <c r="G1488" s="7" t="n">
        <v>150.362399</v>
      </c>
      <c r="H1488" s="7" t="s">
        <v>7149</v>
      </c>
    </row>
    <row r="1489" customFormat="false" ht="15" hidden="false" customHeight="false" outlineLevel="0" collapsed="false">
      <c r="A1489" s="7" t="s">
        <v>6947</v>
      </c>
      <c r="B1489" s="7" t="s">
        <v>7122</v>
      </c>
      <c r="C1489" s="7" t="s">
        <v>2015</v>
      </c>
      <c r="D1489" s="7" t="n">
        <v>2033</v>
      </c>
      <c r="E1489" s="7" t="s">
        <v>50</v>
      </c>
      <c r="F1489" s="7" t="n">
        <v>-33.9063</v>
      </c>
      <c r="G1489" s="7" t="n">
        <v>151.223154</v>
      </c>
      <c r="H1489" s="7" t="s">
        <v>7117</v>
      </c>
    </row>
    <row r="1490" customFormat="false" ht="15" hidden="false" customHeight="false" outlineLevel="0" collapsed="false">
      <c r="A1490" s="7" t="s">
        <v>6947</v>
      </c>
      <c r="B1490" s="7" t="s">
        <v>6977</v>
      </c>
      <c r="C1490" s="7" t="s">
        <v>2016</v>
      </c>
      <c r="D1490" s="7" t="n">
        <v>2830</v>
      </c>
      <c r="E1490" s="7" t="s">
        <v>50</v>
      </c>
      <c r="F1490" s="7" t="n">
        <v>-32.253868</v>
      </c>
      <c r="G1490" s="7" t="n">
        <v>148.602311</v>
      </c>
      <c r="H1490" s="7" t="s">
        <v>6984</v>
      </c>
    </row>
    <row r="1491" customFormat="false" ht="15" hidden="false" customHeight="false" outlineLevel="0" collapsed="false">
      <c r="A1491" s="7" t="s">
        <v>6947</v>
      </c>
      <c r="B1491" s="7" t="s">
        <v>2017</v>
      </c>
      <c r="C1491" s="7" t="s">
        <v>2018</v>
      </c>
      <c r="D1491" s="7" t="n">
        <v>2850</v>
      </c>
      <c r="E1491" s="7" t="s">
        <v>50</v>
      </c>
      <c r="F1491" s="7" t="n">
        <v>-32.557582</v>
      </c>
      <c r="G1491" s="7" t="n">
        <v>149.650324</v>
      </c>
      <c r="H1491" s="7" t="s">
        <v>6959</v>
      </c>
    </row>
    <row r="1492" customFormat="false" ht="15" hidden="false" customHeight="false" outlineLevel="0" collapsed="false">
      <c r="A1492" s="7" t="s">
        <v>6947</v>
      </c>
      <c r="B1492" s="7" t="s">
        <v>7122</v>
      </c>
      <c r="C1492" s="7" t="s">
        <v>2019</v>
      </c>
      <c r="D1492" s="7" t="n">
        <v>2030</v>
      </c>
      <c r="E1492" s="7" t="s">
        <v>50</v>
      </c>
      <c r="F1492" s="7" t="n">
        <v>-33.861842</v>
      </c>
      <c r="G1492" s="7" t="n">
        <v>151.280759</v>
      </c>
      <c r="H1492" s="7" t="s">
        <v>7117</v>
      </c>
    </row>
    <row r="1493" customFormat="false" ht="15" hidden="false" customHeight="false" outlineLevel="0" collapsed="false">
      <c r="A1493" s="7" t="s">
        <v>6947</v>
      </c>
      <c r="B1493" s="7" t="s">
        <v>7122</v>
      </c>
      <c r="C1493" s="7" t="s">
        <v>2020</v>
      </c>
      <c r="D1493" s="7" t="n">
        <v>2021</v>
      </c>
      <c r="E1493" s="7" t="s">
        <v>50</v>
      </c>
      <c r="F1493" s="7" t="n">
        <v>-33.883222</v>
      </c>
      <c r="G1493" s="7" t="n">
        <v>151.229074</v>
      </c>
      <c r="H1493" s="7" t="s">
        <v>7117</v>
      </c>
    </row>
    <row r="1494" customFormat="false" ht="15" hidden="false" customHeight="false" outlineLevel="0" collapsed="false">
      <c r="A1494" s="7" t="s">
        <v>6947</v>
      </c>
      <c r="B1494" s="7" t="s">
        <v>7122</v>
      </c>
      <c r="C1494" s="7" t="s">
        <v>2021</v>
      </c>
      <c r="D1494" s="7" t="n">
        <v>2050</v>
      </c>
      <c r="E1494" s="7" t="s">
        <v>50</v>
      </c>
      <c r="F1494" s="7" t="n">
        <v>-33.887359</v>
      </c>
      <c r="G1494" s="7" t="n">
        <v>151.176586</v>
      </c>
      <c r="H1494" s="7" t="s">
        <v>7117</v>
      </c>
    </row>
    <row r="1495" customFormat="false" ht="15" hidden="false" customHeight="false" outlineLevel="0" collapsed="false">
      <c r="A1495" s="7" t="s">
        <v>6947</v>
      </c>
      <c r="B1495" s="7" t="s">
        <v>6962</v>
      </c>
      <c r="C1495" s="7" t="s">
        <v>2022</v>
      </c>
      <c r="D1495" s="7" t="n">
        <v>2298</v>
      </c>
      <c r="E1495" s="7" t="s">
        <v>50</v>
      </c>
      <c r="F1495" s="7" t="n">
        <v>-32.90876</v>
      </c>
      <c r="G1495" s="7" t="n">
        <v>151.729685</v>
      </c>
      <c r="H1495" s="7" t="s">
        <v>6980</v>
      </c>
    </row>
    <row r="1496" customFormat="false" ht="15" hidden="false" customHeight="false" outlineLevel="0" collapsed="false">
      <c r="A1496" s="7" t="s">
        <v>6947</v>
      </c>
      <c r="B1496" s="7" t="s">
        <v>2023</v>
      </c>
      <c r="C1496" s="7" t="s">
        <v>2024</v>
      </c>
      <c r="D1496" s="7" t="n">
        <v>2850</v>
      </c>
      <c r="E1496" s="7" t="s">
        <v>50</v>
      </c>
      <c r="F1496" s="7" t="n">
        <v>-32.522021</v>
      </c>
      <c r="G1496" s="7" t="n">
        <v>149.613551</v>
      </c>
      <c r="H1496" s="7" t="s">
        <v>7150</v>
      </c>
    </row>
    <row r="1497" customFormat="false" ht="15" hidden="false" customHeight="false" outlineLevel="0" collapsed="false">
      <c r="A1497" s="7" t="s">
        <v>6947</v>
      </c>
      <c r="B1497" s="7" t="s">
        <v>2025</v>
      </c>
      <c r="C1497" s="7" t="s">
        <v>2026</v>
      </c>
      <c r="D1497" s="7" t="n">
        <v>2340</v>
      </c>
      <c r="E1497" s="7" t="s">
        <v>50</v>
      </c>
      <c r="F1497" s="7" t="n">
        <v>-31.12771</v>
      </c>
      <c r="G1497" s="7" t="n">
        <v>150.920395</v>
      </c>
      <c r="H1497" s="7" t="s">
        <v>7133</v>
      </c>
    </row>
    <row r="1498" customFormat="false" ht="15" hidden="false" customHeight="false" outlineLevel="0" collapsed="false">
      <c r="A1498" s="7" t="s">
        <v>6947</v>
      </c>
      <c r="B1498" s="7" t="s">
        <v>7122</v>
      </c>
      <c r="C1498" s="7" t="s">
        <v>2027</v>
      </c>
      <c r="D1498" s="7" t="n">
        <v>2042</v>
      </c>
      <c r="E1498" s="7" t="s">
        <v>50</v>
      </c>
      <c r="F1498" s="7" t="n">
        <v>-33.898345</v>
      </c>
      <c r="G1498" s="7" t="n">
        <v>151.172493</v>
      </c>
      <c r="H1498" s="7" t="s">
        <v>7117</v>
      </c>
    </row>
    <row r="1499" customFormat="false" ht="15" hidden="false" customHeight="false" outlineLevel="0" collapsed="false">
      <c r="A1499" s="7" t="s">
        <v>6947</v>
      </c>
      <c r="B1499" s="7" t="s">
        <v>7122</v>
      </c>
      <c r="C1499" s="7" t="s">
        <v>2028</v>
      </c>
      <c r="D1499" s="7" t="n">
        <v>2029</v>
      </c>
      <c r="E1499" s="7" t="s">
        <v>50</v>
      </c>
      <c r="F1499" s="7" t="n">
        <v>-33.875252</v>
      </c>
      <c r="G1499" s="7" t="n">
        <v>151.274957</v>
      </c>
      <c r="H1499" s="7" t="s">
        <v>7117</v>
      </c>
    </row>
    <row r="1500" customFormat="false" ht="15" hidden="false" customHeight="false" outlineLevel="0" collapsed="false">
      <c r="A1500" s="7" t="s">
        <v>6947</v>
      </c>
      <c r="B1500" s="7" t="s">
        <v>6993</v>
      </c>
      <c r="C1500" s="7" t="s">
        <v>2029</v>
      </c>
      <c r="D1500" s="7" t="n">
        <v>2765</v>
      </c>
      <c r="E1500" s="7" t="s">
        <v>50</v>
      </c>
      <c r="F1500" s="7" t="n">
        <v>-33.677925</v>
      </c>
      <c r="G1500" s="7" t="n">
        <v>150.860625</v>
      </c>
      <c r="H1500" s="7" t="s">
        <v>6994</v>
      </c>
    </row>
    <row r="1501" customFormat="false" ht="15" hidden="false" customHeight="false" outlineLevel="0" collapsed="false">
      <c r="A1501" s="7" t="s">
        <v>6947</v>
      </c>
      <c r="B1501" s="7" t="s">
        <v>6993</v>
      </c>
      <c r="C1501" s="7" t="s">
        <v>2030</v>
      </c>
      <c r="D1501" s="7" t="n">
        <v>2010</v>
      </c>
      <c r="E1501" s="7" t="s">
        <v>50</v>
      </c>
      <c r="F1501" s="7" t="n">
        <v>-33.882001</v>
      </c>
      <c r="G1501" s="7" t="n">
        <v>151.216645</v>
      </c>
      <c r="H1501" s="7" t="s">
        <v>6994</v>
      </c>
    </row>
    <row r="1502" customFormat="false" ht="15" hidden="false" customHeight="false" outlineLevel="0" collapsed="false">
      <c r="A1502" s="7" t="s">
        <v>6947</v>
      </c>
      <c r="B1502" s="7" t="s">
        <v>7122</v>
      </c>
      <c r="C1502" s="7" t="s">
        <v>2031</v>
      </c>
      <c r="D1502" s="7" t="n">
        <v>2026</v>
      </c>
      <c r="E1502" s="7" t="s">
        <v>50</v>
      </c>
      <c r="F1502" s="7" t="n">
        <v>-33.897586</v>
      </c>
      <c r="G1502" s="7" t="n">
        <v>151.264592</v>
      </c>
      <c r="H1502" s="7" t="s">
        <v>7117</v>
      </c>
    </row>
    <row r="1503" customFormat="false" ht="15" hidden="false" customHeight="false" outlineLevel="0" collapsed="false">
      <c r="A1503" s="7" t="s">
        <v>6947</v>
      </c>
      <c r="B1503" s="7" t="s">
        <v>1255</v>
      </c>
      <c r="C1503" s="7" t="s">
        <v>2032</v>
      </c>
      <c r="D1503" s="7" t="n">
        <v>2250</v>
      </c>
      <c r="E1503" s="7" t="s">
        <v>50</v>
      </c>
      <c r="F1503" s="7" t="n">
        <v>-33.393116</v>
      </c>
      <c r="G1503" s="7" t="n">
        <v>151.328631</v>
      </c>
      <c r="H1503" s="7" t="s">
        <v>7151</v>
      </c>
    </row>
    <row r="1504" customFormat="false" ht="15" hidden="false" customHeight="false" outlineLevel="0" collapsed="false">
      <c r="A1504" s="7" t="s">
        <v>6947</v>
      </c>
      <c r="B1504" s="7" t="s">
        <v>2033</v>
      </c>
      <c r="C1504" s="7" t="s">
        <v>2034</v>
      </c>
      <c r="D1504" s="7" t="n">
        <v>2264</v>
      </c>
      <c r="E1504" s="7" t="s">
        <v>50</v>
      </c>
      <c r="F1504" s="7" t="n">
        <v>-33.111034</v>
      </c>
      <c r="G1504" s="7" t="n">
        <v>151.532217</v>
      </c>
      <c r="H1504" s="7" t="s">
        <v>7152</v>
      </c>
    </row>
    <row r="1505" customFormat="false" ht="15" hidden="false" customHeight="false" outlineLevel="0" collapsed="false">
      <c r="A1505" s="7" t="s">
        <v>6947</v>
      </c>
      <c r="B1505" s="7" t="s">
        <v>2035</v>
      </c>
      <c r="C1505" s="7" t="s">
        <v>2036</v>
      </c>
      <c r="D1505" s="7" t="n">
        <v>2720</v>
      </c>
      <c r="E1505" s="7" t="s">
        <v>50</v>
      </c>
      <c r="F1505" s="7" t="n">
        <v>-35.190695</v>
      </c>
      <c r="G1505" s="7" t="n">
        <v>148.20606</v>
      </c>
      <c r="H1505" s="7" t="s">
        <v>7018</v>
      </c>
    </row>
    <row r="1506" customFormat="false" ht="15" hidden="false" customHeight="false" outlineLevel="0" collapsed="false">
      <c r="A1506" s="7" t="s">
        <v>6947</v>
      </c>
      <c r="B1506" s="7" t="s">
        <v>2037</v>
      </c>
      <c r="C1506" s="7" t="s">
        <v>2038</v>
      </c>
      <c r="D1506" s="7" t="n">
        <v>2820</v>
      </c>
      <c r="E1506" s="7" t="s">
        <v>50</v>
      </c>
      <c r="F1506" s="7" t="n">
        <v>-32.551514</v>
      </c>
      <c r="G1506" s="7" t="n">
        <v>148.942183</v>
      </c>
      <c r="H1506" s="7" t="s">
        <v>6979</v>
      </c>
    </row>
    <row r="1507" customFormat="false" ht="15" hidden="false" customHeight="false" outlineLevel="0" collapsed="false">
      <c r="A1507" s="7" t="s">
        <v>6947</v>
      </c>
      <c r="B1507" s="7" t="s">
        <v>7122</v>
      </c>
      <c r="C1507" s="7" t="s">
        <v>2039</v>
      </c>
      <c r="D1507" s="7" t="n">
        <v>2131</v>
      </c>
      <c r="E1507" s="7" t="s">
        <v>50</v>
      </c>
      <c r="F1507" s="7" t="n">
        <v>-33.883434</v>
      </c>
      <c r="G1507" s="7" t="n">
        <v>151.128646</v>
      </c>
      <c r="H1507" s="7" t="s">
        <v>7117</v>
      </c>
    </row>
    <row r="1508" customFormat="false" ht="15" hidden="false" customHeight="false" outlineLevel="0" collapsed="false">
      <c r="A1508" s="7" t="s">
        <v>6947</v>
      </c>
      <c r="B1508" s="7" t="s">
        <v>7035</v>
      </c>
      <c r="C1508" s="7" t="s">
        <v>2040</v>
      </c>
      <c r="D1508" s="7" t="n">
        <v>2203</v>
      </c>
      <c r="E1508" s="7" t="s">
        <v>50</v>
      </c>
      <c r="F1508" s="7" t="n">
        <v>-33.907942</v>
      </c>
      <c r="G1508" s="7" t="n">
        <v>151.135673</v>
      </c>
      <c r="H1508" s="7" t="s">
        <v>7036</v>
      </c>
    </row>
    <row r="1509" customFormat="false" ht="15" hidden="false" customHeight="false" outlineLevel="0" collapsed="false">
      <c r="A1509" s="7" t="s">
        <v>6947</v>
      </c>
      <c r="B1509" s="7" t="s">
        <v>7122</v>
      </c>
      <c r="C1509" s="7" t="s">
        <v>2041</v>
      </c>
      <c r="D1509" s="7" t="n">
        <v>2029</v>
      </c>
      <c r="E1509" s="7" t="s">
        <v>50</v>
      </c>
      <c r="F1509" s="7" t="n">
        <v>-33.869772</v>
      </c>
      <c r="G1509" s="7" t="n">
        <v>151.274745</v>
      </c>
      <c r="H1509" s="7" t="s">
        <v>7117</v>
      </c>
    </row>
    <row r="1510" customFormat="false" ht="15" hidden="false" customHeight="false" outlineLevel="0" collapsed="false">
      <c r="A1510" s="7" t="s">
        <v>6947</v>
      </c>
      <c r="B1510" s="7" t="s">
        <v>6993</v>
      </c>
      <c r="C1510" s="7" t="s">
        <v>2042</v>
      </c>
      <c r="D1510" s="7" t="n">
        <v>2038</v>
      </c>
      <c r="E1510" s="7" t="s">
        <v>50</v>
      </c>
      <c r="F1510" s="7" t="n">
        <v>-33.883365</v>
      </c>
      <c r="G1510" s="7" t="n">
        <v>151.174288</v>
      </c>
      <c r="H1510" s="7" t="s">
        <v>6994</v>
      </c>
    </row>
    <row r="1511" customFormat="false" ht="15" hidden="false" customHeight="false" outlineLevel="0" collapsed="false">
      <c r="A1511" s="7" t="s">
        <v>6947</v>
      </c>
      <c r="B1511" s="7" t="s">
        <v>7122</v>
      </c>
      <c r="C1511" s="7" t="s">
        <v>2043</v>
      </c>
      <c r="D1511" s="7" t="n">
        <v>2030</v>
      </c>
      <c r="E1511" s="7" t="s">
        <v>50</v>
      </c>
      <c r="F1511" s="7" t="n">
        <v>-33.861344</v>
      </c>
      <c r="G1511" s="7" t="n">
        <v>151.280558</v>
      </c>
      <c r="H1511" s="7" t="s">
        <v>7117</v>
      </c>
    </row>
    <row r="1512" customFormat="false" ht="15" hidden="false" customHeight="false" outlineLevel="0" collapsed="false">
      <c r="A1512" s="7" t="s">
        <v>6947</v>
      </c>
      <c r="B1512" s="7" t="s">
        <v>6993</v>
      </c>
      <c r="C1512" s="7" t="s">
        <v>2044</v>
      </c>
      <c r="D1512" s="7" t="n">
        <v>2204</v>
      </c>
      <c r="E1512" s="7" t="s">
        <v>50</v>
      </c>
      <c r="F1512" s="7" t="n">
        <v>-33.909627</v>
      </c>
      <c r="G1512" s="7" t="n">
        <v>151.16587</v>
      </c>
      <c r="H1512" s="7" t="s">
        <v>6994</v>
      </c>
    </row>
    <row r="1513" customFormat="false" ht="15" hidden="false" customHeight="false" outlineLevel="0" collapsed="false">
      <c r="A1513" s="7" t="s">
        <v>6947</v>
      </c>
      <c r="B1513" s="7" t="s">
        <v>7122</v>
      </c>
      <c r="C1513" s="7" t="s">
        <v>2045</v>
      </c>
      <c r="D1513" s="7" t="n">
        <v>2049</v>
      </c>
      <c r="E1513" s="7" t="s">
        <v>50</v>
      </c>
      <c r="F1513" s="7" t="n">
        <v>-33.899558</v>
      </c>
      <c r="G1513" s="7" t="n">
        <v>151.14717</v>
      </c>
      <c r="H1513" s="7" t="s">
        <v>7117</v>
      </c>
    </row>
    <row r="1514" customFormat="false" ht="15" hidden="false" customHeight="false" outlineLevel="0" collapsed="false">
      <c r="A1514" s="7" t="s">
        <v>6947</v>
      </c>
      <c r="B1514" s="7" t="s">
        <v>7122</v>
      </c>
      <c r="C1514" s="7" t="s">
        <v>2046</v>
      </c>
      <c r="D1514" s="7" t="n">
        <v>2042</v>
      </c>
      <c r="E1514" s="7" t="s">
        <v>50</v>
      </c>
      <c r="F1514" s="7" t="n">
        <v>-33.90407</v>
      </c>
      <c r="G1514" s="7" t="n">
        <v>151.178539</v>
      </c>
      <c r="H1514" s="7" t="s">
        <v>7117</v>
      </c>
    </row>
    <row r="1515" customFormat="false" ht="15" hidden="false" customHeight="false" outlineLevel="0" collapsed="false">
      <c r="A1515" s="7" t="s">
        <v>6947</v>
      </c>
      <c r="B1515" s="7" t="s">
        <v>2047</v>
      </c>
      <c r="C1515" s="7" t="s">
        <v>2048</v>
      </c>
      <c r="D1515" s="7" t="n">
        <v>2800</v>
      </c>
      <c r="E1515" s="7" t="s">
        <v>50</v>
      </c>
      <c r="F1515" s="7" t="n">
        <v>-33.303681</v>
      </c>
      <c r="G1515" s="7" t="n">
        <v>149.03924</v>
      </c>
      <c r="H1515" s="7" t="s">
        <v>7137</v>
      </c>
    </row>
    <row r="1516" customFormat="false" ht="15" hidden="false" customHeight="false" outlineLevel="0" collapsed="false">
      <c r="A1516" s="7" t="s">
        <v>6947</v>
      </c>
      <c r="B1516" s="7" t="s">
        <v>7122</v>
      </c>
      <c r="C1516" s="7" t="s">
        <v>2049</v>
      </c>
      <c r="D1516" s="7" t="n">
        <v>2042</v>
      </c>
      <c r="E1516" s="7" t="s">
        <v>50</v>
      </c>
      <c r="F1516" s="7" t="n">
        <v>-33.900544</v>
      </c>
      <c r="G1516" s="7" t="n">
        <v>151.172173</v>
      </c>
      <c r="H1516" s="7" t="s">
        <v>7117</v>
      </c>
    </row>
    <row r="1517" customFormat="false" ht="15" hidden="false" customHeight="false" outlineLevel="0" collapsed="false">
      <c r="A1517" s="7" t="s">
        <v>6947</v>
      </c>
      <c r="B1517" s="7" t="s">
        <v>2050</v>
      </c>
      <c r="C1517" s="7" t="s">
        <v>2051</v>
      </c>
      <c r="D1517" s="7" t="n">
        <v>2261</v>
      </c>
      <c r="E1517" s="7" t="s">
        <v>50</v>
      </c>
      <c r="F1517" s="7" t="n">
        <v>-33.354263</v>
      </c>
      <c r="G1517" s="7" t="n">
        <v>151.487299</v>
      </c>
      <c r="H1517" s="7" t="s">
        <v>7025</v>
      </c>
    </row>
    <row r="1518" customFormat="false" ht="15" hidden="false" customHeight="false" outlineLevel="0" collapsed="false">
      <c r="A1518" s="7" t="s">
        <v>6947</v>
      </c>
      <c r="B1518" s="7" t="s">
        <v>6962</v>
      </c>
      <c r="C1518" s="7" t="s">
        <v>2052</v>
      </c>
      <c r="D1518" s="7" t="n">
        <v>2026</v>
      </c>
      <c r="E1518" s="7" t="s">
        <v>50</v>
      </c>
      <c r="F1518" s="7" t="n">
        <v>-33.892231</v>
      </c>
      <c r="G1518" s="7" t="n">
        <v>151.262315</v>
      </c>
      <c r="H1518" s="7" t="s">
        <v>6983</v>
      </c>
    </row>
    <row r="1519" customFormat="false" ht="15" hidden="false" customHeight="false" outlineLevel="0" collapsed="false">
      <c r="A1519" s="7" t="s">
        <v>6947</v>
      </c>
      <c r="B1519" s="7" t="s">
        <v>2053</v>
      </c>
      <c r="C1519" s="7" t="s">
        <v>2054</v>
      </c>
      <c r="D1519" s="7" t="n">
        <v>2450</v>
      </c>
      <c r="E1519" s="7" t="s">
        <v>50</v>
      </c>
      <c r="F1519" s="7" t="n">
        <v>-30.297063</v>
      </c>
      <c r="G1519" s="7" t="n">
        <v>153.115799</v>
      </c>
      <c r="H1519" s="7" t="s">
        <v>7127</v>
      </c>
    </row>
    <row r="1520" customFormat="false" ht="15" hidden="false" customHeight="false" outlineLevel="0" collapsed="false">
      <c r="A1520" s="7" t="s">
        <v>6947</v>
      </c>
      <c r="B1520" s="7" t="s">
        <v>2055</v>
      </c>
      <c r="C1520" s="7" t="s">
        <v>2056</v>
      </c>
      <c r="D1520" s="7" t="n">
        <v>2320</v>
      </c>
      <c r="E1520" s="7" t="s">
        <v>50</v>
      </c>
      <c r="F1520" s="7" t="n">
        <v>-32.782195</v>
      </c>
      <c r="G1520" s="7" t="n">
        <v>151.29988</v>
      </c>
      <c r="H1520" s="7" t="s">
        <v>7145</v>
      </c>
    </row>
    <row r="1521" customFormat="false" ht="15" hidden="false" customHeight="false" outlineLevel="0" collapsed="false">
      <c r="A1521" s="7" t="s">
        <v>6947</v>
      </c>
      <c r="B1521" s="7" t="s">
        <v>6993</v>
      </c>
      <c r="C1521" s="7" t="s">
        <v>2057</v>
      </c>
      <c r="D1521" s="7" t="n">
        <v>2021</v>
      </c>
      <c r="E1521" s="7" t="s">
        <v>50</v>
      </c>
      <c r="F1521" s="7" t="n">
        <v>-33.882315</v>
      </c>
      <c r="G1521" s="7" t="n">
        <v>151.221981</v>
      </c>
      <c r="H1521" s="7" t="s">
        <v>6994</v>
      </c>
    </row>
    <row r="1522" customFormat="false" ht="15" hidden="false" customHeight="false" outlineLevel="0" collapsed="false">
      <c r="A1522" s="7" t="s">
        <v>6947</v>
      </c>
      <c r="B1522" s="7" t="s">
        <v>6993</v>
      </c>
      <c r="C1522" s="7" t="s">
        <v>2058</v>
      </c>
      <c r="D1522" s="7" t="n">
        <v>2021</v>
      </c>
      <c r="E1522" s="7" t="s">
        <v>50</v>
      </c>
      <c r="F1522" s="7" t="n">
        <v>-33.883141</v>
      </c>
      <c r="G1522" s="7" t="n">
        <v>151.219995</v>
      </c>
      <c r="H1522" s="7" t="s">
        <v>6994</v>
      </c>
    </row>
    <row r="1523" customFormat="false" ht="15" hidden="false" customHeight="false" outlineLevel="0" collapsed="false">
      <c r="A1523" s="7" t="s">
        <v>6947</v>
      </c>
      <c r="B1523" s="7" t="s">
        <v>2059</v>
      </c>
      <c r="C1523" s="7" t="s">
        <v>2060</v>
      </c>
      <c r="D1523" s="7" t="n">
        <v>2800</v>
      </c>
      <c r="E1523" s="7" t="s">
        <v>50</v>
      </c>
      <c r="F1523" s="7" t="n">
        <v>-33.249213</v>
      </c>
      <c r="G1523" s="7" t="n">
        <v>149.10167</v>
      </c>
      <c r="H1523" s="7" t="s">
        <v>6984</v>
      </c>
    </row>
    <row r="1524" customFormat="false" ht="15" hidden="false" customHeight="false" outlineLevel="0" collapsed="false">
      <c r="A1524" s="7" t="s">
        <v>6947</v>
      </c>
      <c r="B1524" s="7" t="s">
        <v>2061</v>
      </c>
      <c r="C1524" s="7" t="s">
        <v>2062</v>
      </c>
      <c r="D1524" s="7" t="n">
        <v>2795</v>
      </c>
      <c r="E1524" s="7" t="s">
        <v>50</v>
      </c>
      <c r="F1524" s="7" t="n">
        <v>-33.422579</v>
      </c>
      <c r="G1524" s="7" t="n">
        <v>149.565398</v>
      </c>
      <c r="H1524" s="7" t="s">
        <v>6984</v>
      </c>
    </row>
    <row r="1525" customFormat="false" ht="15" hidden="false" customHeight="false" outlineLevel="0" collapsed="false">
      <c r="A1525" s="7" t="s">
        <v>6947</v>
      </c>
      <c r="B1525" s="7" t="s">
        <v>6993</v>
      </c>
      <c r="C1525" s="7" t="s">
        <v>2063</v>
      </c>
      <c r="D1525" s="7" t="n">
        <v>2024</v>
      </c>
      <c r="E1525" s="7" t="s">
        <v>50</v>
      </c>
      <c r="F1525" s="7" t="n">
        <v>-33.903308</v>
      </c>
      <c r="G1525" s="7" t="n">
        <v>151.260616</v>
      </c>
      <c r="H1525" s="7" t="s">
        <v>6994</v>
      </c>
    </row>
    <row r="1526" customFormat="false" ht="15" hidden="false" customHeight="false" outlineLevel="0" collapsed="false">
      <c r="A1526" s="7" t="s">
        <v>6947</v>
      </c>
      <c r="B1526" s="7" t="s">
        <v>6993</v>
      </c>
      <c r="C1526" s="7" t="s">
        <v>2064</v>
      </c>
      <c r="D1526" s="7" t="n">
        <v>2031</v>
      </c>
      <c r="E1526" s="7" t="s">
        <v>50</v>
      </c>
      <c r="F1526" s="7" t="n">
        <v>-33.923489</v>
      </c>
      <c r="G1526" s="7" t="n">
        <v>151.249044</v>
      </c>
      <c r="H1526" s="7" t="s">
        <v>6994</v>
      </c>
    </row>
    <row r="1527" customFormat="false" ht="15" hidden="false" customHeight="false" outlineLevel="0" collapsed="false">
      <c r="A1527" s="7" t="s">
        <v>6947</v>
      </c>
      <c r="B1527" s="7" t="s">
        <v>2065</v>
      </c>
      <c r="C1527" s="7" t="s">
        <v>2066</v>
      </c>
      <c r="D1527" s="7" t="n">
        <v>2580</v>
      </c>
      <c r="E1527" s="7" t="s">
        <v>50</v>
      </c>
      <c r="F1527" s="7" t="n">
        <v>-34.731353</v>
      </c>
      <c r="G1527" s="7" t="n">
        <v>149.743449</v>
      </c>
      <c r="H1527" s="7" t="s">
        <v>7089</v>
      </c>
    </row>
    <row r="1528" customFormat="false" ht="15" hidden="false" customHeight="false" outlineLevel="0" collapsed="false">
      <c r="A1528" s="7" t="s">
        <v>6947</v>
      </c>
      <c r="B1528" s="7" t="s">
        <v>7075</v>
      </c>
      <c r="C1528" s="7" t="s">
        <v>2067</v>
      </c>
      <c r="D1528" s="7" t="n">
        <v>2340</v>
      </c>
      <c r="E1528" s="7" t="s">
        <v>50</v>
      </c>
      <c r="F1528" s="7" t="n">
        <v>-31.090093</v>
      </c>
      <c r="G1528" s="7" t="n">
        <v>150.930475</v>
      </c>
      <c r="H1528" s="7" t="s">
        <v>7140</v>
      </c>
    </row>
    <row r="1529" customFormat="false" ht="15" hidden="false" customHeight="false" outlineLevel="0" collapsed="false">
      <c r="A1529" s="7" t="s">
        <v>6947</v>
      </c>
      <c r="B1529" s="7" t="s">
        <v>2068</v>
      </c>
      <c r="C1529" s="7" t="s">
        <v>2069</v>
      </c>
      <c r="D1529" s="7" t="n">
        <v>2844</v>
      </c>
      <c r="E1529" s="7" t="s">
        <v>50</v>
      </c>
      <c r="F1529" s="7" t="n">
        <v>-32.018445</v>
      </c>
      <c r="G1529" s="7" t="n">
        <v>149.396529</v>
      </c>
      <c r="H1529" s="7" t="s">
        <v>7153</v>
      </c>
    </row>
    <row r="1530" customFormat="false" ht="15" hidden="false" customHeight="false" outlineLevel="0" collapsed="false">
      <c r="A1530" s="7" t="s">
        <v>6947</v>
      </c>
      <c r="B1530" s="7" t="s">
        <v>7122</v>
      </c>
      <c r="C1530" s="7" t="s">
        <v>2071</v>
      </c>
      <c r="D1530" s="7" t="n">
        <v>2203</v>
      </c>
      <c r="E1530" s="7" t="s">
        <v>50</v>
      </c>
      <c r="F1530" s="7" t="n">
        <v>-33.90302</v>
      </c>
      <c r="G1530" s="7" t="n">
        <v>151.141805</v>
      </c>
      <c r="H1530" s="7" t="s">
        <v>7117</v>
      </c>
    </row>
    <row r="1531" customFormat="false" ht="15" hidden="false" customHeight="false" outlineLevel="0" collapsed="false">
      <c r="A1531" s="7" t="s">
        <v>6947</v>
      </c>
      <c r="B1531" s="7" t="s">
        <v>6993</v>
      </c>
      <c r="C1531" s="7" t="s">
        <v>2072</v>
      </c>
      <c r="D1531" s="7" t="n">
        <v>2041</v>
      </c>
      <c r="E1531" s="7" t="s">
        <v>50</v>
      </c>
      <c r="F1531" s="7" t="n">
        <v>-33.851531</v>
      </c>
      <c r="G1531" s="7" t="n">
        <v>151.181799</v>
      </c>
      <c r="H1531" s="7" t="s">
        <v>6994</v>
      </c>
    </row>
    <row r="1532" customFormat="false" ht="15" hidden="false" customHeight="false" outlineLevel="0" collapsed="false">
      <c r="A1532" s="7" t="s">
        <v>6947</v>
      </c>
      <c r="B1532" s="7" t="s">
        <v>6993</v>
      </c>
      <c r="C1532" s="7" t="s">
        <v>2073</v>
      </c>
      <c r="D1532" s="7" t="n">
        <v>2067</v>
      </c>
      <c r="E1532" s="7" t="s">
        <v>50</v>
      </c>
      <c r="F1532" s="7" t="n">
        <v>-33.796827</v>
      </c>
      <c r="G1532" s="7" t="n">
        <v>151.185229</v>
      </c>
      <c r="H1532" s="7" t="s">
        <v>6994</v>
      </c>
    </row>
    <row r="1533" customFormat="false" ht="15" hidden="false" customHeight="false" outlineLevel="0" collapsed="false">
      <c r="A1533" s="7" t="s">
        <v>6947</v>
      </c>
      <c r="B1533" s="7" t="s">
        <v>6964</v>
      </c>
      <c r="C1533" s="7" t="s">
        <v>2074</v>
      </c>
      <c r="D1533" s="7" t="n">
        <v>2250</v>
      </c>
      <c r="E1533" s="7" t="s">
        <v>50</v>
      </c>
      <c r="F1533" s="7" t="n">
        <v>-33.425897</v>
      </c>
      <c r="G1533" s="7" t="n">
        <v>151.320536</v>
      </c>
      <c r="H1533" s="7" t="s">
        <v>7001</v>
      </c>
    </row>
    <row r="1534" customFormat="false" ht="15" hidden="false" customHeight="false" outlineLevel="0" collapsed="false">
      <c r="A1534" s="7" t="s">
        <v>6947</v>
      </c>
      <c r="B1534" s="7" t="s">
        <v>7122</v>
      </c>
      <c r="C1534" s="7" t="s">
        <v>2075</v>
      </c>
      <c r="D1534" s="7" t="n">
        <v>2066</v>
      </c>
      <c r="E1534" s="7" t="s">
        <v>50</v>
      </c>
      <c r="F1534" s="7" t="n">
        <v>-33.806547</v>
      </c>
      <c r="G1534" s="7" t="n">
        <v>151.175797</v>
      </c>
      <c r="H1534" s="7" t="s">
        <v>7117</v>
      </c>
    </row>
    <row r="1535" customFormat="false" ht="15" hidden="false" customHeight="false" outlineLevel="0" collapsed="false">
      <c r="A1535" s="7" t="s">
        <v>6947</v>
      </c>
      <c r="B1535" s="7" t="s">
        <v>2076</v>
      </c>
      <c r="C1535" s="7" t="s">
        <v>2077</v>
      </c>
      <c r="D1535" s="7" t="n">
        <v>2710</v>
      </c>
      <c r="E1535" s="7" t="s">
        <v>50</v>
      </c>
      <c r="F1535" s="7" t="n">
        <v>-35.526574</v>
      </c>
      <c r="G1535" s="7" t="n">
        <v>144.961657</v>
      </c>
      <c r="H1535" s="7" t="s">
        <v>7025</v>
      </c>
    </row>
    <row r="1536" customFormat="false" ht="15" hidden="false" customHeight="false" outlineLevel="0" collapsed="false">
      <c r="A1536" s="7" t="s">
        <v>6947</v>
      </c>
      <c r="B1536" s="7" t="s">
        <v>7075</v>
      </c>
      <c r="C1536" s="7" t="s">
        <v>63</v>
      </c>
      <c r="D1536" s="7" t="n">
        <v>2111</v>
      </c>
      <c r="E1536" s="7" t="s">
        <v>50</v>
      </c>
      <c r="F1536" s="7" t="n">
        <v>-33.832922</v>
      </c>
      <c r="G1536" s="7" t="n">
        <v>151.127689</v>
      </c>
      <c r="H1536" s="7" t="s">
        <v>7076</v>
      </c>
    </row>
    <row r="1537" customFormat="false" ht="15" hidden="false" customHeight="false" outlineLevel="0" collapsed="false">
      <c r="A1537" s="7" t="s">
        <v>6947</v>
      </c>
      <c r="B1537" s="7" t="s">
        <v>6962</v>
      </c>
      <c r="C1537" s="7" t="s">
        <v>2078</v>
      </c>
      <c r="D1537" s="7" t="n">
        <v>2295</v>
      </c>
      <c r="E1537" s="7" t="s">
        <v>50</v>
      </c>
      <c r="F1537" s="7" t="n">
        <v>-32.919303</v>
      </c>
      <c r="G1537" s="7" t="n">
        <v>151.783</v>
      </c>
      <c r="H1537" s="7" t="s">
        <v>6979</v>
      </c>
    </row>
    <row r="1538" customFormat="false" ht="15" hidden="false" customHeight="false" outlineLevel="0" collapsed="false">
      <c r="A1538" s="7" t="s">
        <v>6947</v>
      </c>
      <c r="B1538" s="7" t="s">
        <v>2079</v>
      </c>
      <c r="C1538" s="7" t="s">
        <v>2080</v>
      </c>
      <c r="D1538" s="7" t="n">
        <v>2536</v>
      </c>
      <c r="E1538" s="7" t="s">
        <v>50</v>
      </c>
      <c r="F1538" s="7" t="n">
        <v>-35.709478</v>
      </c>
      <c r="G1538" s="7" t="n">
        <v>150.179081</v>
      </c>
      <c r="H1538" s="7" t="s">
        <v>6984</v>
      </c>
    </row>
    <row r="1539" customFormat="false" ht="15" hidden="false" customHeight="false" outlineLevel="0" collapsed="false">
      <c r="A1539" s="7" t="s">
        <v>6947</v>
      </c>
      <c r="B1539" s="7" t="s">
        <v>6962</v>
      </c>
      <c r="C1539" s="7" t="s">
        <v>808</v>
      </c>
      <c r="D1539" s="7" t="n">
        <v>2017</v>
      </c>
      <c r="E1539" s="7" t="s">
        <v>50</v>
      </c>
      <c r="F1539" s="7" t="n">
        <v>-33.90527</v>
      </c>
      <c r="G1539" s="7" t="n">
        <v>151.213089</v>
      </c>
      <c r="H1539" s="7" t="s">
        <v>6983</v>
      </c>
    </row>
    <row r="1540" customFormat="false" ht="15" hidden="false" customHeight="false" outlineLevel="0" collapsed="false">
      <c r="A1540" s="7" t="s">
        <v>6947</v>
      </c>
      <c r="B1540" s="7" t="s">
        <v>7122</v>
      </c>
      <c r="C1540" s="7" t="s">
        <v>2081</v>
      </c>
      <c r="D1540" s="7" t="n">
        <v>2038</v>
      </c>
      <c r="E1540" s="7" t="s">
        <v>50</v>
      </c>
      <c r="F1540" s="7" t="n">
        <v>-33.884785</v>
      </c>
      <c r="G1540" s="7" t="n">
        <v>151.175354</v>
      </c>
      <c r="H1540" s="7" t="s">
        <v>7117</v>
      </c>
    </row>
    <row r="1541" customFormat="false" ht="15" hidden="false" customHeight="false" outlineLevel="0" collapsed="false">
      <c r="A1541" s="7" t="s">
        <v>6947</v>
      </c>
      <c r="B1541" s="7" t="s">
        <v>2082</v>
      </c>
      <c r="C1541" s="7" t="s">
        <v>2083</v>
      </c>
      <c r="D1541" s="7" t="n">
        <v>2325</v>
      </c>
      <c r="E1541" s="7" t="s">
        <v>50</v>
      </c>
      <c r="F1541" s="7" t="n">
        <v>-32.831498</v>
      </c>
      <c r="G1541" s="7" t="n">
        <v>151.338155</v>
      </c>
      <c r="H1541" s="7" t="s">
        <v>6984</v>
      </c>
    </row>
    <row r="1542" customFormat="false" ht="15" hidden="false" customHeight="false" outlineLevel="0" collapsed="false">
      <c r="A1542" s="7" t="s">
        <v>6947</v>
      </c>
      <c r="B1542" s="7" t="s">
        <v>7122</v>
      </c>
      <c r="C1542" s="7" t="s">
        <v>2084</v>
      </c>
      <c r="D1542" s="7" t="n">
        <v>2022</v>
      </c>
      <c r="E1542" s="7" t="s">
        <v>50</v>
      </c>
      <c r="F1542" s="7" t="n">
        <v>-33.895942</v>
      </c>
      <c r="G1542" s="7" t="n">
        <v>151.247804</v>
      </c>
      <c r="H1542" s="7" t="s">
        <v>7117</v>
      </c>
    </row>
    <row r="1543" customFormat="false" ht="15" hidden="false" customHeight="false" outlineLevel="0" collapsed="false">
      <c r="A1543" s="7" t="s">
        <v>6947</v>
      </c>
      <c r="B1543" s="7" t="s">
        <v>7035</v>
      </c>
      <c r="C1543" s="7" t="s">
        <v>2085</v>
      </c>
      <c r="D1543" s="7" t="n">
        <v>2131</v>
      </c>
      <c r="E1543" s="7" t="s">
        <v>50</v>
      </c>
      <c r="F1543" s="7" t="n">
        <v>-33.882939</v>
      </c>
      <c r="G1543" s="7" t="n">
        <v>151.122366</v>
      </c>
      <c r="H1543" s="7" t="s">
        <v>7148</v>
      </c>
    </row>
    <row r="1544" customFormat="false" ht="15" hidden="false" customHeight="false" outlineLevel="0" collapsed="false">
      <c r="A1544" s="7" t="s">
        <v>6947</v>
      </c>
      <c r="B1544" s="7" t="s">
        <v>7035</v>
      </c>
      <c r="C1544" s="7" t="s">
        <v>2086</v>
      </c>
      <c r="D1544" s="7" t="n">
        <v>2204</v>
      </c>
      <c r="E1544" s="7" t="s">
        <v>50</v>
      </c>
      <c r="F1544" s="7" t="n">
        <v>-33.907902</v>
      </c>
      <c r="G1544" s="7" t="n">
        <v>151.156801</v>
      </c>
      <c r="H1544" s="7" t="s">
        <v>7036</v>
      </c>
    </row>
    <row r="1545" customFormat="false" ht="15" hidden="false" customHeight="false" outlineLevel="0" collapsed="false">
      <c r="A1545" s="7" t="s">
        <v>6947</v>
      </c>
      <c r="B1545" s="7" t="s">
        <v>7122</v>
      </c>
      <c r="C1545" s="7" t="s">
        <v>2087</v>
      </c>
      <c r="D1545" s="7" t="n">
        <v>2066</v>
      </c>
      <c r="E1545" s="7" t="s">
        <v>50</v>
      </c>
      <c r="F1545" s="7" t="n">
        <v>-33.806717</v>
      </c>
      <c r="G1545" s="7" t="n">
        <v>151.175016</v>
      </c>
      <c r="H1545" s="7" t="s">
        <v>7117</v>
      </c>
    </row>
    <row r="1546" customFormat="false" ht="15" hidden="false" customHeight="false" outlineLevel="0" collapsed="false">
      <c r="A1546" s="7" t="s">
        <v>6947</v>
      </c>
      <c r="B1546" s="7" t="s">
        <v>2088</v>
      </c>
      <c r="C1546" s="7" t="s">
        <v>2089</v>
      </c>
      <c r="D1546" s="7" t="n">
        <v>2380</v>
      </c>
      <c r="E1546" s="7" t="s">
        <v>50</v>
      </c>
      <c r="F1546" s="7" t="n">
        <v>-30.983639</v>
      </c>
      <c r="G1546" s="7" t="n">
        <v>150.264047</v>
      </c>
      <c r="H1546" s="7" t="s">
        <v>7137</v>
      </c>
    </row>
    <row r="1547" customFormat="false" ht="15" hidden="false" customHeight="false" outlineLevel="0" collapsed="false">
      <c r="A1547" s="7" t="s">
        <v>6947</v>
      </c>
      <c r="B1547" s="7" t="s">
        <v>2090</v>
      </c>
      <c r="C1547" s="7" t="s">
        <v>2091</v>
      </c>
      <c r="D1547" s="7" t="n">
        <v>2320</v>
      </c>
      <c r="E1547" s="7" t="s">
        <v>50</v>
      </c>
      <c r="F1547" s="7" t="n">
        <v>-32.733865</v>
      </c>
      <c r="G1547" s="7" t="n">
        <v>151.556126</v>
      </c>
      <c r="H1547" s="7" t="s">
        <v>6981</v>
      </c>
    </row>
    <row r="1548" customFormat="false" ht="15" hidden="false" customHeight="false" outlineLevel="0" collapsed="false">
      <c r="A1548" s="7" t="s">
        <v>6947</v>
      </c>
      <c r="B1548" s="7" t="s">
        <v>7035</v>
      </c>
      <c r="C1548" s="7" t="s">
        <v>2092</v>
      </c>
      <c r="D1548" s="7" t="n">
        <v>2203</v>
      </c>
      <c r="E1548" s="7" t="s">
        <v>50</v>
      </c>
      <c r="F1548" s="7" t="n">
        <v>-33.902496</v>
      </c>
      <c r="G1548" s="7" t="n">
        <v>151.143841</v>
      </c>
      <c r="H1548" s="7" t="s">
        <v>7036</v>
      </c>
    </row>
    <row r="1549" customFormat="false" ht="15" hidden="false" customHeight="false" outlineLevel="0" collapsed="false">
      <c r="A1549" s="7" t="s">
        <v>6947</v>
      </c>
      <c r="B1549" s="7" t="s">
        <v>2093</v>
      </c>
      <c r="C1549" s="7" t="s">
        <v>2094</v>
      </c>
      <c r="D1549" s="7" t="n">
        <v>2320</v>
      </c>
      <c r="E1549" s="7" t="s">
        <v>50</v>
      </c>
      <c r="F1549" s="7" t="n">
        <v>-32.753927</v>
      </c>
      <c r="G1549" s="7" t="n">
        <v>151.298235</v>
      </c>
      <c r="H1549" s="7" t="s">
        <v>6983</v>
      </c>
    </row>
    <row r="1550" customFormat="false" ht="15" hidden="false" customHeight="false" outlineLevel="0" collapsed="false">
      <c r="A1550" s="7" t="s">
        <v>6947</v>
      </c>
      <c r="B1550" s="7" t="s">
        <v>6973</v>
      </c>
      <c r="C1550" s="7" t="s">
        <v>2095</v>
      </c>
      <c r="D1550" s="7" t="n">
        <v>2540</v>
      </c>
      <c r="E1550" s="7" t="s">
        <v>50</v>
      </c>
      <c r="F1550" s="7" t="n">
        <v>-35.038337</v>
      </c>
      <c r="G1550" s="7" t="n">
        <v>150.669248</v>
      </c>
      <c r="H1550" s="7" t="s">
        <v>7018</v>
      </c>
    </row>
    <row r="1551" customFormat="false" ht="15" hidden="false" customHeight="false" outlineLevel="0" collapsed="false">
      <c r="A1551" s="7" t="s">
        <v>6947</v>
      </c>
      <c r="B1551" s="7" t="s">
        <v>7122</v>
      </c>
      <c r="C1551" s="7" t="s">
        <v>2096</v>
      </c>
      <c r="D1551" s="7" t="n">
        <v>2031</v>
      </c>
      <c r="E1551" s="7" t="s">
        <v>50</v>
      </c>
      <c r="F1551" s="7" t="n">
        <v>-33.910476</v>
      </c>
      <c r="G1551" s="7" t="n">
        <v>151.247119</v>
      </c>
      <c r="H1551" s="7" t="s">
        <v>7117</v>
      </c>
    </row>
    <row r="1552" customFormat="false" ht="15" hidden="false" customHeight="false" outlineLevel="0" collapsed="false">
      <c r="A1552" s="7" t="s">
        <v>6947</v>
      </c>
      <c r="B1552" s="7" t="s">
        <v>2097</v>
      </c>
      <c r="C1552" s="7" t="s">
        <v>2098</v>
      </c>
      <c r="D1552" s="7" t="n">
        <v>2641</v>
      </c>
      <c r="E1552" s="7" t="s">
        <v>50</v>
      </c>
      <c r="F1552" s="7" t="n">
        <v>-36.045887</v>
      </c>
      <c r="G1552" s="7" t="n">
        <v>146.943785</v>
      </c>
      <c r="H1552" s="7" t="s">
        <v>6979</v>
      </c>
    </row>
    <row r="1553" customFormat="false" ht="15" hidden="false" customHeight="false" outlineLevel="0" collapsed="false">
      <c r="A1553" s="7" t="s">
        <v>6947</v>
      </c>
      <c r="B1553" s="7" t="s">
        <v>6993</v>
      </c>
      <c r="C1553" s="7" t="s">
        <v>2099</v>
      </c>
      <c r="D1553" s="7" t="n">
        <v>2096</v>
      </c>
      <c r="E1553" s="7" t="s">
        <v>50</v>
      </c>
      <c r="F1553" s="7" t="n">
        <v>-33.773966</v>
      </c>
      <c r="G1553" s="7" t="n">
        <v>151.291825</v>
      </c>
      <c r="H1553" s="7" t="s">
        <v>6994</v>
      </c>
    </row>
    <row r="1554" customFormat="false" ht="15" hidden="false" customHeight="false" outlineLevel="0" collapsed="false">
      <c r="A1554" s="7" t="s">
        <v>6947</v>
      </c>
      <c r="B1554" s="7" t="s">
        <v>2053</v>
      </c>
      <c r="C1554" s="7" t="s">
        <v>2100</v>
      </c>
      <c r="D1554" s="7" t="n">
        <v>2444</v>
      </c>
      <c r="E1554" s="7" t="s">
        <v>50</v>
      </c>
      <c r="F1554" s="7" t="n">
        <v>-31.429928</v>
      </c>
      <c r="G1554" s="7" t="n">
        <v>152.909968</v>
      </c>
      <c r="H1554" s="7" t="s">
        <v>7127</v>
      </c>
    </row>
    <row r="1555" customFormat="false" ht="15" hidden="false" customHeight="false" outlineLevel="0" collapsed="false">
      <c r="A1555" s="7" t="s">
        <v>6947</v>
      </c>
      <c r="B1555" s="7" t="s">
        <v>2101</v>
      </c>
      <c r="C1555" s="7" t="s">
        <v>2102</v>
      </c>
      <c r="D1555" s="7" t="n">
        <v>2800</v>
      </c>
      <c r="E1555" s="7" t="s">
        <v>50</v>
      </c>
      <c r="F1555" s="7" t="n">
        <v>-33.299077</v>
      </c>
      <c r="G1555" s="7" t="n">
        <v>149.019387</v>
      </c>
      <c r="H1555" s="7" t="s">
        <v>7022</v>
      </c>
    </row>
    <row r="1556" customFormat="false" ht="15" hidden="false" customHeight="false" outlineLevel="0" collapsed="false">
      <c r="A1556" s="7" t="s">
        <v>6947</v>
      </c>
      <c r="B1556" s="7" t="s">
        <v>6962</v>
      </c>
      <c r="C1556" s="7" t="s">
        <v>2103</v>
      </c>
      <c r="D1556" s="7" t="n">
        <v>2027</v>
      </c>
      <c r="E1556" s="7" t="s">
        <v>50</v>
      </c>
      <c r="F1556" s="7" t="n">
        <v>-33.873399</v>
      </c>
      <c r="G1556" s="7" t="n">
        <v>151.235273</v>
      </c>
      <c r="H1556" s="7" t="s">
        <v>6983</v>
      </c>
    </row>
    <row r="1557" customFormat="false" ht="15" hidden="false" customHeight="false" outlineLevel="0" collapsed="false">
      <c r="A1557" s="7" t="s">
        <v>6947</v>
      </c>
      <c r="B1557" s="7" t="s">
        <v>2104</v>
      </c>
      <c r="C1557" s="7" t="s">
        <v>2105</v>
      </c>
      <c r="D1557" s="7" t="n">
        <v>2421</v>
      </c>
      <c r="E1557" s="7" t="s">
        <v>50</v>
      </c>
      <c r="F1557" s="7" t="n">
        <v>-32.542329</v>
      </c>
      <c r="G1557" s="7" t="n">
        <v>151.501101</v>
      </c>
      <c r="H1557" s="7" t="s">
        <v>6979</v>
      </c>
    </row>
    <row r="1558" customFormat="false" ht="15" hidden="false" customHeight="false" outlineLevel="0" collapsed="false">
      <c r="A1558" s="7" t="s">
        <v>6947</v>
      </c>
      <c r="B1558" s="7" t="s">
        <v>2106</v>
      </c>
      <c r="C1558" s="7" t="s">
        <v>2107</v>
      </c>
      <c r="D1558" s="7" t="n">
        <v>2316</v>
      </c>
      <c r="E1558" s="7" t="s">
        <v>50</v>
      </c>
      <c r="F1558" s="7" t="n">
        <v>-32.776938</v>
      </c>
      <c r="G1558" s="7" t="n">
        <v>152.113996</v>
      </c>
      <c r="H1558" s="7" t="s">
        <v>6981</v>
      </c>
    </row>
    <row r="1559" customFormat="false" ht="15" hidden="false" customHeight="false" outlineLevel="0" collapsed="false">
      <c r="A1559" s="7" t="s">
        <v>6947</v>
      </c>
      <c r="B1559" s="7" t="s">
        <v>6993</v>
      </c>
      <c r="C1559" s="7" t="s">
        <v>2108</v>
      </c>
      <c r="D1559" s="7" t="n">
        <v>2029</v>
      </c>
      <c r="E1559" s="7" t="s">
        <v>50</v>
      </c>
      <c r="F1559" s="7" t="n">
        <v>-33.878617</v>
      </c>
      <c r="G1559" s="7" t="n">
        <v>151.270705</v>
      </c>
      <c r="H1559" s="7" t="s">
        <v>6994</v>
      </c>
    </row>
    <row r="1560" customFormat="false" ht="15" hidden="false" customHeight="false" outlineLevel="0" collapsed="false">
      <c r="A1560" s="7" t="s">
        <v>6947</v>
      </c>
      <c r="B1560" s="7" t="s">
        <v>147</v>
      </c>
      <c r="C1560" s="7" t="s">
        <v>2109</v>
      </c>
      <c r="D1560" s="7" t="n">
        <v>2650</v>
      </c>
      <c r="E1560" s="7" t="s">
        <v>50</v>
      </c>
      <c r="F1560" s="7" t="n">
        <v>-35.171099</v>
      </c>
      <c r="G1560" s="7" t="n">
        <v>147.378999</v>
      </c>
      <c r="H1560" s="7" t="s">
        <v>7127</v>
      </c>
    </row>
    <row r="1561" customFormat="false" ht="15" hidden="false" customHeight="false" outlineLevel="0" collapsed="false">
      <c r="A1561" s="7" t="s">
        <v>6947</v>
      </c>
      <c r="B1561" s="7" t="s">
        <v>2110</v>
      </c>
      <c r="C1561" s="7" t="s">
        <v>2111</v>
      </c>
      <c r="D1561" s="7" t="n">
        <v>2325</v>
      </c>
      <c r="E1561" s="7" t="s">
        <v>50</v>
      </c>
      <c r="F1561" s="7" t="n">
        <v>-32.742285</v>
      </c>
      <c r="G1561" s="7" t="n">
        <v>151.347702</v>
      </c>
      <c r="H1561" s="7" t="s">
        <v>6969</v>
      </c>
    </row>
    <row r="1562" customFormat="false" ht="15" hidden="false" customHeight="false" outlineLevel="0" collapsed="false">
      <c r="A1562" s="7" t="s">
        <v>6947</v>
      </c>
      <c r="B1562" s="7" t="s">
        <v>6993</v>
      </c>
      <c r="C1562" s="7" t="s">
        <v>2112</v>
      </c>
      <c r="D1562" s="7" t="n">
        <v>2067</v>
      </c>
      <c r="E1562" s="7" t="s">
        <v>50</v>
      </c>
      <c r="F1562" s="7" t="n">
        <v>-33.793508</v>
      </c>
      <c r="G1562" s="7" t="n">
        <v>151.181598</v>
      </c>
      <c r="H1562" s="7" t="s">
        <v>6994</v>
      </c>
    </row>
    <row r="1563" customFormat="false" ht="15" hidden="false" customHeight="false" outlineLevel="0" collapsed="false">
      <c r="A1563" s="7" t="s">
        <v>6947</v>
      </c>
      <c r="B1563" s="7" t="s">
        <v>2113</v>
      </c>
      <c r="C1563" s="7" t="s">
        <v>2114</v>
      </c>
      <c r="D1563" s="7" t="n">
        <v>2478</v>
      </c>
      <c r="E1563" s="7" t="s">
        <v>50</v>
      </c>
      <c r="F1563" s="7" t="n">
        <v>-28.885392</v>
      </c>
      <c r="G1563" s="7" t="n">
        <v>153.568439</v>
      </c>
      <c r="H1563" s="7" t="s">
        <v>7022</v>
      </c>
    </row>
    <row r="1564" customFormat="false" ht="15" hidden="false" customHeight="false" outlineLevel="0" collapsed="false">
      <c r="A1564" s="7" t="s">
        <v>6947</v>
      </c>
      <c r="B1564" s="7" t="s">
        <v>2115</v>
      </c>
      <c r="C1564" s="7" t="s">
        <v>2116</v>
      </c>
      <c r="D1564" s="7" t="n">
        <v>2551</v>
      </c>
      <c r="E1564" s="7" t="s">
        <v>50</v>
      </c>
      <c r="F1564" s="7" t="n">
        <v>-37.077025</v>
      </c>
      <c r="G1564" s="7" t="n">
        <v>149.875388</v>
      </c>
      <c r="H1564" s="7" t="s">
        <v>6981</v>
      </c>
    </row>
    <row r="1565" customFormat="false" ht="15" hidden="false" customHeight="false" outlineLevel="0" collapsed="false">
      <c r="A1565" s="7" t="s">
        <v>6947</v>
      </c>
      <c r="B1565" s="7" t="s">
        <v>7122</v>
      </c>
      <c r="C1565" s="7" t="s">
        <v>2117</v>
      </c>
      <c r="D1565" s="7" t="n">
        <v>2027</v>
      </c>
      <c r="E1565" s="7" t="s">
        <v>50</v>
      </c>
      <c r="F1565" s="7" t="n">
        <v>-33.88</v>
      </c>
      <c r="G1565" s="7" t="n">
        <v>151.239216</v>
      </c>
      <c r="H1565" s="7" t="s">
        <v>7117</v>
      </c>
    </row>
    <row r="1566" customFormat="false" ht="15" hidden="false" customHeight="false" outlineLevel="0" collapsed="false">
      <c r="A1566" s="7" t="s">
        <v>6947</v>
      </c>
      <c r="B1566" s="7" t="s">
        <v>1340</v>
      </c>
      <c r="C1566" s="7" t="s">
        <v>2118</v>
      </c>
      <c r="D1566" s="7" t="n">
        <v>2720</v>
      </c>
      <c r="E1566" s="7" t="s">
        <v>50</v>
      </c>
      <c r="F1566" s="7" t="n">
        <v>-35.584137</v>
      </c>
      <c r="G1566" s="7" t="n">
        <v>148.294237</v>
      </c>
      <c r="H1566" s="7" t="s">
        <v>7133</v>
      </c>
    </row>
    <row r="1567" customFormat="false" ht="15" hidden="false" customHeight="false" outlineLevel="0" collapsed="false">
      <c r="A1567" s="7" t="s">
        <v>6947</v>
      </c>
      <c r="B1567" s="7" t="s">
        <v>2119</v>
      </c>
      <c r="C1567" s="7" t="s">
        <v>2120</v>
      </c>
      <c r="D1567" s="7" t="n">
        <v>2320</v>
      </c>
      <c r="E1567" s="7" t="s">
        <v>50</v>
      </c>
      <c r="F1567" s="7" t="n">
        <v>-32.731015</v>
      </c>
      <c r="G1567" s="7" t="n">
        <v>151.55356</v>
      </c>
      <c r="H1567" s="7" t="s">
        <v>6983</v>
      </c>
    </row>
    <row r="1568" customFormat="false" ht="15" hidden="false" customHeight="false" outlineLevel="0" collapsed="false">
      <c r="A1568" s="7" t="s">
        <v>6947</v>
      </c>
      <c r="B1568" s="7" t="s">
        <v>2121</v>
      </c>
      <c r="C1568" s="7" t="s">
        <v>2122</v>
      </c>
      <c r="D1568" s="7" t="n">
        <v>2594</v>
      </c>
      <c r="E1568" s="7" t="s">
        <v>50</v>
      </c>
      <c r="F1568" s="7" t="n">
        <v>-34.314891</v>
      </c>
      <c r="G1568" s="7" t="n">
        <v>148.29643</v>
      </c>
      <c r="H1568" s="7" t="s">
        <v>6979</v>
      </c>
    </row>
    <row r="1569" customFormat="false" ht="15" hidden="false" customHeight="false" outlineLevel="0" collapsed="false">
      <c r="A1569" s="7" t="s">
        <v>6947</v>
      </c>
      <c r="B1569" s="7" t="s">
        <v>2123</v>
      </c>
      <c r="C1569" s="7" t="s">
        <v>2124</v>
      </c>
      <c r="D1569" s="7" t="n">
        <v>2539</v>
      </c>
      <c r="E1569" s="7" t="s">
        <v>50</v>
      </c>
      <c r="F1569" s="7" t="n">
        <v>-35.565409</v>
      </c>
      <c r="G1569" s="7" t="n">
        <v>150.371976</v>
      </c>
      <c r="H1569" s="7" t="s">
        <v>6981</v>
      </c>
    </row>
    <row r="1570" customFormat="false" ht="15" hidden="false" customHeight="false" outlineLevel="0" collapsed="false">
      <c r="A1570" s="7" t="s">
        <v>6947</v>
      </c>
      <c r="B1570" s="7" t="s">
        <v>6964</v>
      </c>
      <c r="C1570" s="7" t="s">
        <v>2125</v>
      </c>
      <c r="D1570" s="7" t="n">
        <v>2430</v>
      </c>
      <c r="E1570" s="7" t="s">
        <v>50</v>
      </c>
      <c r="F1570" s="7" t="n">
        <v>-31.909119</v>
      </c>
      <c r="G1570" s="7" t="n">
        <v>152.460281</v>
      </c>
      <c r="H1570" s="7" t="s">
        <v>7001</v>
      </c>
    </row>
    <row r="1571" customFormat="false" ht="15" hidden="false" customHeight="false" outlineLevel="0" collapsed="false">
      <c r="A1571" s="7" t="s">
        <v>6947</v>
      </c>
      <c r="B1571" s="7" t="s">
        <v>6993</v>
      </c>
      <c r="C1571" s="7" t="s">
        <v>2126</v>
      </c>
      <c r="D1571" s="7" t="n">
        <v>2067</v>
      </c>
      <c r="E1571" s="7" t="s">
        <v>50</v>
      </c>
      <c r="F1571" s="7" t="n">
        <v>-33.797934</v>
      </c>
      <c r="G1571" s="7" t="n">
        <v>151.186814</v>
      </c>
      <c r="H1571" s="7" t="s">
        <v>6994</v>
      </c>
    </row>
    <row r="1572" customFormat="false" ht="15" hidden="false" customHeight="false" outlineLevel="0" collapsed="false">
      <c r="A1572" s="7" t="s">
        <v>6947</v>
      </c>
      <c r="B1572" s="7" t="s">
        <v>6962</v>
      </c>
      <c r="C1572" s="7" t="s">
        <v>2127</v>
      </c>
      <c r="D1572" s="7" t="n">
        <v>2303</v>
      </c>
      <c r="E1572" s="7" t="s">
        <v>50</v>
      </c>
      <c r="F1572" s="7" t="n">
        <v>-32.921204</v>
      </c>
      <c r="G1572" s="7" t="n">
        <v>151.747974</v>
      </c>
      <c r="H1572" s="7" t="s">
        <v>6980</v>
      </c>
    </row>
    <row r="1573" customFormat="false" ht="15" hidden="false" customHeight="false" outlineLevel="0" collapsed="false">
      <c r="A1573" s="7" t="s">
        <v>6947</v>
      </c>
      <c r="B1573" s="7" t="s">
        <v>6964</v>
      </c>
      <c r="C1573" s="7" t="s">
        <v>2128</v>
      </c>
      <c r="D1573" s="7" t="n">
        <v>2727</v>
      </c>
      <c r="E1573" s="7" t="s">
        <v>50</v>
      </c>
      <c r="F1573" s="7" t="n">
        <v>-34.924426</v>
      </c>
      <c r="G1573" s="7" t="n">
        <v>148.165423</v>
      </c>
      <c r="H1573" s="7" t="s">
        <v>7001</v>
      </c>
    </row>
    <row r="1574" customFormat="false" ht="15" hidden="false" customHeight="false" outlineLevel="0" collapsed="false">
      <c r="A1574" s="7" t="s">
        <v>6947</v>
      </c>
      <c r="B1574" s="7" t="s">
        <v>2129</v>
      </c>
      <c r="C1574" s="7" t="s">
        <v>2130</v>
      </c>
      <c r="D1574" s="7" t="n">
        <v>2315</v>
      </c>
      <c r="E1574" s="7" t="s">
        <v>50</v>
      </c>
      <c r="F1574" s="7" t="n">
        <v>-32.742422</v>
      </c>
      <c r="G1574" s="7" t="n">
        <v>152.169223</v>
      </c>
      <c r="H1574" s="7" t="s">
        <v>7023</v>
      </c>
    </row>
    <row r="1575" customFormat="false" ht="15" hidden="false" customHeight="false" outlineLevel="0" collapsed="false">
      <c r="A1575" s="7" t="s">
        <v>6947</v>
      </c>
      <c r="B1575" s="7" t="s">
        <v>2131</v>
      </c>
      <c r="C1575" s="7" t="s">
        <v>2132</v>
      </c>
      <c r="D1575" s="7" t="n">
        <v>2787</v>
      </c>
      <c r="E1575" s="7" t="s">
        <v>50</v>
      </c>
      <c r="F1575" s="7" t="n">
        <v>-33.708753</v>
      </c>
      <c r="G1575" s="7" t="n">
        <v>149.857792</v>
      </c>
      <c r="H1575" s="7" t="s">
        <v>7154</v>
      </c>
    </row>
    <row r="1576" customFormat="false" ht="15" hidden="false" customHeight="false" outlineLevel="0" collapsed="false">
      <c r="A1576" s="7" t="s">
        <v>6947</v>
      </c>
      <c r="B1576" s="7" t="s">
        <v>6960</v>
      </c>
      <c r="C1576" s="7" t="s">
        <v>2133</v>
      </c>
      <c r="D1576" s="7" t="n">
        <v>2250</v>
      </c>
      <c r="E1576" s="7" t="s">
        <v>50</v>
      </c>
      <c r="F1576" s="7" t="n">
        <v>-33.408225</v>
      </c>
      <c r="G1576" s="7" t="n">
        <v>151.351106</v>
      </c>
      <c r="H1576" s="7" t="s">
        <v>7155</v>
      </c>
    </row>
    <row r="1577" customFormat="false" ht="15" hidden="false" customHeight="false" outlineLevel="0" collapsed="false">
      <c r="A1577" s="7" t="s">
        <v>6947</v>
      </c>
      <c r="B1577" s="7" t="s">
        <v>2134</v>
      </c>
      <c r="C1577" s="7" t="s">
        <v>2135</v>
      </c>
      <c r="D1577" s="7" t="n">
        <v>2320</v>
      </c>
      <c r="E1577" s="7" t="s">
        <v>50</v>
      </c>
      <c r="F1577" s="7" t="n">
        <v>-32.771514</v>
      </c>
      <c r="G1577" s="7" t="n">
        <v>151.302431</v>
      </c>
      <c r="H1577" s="7" t="s">
        <v>6981</v>
      </c>
    </row>
    <row r="1578" customFormat="false" ht="15" hidden="false" customHeight="false" outlineLevel="0" collapsed="false">
      <c r="A1578" s="7" t="s">
        <v>6947</v>
      </c>
      <c r="B1578" s="7" t="s">
        <v>2136</v>
      </c>
      <c r="C1578" s="7" t="s">
        <v>2137</v>
      </c>
      <c r="D1578" s="7" t="n">
        <v>2720</v>
      </c>
      <c r="E1578" s="7" t="s">
        <v>50</v>
      </c>
      <c r="F1578" s="7" t="n">
        <v>-35.582525</v>
      </c>
      <c r="G1578" s="7" t="n">
        <v>148.297852</v>
      </c>
      <c r="H1578" s="7" t="s">
        <v>6979</v>
      </c>
    </row>
    <row r="1579" customFormat="false" ht="15" hidden="false" customHeight="false" outlineLevel="0" collapsed="false">
      <c r="A1579" s="7" t="s">
        <v>6947</v>
      </c>
      <c r="B1579" s="7" t="s">
        <v>7122</v>
      </c>
      <c r="C1579" s="7" t="s">
        <v>2138</v>
      </c>
      <c r="D1579" s="7" t="n">
        <v>2022</v>
      </c>
      <c r="E1579" s="7" t="s">
        <v>50</v>
      </c>
      <c r="F1579" s="7" t="n">
        <v>-33.893767</v>
      </c>
      <c r="G1579" s="7" t="n">
        <v>151.253291</v>
      </c>
      <c r="H1579" s="7" t="s">
        <v>7117</v>
      </c>
    </row>
    <row r="1580" customFormat="false" ht="15" hidden="false" customHeight="false" outlineLevel="0" collapsed="false">
      <c r="A1580" s="7" t="s">
        <v>6947</v>
      </c>
      <c r="B1580" s="7" t="s">
        <v>6962</v>
      </c>
      <c r="C1580" s="7" t="s">
        <v>2139</v>
      </c>
      <c r="D1580" s="7" t="n">
        <v>2022</v>
      </c>
      <c r="E1580" s="7" t="s">
        <v>50</v>
      </c>
      <c r="F1580" s="7" t="n">
        <v>-33.893292</v>
      </c>
      <c r="G1580" s="7" t="n">
        <v>151.256561</v>
      </c>
      <c r="H1580" s="7" t="s">
        <v>6983</v>
      </c>
    </row>
    <row r="1581" customFormat="false" ht="15" hidden="false" customHeight="false" outlineLevel="0" collapsed="false">
      <c r="A1581" s="7" t="s">
        <v>6947</v>
      </c>
      <c r="B1581" s="7" t="s">
        <v>2140</v>
      </c>
      <c r="C1581" s="7" t="s">
        <v>2141</v>
      </c>
      <c r="D1581" s="7" t="n">
        <v>2428</v>
      </c>
      <c r="E1581" s="7" t="s">
        <v>50</v>
      </c>
      <c r="F1581" s="7" t="n">
        <v>-32.183034</v>
      </c>
      <c r="G1581" s="7" t="n">
        <v>152.514774</v>
      </c>
      <c r="H1581" s="7" t="s">
        <v>6981</v>
      </c>
    </row>
    <row r="1582" customFormat="false" ht="15" hidden="false" customHeight="false" outlineLevel="0" collapsed="false">
      <c r="A1582" s="7" t="s">
        <v>6947</v>
      </c>
      <c r="B1582" s="7" t="s">
        <v>6993</v>
      </c>
      <c r="C1582" s="7" t="s">
        <v>2142</v>
      </c>
      <c r="D1582" s="7" t="n">
        <v>2064</v>
      </c>
      <c r="E1582" s="7" t="s">
        <v>50</v>
      </c>
      <c r="F1582" s="7" t="n">
        <v>-33.809362</v>
      </c>
      <c r="G1582" s="7" t="n">
        <v>151.182602</v>
      </c>
      <c r="H1582" s="7" t="s">
        <v>6994</v>
      </c>
    </row>
    <row r="1583" customFormat="false" ht="15" hidden="false" customHeight="false" outlineLevel="0" collapsed="false">
      <c r="A1583" s="7" t="s">
        <v>6947</v>
      </c>
      <c r="B1583" s="7" t="s">
        <v>2143</v>
      </c>
      <c r="C1583" s="7" t="s">
        <v>2144</v>
      </c>
      <c r="D1583" s="7" t="n">
        <v>2250</v>
      </c>
      <c r="E1583" s="7" t="s">
        <v>50</v>
      </c>
      <c r="F1583" s="7" t="n">
        <v>-33.434931</v>
      </c>
      <c r="G1583" s="7" t="n">
        <v>151.297602</v>
      </c>
      <c r="H1583" s="7" t="s">
        <v>7129</v>
      </c>
    </row>
    <row r="1584" customFormat="false" ht="15" hidden="false" customHeight="false" outlineLevel="0" collapsed="false">
      <c r="A1584" s="7" t="s">
        <v>6947</v>
      </c>
      <c r="B1584" s="7" t="s">
        <v>2145</v>
      </c>
      <c r="C1584" s="7" t="s">
        <v>2146</v>
      </c>
      <c r="D1584" s="7" t="n">
        <v>2325</v>
      </c>
      <c r="E1584" s="7" t="s">
        <v>50</v>
      </c>
      <c r="F1584" s="7" t="n">
        <v>-32.834912</v>
      </c>
      <c r="G1584" s="7" t="n">
        <v>151.35333</v>
      </c>
      <c r="H1584" s="7" t="s">
        <v>7066</v>
      </c>
    </row>
    <row r="1585" customFormat="false" ht="15" hidden="false" customHeight="false" outlineLevel="0" collapsed="false">
      <c r="A1585" s="7" t="s">
        <v>6947</v>
      </c>
      <c r="B1585" s="7" t="s">
        <v>7122</v>
      </c>
      <c r="C1585" s="7" t="s">
        <v>2147</v>
      </c>
      <c r="D1585" s="7" t="n">
        <v>2203</v>
      </c>
      <c r="E1585" s="7" t="s">
        <v>50</v>
      </c>
      <c r="F1585" s="7" t="n">
        <v>-33.901384</v>
      </c>
      <c r="G1585" s="7" t="n">
        <v>151.139751</v>
      </c>
      <c r="H1585" s="7" t="s">
        <v>7117</v>
      </c>
    </row>
    <row r="1586" customFormat="false" ht="15" hidden="false" customHeight="false" outlineLevel="0" collapsed="false">
      <c r="A1586" s="7" t="s">
        <v>6947</v>
      </c>
      <c r="B1586" s="7" t="s">
        <v>2148</v>
      </c>
      <c r="C1586" s="7" t="s">
        <v>2149</v>
      </c>
      <c r="D1586" s="7" t="n">
        <v>2290</v>
      </c>
      <c r="E1586" s="7" t="s">
        <v>50</v>
      </c>
      <c r="F1586" s="7" t="n">
        <v>-32.967048</v>
      </c>
      <c r="G1586" s="7" t="n">
        <v>151.692591</v>
      </c>
      <c r="H1586" s="7" t="s">
        <v>6981</v>
      </c>
    </row>
    <row r="1587" customFormat="false" ht="15" hidden="false" customHeight="false" outlineLevel="0" collapsed="false">
      <c r="A1587" s="7" t="s">
        <v>6947</v>
      </c>
      <c r="B1587" s="7" t="s">
        <v>7122</v>
      </c>
      <c r="C1587" s="7" t="s">
        <v>2150</v>
      </c>
      <c r="D1587" s="7" t="n">
        <v>2041</v>
      </c>
      <c r="E1587" s="7" t="s">
        <v>50</v>
      </c>
      <c r="F1587" s="7" t="n">
        <v>-33.858114</v>
      </c>
      <c r="G1587" s="7" t="n">
        <v>151.195082</v>
      </c>
      <c r="H1587" s="7" t="s">
        <v>7117</v>
      </c>
    </row>
    <row r="1588" customFormat="false" ht="15" hidden="false" customHeight="false" outlineLevel="0" collapsed="false">
      <c r="A1588" s="7" t="s">
        <v>6947</v>
      </c>
      <c r="B1588" s="7" t="s">
        <v>6962</v>
      </c>
      <c r="C1588" s="7" t="s">
        <v>2151</v>
      </c>
      <c r="D1588" s="7" t="n">
        <v>2030</v>
      </c>
      <c r="E1588" s="7" t="s">
        <v>50</v>
      </c>
      <c r="F1588" s="7" t="n">
        <v>-33.868843</v>
      </c>
      <c r="G1588" s="7" t="n">
        <v>151.279945</v>
      </c>
      <c r="H1588" s="7" t="s">
        <v>6983</v>
      </c>
    </row>
    <row r="1589" customFormat="false" ht="15" hidden="false" customHeight="false" outlineLevel="0" collapsed="false">
      <c r="A1589" s="7" t="s">
        <v>6947</v>
      </c>
      <c r="B1589" s="7" t="s">
        <v>7122</v>
      </c>
      <c r="C1589" s="7" t="s">
        <v>2152</v>
      </c>
      <c r="D1589" s="7" t="n">
        <v>2035</v>
      </c>
      <c r="E1589" s="7" t="s">
        <v>50</v>
      </c>
      <c r="F1589" s="7" t="n">
        <v>-33.942392</v>
      </c>
      <c r="G1589" s="7" t="n">
        <v>151.237986</v>
      </c>
      <c r="H1589" s="7" t="s">
        <v>7117</v>
      </c>
    </row>
    <row r="1590" customFormat="false" ht="15" hidden="false" customHeight="false" outlineLevel="0" collapsed="false">
      <c r="A1590" s="7" t="s">
        <v>6947</v>
      </c>
      <c r="B1590" s="7" t="s">
        <v>6993</v>
      </c>
      <c r="C1590" s="7" t="s">
        <v>2153</v>
      </c>
      <c r="D1590" s="7" t="n">
        <v>2021</v>
      </c>
      <c r="E1590" s="7" t="s">
        <v>50</v>
      </c>
      <c r="F1590" s="7" t="n">
        <v>-33.883511</v>
      </c>
      <c r="G1590" s="7" t="n">
        <v>151.231387</v>
      </c>
      <c r="H1590" s="7" t="s">
        <v>6994</v>
      </c>
    </row>
    <row r="1591" customFormat="false" ht="15" hidden="false" customHeight="false" outlineLevel="0" collapsed="false">
      <c r="A1591" s="7" t="s">
        <v>6947</v>
      </c>
      <c r="B1591" s="7" t="s">
        <v>7122</v>
      </c>
      <c r="C1591" s="7" t="s">
        <v>2154</v>
      </c>
      <c r="D1591" s="7" t="n">
        <v>2131</v>
      </c>
      <c r="E1591" s="7" t="s">
        <v>50</v>
      </c>
      <c r="F1591" s="7" t="n">
        <v>-33.882849</v>
      </c>
      <c r="G1591" s="7" t="n">
        <v>151.130138</v>
      </c>
      <c r="H1591" s="7" t="s">
        <v>7117</v>
      </c>
    </row>
    <row r="1592" customFormat="false" ht="15" hidden="false" customHeight="false" outlineLevel="0" collapsed="false">
      <c r="A1592" s="7" t="s">
        <v>6947</v>
      </c>
      <c r="B1592" s="7" t="s">
        <v>7122</v>
      </c>
      <c r="C1592" s="7" t="s">
        <v>2155</v>
      </c>
      <c r="D1592" s="7" t="n">
        <v>2031</v>
      </c>
      <c r="E1592" s="7" t="s">
        <v>50</v>
      </c>
      <c r="F1592" s="7" t="n">
        <v>-33.911692</v>
      </c>
      <c r="G1592" s="7" t="n">
        <v>151.238865</v>
      </c>
      <c r="H1592" s="7" t="s">
        <v>7117</v>
      </c>
    </row>
    <row r="1593" customFormat="false" ht="15" hidden="false" customHeight="false" outlineLevel="0" collapsed="false">
      <c r="A1593" s="7" t="s">
        <v>6947</v>
      </c>
      <c r="B1593" s="7" t="s">
        <v>147</v>
      </c>
      <c r="C1593" s="7" t="s">
        <v>2156</v>
      </c>
      <c r="D1593" s="7" t="n">
        <v>2650</v>
      </c>
      <c r="E1593" s="7" t="s">
        <v>50</v>
      </c>
      <c r="F1593" s="7" t="n">
        <v>-35.119909</v>
      </c>
      <c r="G1593" s="7" t="n">
        <v>147.371327</v>
      </c>
      <c r="H1593" s="7" t="s">
        <v>7127</v>
      </c>
    </row>
    <row r="1594" customFormat="false" ht="15" hidden="false" customHeight="false" outlineLevel="0" collapsed="false">
      <c r="A1594" s="7" t="s">
        <v>6947</v>
      </c>
      <c r="B1594" s="7" t="s">
        <v>7122</v>
      </c>
      <c r="C1594" s="7" t="s">
        <v>2157</v>
      </c>
      <c r="D1594" s="7" t="n">
        <v>2038</v>
      </c>
      <c r="E1594" s="7" t="s">
        <v>50</v>
      </c>
      <c r="F1594" s="7" t="n">
        <v>-33.885181</v>
      </c>
      <c r="G1594" s="7" t="n">
        <v>151.171943</v>
      </c>
      <c r="H1594" s="7" t="s">
        <v>7117</v>
      </c>
    </row>
    <row r="1595" customFormat="false" ht="15" hidden="false" customHeight="false" outlineLevel="0" collapsed="false">
      <c r="A1595" s="7" t="s">
        <v>6947</v>
      </c>
      <c r="B1595" s="7" t="s">
        <v>6962</v>
      </c>
      <c r="C1595" s="7" t="s">
        <v>2158</v>
      </c>
      <c r="D1595" s="7" t="n">
        <v>2029</v>
      </c>
      <c r="E1595" s="7" t="s">
        <v>50</v>
      </c>
      <c r="F1595" s="7" t="n">
        <v>-33.879038</v>
      </c>
      <c r="G1595" s="7" t="n">
        <v>151.263109</v>
      </c>
      <c r="H1595" s="7" t="s">
        <v>6983</v>
      </c>
    </row>
    <row r="1596" customFormat="false" ht="15" hidden="false" customHeight="false" outlineLevel="0" collapsed="false">
      <c r="A1596" s="7" t="s">
        <v>6947</v>
      </c>
      <c r="B1596" s="7" t="s">
        <v>7035</v>
      </c>
      <c r="C1596" s="7" t="s">
        <v>2159</v>
      </c>
      <c r="D1596" s="7" t="n">
        <v>2049</v>
      </c>
      <c r="E1596" s="7" t="s">
        <v>50</v>
      </c>
      <c r="F1596" s="7" t="n">
        <v>-33.897078</v>
      </c>
      <c r="G1596" s="7" t="n">
        <v>151.157994</v>
      </c>
      <c r="H1596" s="7" t="s">
        <v>7036</v>
      </c>
    </row>
    <row r="1597" customFormat="false" ht="15" hidden="false" customHeight="false" outlineLevel="0" collapsed="false">
      <c r="A1597" s="7" t="s">
        <v>6947</v>
      </c>
      <c r="B1597" s="7" t="s">
        <v>2160</v>
      </c>
      <c r="C1597" s="7" t="s">
        <v>2161</v>
      </c>
      <c r="D1597" s="7" t="n">
        <v>2877</v>
      </c>
      <c r="E1597" s="7" t="s">
        <v>50</v>
      </c>
      <c r="F1597" s="7" t="n">
        <v>-33.0886</v>
      </c>
      <c r="G1597" s="7" t="n">
        <v>147.149487</v>
      </c>
      <c r="H1597" s="7" t="s">
        <v>6984</v>
      </c>
    </row>
    <row r="1598" customFormat="false" ht="15" hidden="false" customHeight="false" outlineLevel="0" collapsed="false">
      <c r="A1598" s="7" t="s">
        <v>6947</v>
      </c>
      <c r="B1598" s="7" t="s">
        <v>2162</v>
      </c>
      <c r="C1598" s="7" t="s">
        <v>2163</v>
      </c>
      <c r="D1598" s="7" t="n">
        <v>2286</v>
      </c>
      <c r="E1598" s="7" t="s">
        <v>50</v>
      </c>
      <c r="F1598" s="7" t="n">
        <v>-32.902336</v>
      </c>
      <c r="G1598" s="7" t="n">
        <v>151.582427</v>
      </c>
      <c r="H1598" s="7" t="s">
        <v>7125</v>
      </c>
    </row>
    <row r="1599" customFormat="false" ht="15" hidden="false" customHeight="false" outlineLevel="0" collapsed="false">
      <c r="A1599" s="7" t="s">
        <v>6947</v>
      </c>
      <c r="B1599" s="7" t="s">
        <v>2164</v>
      </c>
      <c r="C1599" s="7" t="s">
        <v>2165</v>
      </c>
      <c r="D1599" s="7" t="n">
        <v>2250</v>
      </c>
      <c r="E1599" s="7" t="s">
        <v>50</v>
      </c>
      <c r="F1599" s="7" t="n">
        <v>-33.406527</v>
      </c>
      <c r="G1599" s="7" t="n">
        <v>151.350605</v>
      </c>
      <c r="H1599" s="7" t="s">
        <v>7145</v>
      </c>
    </row>
    <row r="1600" customFormat="false" ht="15" hidden="false" customHeight="false" outlineLevel="0" collapsed="false">
      <c r="A1600" s="7" t="s">
        <v>6947</v>
      </c>
      <c r="B1600" s="7" t="s">
        <v>2166</v>
      </c>
      <c r="C1600" s="7" t="s">
        <v>2167</v>
      </c>
      <c r="D1600" s="7" t="n">
        <v>2430</v>
      </c>
      <c r="E1600" s="7" t="s">
        <v>50</v>
      </c>
      <c r="F1600" s="7" t="n">
        <v>-32.065501</v>
      </c>
      <c r="G1600" s="7" t="n">
        <v>152.532248</v>
      </c>
      <c r="H1600" s="7" t="s">
        <v>6981</v>
      </c>
    </row>
    <row r="1601" customFormat="false" ht="15" hidden="false" customHeight="false" outlineLevel="0" collapsed="false">
      <c r="A1601" s="7" t="s">
        <v>6947</v>
      </c>
      <c r="B1601" s="7" t="s">
        <v>2168</v>
      </c>
      <c r="C1601" s="7" t="s">
        <v>2169</v>
      </c>
      <c r="D1601" s="7" t="n">
        <v>2340</v>
      </c>
      <c r="E1601" s="7" t="s">
        <v>50</v>
      </c>
      <c r="F1601" s="7" t="n">
        <v>-31.089493</v>
      </c>
      <c r="G1601" s="7" t="n">
        <v>150.929777</v>
      </c>
      <c r="H1601" s="7" t="s">
        <v>7156</v>
      </c>
    </row>
    <row r="1602" customFormat="false" ht="15" hidden="false" customHeight="false" outlineLevel="0" collapsed="false">
      <c r="A1602" s="7" t="s">
        <v>6947</v>
      </c>
      <c r="B1602" s="7" t="s">
        <v>7122</v>
      </c>
      <c r="C1602" s="7" t="s">
        <v>2170</v>
      </c>
      <c r="D1602" s="7" t="n">
        <v>2034</v>
      </c>
      <c r="E1602" s="7" t="s">
        <v>50</v>
      </c>
      <c r="F1602" s="7" t="n">
        <v>-33.924379</v>
      </c>
      <c r="G1602" s="7" t="n">
        <v>151.251526</v>
      </c>
      <c r="H1602" s="7" t="s">
        <v>7117</v>
      </c>
    </row>
    <row r="1603" customFormat="false" ht="15" hidden="false" customHeight="false" outlineLevel="0" collapsed="false">
      <c r="A1603" s="7" t="s">
        <v>6947</v>
      </c>
      <c r="B1603" s="7" t="s">
        <v>2171</v>
      </c>
      <c r="C1603" s="7" t="s">
        <v>2172</v>
      </c>
      <c r="D1603" s="7" t="n">
        <v>2358</v>
      </c>
      <c r="E1603" s="7" t="s">
        <v>50</v>
      </c>
      <c r="F1603" s="7" t="n">
        <v>-30.63916</v>
      </c>
      <c r="G1603" s="7" t="n">
        <v>151.498368</v>
      </c>
      <c r="H1603" s="7" t="s">
        <v>7139</v>
      </c>
    </row>
    <row r="1604" customFormat="false" ht="15" hidden="false" customHeight="false" outlineLevel="0" collapsed="false">
      <c r="A1604" s="7" t="s">
        <v>6947</v>
      </c>
      <c r="B1604" s="7" t="s">
        <v>7122</v>
      </c>
      <c r="C1604" s="7" t="s">
        <v>2174</v>
      </c>
      <c r="D1604" s="7" t="n">
        <v>2029</v>
      </c>
      <c r="E1604" s="7" t="s">
        <v>50</v>
      </c>
      <c r="F1604" s="7" t="n">
        <v>-33.869016</v>
      </c>
      <c r="G1604" s="7" t="n">
        <v>151.275008</v>
      </c>
      <c r="H1604" s="7" t="s">
        <v>7117</v>
      </c>
    </row>
    <row r="1605" customFormat="false" ht="15" hidden="false" customHeight="false" outlineLevel="0" collapsed="false">
      <c r="A1605" s="7" t="s">
        <v>6947</v>
      </c>
      <c r="B1605" s="7" t="s">
        <v>2175</v>
      </c>
      <c r="C1605" s="7" t="s">
        <v>2176</v>
      </c>
      <c r="D1605" s="7" t="n">
        <v>2640</v>
      </c>
      <c r="E1605" s="7" t="s">
        <v>50</v>
      </c>
      <c r="F1605" s="7" t="n">
        <v>-36.085318</v>
      </c>
      <c r="G1605" s="7" t="n">
        <v>146.915868</v>
      </c>
      <c r="H1605" s="7" t="s">
        <v>6991</v>
      </c>
    </row>
    <row r="1606" customFormat="false" ht="15" hidden="false" customHeight="false" outlineLevel="0" collapsed="false">
      <c r="A1606" s="7" t="s">
        <v>6947</v>
      </c>
      <c r="B1606" s="7" t="s">
        <v>2177</v>
      </c>
      <c r="C1606" s="7" t="s">
        <v>2178</v>
      </c>
      <c r="D1606" s="7" t="n">
        <v>2640</v>
      </c>
      <c r="E1606" s="7" t="s">
        <v>50</v>
      </c>
      <c r="F1606" s="7" t="n">
        <v>-36.082605</v>
      </c>
      <c r="G1606" s="7" t="n">
        <v>146.916791</v>
      </c>
      <c r="H1606" s="7" t="s">
        <v>6979</v>
      </c>
    </row>
    <row r="1607" customFormat="false" ht="15" hidden="false" customHeight="false" outlineLevel="0" collapsed="false">
      <c r="A1607" s="7" t="s">
        <v>6947</v>
      </c>
      <c r="B1607" s="7" t="s">
        <v>2179</v>
      </c>
      <c r="C1607" s="7" t="s">
        <v>2180</v>
      </c>
      <c r="D1607" s="7" t="n">
        <v>2550</v>
      </c>
      <c r="E1607" s="7" t="s">
        <v>50</v>
      </c>
      <c r="F1607" s="7" t="n">
        <v>-36.386768</v>
      </c>
      <c r="G1607" s="7" t="n">
        <v>149.887693</v>
      </c>
      <c r="H1607" s="7" t="s">
        <v>6983</v>
      </c>
    </row>
    <row r="1608" customFormat="false" ht="15" hidden="false" customHeight="false" outlineLevel="0" collapsed="false">
      <c r="A1608" s="7" t="s">
        <v>6947</v>
      </c>
      <c r="B1608" s="7" t="s">
        <v>6962</v>
      </c>
      <c r="C1608" s="7" t="s">
        <v>2181</v>
      </c>
      <c r="D1608" s="7" t="n">
        <v>2024</v>
      </c>
      <c r="E1608" s="7" t="s">
        <v>50</v>
      </c>
      <c r="F1608" s="7" t="n">
        <v>-33.906671</v>
      </c>
      <c r="G1608" s="7" t="n">
        <v>151.26929</v>
      </c>
      <c r="H1608" s="7" t="s">
        <v>6983</v>
      </c>
    </row>
    <row r="1609" customFormat="false" ht="15" hidden="false" customHeight="false" outlineLevel="0" collapsed="false">
      <c r="A1609" s="7" t="s">
        <v>6947</v>
      </c>
      <c r="B1609" s="7" t="s">
        <v>7035</v>
      </c>
      <c r="C1609" s="7" t="s">
        <v>2182</v>
      </c>
      <c r="D1609" s="7" t="n">
        <v>2204</v>
      </c>
      <c r="E1609" s="7" t="s">
        <v>50</v>
      </c>
      <c r="F1609" s="7" t="n">
        <v>-33.920088</v>
      </c>
      <c r="G1609" s="7" t="n">
        <v>151.144113</v>
      </c>
      <c r="H1609" s="7" t="s">
        <v>7148</v>
      </c>
    </row>
    <row r="1610" customFormat="false" ht="15" hidden="false" customHeight="false" outlineLevel="0" collapsed="false">
      <c r="A1610" s="7" t="s">
        <v>6947</v>
      </c>
      <c r="B1610" s="7" t="s">
        <v>2183</v>
      </c>
      <c r="C1610" s="7" t="s">
        <v>2184</v>
      </c>
      <c r="D1610" s="7" t="n">
        <v>2285</v>
      </c>
      <c r="E1610" s="7" t="s">
        <v>50</v>
      </c>
      <c r="F1610" s="7" t="n">
        <v>-32.942839</v>
      </c>
      <c r="G1610" s="7" t="n">
        <v>151.65728</v>
      </c>
      <c r="H1610" s="7" t="s">
        <v>7130</v>
      </c>
    </row>
    <row r="1611" customFormat="false" ht="15" hidden="false" customHeight="false" outlineLevel="0" collapsed="false">
      <c r="A1611" s="7" t="s">
        <v>6947</v>
      </c>
      <c r="B1611" s="7" t="s">
        <v>1257</v>
      </c>
      <c r="C1611" s="7" t="s">
        <v>2185</v>
      </c>
      <c r="D1611" s="7" t="n">
        <v>2680</v>
      </c>
      <c r="E1611" s="7" t="s">
        <v>50</v>
      </c>
      <c r="F1611" s="7" t="n">
        <v>-34.286631</v>
      </c>
      <c r="G1611" s="7" t="n">
        <v>146.044525</v>
      </c>
      <c r="H1611" s="7" t="s">
        <v>7133</v>
      </c>
    </row>
    <row r="1612" customFormat="false" ht="15" hidden="false" customHeight="false" outlineLevel="0" collapsed="false">
      <c r="A1612" s="7" t="s">
        <v>6947</v>
      </c>
      <c r="B1612" s="7" t="s">
        <v>2186</v>
      </c>
      <c r="C1612" s="7" t="s">
        <v>2187</v>
      </c>
      <c r="D1612" s="7" t="n">
        <v>2620</v>
      </c>
      <c r="E1612" s="7" t="s">
        <v>50</v>
      </c>
      <c r="F1612" s="7" t="n">
        <v>-35.357339</v>
      </c>
      <c r="G1612" s="7" t="n">
        <v>149.22252</v>
      </c>
      <c r="H1612" s="7" t="s">
        <v>6981</v>
      </c>
    </row>
    <row r="1613" customFormat="false" ht="15" hidden="false" customHeight="false" outlineLevel="0" collapsed="false">
      <c r="A1613" s="7" t="s">
        <v>6947</v>
      </c>
      <c r="B1613" s="7" t="s">
        <v>2188</v>
      </c>
      <c r="C1613" s="7" t="s">
        <v>2189</v>
      </c>
      <c r="D1613" s="7" t="n">
        <v>2421</v>
      </c>
      <c r="E1613" s="7" t="s">
        <v>50</v>
      </c>
      <c r="F1613" s="7" t="n">
        <v>-32.545318</v>
      </c>
      <c r="G1613" s="7" t="n">
        <v>151.50875</v>
      </c>
      <c r="H1613" s="7" t="s">
        <v>6969</v>
      </c>
    </row>
    <row r="1614" customFormat="false" ht="15" hidden="false" customHeight="false" outlineLevel="0" collapsed="false">
      <c r="A1614" s="7" t="s">
        <v>6947</v>
      </c>
      <c r="B1614" s="7" t="s">
        <v>2190</v>
      </c>
      <c r="C1614" s="7" t="s">
        <v>2191</v>
      </c>
      <c r="D1614" s="7" t="n">
        <v>2481</v>
      </c>
      <c r="E1614" s="7" t="s">
        <v>50</v>
      </c>
      <c r="F1614" s="7" t="n">
        <v>-28.673277</v>
      </c>
      <c r="G1614" s="7" t="n">
        <v>153.612586</v>
      </c>
      <c r="H1614" s="7" t="s">
        <v>6981</v>
      </c>
    </row>
    <row r="1615" customFormat="false" ht="15" hidden="false" customHeight="false" outlineLevel="0" collapsed="false">
      <c r="A1615" s="7" t="s">
        <v>6947</v>
      </c>
      <c r="B1615" s="7" t="s">
        <v>6993</v>
      </c>
      <c r="C1615" s="7" t="s">
        <v>2192</v>
      </c>
      <c r="D1615" s="7" t="n">
        <v>2024</v>
      </c>
      <c r="E1615" s="7" t="s">
        <v>50</v>
      </c>
      <c r="F1615" s="7" t="n">
        <v>-33.899281</v>
      </c>
      <c r="G1615" s="7" t="n">
        <v>151.258976</v>
      </c>
      <c r="H1615" s="7" t="s">
        <v>6994</v>
      </c>
    </row>
    <row r="1616" customFormat="false" ht="15" hidden="false" customHeight="false" outlineLevel="0" collapsed="false">
      <c r="A1616" s="7" t="s">
        <v>6947</v>
      </c>
      <c r="B1616" s="7" t="s">
        <v>6962</v>
      </c>
      <c r="C1616" s="7" t="s">
        <v>2193</v>
      </c>
      <c r="D1616" s="7" t="n">
        <v>2022</v>
      </c>
      <c r="E1616" s="7" t="s">
        <v>50</v>
      </c>
      <c r="F1616" s="7" t="n">
        <v>-33.890588</v>
      </c>
      <c r="G1616" s="7" t="n">
        <v>151.245707</v>
      </c>
      <c r="H1616" s="7" t="s">
        <v>6983</v>
      </c>
    </row>
    <row r="1617" customFormat="false" ht="15" hidden="false" customHeight="false" outlineLevel="0" collapsed="false">
      <c r="A1617" s="7" t="s">
        <v>6947</v>
      </c>
      <c r="B1617" s="7" t="s">
        <v>7122</v>
      </c>
      <c r="C1617" s="7" t="s">
        <v>2194</v>
      </c>
      <c r="D1617" s="7" t="n">
        <v>2041</v>
      </c>
      <c r="E1617" s="7" t="s">
        <v>50</v>
      </c>
      <c r="F1617" s="7" t="n">
        <v>-33.851344</v>
      </c>
      <c r="G1617" s="7" t="n">
        <v>151.182194</v>
      </c>
      <c r="H1617" s="7" t="s">
        <v>7117</v>
      </c>
    </row>
    <row r="1618" customFormat="false" ht="15" hidden="false" customHeight="false" outlineLevel="0" collapsed="false">
      <c r="A1618" s="7" t="s">
        <v>6947</v>
      </c>
      <c r="B1618" s="7" t="s">
        <v>6993</v>
      </c>
      <c r="C1618" s="7" t="s">
        <v>2195</v>
      </c>
      <c r="D1618" s="7" t="n">
        <v>2039</v>
      </c>
      <c r="E1618" s="7" t="s">
        <v>50</v>
      </c>
      <c r="F1618" s="7" t="n">
        <v>-33.859157</v>
      </c>
      <c r="G1618" s="7" t="n">
        <v>151.171643</v>
      </c>
      <c r="H1618" s="7" t="s">
        <v>6994</v>
      </c>
    </row>
    <row r="1619" customFormat="false" ht="15" hidden="false" customHeight="false" outlineLevel="0" collapsed="false">
      <c r="A1619" s="7" t="s">
        <v>6947</v>
      </c>
      <c r="B1619" s="7" t="s">
        <v>2196</v>
      </c>
      <c r="C1619" s="7" t="s">
        <v>2197</v>
      </c>
      <c r="D1619" s="7" t="n">
        <v>2316</v>
      </c>
      <c r="E1619" s="7" t="s">
        <v>50</v>
      </c>
      <c r="F1619" s="7" t="n">
        <v>-32.76674</v>
      </c>
      <c r="G1619" s="7" t="n">
        <v>152.11538</v>
      </c>
      <c r="H1619" s="7" t="s">
        <v>6991</v>
      </c>
    </row>
    <row r="1620" customFormat="false" ht="15" hidden="false" customHeight="false" outlineLevel="0" collapsed="false">
      <c r="A1620" s="7" t="s">
        <v>6947</v>
      </c>
      <c r="B1620" s="7" t="s">
        <v>2198</v>
      </c>
      <c r="C1620" s="7" t="s">
        <v>2199</v>
      </c>
      <c r="D1620" s="7" t="n">
        <v>2620</v>
      </c>
      <c r="E1620" s="7" t="s">
        <v>50</v>
      </c>
      <c r="F1620" s="7" t="n">
        <v>-35.35045</v>
      </c>
      <c r="G1620" s="7" t="n">
        <v>149.241722</v>
      </c>
      <c r="H1620" s="7" t="s">
        <v>7152</v>
      </c>
    </row>
    <row r="1621" customFormat="false" ht="15" hidden="false" customHeight="false" outlineLevel="0" collapsed="false">
      <c r="A1621" s="7" t="s">
        <v>6947</v>
      </c>
      <c r="B1621" s="7" t="s">
        <v>7122</v>
      </c>
      <c r="C1621" s="7" t="s">
        <v>2200</v>
      </c>
      <c r="D1621" s="7" t="n">
        <v>2050</v>
      </c>
      <c r="E1621" s="7" t="s">
        <v>50</v>
      </c>
      <c r="F1621" s="7" t="n">
        <v>-33.890695</v>
      </c>
      <c r="G1621" s="7" t="n">
        <v>151.177829</v>
      </c>
      <c r="H1621" s="7" t="s">
        <v>7117</v>
      </c>
    </row>
    <row r="1622" customFormat="false" ht="15" hidden="false" customHeight="false" outlineLevel="0" collapsed="false">
      <c r="A1622" s="7" t="s">
        <v>6947</v>
      </c>
      <c r="B1622" s="7" t="s">
        <v>2201</v>
      </c>
      <c r="C1622" s="7" t="s">
        <v>2202</v>
      </c>
      <c r="D1622" s="7" t="n">
        <v>2450</v>
      </c>
      <c r="E1622" s="7" t="s">
        <v>50</v>
      </c>
      <c r="F1622" s="7" t="n">
        <v>-30.051057</v>
      </c>
      <c r="G1622" s="7" t="n">
        <v>152.979123</v>
      </c>
      <c r="H1622" s="7" t="s">
        <v>6991</v>
      </c>
    </row>
    <row r="1623" customFormat="false" ht="15" hidden="false" customHeight="false" outlineLevel="0" collapsed="false">
      <c r="A1623" s="7" t="s">
        <v>6947</v>
      </c>
      <c r="B1623" s="7" t="s">
        <v>6962</v>
      </c>
      <c r="C1623" s="7" t="s">
        <v>2203</v>
      </c>
      <c r="D1623" s="7" t="n">
        <v>2300</v>
      </c>
      <c r="E1623" s="7" t="s">
        <v>50</v>
      </c>
      <c r="F1623" s="7" t="n">
        <v>-32.92414</v>
      </c>
      <c r="G1623" s="7" t="n">
        <v>151.789427</v>
      </c>
      <c r="H1623" s="7" t="s">
        <v>7030</v>
      </c>
    </row>
    <row r="1624" customFormat="false" ht="15" hidden="false" customHeight="false" outlineLevel="0" collapsed="false">
      <c r="A1624" s="7" t="s">
        <v>6947</v>
      </c>
      <c r="B1624" s="7" t="s">
        <v>7122</v>
      </c>
      <c r="C1624" s="7" t="s">
        <v>2204</v>
      </c>
      <c r="D1624" s="7" t="n">
        <v>2031</v>
      </c>
      <c r="E1624" s="7" t="s">
        <v>50</v>
      </c>
      <c r="F1624" s="7" t="n">
        <v>-33.911903</v>
      </c>
      <c r="G1624" s="7" t="n">
        <v>151.238386</v>
      </c>
      <c r="H1624" s="7" t="s">
        <v>7117</v>
      </c>
    </row>
    <row r="1625" customFormat="false" ht="15" hidden="false" customHeight="false" outlineLevel="0" collapsed="false">
      <c r="A1625" s="7" t="s">
        <v>6947</v>
      </c>
      <c r="B1625" s="7" t="s">
        <v>2205</v>
      </c>
      <c r="C1625" s="7" t="s">
        <v>2206</v>
      </c>
      <c r="D1625" s="7" t="n">
        <v>2621</v>
      </c>
      <c r="E1625" s="7" t="s">
        <v>50</v>
      </c>
      <c r="F1625" s="7" t="n">
        <v>-35.257667</v>
      </c>
      <c r="G1625" s="7" t="n">
        <v>149.43939</v>
      </c>
      <c r="H1625" s="7" t="s">
        <v>7028</v>
      </c>
    </row>
    <row r="1626" customFormat="false" ht="15" hidden="false" customHeight="false" outlineLevel="0" collapsed="false">
      <c r="A1626" s="7" t="s">
        <v>6947</v>
      </c>
      <c r="B1626" s="7" t="s">
        <v>7122</v>
      </c>
      <c r="C1626" s="7" t="s">
        <v>2207</v>
      </c>
      <c r="D1626" s="7" t="n">
        <v>2042</v>
      </c>
      <c r="E1626" s="7" t="s">
        <v>50</v>
      </c>
      <c r="F1626" s="7" t="n">
        <v>-33.90436</v>
      </c>
      <c r="G1626" s="7" t="n">
        <v>151.177795</v>
      </c>
      <c r="H1626" s="7" t="s">
        <v>7117</v>
      </c>
    </row>
    <row r="1627" customFormat="false" ht="15" hidden="false" customHeight="false" outlineLevel="0" collapsed="false">
      <c r="A1627" s="7" t="s">
        <v>6947</v>
      </c>
      <c r="B1627" s="7" t="s">
        <v>7157</v>
      </c>
      <c r="C1627" s="7" t="s">
        <v>2208</v>
      </c>
      <c r="D1627" s="7" t="n">
        <v>2753</v>
      </c>
      <c r="E1627" s="7" t="s">
        <v>50</v>
      </c>
      <c r="F1627" s="7" t="n">
        <v>-33.601292</v>
      </c>
      <c r="G1627" s="7" t="n">
        <v>150.753448</v>
      </c>
      <c r="H1627" s="7" t="s">
        <v>7158</v>
      </c>
    </row>
    <row r="1628" customFormat="false" ht="15" hidden="false" customHeight="false" outlineLevel="0" collapsed="false">
      <c r="A1628" s="7" t="s">
        <v>6947</v>
      </c>
      <c r="B1628" s="7" t="s">
        <v>7122</v>
      </c>
      <c r="C1628" s="7" t="s">
        <v>2210</v>
      </c>
      <c r="D1628" s="7" t="n">
        <v>2042</v>
      </c>
      <c r="E1628" s="7" t="s">
        <v>50</v>
      </c>
      <c r="F1628" s="7" t="n">
        <v>-33.901177</v>
      </c>
      <c r="G1628" s="7" t="n">
        <v>151.172382</v>
      </c>
      <c r="H1628" s="7" t="s">
        <v>7117</v>
      </c>
    </row>
    <row r="1629" customFormat="false" ht="15" hidden="false" customHeight="false" outlineLevel="0" collapsed="false">
      <c r="A1629" s="7" t="s">
        <v>6947</v>
      </c>
      <c r="B1629" s="7" t="s">
        <v>7122</v>
      </c>
      <c r="C1629" s="7" t="s">
        <v>2211</v>
      </c>
      <c r="D1629" s="7" t="n">
        <v>2021</v>
      </c>
      <c r="E1629" s="7" t="s">
        <v>50</v>
      </c>
      <c r="F1629" s="7" t="n">
        <v>-33.885101</v>
      </c>
      <c r="G1629" s="7" t="n">
        <v>151.233372</v>
      </c>
      <c r="H1629" s="7" t="s">
        <v>7117</v>
      </c>
    </row>
    <row r="1630" customFormat="false" ht="15" hidden="false" customHeight="false" outlineLevel="0" collapsed="false">
      <c r="A1630" s="7" t="s">
        <v>6947</v>
      </c>
      <c r="B1630" s="7" t="s">
        <v>7075</v>
      </c>
      <c r="C1630" s="7" t="s">
        <v>2212</v>
      </c>
      <c r="D1630" s="7" t="n">
        <v>2032</v>
      </c>
      <c r="E1630" s="7" t="s">
        <v>50</v>
      </c>
      <c r="F1630" s="7" t="n">
        <v>-33.926032</v>
      </c>
      <c r="G1630" s="7" t="n">
        <v>151.231266</v>
      </c>
      <c r="H1630" s="7" t="s">
        <v>7140</v>
      </c>
    </row>
    <row r="1631" customFormat="false" ht="15" hidden="false" customHeight="false" outlineLevel="0" collapsed="false">
      <c r="A1631" s="7" t="s">
        <v>6947</v>
      </c>
      <c r="B1631" s="7" t="s">
        <v>7122</v>
      </c>
      <c r="C1631" s="7" t="s">
        <v>2213</v>
      </c>
      <c r="D1631" s="7" t="n">
        <v>2039</v>
      </c>
      <c r="E1631" s="7" t="s">
        <v>50</v>
      </c>
      <c r="F1631" s="7" t="n">
        <v>-33.868388</v>
      </c>
      <c r="G1631" s="7" t="n">
        <v>151.17213</v>
      </c>
      <c r="H1631" s="7" t="s">
        <v>7117</v>
      </c>
    </row>
    <row r="1632" customFormat="false" ht="15" hidden="false" customHeight="false" outlineLevel="0" collapsed="false">
      <c r="A1632" s="7" t="s">
        <v>6947</v>
      </c>
      <c r="B1632" s="7" t="s">
        <v>1939</v>
      </c>
      <c r="C1632" s="7" t="s">
        <v>2214</v>
      </c>
      <c r="D1632" s="7" t="n">
        <v>2627</v>
      </c>
      <c r="E1632" s="7" t="s">
        <v>50</v>
      </c>
      <c r="F1632" s="7" t="n">
        <v>-36.413698</v>
      </c>
      <c r="G1632" s="7" t="n">
        <v>148.620004</v>
      </c>
      <c r="H1632" s="7" t="s">
        <v>7030</v>
      </c>
    </row>
    <row r="1633" customFormat="false" ht="15" hidden="false" customHeight="false" outlineLevel="0" collapsed="false">
      <c r="A1633" s="7" t="s">
        <v>6947</v>
      </c>
      <c r="B1633" s="7" t="s">
        <v>2215</v>
      </c>
      <c r="C1633" s="7" t="s">
        <v>2216</v>
      </c>
      <c r="D1633" s="7" t="n">
        <v>2537</v>
      </c>
      <c r="E1633" s="7" t="s">
        <v>50</v>
      </c>
      <c r="F1633" s="7" t="n">
        <v>-35.856913</v>
      </c>
      <c r="G1633" s="7" t="n">
        <v>150.173779</v>
      </c>
      <c r="H1633" s="7" t="s">
        <v>6981</v>
      </c>
    </row>
    <row r="1634" customFormat="false" ht="15" hidden="false" customHeight="false" outlineLevel="0" collapsed="false">
      <c r="A1634" s="7" t="s">
        <v>6947</v>
      </c>
      <c r="B1634" s="7" t="s">
        <v>2217</v>
      </c>
      <c r="C1634" s="7" t="s">
        <v>2218</v>
      </c>
      <c r="D1634" s="7" t="n">
        <v>2739</v>
      </c>
      <c r="E1634" s="7" t="s">
        <v>50</v>
      </c>
      <c r="F1634" s="7" t="n">
        <v>-34.174626</v>
      </c>
      <c r="G1634" s="7" t="n">
        <v>142.199777</v>
      </c>
      <c r="H1634" s="7" t="s">
        <v>6983</v>
      </c>
    </row>
    <row r="1635" customFormat="false" ht="15" hidden="false" customHeight="false" outlineLevel="0" collapsed="false">
      <c r="A1635" s="7" t="s">
        <v>6947</v>
      </c>
      <c r="B1635" s="7" t="s">
        <v>2219</v>
      </c>
      <c r="C1635" s="7" t="s">
        <v>2220</v>
      </c>
      <c r="D1635" s="7" t="n">
        <v>2630</v>
      </c>
      <c r="E1635" s="7" t="s">
        <v>50</v>
      </c>
      <c r="F1635" s="7" t="n">
        <v>-36.229575</v>
      </c>
      <c r="G1635" s="7" t="n">
        <v>149.135252</v>
      </c>
      <c r="H1635" s="7" t="s">
        <v>7147</v>
      </c>
    </row>
    <row r="1636" customFormat="false" ht="15" hidden="false" customHeight="false" outlineLevel="0" collapsed="false">
      <c r="A1636" s="7" t="s">
        <v>6947</v>
      </c>
      <c r="B1636" s="7" t="s">
        <v>7075</v>
      </c>
      <c r="C1636" s="7" t="s">
        <v>2221</v>
      </c>
      <c r="D1636" s="7" t="n">
        <v>2062</v>
      </c>
      <c r="E1636" s="7" t="s">
        <v>50</v>
      </c>
      <c r="F1636" s="7" t="n">
        <v>-33.822772</v>
      </c>
      <c r="G1636" s="7" t="n">
        <v>151.210925</v>
      </c>
      <c r="H1636" s="7" t="s">
        <v>7140</v>
      </c>
    </row>
    <row r="1637" customFormat="false" ht="15" hidden="false" customHeight="false" outlineLevel="0" collapsed="false">
      <c r="A1637" s="7" t="s">
        <v>6947</v>
      </c>
      <c r="B1637" s="7" t="s">
        <v>7122</v>
      </c>
      <c r="C1637" s="7" t="s">
        <v>2222</v>
      </c>
      <c r="D1637" s="7" t="n">
        <v>2035</v>
      </c>
      <c r="E1637" s="7" t="s">
        <v>50</v>
      </c>
      <c r="F1637" s="7" t="n">
        <v>-33.953264</v>
      </c>
      <c r="G1637" s="7" t="n">
        <v>151.250332</v>
      </c>
      <c r="H1637" s="7" t="s">
        <v>7117</v>
      </c>
    </row>
    <row r="1638" customFormat="false" ht="15" hidden="false" customHeight="false" outlineLevel="0" collapsed="false">
      <c r="A1638" s="7" t="s">
        <v>6947</v>
      </c>
      <c r="B1638" s="7" t="s">
        <v>2223</v>
      </c>
      <c r="C1638" s="7" t="s">
        <v>2224</v>
      </c>
      <c r="D1638" s="7" t="n">
        <v>2500</v>
      </c>
      <c r="E1638" s="7" t="s">
        <v>50</v>
      </c>
      <c r="F1638" s="7" t="n">
        <v>-34.420664</v>
      </c>
      <c r="G1638" s="7" t="n">
        <v>150.896831</v>
      </c>
      <c r="H1638" s="7" t="s">
        <v>7048</v>
      </c>
    </row>
    <row r="1639" customFormat="false" ht="15" hidden="false" customHeight="false" outlineLevel="0" collapsed="false">
      <c r="A1639" s="7" t="s">
        <v>6947</v>
      </c>
      <c r="B1639" s="7" t="s">
        <v>7035</v>
      </c>
      <c r="C1639" s="7" t="s">
        <v>2225</v>
      </c>
      <c r="D1639" s="7" t="n">
        <v>2203</v>
      </c>
      <c r="E1639" s="7" t="s">
        <v>50</v>
      </c>
      <c r="F1639" s="7" t="n">
        <v>-33.901509</v>
      </c>
      <c r="G1639" s="7" t="n">
        <v>151.13675</v>
      </c>
      <c r="H1639" s="7" t="s">
        <v>7036</v>
      </c>
    </row>
    <row r="1640" customFormat="false" ht="15" hidden="false" customHeight="false" outlineLevel="0" collapsed="false">
      <c r="A1640" s="7" t="s">
        <v>6947</v>
      </c>
      <c r="B1640" s="7" t="s">
        <v>2226</v>
      </c>
      <c r="C1640" s="7" t="s">
        <v>2227</v>
      </c>
      <c r="D1640" s="7" t="n">
        <v>2448</v>
      </c>
      <c r="E1640" s="7" t="s">
        <v>50</v>
      </c>
      <c r="F1640" s="7" t="n">
        <v>-30.644402</v>
      </c>
      <c r="G1640" s="7" t="n">
        <v>153.003824</v>
      </c>
      <c r="H1640" s="7" t="s">
        <v>6979</v>
      </c>
    </row>
    <row r="1641" customFormat="false" ht="15" hidden="false" customHeight="false" outlineLevel="0" collapsed="false">
      <c r="A1641" s="7" t="s">
        <v>6947</v>
      </c>
      <c r="B1641" s="7" t="s">
        <v>2228</v>
      </c>
      <c r="C1641" s="7" t="s">
        <v>2229</v>
      </c>
      <c r="D1641" s="7" t="n">
        <v>2648</v>
      </c>
      <c r="E1641" s="7" t="s">
        <v>50</v>
      </c>
      <c r="F1641" s="7" t="n">
        <v>-34.106055</v>
      </c>
      <c r="G1641" s="7" t="n">
        <v>141.919789</v>
      </c>
      <c r="H1641" s="7" t="s">
        <v>6983</v>
      </c>
    </row>
    <row r="1642" customFormat="false" ht="15" hidden="false" customHeight="false" outlineLevel="0" collapsed="false">
      <c r="A1642" s="7" t="s">
        <v>6947</v>
      </c>
      <c r="B1642" s="7" t="s">
        <v>6964</v>
      </c>
      <c r="C1642" s="7" t="s">
        <v>2230</v>
      </c>
      <c r="D1642" s="7" t="n">
        <v>2640</v>
      </c>
      <c r="E1642" s="7" t="s">
        <v>50</v>
      </c>
      <c r="F1642" s="7" t="n">
        <v>-36.079661</v>
      </c>
      <c r="G1642" s="7" t="n">
        <v>146.91389</v>
      </c>
      <c r="H1642" s="7" t="s">
        <v>6966</v>
      </c>
    </row>
    <row r="1643" customFormat="false" ht="15" hidden="false" customHeight="false" outlineLevel="0" collapsed="false">
      <c r="A1643" s="7" t="s">
        <v>6947</v>
      </c>
      <c r="B1643" s="7" t="s">
        <v>2231</v>
      </c>
      <c r="C1643" s="7" t="s">
        <v>2232</v>
      </c>
      <c r="D1643" s="7" t="n">
        <v>2400</v>
      </c>
      <c r="E1643" s="7" t="s">
        <v>50</v>
      </c>
      <c r="F1643" s="7" t="n">
        <v>-29.471727</v>
      </c>
      <c r="G1643" s="7" t="n">
        <v>149.842626</v>
      </c>
      <c r="H1643" s="7" t="s">
        <v>7071</v>
      </c>
    </row>
    <row r="1644" customFormat="false" ht="15" hidden="false" customHeight="false" outlineLevel="0" collapsed="false">
      <c r="A1644" s="7" t="s">
        <v>6947</v>
      </c>
      <c r="B1644" s="7" t="s">
        <v>2233</v>
      </c>
      <c r="C1644" s="7" t="s">
        <v>2234</v>
      </c>
      <c r="D1644" s="7" t="n">
        <v>2440</v>
      </c>
      <c r="E1644" s="7" t="s">
        <v>50</v>
      </c>
      <c r="F1644" s="7" t="n">
        <v>-31.096702</v>
      </c>
      <c r="G1644" s="7" t="n">
        <v>152.835072</v>
      </c>
      <c r="H1644" s="7" t="s">
        <v>6984</v>
      </c>
    </row>
    <row r="1645" customFormat="false" ht="15" hidden="false" customHeight="false" outlineLevel="0" collapsed="false">
      <c r="A1645" s="7" t="s">
        <v>6947</v>
      </c>
      <c r="B1645" s="7" t="s">
        <v>7122</v>
      </c>
      <c r="C1645" s="7" t="s">
        <v>2235</v>
      </c>
      <c r="D1645" s="7" t="n">
        <v>2066</v>
      </c>
      <c r="E1645" s="7" t="s">
        <v>50</v>
      </c>
      <c r="F1645" s="7" t="n">
        <v>-33.8049</v>
      </c>
      <c r="G1645" s="7" t="n">
        <v>151.156134</v>
      </c>
      <c r="H1645" s="7" t="s">
        <v>7117</v>
      </c>
    </row>
    <row r="1646" customFormat="false" ht="15" hidden="false" customHeight="false" outlineLevel="0" collapsed="false">
      <c r="A1646" s="7" t="s">
        <v>6947</v>
      </c>
      <c r="B1646" s="7" t="s">
        <v>2236</v>
      </c>
      <c r="C1646" s="7" t="s">
        <v>2237</v>
      </c>
      <c r="D1646" s="7" t="n">
        <v>2782</v>
      </c>
      <c r="E1646" s="7" t="s">
        <v>50</v>
      </c>
      <c r="F1646" s="7" t="n">
        <v>-33.714822</v>
      </c>
      <c r="G1646" s="7" t="n">
        <v>150.363825</v>
      </c>
      <c r="H1646" s="7" t="s">
        <v>7159</v>
      </c>
    </row>
    <row r="1647" customFormat="false" ht="15" hidden="false" customHeight="false" outlineLevel="0" collapsed="false">
      <c r="A1647" s="7" t="s">
        <v>6947</v>
      </c>
      <c r="B1647" s="7" t="s">
        <v>6962</v>
      </c>
      <c r="C1647" s="7" t="s">
        <v>2238</v>
      </c>
      <c r="D1647" s="7" t="n">
        <v>2035</v>
      </c>
      <c r="E1647" s="7" t="s">
        <v>50</v>
      </c>
      <c r="F1647" s="7" t="n">
        <v>-33.944523</v>
      </c>
      <c r="G1647" s="7" t="n">
        <v>151.232053</v>
      </c>
      <c r="H1647" s="7" t="s">
        <v>6983</v>
      </c>
    </row>
    <row r="1648" customFormat="false" ht="15" hidden="false" customHeight="false" outlineLevel="0" collapsed="false">
      <c r="A1648" s="7" t="s">
        <v>6947</v>
      </c>
      <c r="B1648" s="7" t="s">
        <v>7122</v>
      </c>
      <c r="C1648" s="7" t="s">
        <v>2239</v>
      </c>
      <c r="D1648" s="7" t="n">
        <v>2031</v>
      </c>
      <c r="E1648" s="7" t="s">
        <v>50</v>
      </c>
      <c r="F1648" s="7" t="n">
        <v>-33.919134</v>
      </c>
      <c r="G1648" s="7" t="n">
        <v>151.247214</v>
      </c>
      <c r="H1648" s="7" t="s">
        <v>7117</v>
      </c>
    </row>
    <row r="1649" customFormat="false" ht="15" hidden="false" customHeight="false" outlineLevel="0" collapsed="false">
      <c r="A1649" s="7" t="s">
        <v>6947</v>
      </c>
      <c r="B1649" s="7" t="s">
        <v>2240</v>
      </c>
      <c r="C1649" s="7" t="s">
        <v>2241</v>
      </c>
      <c r="D1649" s="7" t="n">
        <v>2320</v>
      </c>
      <c r="E1649" s="7" t="s">
        <v>50</v>
      </c>
      <c r="F1649" s="7" t="n">
        <v>-32.780491</v>
      </c>
      <c r="G1649" s="7" t="n">
        <v>151.315169</v>
      </c>
      <c r="H1649" s="7" t="s">
        <v>7022</v>
      </c>
    </row>
    <row r="1650" customFormat="false" ht="15" hidden="false" customHeight="false" outlineLevel="0" collapsed="false">
      <c r="A1650" s="7" t="s">
        <v>6947</v>
      </c>
      <c r="B1650" s="7" t="s">
        <v>7122</v>
      </c>
      <c r="C1650" s="7" t="s">
        <v>2242</v>
      </c>
      <c r="D1650" s="7" t="n">
        <v>2130</v>
      </c>
      <c r="E1650" s="7" t="s">
        <v>50</v>
      </c>
      <c r="F1650" s="7" t="n">
        <v>-33.888245</v>
      </c>
      <c r="G1650" s="7" t="n">
        <v>151.139163</v>
      </c>
      <c r="H1650" s="7" t="s">
        <v>7117</v>
      </c>
    </row>
    <row r="1651" customFormat="false" ht="15" hidden="false" customHeight="false" outlineLevel="0" collapsed="false">
      <c r="A1651" s="7" t="s">
        <v>6947</v>
      </c>
      <c r="B1651" s="7" t="s">
        <v>7122</v>
      </c>
      <c r="C1651" s="7" t="s">
        <v>2243</v>
      </c>
      <c r="D1651" s="7" t="n">
        <v>2050</v>
      </c>
      <c r="E1651" s="7" t="s">
        <v>50</v>
      </c>
      <c r="F1651" s="7" t="n">
        <v>-33.88865</v>
      </c>
      <c r="G1651" s="7" t="n">
        <v>151.177838</v>
      </c>
      <c r="H1651" s="7" t="s">
        <v>7117</v>
      </c>
    </row>
    <row r="1652" customFormat="false" ht="15" hidden="false" customHeight="false" outlineLevel="0" collapsed="false">
      <c r="A1652" s="7" t="s">
        <v>6947</v>
      </c>
      <c r="B1652" s="7" t="s">
        <v>7122</v>
      </c>
      <c r="C1652" s="7" t="s">
        <v>2244</v>
      </c>
      <c r="D1652" s="7" t="n">
        <v>2066</v>
      </c>
      <c r="E1652" s="7" t="s">
        <v>50</v>
      </c>
      <c r="F1652" s="7" t="n">
        <v>-33.804692</v>
      </c>
      <c r="G1652" s="7" t="n">
        <v>151.155116</v>
      </c>
      <c r="H1652" s="7" t="s">
        <v>7117</v>
      </c>
    </row>
    <row r="1653" customFormat="false" ht="15" hidden="false" customHeight="false" outlineLevel="0" collapsed="false">
      <c r="A1653" s="7" t="s">
        <v>6947</v>
      </c>
      <c r="B1653" s="7" t="s">
        <v>6993</v>
      </c>
      <c r="C1653" s="7" t="s">
        <v>2245</v>
      </c>
      <c r="D1653" s="7" t="n">
        <v>2038</v>
      </c>
      <c r="E1653" s="7" t="s">
        <v>50</v>
      </c>
      <c r="F1653" s="7" t="n">
        <v>-33.88189</v>
      </c>
      <c r="G1653" s="7" t="n">
        <v>151.172712</v>
      </c>
      <c r="H1653" s="7" t="s">
        <v>6994</v>
      </c>
    </row>
    <row r="1654" customFormat="false" ht="15" hidden="false" customHeight="false" outlineLevel="0" collapsed="false">
      <c r="A1654" s="7" t="s">
        <v>6947</v>
      </c>
      <c r="B1654" s="7" t="s">
        <v>7122</v>
      </c>
      <c r="C1654" s="7" t="s">
        <v>2246</v>
      </c>
      <c r="D1654" s="7" t="n">
        <v>2021</v>
      </c>
      <c r="E1654" s="7" t="s">
        <v>50</v>
      </c>
      <c r="F1654" s="7" t="n">
        <v>-33.884718</v>
      </c>
      <c r="G1654" s="7" t="n">
        <v>151.23348</v>
      </c>
      <c r="H1654" s="7" t="s">
        <v>7117</v>
      </c>
    </row>
    <row r="1655" customFormat="false" ht="15" hidden="false" customHeight="false" outlineLevel="0" collapsed="false">
      <c r="A1655" s="7" t="s">
        <v>6947</v>
      </c>
      <c r="B1655" s="7" t="s">
        <v>7075</v>
      </c>
      <c r="C1655" s="7" t="s">
        <v>2247</v>
      </c>
      <c r="D1655" s="7" t="n">
        <v>2065</v>
      </c>
      <c r="E1655" s="7" t="s">
        <v>50</v>
      </c>
      <c r="F1655" s="7" t="n">
        <v>-33.824319</v>
      </c>
      <c r="G1655" s="7" t="n">
        <v>151.20023</v>
      </c>
      <c r="H1655" s="7" t="s">
        <v>7140</v>
      </c>
    </row>
    <row r="1656" customFormat="false" ht="15" hidden="false" customHeight="false" outlineLevel="0" collapsed="false">
      <c r="A1656" s="7" t="s">
        <v>6947</v>
      </c>
      <c r="B1656" s="7" t="s">
        <v>6993</v>
      </c>
      <c r="C1656" s="7" t="s">
        <v>2248</v>
      </c>
      <c r="D1656" s="7" t="n">
        <v>2029</v>
      </c>
      <c r="E1656" s="7" t="s">
        <v>50</v>
      </c>
      <c r="F1656" s="7" t="n">
        <v>-33.87327</v>
      </c>
      <c r="G1656" s="7" t="n">
        <v>151.274317</v>
      </c>
      <c r="H1656" s="7" t="s">
        <v>6994</v>
      </c>
    </row>
    <row r="1657" customFormat="false" ht="15" hidden="false" customHeight="false" outlineLevel="0" collapsed="false">
      <c r="A1657" s="7" t="s">
        <v>6947</v>
      </c>
      <c r="B1657" s="7" t="s">
        <v>2249</v>
      </c>
      <c r="C1657" s="7" t="s">
        <v>2250</v>
      </c>
      <c r="D1657" s="7" t="n">
        <v>2845</v>
      </c>
      <c r="E1657" s="7" t="s">
        <v>50</v>
      </c>
      <c r="F1657" s="7" t="n">
        <v>-33.407318</v>
      </c>
      <c r="G1657" s="7" t="n">
        <v>150.067499</v>
      </c>
      <c r="H1657" s="7" t="s">
        <v>6981</v>
      </c>
    </row>
    <row r="1658" customFormat="false" ht="15" hidden="false" customHeight="false" outlineLevel="0" collapsed="false">
      <c r="A1658" s="7" t="s">
        <v>6947</v>
      </c>
      <c r="B1658" s="7" t="s">
        <v>7122</v>
      </c>
      <c r="C1658" s="7" t="s">
        <v>2251</v>
      </c>
      <c r="D1658" s="7" t="n">
        <v>2022</v>
      </c>
      <c r="E1658" s="7" t="s">
        <v>50</v>
      </c>
      <c r="F1658" s="7" t="n">
        <v>-33.892717</v>
      </c>
      <c r="G1658" s="7" t="n">
        <v>151.244189</v>
      </c>
      <c r="H1658" s="7" t="s">
        <v>7117</v>
      </c>
    </row>
    <row r="1659" customFormat="false" ht="15" hidden="false" customHeight="false" outlineLevel="0" collapsed="false">
      <c r="A1659" s="7" t="s">
        <v>6947</v>
      </c>
      <c r="B1659" s="7" t="s">
        <v>7122</v>
      </c>
      <c r="C1659" s="7" t="s">
        <v>2252</v>
      </c>
      <c r="D1659" s="7" t="n">
        <v>2045</v>
      </c>
      <c r="E1659" s="7" t="s">
        <v>50</v>
      </c>
      <c r="F1659" s="7" t="n">
        <v>-33.870799</v>
      </c>
      <c r="G1659" s="7" t="n">
        <v>151.145484</v>
      </c>
      <c r="H1659" s="7" t="s">
        <v>7117</v>
      </c>
    </row>
    <row r="1660" customFormat="false" ht="15" hidden="false" customHeight="false" outlineLevel="0" collapsed="false">
      <c r="A1660" s="7" t="s">
        <v>6947</v>
      </c>
      <c r="B1660" s="7" t="s">
        <v>7035</v>
      </c>
      <c r="C1660" s="7" t="s">
        <v>2253</v>
      </c>
      <c r="D1660" s="7" t="n">
        <v>2040</v>
      </c>
      <c r="E1660" s="7" t="s">
        <v>50</v>
      </c>
      <c r="F1660" s="7" t="n">
        <v>-33.880497</v>
      </c>
      <c r="G1660" s="7" t="n">
        <v>151.166168</v>
      </c>
      <c r="H1660" s="7" t="s">
        <v>7148</v>
      </c>
    </row>
    <row r="1661" customFormat="false" ht="15" hidden="false" customHeight="false" outlineLevel="0" collapsed="false">
      <c r="A1661" s="7" t="s">
        <v>6947</v>
      </c>
      <c r="B1661" s="7" t="s">
        <v>7035</v>
      </c>
      <c r="C1661" s="7" t="s">
        <v>2254</v>
      </c>
      <c r="D1661" s="7" t="n">
        <v>2039</v>
      </c>
      <c r="E1661" s="7" t="s">
        <v>50</v>
      </c>
      <c r="F1661" s="7" t="n">
        <v>-33.86895</v>
      </c>
      <c r="G1661" s="7" t="n">
        <v>151.171672</v>
      </c>
      <c r="H1661" s="7" t="s">
        <v>7036</v>
      </c>
    </row>
    <row r="1662" customFormat="false" ht="15" hidden="false" customHeight="false" outlineLevel="0" collapsed="false">
      <c r="A1662" s="7" t="s">
        <v>6947</v>
      </c>
      <c r="B1662" s="7" t="s">
        <v>2255</v>
      </c>
      <c r="C1662" s="7" t="s">
        <v>2256</v>
      </c>
      <c r="D1662" s="7" t="n">
        <v>2423</v>
      </c>
      <c r="E1662" s="7" t="s">
        <v>50</v>
      </c>
      <c r="F1662" s="7" t="n">
        <v>-32.409206</v>
      </c>
      <c r="G1662" s="7" t="n">
        <v>152.210664</v>
      </c>
      <c r="H1662" s="7" t="s">
        <v>7022</v>
      </c>
    </row>
    <row r="1663" customFormat="false" ht="15" hidden="false" customHeight="false" outlineLevel="0" collapsed="false">
      <c r="A1663" s="7" t="s">
        <v>6947</v>
      </c>
      <c r="B1663" s="7" t="s">
        <v>2257</v>
      </c>
      <c r="C1663" s="7" t="s">
        <v>2258</v>
      </c>
      <c r="D1663" s="7" t="n">
        <v>2644</v>
      </c>
      <c r="E1663" s="7" t="s">
        <v>50</v>
      </c>
      <c r="F1663" s="7" t="n">
        <v>-35.833243</v>
      </c>
      <c r="G1663" s="7" t="n">
        <v>147.24846</v>
      </c>
      <c r="H1663" s="7" t="s">
        <v>7010</v>
      </c>
    </row>
    <row r="1664" customFormat="false" ht="15" hidden="false" customHeight="false" outlineLevel="0" collapsed="false">
      <c r="A1664" s="7" t="s">
        <v>6947</v>
      </c>
      <c r="B1664" s="7" t="s">
        <v>2259</v>
      </c>
      <c r="C1664" s="7" t="s">
        <v>2260</v>
      </c>
      <c r="D1664" s="7" t="n">
        <v>2710</v>
      </c>
      <c r="E1664" s="7" t="s">
        <v>50</v>
      </c>
      <c r="F1664" s="7" t="n">
        <v>-35.537285</v>
      </c>
      <c r="G1664" s="7" t="n">
        <v>144.966411</v>
      </c>
      <c r="H1664" s="7" t="s">
        <v>7025</v>
      </c>
    </row>
    <row r="1665" customFormat="false" ht="15" hidden="false" customHeight="false" outlineLevel="0" collapsed="false">
      <c r="A1665" s="7" t="s">
        <v>6947</v>
      </c>
      <c r="B1665" s="7" t="s">
        <v>6964</v>
      </c>
      <c r="C1665" s="7" t="s">
        <v>2261</v>
      </c>
      <c r="D1665" s="7" t="n">
        <v>2582</v>
      </c>
      <c r="E1665" s="7" t="s">
        <v>50</v>
      </c>
      <c r="F1665" s="7" t="n">
        <v>-34.843604</v>
      </c>
      <c r="G1665" s="7" t="n">
        <v>148.914229</v>
      </c>
      <c r="H1665" s="7" t="s">
        <v>7001</v>
      </c>
    </row>
    <row r="1666" customFormat="false" ht="15" hidden="false" customHeight="false" outlineLevel="0" collapsed="false">
      <c r="A1666" s="7" t="s">
        <v>6947</v>
      </c>
      <c r="B1666" s="7" t="s">
        <v>2262</v>
      </c>
      <c r="C1666" s="7" t="s">
        <v>2263</v>
      </c>
      <c r="D1666" s="7" t="n">
        <v>2330</v>
      </c>
      <c r="E1666" s="7" t="s">
        <v>50</v>
      </c>
      <c r="F1666" s="7" t="n">
        <v>-32.738156</v>
      </c>
      <c r="G1666" s="7" t="n">
        <v>151.099194</v>
      </c>
      <c r="H1666" s="7" t="s">
        <v>6984</v>
      </c>
    </row>
    <row r="1667" customFormat="false" ht="15" hidden="false" customHeight="false" outlineLevel="0" collapsed="false">
      <c r="A1667" s="7" t="s">
        <v>6947</v>
      </c>
      <c r="B1667" s="7" t="s">
        <v>6962</v>
      </c>
      <c r="C1667" s="7" t="s">
        <v>2264</v>
      </c>
      <c r="D1667" s="7" t="n">
        <v>2028</v>
      </c>
      <c r="E1667" s="7" t="s">
        <v>50</v>
      </c>
      <c r="F1667" s="7" t="n">
        <v>-33.874608</v>
      </c>
      <c r="G1667" s="7" t="n">
        <v>151.242577</v>
      </c>
      <c r="H1667" s="7" t="s">
        <v>6983</v>
      </c>
    </row>
    <row r="1668" customFormat="false" ht="15" hidden="false" customHeight="false" outlineLevel="0" collapsed="false">
      <c r="A1668" s="7" t="s">
        <v>6947</v>
      </c>
      <c r="B1668" s="7" t="s">
        <v>2265</v>
      </c>
      <c r="C1668" s="7" t="s">
        <v>2266</v>
      </c>
      <c r="D1668" s="7" t="n">
        <v>2250</v>
      </c>
      <c r="E1668" s="7" t="s">
        <v>50</v>
      </c>
      <c r="F1668" s="7" t="n">
        <v>-33.403152</v>
      </c>
      <c r="G1668" s="7" t="n">
        <v>151.192874</v>
      </c>
      <c r="H1668" s="7" t="s">
        <v>7066</v>
      </c>
    </row>
    <row r="1669" customFormat="false" ht="15" hidden="false" customHeight="false" outlineLevel="0" collapsed="false">
      <c r="A1669" s="7" t="s">
        <v>6947</v>
      </c>
      <c r="B1669" s="7" t="s">
        <v>7122</v>
      </c>
      <c r="C1669" s="7" t="s">
        <v>2267</v>
      </c>
      <c r="D1669" s="7" t="n">
        <v>2031</v>
      </c>
      <c r="E1669" s="7" t="s">
        <v>50</v>
      </c>
      <c r="F1669" s="7" t="n">
        <v>-33.913122</v>
      </c>
      <c r="G1669" s="7" t="n">
        <v>151.24663</v>
      </c>
      <c r="H1669" s="7" t="s">
        <v>7117</v>
      </c>
    </row>
    <row r="1670" customFormat="false" ht="15" hidden="false" customHeight="false" outlineLevel="0" collapsed="false">
      <c r="A1670" s="7" t="s">
        <v>6947</v>
      </c>
      <c r="B1670" s="7" t="s">
        <v>2268</v>
      </c>
      <c r="C1670" s="7" t="s">
        <v>2269</v>
      </c>
      <c r="D1670" s="7" t="n">
        <v>2330</v>
      </c>
      <c r="E1670" s="7" t="s">
        <v>50</v>
      </c>
      <c r="F1670" s="7" t="n">
        <v>-32.795486</v>
      </c>
      <c r="G1670" s="7" t="n">
        <v>151.076909</v>
      </c>
      <c r="H1670" s="7" t="s">
        <v>6984</v>
      </c>
    </row>
    <row r="1671" customFormat="false" ht="15" hidden="false" customHeight="false" outlineLevel="0" collapsed="false">
      <c r="A1671" s="7" t="s">
        <v>6947</v>
      </c>
      <c r="B1671" s="7" t="s">
        <v>2270</v>
      </c>
      <c r="C1671" s="7" t="s">
        <v>2271</v>
      </c>
      <c r="D1671" s="7" t="n">
        <v>2576</v>
      </c>
      <c r="E1671" s="7" t="s">
        <v>50</v>
      </c>
      <c r="F1671" s="7" t="n">
        <v>-34.466296</v>
      </c>
      <c r="G1671" s="7" t="n">
        <v>150.413618</v>
      </c>
      <c r="H1671" s="7" t="s">
        <v>6981</v>
      </c>
    </row>
    <row r="1672" customFormat="false" ht="15" hidden="false" customHeight="false" outlineLevel="0" collapsed="false">
      <c r="A1672" s="7" t="s">
        <v>6947</v>
      </c>
      <c r="B1672" s="7" t="s">
        <v>6962</v>
      </c>
      <c r="C1672" s="7" t="s">
        <v>2272</v>
      </c>
      <c r="D1672" s="7" t="n">
        <v>2024</v>
      </c>
      <c r="E1672" s="7" t="s">
        <v>50</v>
      </c>
      <c r="F1672" s="7" t="n">
        <v>-33.907174</v>
      </c>
      <c r="G1672" s="7" t="n">
        <v>151.26553</v>
      </c>
      <c r="H1672" s="7" t="s">
        <v>6983</v>
      </c>
    </row>
    <row r="1673" customFormat="false" ht="15" hidden="false" customHeight="false" outlineLevel="0" collapsed="false">
      <c r="A1673" s="7" t="s">
        <v>6947</v>
      </c>
      <c r="B1673" s="7" t="s">
        <v>7122</v>
      </c>
      <c r="C1673" s="7" t="s">
        <v>2273</v>
      </c>
      <c r="D1673" s="7" t="n">
        <v>2042</v>
      </c>
      <c r="E1673" s="7" t="s">
        <v>50</v>
      </c>
      <c r="F1673" s="7" t="n">
        <v>-33.903876</v>
      </c>
      <c r="G1673" s="7" t="n">
        <v>151.179333</v>
      </c>
      <c r="H1673" s="7" t="s">
        <v>7117</v>
      </c>
    </row>
    <row r="1674" customFormat="false" ht="15" hidden="false" customHeight="false" outlineLevel="0" collapsed="false">
      <c r="A1674" s="7" t="s">
        <v>6947</v>
      </c>
      <c r="B1674" s="7" t="s">
        <v>7122</v>
      </c>
      <c r="C1674" s="7" t="s">
        <v>2274</v>
      </c>
      <c r="D1674" s="7" t="n">
        <v>2025</v>
      </c>
      <c r="E1674" s="7" t="s">
        <v>50</v>
      </c>
      <c r="F1674" s="7" t="n">
        <v>-33.888478</v>
      </c>
      <c r="G1674" s="7" t="n">
        <v>151.232697</v>
      </c>
      <c r="H1674" s="7" t="s">
        <v>7117</v>
      </c>
    </row>
    <row r="1675" customFormat="false" ht="15" hidden="false" customHeight="false" outlineLevel="0" collapsed="false">
      <c r="A1675" s="7" t="s">
        <v>6947</v>
      </c>
      <c r="B1675" s="7" t="s">
        <v>2275</v>
      </c>
      <c r="C1675" s="7" t="s">
        <v>2276</v>
      </c>
      <c r="D1675" s="7" t="n">
        <v>2316</v>
      </c>
      <c r="E1675" s="7" t="s">
        <v>50</v>
      </c>
      <c r="F1675" s="7" t="n">
        <v>-32.776552</v>
      </c>
      <c r="G1675" s="7" t="n">
        <v>152.109818</v>
      </c>
      <c r="H1675" s="7" t="s">
        <v>7066</v>
      </c>
    </row>
    <row r="1676" customFormat="false" ht="15" hidden="false" customHeight="false" outlineLevel="0" collapsed="false">
      <c r="A1676" s="7" t="s">
        <v>6947</v>
      </c>
      <c r="B1676" s="7" t="s">
        <v>2277</v>
      </c>
      <c r="C1676" s="7" t="s">
        <v>2278</v>
      </c>
      <c r="D1676" s="7" t="n">
        <v>2250</v>
      </c>
      <c r="E1676" s="7" t="s">
        <v>50</v>
      </c>
      <c r="F1676" s="7" t="n">
        <v>-33.426463</v>
      </c>
      <c r="G1676" s="7" t="n">
        <v>151.332527</v>
      </c>
      <c r="H1676" s="7" t="s">
        <v>7145</v>
      </c>
    </row>
    <row r="1677" customFormat="false" ht="15" hidden="false" customHeight="false" outlineLevel="0" collapsed="false">
      <c r="A1677" s="7" t="s">
        <v>6947</v>
      </c>
      <c r="B1677" s="7" t="s">
        <v>6960</v>
      </c>
      <c r="C1677" s="7" t="s">
        <v>2279</v>
      </c>
      <c r="D1677" s="7" t="n">
        <v>2066</v>
      </c>
      <c r="E1677" s="7" t="s">
        <v>50</v>
      </c>
      <c r="F1677" s="7" t="n">
        <v>-33.82454</v>
      </c>
      <c r="G1677" s="7" t="n">
        <v>151.172579</v>
      </c>
      <c r="H1677" s="7" t="s">
        <v>6961</v>
      </c>
    </row>
    <row r="1678" customFormat="false" ht="15" hidden="false" customHeight="false" outlineLevel="0" collapsed="false">
      <c r="A1678" s="7" t="s">
        <v>6947</v>
      </c>
      <c r="B1678" s="7" t="s">
        <v>6962</v>
      </c>
      <c r="C1678" s="7" t="s">
        <v>2280</v>
      </c>
      <c r="D1678" s="7" t="n">
        <v>2322</v>
      </c>
      <c r="E1678" s="7" t="s">
        <v>50</v>
      </c>
      <c r="F1678" s="7" t="n">
        <v>-32.79587</v>
      </c>
      <c r="G1678" s="7" t="n">
        <v>151.638377</v>
      </c>
      <c r="H1678" s="7" t="s">
        <v>6983</v>
      </c>
    </row>
    <row r="1679" customFormat="false" ht="15" hidden="false" customHeight="false" outlineLevel="0" collapsed="false">
      <c r="A1679" s="7" t="s">
        <v>6947</v>
      </c>
      <c r="B1679" s="7" t="s">
        <v>2281</v>
      </c>
      <c r="C1679" s="7" t="s">
        <v>2282</v>
      </c>
      <c r="D1679" s="7" t="n">
        <v>2790</v>
      </c>
      <c r="E1679" s="7" t="s">
        <v>50</v>
      </c>
      <c r="F1679" s="7" t="n">
        <v>-33.477129</v>
      </c>
      <c r="G1679" s="7" t="n">
        <v>150.172547</v>
      </c>
      <c r="H1679" s="7" t="s">
        <v>7018</v>
      </c>
    </row>
    <row r="1680" customFormat="false" ht="15" hidden="false" customHeight="false" outlineLevel="0" collapsed="false">
      <c r="A1680" s="7" t="s">
        <v>6947</v>
      </c>
      <c r="B1680" s="7" t="s">
        <v>6993</v>
      </c>
      <c r="C1680" s="7" t="s">
        <v>2283</v>
      </c>
      <c r="D1680" s="7" t="n">
        <v>2067</v>
      </c>
      <c r="E1680" s="7" t="s">
        <v>50</v>
      </c>
      <c r="F1680" s="7" t="n">
        <v>-33.785633</v>
      </c>
      <c r="G1680" s="7" t="n">
        <v>151.197632</v>
      </c>
      <c r="H1680" s="7" t="s">
        <v>6994</v>
      </c>
    </row>
    <row r="1681" customFormat="false" ht="15" hidden="false" customHeight="false" outlineLevel="0" collapsed="false">
      <c r="A1681" s="7" t="s">
        <v>6947</v>
      </c>
      <c r="B1681" s="7" t="s">
        <v>2284</v>
      </c>
      <c r="C1681" s="7" t="s">
        <v>2285</v>
      </c>
      <c r="D1681" s="7" t="n">
        <v>2482</v>
      </c>
      <c r="E1681" s="7" t="s">
        <v>50</v>
      </c>
      <c r="F1681" s="7" t="n">
        <v>-28.554407</v>
      </c>
      <c r="G1681" s="7" t="n">
        <v>153.502509</v>
      </c>
      <c r="H1681" s="7" t="s">
        <v>6983</v>
      </c>
    </row>
    <row r="1682" customFormat="false" ht="15" hidden="false" customHeight="false" outlineLevel="0" collapsed="false">
      <c r="A1682" s="7" t="s">
        <v>6947</v>
      </c>
      <c r="B1682" s="7" t="s">
        <v>2286</v>
      </c>
      <c r="C1682" s="7" t="s">
        <v>2287</v>
      </c>
      <c r="D1682" s="7" t="n">
        <v>2325</v>
      </c>
      <c r="E1682" s="7" t="s">
        <v>50</v>
      </c>
      <c r="F1682" s="7" t="n">
        <v>-32.74506</v>
      </c>
      <c r="G1682" s="7" t="n">
        <v>151.387928</v>
      </c>
      <c r="H1682" s="7" t="s">
        <v>7145</v>
      </c>
    </row>
    <row r="1683" customFormat="false" ht="15" hidden="false" customHeight="false" outlineLevel="0" collapsed="false">
      <c r="A1683" s="7" t="s">
        <v>6947</v>
      </c>
      <c r="B1683" s="7" t="s">
        <v>7160</v>
      </c>
      <c r="C1683" s="7" t="s">
        <v>2288</v>
      </c>
      <c r="D1683" s="7" t="n">
        <v>2575</v>
      </c>
      <c r="E1683" s="7" t="s">
        <v>50</v>
      </c>
      <c r="F1683" s="7" t="n">
        <v>-34.448082</v>
      </c>
      <c r="G1683" s="7" t="n">
        <v>150.456152</v>
      </c>
      <c r="H1683" s="7" t="s">
        <v>7127</v>
      </c>
    </row>
    <row r="1684" customFormat="false" ht="15" hidden="false" customHeight="false" outlineLevel="0" collapsed="false">
      <c r="A1684" s="7" t="s">
        <v>6947</v>
      </c>
      <c r="B1684" s="7" t="s">
        <v>2289</v>
      </c>
      <c r="C1684" s="7" t="s">
        <v>2290</v>
      </c>
      <c r="D1684" s="7" t="n">
        <v>2710</v>
      </c>
      <c r="E1684" s="7" t="s">
        <v>50</v>
      </c>
      <c r="F1684" s="7" t="n">
        <v>-35.535574</v>
      </c>
      <c r="G1684" s="7" t="n">
        <v>144.967345</v>
      </c>
      <c r="H1684" s="7" t="s">
        <v>7161</v>
      </c>
    </row>
    <row r="1685" customFormat="false" ht="15" hidden="false" customHeight="false" outlineLevel="0" collapsed="false">
      <c r="A1685" s="7" t="s">
        <v>6947</v>
      </c>
      <c r="B1685" s="7" t="s">
        <v>2291</v>
      </c>
      <c r="C1685" s="7" t="s">
        <v>2292</v>
      </c>
      <c r="D1685" s="7" t="n">
        <v>2402</v>
      </c>
      <c r="E1685" s="7" t="s">
        <v>50</v>
      </c>
      <c r="F1685" s="7" t="n">
        <v>-29.54082</v>
      </c>
      <c r="G1685" s="7" t="n">
        <v>150.576003</v>
      </c>
      <c r="H1685" s="7" t="s">
        <v>6991</v>
      </c>
    </row>
    <row r="1686" customFormat="false" ht="15" hidden="false" customHeight="false" outlineLevel="0" collapsed="false">
      <c r="A1686" s="7" t="s">
        <v>6947</v>
      </c>
      <c r="B1686" s="7" t="s">
        <v>6964</v>
      </c>
      <c r="C1686" s="7" t="s">
        <v>2293</v>
      </c>
      <c r="D1686" s="7" t="n">
        <v>2711</v>
      </c>
      <c r="E1686" s="7" t="s">
        <v>50</v>
      </c>
      <c r="F1686" s="7" t="n">
        <v>-34.511508</v>
      </c>
      <c r="G1686" s="7" t="n">
        <v>144.842282</v>
      </c>
      <c r="H1686" s="7" t="s">
        <v>6997</v>
      </c>
    </row>
    <row r="1687" customFormat="false" ht="15" hidden="false" customHeight="false" outlineLevel="0" collapsed="false">
      <c r="A1687" s="7" t="s">
        <v>6947</v>
      </c>
      <c r="B1687" s="7" t="s">
        <v>6962</v>
      </c>
      <c r="C1687" s="7" t="s">
        <v>2294</v>
      </c>
      <c r="D1687" s="7" t="n">
        <v>2300</v>
      </c>
      <c r="E1687" s="7" t="s">
        <v>50</v>
      </c>
      <c r="F1687" s="7" t="n">
        <v>-32.931405</v>
      </c>
      <c r="G1687" s="7" t="n">
        <v>151.78206</v>
      </c>
      <c r="H1687" s="7" t="s">
        <v>6983</v>
      </c>
    </row>
    <row r="1688" customFormat="false" ht="15" hidden="false" customHeight="false" outlineLevel="0" collapsed="false">
      <c r="A1688" s="7" t="s">
        <v>6947</v>
      </c>
      <c r="B1688" s="7" t="s">
        <v>6993</v>
      </c>
      <c r="C1688" s="7" t="s">
        <v>2295</v>
      </c>
      <c r="D1688" s="7" t="n">
        <v>2016</v>
      </c>
      <c r="E1688" s="7" t="s">
        <v>50</v>
      </c>
      <c r="F1688" s="7" t="n">
        <v>-33.89402</v>
      </c>
      <c r="G1688" s="7" t="n">
        <v>151.214175</v>
      </c>
      <c r="H1688" s="7" t="s">
        <v>6994</v>
      </c>
    </row>
    <row r="1689" customFormat="false" ht="15" hidden="false" customHeight="false" outlineLevel="0" collapsed="false">
      <c r="A1689" s="7" t="s">
        <v>6947</v>
      </c>
      <c r="B1689" s="7" t="s">
        <v>199</v>
      </c>
      <c r="C1689" s="7" t="s">
        <v>2296</v>
      </c>
      <c r="D1689" s="7" t="n">
        <v>2849</v>
      </c>
      <c r="E1689" s="7" t="s">
        <v>50</v>
      </c>
      <c r="F1689" s="7" t="n">
        <v>-32.797647</v>
      </c>
      <c r="G1689" s="7" t="n">
        <v>149.970402</v>
      </c>
      <c r="H1689" s="7" t="s">
        <v>7127</v>
      </c>
    </row>
    <row r="1690" customFormat="false" ht="15" hidden="false" customHeight="false" outlineLevel="0" collapsed="false">
      <c r="A1690" s="7" t="s">
        <v>6947</v>
      </c>
      <c r="B1690" s="7" t="s">
        <v>2297</v>
      </c>
      <c r="C1690" s="7" t="s">
        <v>2298</v>
      </c>
      <c r="D1690" s="7" t="n">
        <v>2546</v>
      </c>
      <c r="E1690" s="7" t="s">
        <v>50</v>
      </c>
      <c r="F1690" s="7" t="n">
        <v>-36.426641</v>
      </c>
      <c r="G1690" s="7" t="n">
        <v>150.071439</v>
      </c>
      <c r="H1690" s="7" t="s">
        <v>6983</v>
      </c>
    </row>
    <row r="1691" customFormat="false" ht="15" hidden="false" customHeight="false" outlineLevel="0" collapsed="false">
      <c r="A1691" s="7" t="s">
        <v>6947</v>
      </c>
      <c r="B1691" s="7" t="s">
        <v>7122</v>
      </c>
      <c r="C1691" s="7" t="s">
        <v>2299</v>
      </c>
      <c r="D1691" s="7" t="n">
        <v>2048</v>
      </c>
      <c r="E1691" s="7" t="s">
        <v>50</v>
      </c>
      <c r="F1691" s="7" t="n">
        <v>-33.888983</v>
      </c>
      <c r="G1691" s="7" t="n">
        <v>151.168461</v>
      </c>
      <c r="H1691" s="7" t="s">
        <v>7117</v>
      </c>
    </row>
    <row r="1692" customFormat="false" ht="15" hidden="false" customHeight="false" outlineLevel="0" collapsed="false">
      <c r="A1692" s="7" t="s">
        <v>6947</v>
      </c>
      <c r="B1692" s="7" t="s">
        <v>6993</v>
      </c>
      <c r="C1692" s="7" t="s">
        <v>2300</v>
      </c>
      <c r="D1692" s="7" t="n">
        <v>2065</v>
      </c>
      <c r="E1692" s="7" t="s">
        <v>50</v>
      </c>
      <c r="F1692" s="7" t="n">
        <v>-33.815547</v>
      </c>
      <c r="G1692" s="7" t="n">
        <v>151.194236</v>
      </c>
      <c r="H1692" s="7" t="s">
        <v>6994</v>
      </c>
    </row>
    <row r="1693" customFormat="false" ht="15" hidden="false" customHeight="false" outlineLevel="0" collapsed="false">
      <c r="A1693" s="7" t="s">
        <v>6947</v>
      </c>
      <c r="B1693" s="7" t="s">
        <v>2301</v>
      </c>
      <c r="C1693" s="7" t="s">
        <v>2302</v>
      </c>
      <c r="D1693" s="7" t="n">
        <v>2720</v>
      </c>
      <c r="E1693" s="7" t="s">
        <v>50</v>
      </c>
      <c r="F1693" s="7" t="n">
        <v>-35.301235</v>
      </c>
      <c r="G1693" s="7" t="n">
        <v>148.220143</v>
      </c>
      <c r="H1693" s="7" t="s">
        <v>6979</v>
      </c>
    </row>
    <row r="1694" customFormat="false" ht="15" hidden="false" customHeight="false" outlineLevel="0" collapsed="false">
      <c r="A1694" s="7" t="s">
        <v>6947</v>
      </c>
      <c r="B1694" s="7" t="s">
        <v>1188</v>
      </c>
      <c r="C1694" s="7" t="s">
        <v>2303</v>
      </c>
      <c r="D1694" s="7" t="n">
        <v>2702</v>
      </c>
      <c r="E1694" s="7" t="s">
        <v>50</v>
      </c>
      <c r="F1694" s="7" t="n">
        <v>-34.793385</v>
      </c>
      <c r="G1694" s="7" t="n">
        <v>147.038851</v>
      </c>
      <c r="H1694" s="7" t="s">
        <v>6984</v>
      </c>
    </row>
    <row r="1695" customFormat="false" ht="15" hidden="false" customHeight="false" outlineLevel="0" collapsed="false">
      <c r="A1695" s="7" t="s">
        <v>6947</v>
      </c>
      <c r="B1695" s="7" t="s">
        <v>2304</v>
      </c>
      <c r="C1695" s="7" t="s">
        <v>2305</v>
      </c>
      <c r="D1695" s="7" t="n">
        <v>2426</v>
      </c>
      <c r="E1695" s="7" t="s">
        <v>50</v>
      </c>
      <c r="F1695" s="7" t="n">
        <v>-31.823489</v>
      </c>
      <c r="G1695" s="7" t="n">
        <v>152.616172</v>
      </c>
      <c r="H1695" s="7" t="s">
        <v>7018</v>
      </c>
    </row>
    <row r="1696" customFormat="false" ht="15" hidden="false" customHeight="false" outlineLevel="0" collapsed="false">
      <c r="A1696" s="7" t="s">
        <v>6947</v>
      </c>
      <c r="B1696" s="7" t="s">
        <v>6960</v>
      </c>
      <c r="C1696" s="7" t="s">
        <v>2306</v>
      </c>
      <c r="D1696" s="7" t="n">
        <v>2760</v>
      </c>
      <c r="E1696" s="7" t="s">
        <v>50</v>
      </c>
      <c r="F1696" s="7" t="n">
        <v>-33.760198</v>
      </c>
      <c r="G1696" s="7" t="n">
        <v>150.781634</v>
      </c>
      <c r="H1696" s="7" t="s">
        <v>6961</v>
      </c>
    </row>
    <row r="1697" customFormat="false" ht="15" hidden="false" customHeight="false" outlineLevel="0" collapsed="false">
      <c r="A1697" s="7" t="s">
        <v>6947</v>
      </c>
      <c r="B1697" s="7" t="s">
        <v>2307</v>
      </c>
      <c r="C1697" s="7" t="s">
        <v>2308</v>
      </c>
      <c r="D1697" s="7" t="n">
        <v>2320</v>
      </c>
      <c r="E1697" s="7" t="s">
        <v>50</v>
      </c>
      <c r="F1697" s="7" t="n">
        <v>-32.716558</v>
      </c>
      <c r="G1697" s="7" t="n">
        <v>151.257288</v>
      </c>
      <c r="H1697" s="7" t="s">
        <v>7022</v>
      </c>
    </row>
    <row r="1698" customFormat="false" ht="15" hidden="false" customHeight="false" outlineLevel="0" collapsed="false">
      <c r="A1698" s="7" t="s">
        <v>6947</v>
      </c>
      <c r="B1698" s="7" t="s">
        <v>2309</v>
      </c>
      <c r="C1698" s="7" t="s">
        <v>2310</v>
      </c>
      <c r="D1698" s="7" t="n">
        <v>2787</v>
      </c>
      <c r="E1698" s="7" t="s">
        <v>50</v>
      </c>
      <c r="F1698" s="7" t="n">
        <v>-33.702177</v>
      </c>
      <c r="G1698" s="7" t="n">
        <v>149.855783</v>
      </c>
      <c r="H1698" s="7" t="s">
        <v>7154</v>
      </c>
    </row>
    <row r="1699" customFormat="false" ht="15" hidden="false" customHeight="false" outlineLevel="0" collapsed="false">
      <c r="A1699" s="7" t="s">
        <v>6947</v>
      </c>
      <c r="B1699" s="7" t="s">
        <v>2311</v>
      </c>
      <c r="C1699" s="7" t="s">
        <v>2312</v>
      </c>
      <c r="D1699" s="7" t="n">
        <v>2540</v>
      </c>
      <c r="E1699" s="7" t="s">
        <v>50</v>
      </c>
      <c r="F1699" s="7" t="n">
        <v>-35.022614</v>
      </c>
      <c r="G1699" s="7" t="n">
        <v>150.660877</v>
      </c>
      <c r="H1699" s="7" t="s">
        <v>6984</v>
      </c>
    </row>
    <row r="1700" customFormat="false" ht="15" hidden="false" customHeight="false" outlineLevel="0" collapsed="false">
      <c r="A1700" s="7" t="s">
        <v>6947</v>
      </c>
      <c r="B1700" s="7" t="s">
        <v>2313</v>
      </c>
      <c r="C1700" s="7" t="s">
        <v>2314</v>
      </c>
      <c r="D1700" s="7" t="n">
        <v>2320</v>
      </c>
      <c r="E1700" s="7" t="s">
        <v>50</v>
      </c>
      <c r="F1700" s="7" t="n">
        <v>-32.744206</v>
      </c>
      <c r="G1700" s="7" t="n">
        <v>151.315608</v>
      </c>
      <c r="H1700" s="7" t="s">
        <v>6983</v>
      </c>
    </row>
    <row r="1701" customFormat="false" ht="15" hidden="false" customHeight="false" outlineLevel="0" collapsed="false">
      <c r="A1701" s="7" t="s">
        <v>6947</v>
      </c>
      <c r="B1701" s="7" t="s">
        <v>7122</v>
      </c>
      <c r="C1701" s="7" t="s">
        <v>2315</v>
      </c>
      <c r="D1701" s="7" t="n">
        <v>2042</v>
      </c>
      <c r="E1701" s="7" t="s">
        <v>50</v>
      </c>
      <c r="F1701" s="7" t="n">
        <v>-33.898277</v>
      </c>
      <c r="G1701" s="7" t="n">
        <v>151.173084</v>
      </c>
      <c r="H1701" s="7" t="s">
        <v>7117</v>
      </c>
    </row>
    <row r="1702" customFormat="false" ht="15" hidden="false" customHeight="false" outlineLevel="0" collapsed="false">
      <c r="A1702" s="7" t="s">
        <v>6947</v>
      </c>
      <c r="B1702" s="7" t="s">
        <v>6962</v>
      </c>
      <c r="C1702" s="7" t="s">
        <v>2316</v>
      </c>
      <c r="D1702" s="7" t="n">
        <v>2031</v>
      </c>
      <c r="E1702" s="7" t="s">
        <v>50</v>
      </c>
      <c r="F1702" s="7" t="n">
        <v>-33.912892</v>
      </c>
      <c r="G1702" s="7" t="n">
        <v>151.267091</v>
      </c>
      <c r="H1702" s="7" t="s">
        <v>6983</v>
      </c>
    </row>
    <row r="1703" customFormat="false" ht="15" hidden="false" customHeight="false" outlineLevel="0" collapsed="false">
      <c r="A1703" s="7" t="s">
        <v>6947</v>
      </c>
      <c r="B1703" s="7" t="s">
        <v>7035</v>
      </c>
      <c r="C1703" s="7" t="s">
        <v>2317</v>
      </c>
      <c r="D1703" s="7" t="n">
        <v>2050</v>
      </c>
      <c r="E1703" s="7" t="s">
        <v>50</v>
      </c>
      <c r="F1703" s="7" t="n">
        <v>-33.893475</v>
      </c>
      <c r="G1703" s="7" t="n">
        <v>151.178294</v>
      </c>
      <c r="H1703" s="7" t="s">
        <v>7162</v>
      </c>
    </row>
    <row r="1704" customFormat="false" ht="15" hidden="false" customHeight="false" outlineLevel="0" collapsed="false">
      <c r="A1704" s="7" t="s">
        <v>6947</v>
      </c>
      <c r="B1704" s="7" t="s">
        <v>6962</v>
      </c>
      <c r="C1704" s="7" t="s">
        <v>2318</v>
      </c>
      <c r="D1704" s="7" t="n">
        <v>2287</v>
      </c>
      <c r="E1704" s="7" t="s">
        <v>50</v>
      </c>
      <c r="F1704" s="7" t="n">
        <v>-32.900014</v>
      </c>
      <c r="G1704" s="7" t="n">
        <v>151.669741</v>
      </c>
      <c r="H1704" s="7" t="s">
        <v>6983</v>
      </c>
    </row>
    <row r="1705" customFormat="false" ht="15" hidden="false" customHeight="false" outlineLevel="0" collapsed="false">
      <c r="A1705" s="7" t="s">
        <v>6947</v>
      </c>
      <c r="B1705" s="7" t="s">
        <v>7123</v>
      </c>
      <c r="C1705" s="7" t="s">
        <v>2319</v>
      </c>
      <c r="D1705" s="7" t="n">
        <v>2065</v>
      </c>
      <c r="E1705" s="7" t="s">
        <v>50</v>
      </c>
      <c r="F1705" s="7" t="n">
        <v>-33.824556</v>
      </c>
      <c r="G1705" s="7" t="n">
        <v>151.201752</v>
      </c>
      <c r="H1705" s="7" t="s">
        <v>7163</v>
      </c>
    </row>
    <row r="1706" customFormat="false" ht="15" hidden="false" customHeight="false" outlineLevel="0" collapsed="false">
      <c r="A1706" s="7" t="s">
        <v>6947</v>
      </c>
      <c r="B1706" s="7" t="s">
        <v>2320</v>
      </c>
      <c r="C1706" s="7" t="s">
        <v>2321</v>
      </c>
      <c r="D1706" s="7" t="n">
        <v>2627</v>
      </c>
      <c r="E1706" s="7" t="s">
        <v>50</v>
      </c>
      <c r="F1706" s="7" t="n">
        <v>-36.41917</v>
      </c>
      <c r="G1706" s="7" t="n">
        <v>148.608621</v>
      </c>
      <c r="H1706" s="7" t="s">
        <v>6981</v>
      </c>
    </row>
    <row r="1707" customFormat="false" ht="15" hidden="false" customHeight="false" outlineLevel="0" collapsed="false">
      <c r="A1707" s="7" t="s">
        <v>6947</v>
      </c>
      <c r="B1707" s="7" t="s">
        <v>7035</v>
      </c>
      <c r="C1707" s="7" t="s">
        <v>2322</v>
      </c>
      <c r="D1707" s="7" t="n">
        <v>2204</v>
      </c>
      <c r="E1707" s="7" t="s">
        <v>50</v>
      </c>
      <c r="F1707" s="7" t="n">
        <v>-33.906301</v>
      </c>
      <c r="G1707" s="7" t="n">
        <v>151.168997</v>
      </c>
      <c r="H1707" s="7" t="s">
        <v>7036</v>
      </c>
    </row>
    <row r="1708" customFormat="false" ht="15" hidden="false" customHeight="false" outlineLevel="0" collapsed="false">
      <c r="A1708" s="7" t="s">
        <v>6947</v>
      </c>
      <c r="B1708" s="7" t="s">
        <v>2323</v>
      </c>
      <c r="C1708" s="7" t="s">
        <v>2324</v>
      </c>
      <c r="D1708" s="7" t="n">
        <v>2700</v>
      </c>
      <c r="E1708" s="7" t="s">
        <v>50</v>
      </c>
      <c r="F1708" s="7" t="n">
        <v>-34.741197</v>
      </c>
      <c r="G1708" s="7" t="n">
        <v>146.554945</v>
      </c>
      <c r="H1708" s="7" t="s">
        <v>7164</v>
      </c>
    </row>
    <row r="1709" customFormat="false" ht="15" hidden="false" customHeight="false" outlineLevel="0" collapsed="false">
      <c r="A1709" s="7" t="s">
        <v>6947</v>
      </c>
      <c r="B1709" s="7" t="s">
        <v>6962</v>
      </c>
      <c r="C1709" s="7" t="s">
        <v>2325</v>
      </c>
      <c r="D1709" s="7" t="n">
        <v>2036</v>
      </c>
      <c r="E1709" s="7" t="s">
        <v>50</v>
      </c>
      <c r="F1709" s="7" t="n">
        <v>-33.972961</v>
      </c>
      <c r="G1709" s="7" t="n">
        <v>151.236565</v>
      </c>
      <c r="H1709" s="7" t="s">
        <v>6980</v>
      </c>
    </row>
    <row r="1710" customFormat="false" ht="15" hidden="false" customHeight="false" outlineLevel="0" collapsed="false">
      <c r="A1710" s="7" t="s">
        <v>6947</v>
      </c>
      <c r="B1710" s="7" t="s">
        <v>2326</v>
      </c>
      <c r="C1710" s="7" t="s">
        <v>2327</v>
      </c>
      <c r="D1710" s="7" t="n">
        <v>2421</v>
      </c>
      <c r="E1710" s="7" t="s">
        <v>50</v>
      </c>
      <c r="F1710" s="7" t="n">
        <v>-32.540058</v>
      </c>
      <c r="G1710" s="7" t="n">
        <v>151.577654</v>
      </c>
      <c r="H1710" s="7" t="s">
        <v>6991</v>
      </c>
    </row>
    <row r="1711" customFormat="false" ht="15" hidden="false" customHeight="false" outlineLevel="0" collapsed="false">
      <c r="A1711" s="7" t="s">
        <v>6947</v>
      </c>
      <c r="B1711" s="7" t="s">
        <v>6962</v>
      </c>
      <c r="C1711" s="7" t="s">
        <v>2328</v>
      </c>
      <c r="D1711" s="7" t="n">
        <v>2299</v>
      </c>
      <c r="E1711" s="7" t="s">
        <v>50</v>
      </c>
      <c r="F1711" s="7" t="n">
        <v>-32.91101</v>
      </c>
      <c r="G1711" s="7" t="n">
        <v>151.708291</v>
      </c>
      <c r="H1711" s="7" t="s">
        <v>6983</v>
      </c>
    </row>
    <row r="1712" customFormat="false" ht="15" hidden="false" customHeight="false" outlineLevel="0" collapsed="false">
      <c r="A1712" s="7" t="s">
        <v>6947</v>
      </c>
      <c r="B1712" s="7" t="s">
        <v>2329</v>
      </c>
      <c r="C1712" s="7" t="s">
        <v>2330</v>
      </c>
      <c r="D1712" s="7" t="n">
        <v>2590</v>
      </c>
      <c r="E1712" s="7" t="s">
        <v>50</v>
      </c>
      <c r="F1712" s="7" t="n">
        <v>-34.639503</v>
      </c>
      <c r="G1712" s="7" t="n">
        <v>148.025706</v>
      </c>
      <c r="H1712" s="7" t="s">
        <v>6981</v>
      </c>
    </row>
    <row r="1713" customFormat="false" ht="15" hidden="false" customHeight="false" outlineLevel="0" collapsed="false">
      <c r="A1713" s="7" t="s">
        <v>6947</v>
      </c>
      <c r="B1713" s="7" t="s">
        <v>6962</v>
      </c>
      <c r="C1713" s="7" t="s">
        <v>2331</v>
      </c>
      <c r="D1713" s="7" t="n">
        <v>2550</v>
      </c>
      <c r="E1713" s="7" t="s">
        <v>50</v>
      </c>
      <c r="F1713" s="7" t="n">
        <v>-36.727827</v>
      </c>
      <c r="G1713" s="7" t="n">
        <v>149.988506</v>
      </c>
      <c r="H1713" s="7" t="s">
        <v>6983</v>
      </c>
    </row>
    <row r="1714" customFormat="false" ht="15" hidden="false" customHeight="false" outlineLevel="0" collapsed="false">
      <c r="A1714" s="7" t="s">
        <v>6947</v>
      </c>
      <c r="B1714" s="7" t="s">
        <v>2332</v>
      </c>
      <c r="C1714" s="7" t="s">
        <v>2333</v>
      </c>
      <c r="D1714" s="7" t="n">
        <v>2330</v>
      </c>
      <c r="E1714" s="7" t="s">
        <v>50</v>
      </c>
      <c r="F1714" s="7" t="n">
        <v>-32.549161</v>
      </c>
      <c r="G1714" s="7" t="n">
        <v>151.161954</v>
      </c>
      <c r="H1714" s="7" t="s">
        <v>6984</v>
      </c>
    </row>
    <row r="1715" customFormat="false" ht="15" hidden="false" customHeight="false" outlineLevel="0" collapsed="false">
      <c r="A1715" s="7" t="s">
        <v>6947</v>
      </c>
      <c r="B1715" s="7" t="s">
        <v>6964</v>
      </c>
      <c r="C1715" s="7" t="s">
        <v>2334</v>
      </c>
      <c r="D1715" s="7" t="n">
        <v>2800</v>
      </c>
      <c r="E1715" s="7" t="s">
        <v>50</v>
      </c>
      <c r="F1715" s="7" t="n">
        <v>-33.283326</v>
      </c>
      <c r="G1715" s="7" t="n">
        <v>149.09446</v>
      </c>
      <c r="H1715" s="7" t="s">
        <v>6997</v>
      </c>
    </row>
    <row r="1716" customFormat="false" ht="15" hidden="false" customHeight="false" outlineLevel="0" collapsed="false">
      <c r="A1716" s="7" t="s">
        <v>6947</v>
      </c>
      <c r="B1716" s="7" t="s">
        <v>2335</v>
      </c>
      <c r="C1716" s="7" t="s">
        <v>2336</v>
      </c>
      <c r="D1716" s="7" t="n">
        <v>2650</v>
      </c>
      <c r="E1716" s="7" t="s">
        <v>50</v>
      </c>
      <c r="F1716" s="7" t="n">
        <v>-35.115134</v>
      </c>
      <c r="G1716" s="7" t="n">
        <v>147.375342</v>
      </c>
      <c r="H1716" s="7" t="s">
        <v>7150</v>
      </c>
    </row>
    <row r="1717" customFormat="false" ht="15" hidden="false" customHeight="false" outlineLevel="0" collapsed="false">
      <c r="A1717" s="7" t="s">
        <v>6947</v>
      </c>
      <c r="B1717" s="7" t="s">
        <v>6964</v>
      </c>
      <c r="C1717" s="7" t="s">
        <v>2337</v>
      </c>
      <c r="D1717" s="7" t="n">
        <v>2472</v>
      </c>
      <c r="E1717" s="7" t="s">
        <v>50</v>
      </c>
      <c r="F1717" s="7" t="n">
        <v>-30.801549</v>
      </c>
      <c r="G1717" s="7" t="n">
        <v>152.868954</v>
      </c>
      <c r="H1717" s="7" t="s">
        <v>7001</v>
      </c>
    </row>
    <row r="1718" customFormat="false" ht="15" hidden="false" customHeight="false" outlineLevel="0" collapsed="false">
      <c r="A1718" s="7" t="s">
        <v>6947</v>
      </c>
      <c r="B1718" s="7" t="s">
        <v>2338</v>
      </c>
      <c r="C1718" s="7" t="s">
        <v>2339</v>
      </c>
      <c r="D1718" s="7" t="n">
        <v>2380</v>
      </c>
      <c r="E1718" s="7" t="s">
        <v>50</v>
      </c>
      <c r="F1718" s="7" t="n">
        <v>-30.976129</v>
      </c>
      <c r="G1718" s="7" t="n">
        <v>150.251911</v>
      </c>
      <c r="H1718" s="7" t="s">
        <v>6981</v>
      </c>
    </row>
    <row r="1719" customFormat="false" ht="15" hidden="false" customHeight="false" outlineLevel="0" collapsed="false">
      <c r="A1719" s="7" t="s">
        <v>6947</v>
      </c>
      <c r="B1719" s="7" t="s">
        <v>1926</v>
      </c>
      <c r="C1719" s="7" t="s">
        <v>2340</v>
      </c>
      <c r="D1719" s="7" t="n">
        <v>2777</v>
      </c>
      <c r="E1719" s="7" t="s">
        <v>50</v>
      </c>
      <c r="F1719" s="7" t="n">
        <v>-33.698469</v>
      </c>
      <c r="G1719" s="7" t="n">
        <v>150.569674</v>
      </c>
      <c r="H1719" s="7" t="s">
        <v>6984</v>
      </c>
    </row>
    <row r="1720" customFormat="false" ht="15" hidden="false" customHeight="false" outlineLevel="0" collapsed="false">
      <c r="A1720" s="7" t="s">
        <v>6947</v>
      </c>
      <c r="B1720" s="7" t="s">
        <v>2341</v>
      </c>
      <c r="C1720" s="7" t="s">
        <v>2342</v>
      </c>
      <c r="D1720" s="7" t="n">
        <v>2640</v>
      </c>
      <c r="E1720" s="7" t="s">
        <v>50</v>
      </c>
      <c r="F1720" s="7" t="n">
        <v>-36.065979</v>
      </c>
      <c r="G1720" s="7" t="n">
        <v>146.935055</v>
      </c>
      <c r="H1720" s="7" t="s">
        <v>6991</v>
      </c>
    </row>
    <row r="1721" customFormat="false" ht="15" hidden="false" customHeight="false" outlineLevel="0" collapsed="false">
      <c r="A1721" s="7" t="s">
        <v>6947</v>
      </c>
      <c r="B1721" s="7" t="s">
        <v>7122</v>
      </c>
      <c r="C1721" s="7" t="s">
        <v>2343</v>
      </c>
      <c r="D1721" s="7" t="n">
        <v>2031</v>
      </c>
      <c r="E1721" s="7" t="s">
        <v>50</v>
      </c>
      <c r="F1721" s="7" t="n">
        <v>-33.907249</v>
      </c>
      <c r="G1721" s="7" t="n">
        <v>151.250513</v>
      </c>
      <c r="H1721" s="7" t="s">
        <v>7117</v>
      </c>
    </row>
    <row r="1722" customFormat="false" ht="15" hidden="false" customHeight="false" outlineLevel="0" collapsed="false">
      <c r="A1722" s="7" t="s">
        <v>6947</v>
      </c>
      <c r="B1722" s="7" t="s">
        <v>2344</v>
      </c>
      <c r="C1722" s="7" t="s">
        <v>2345</v>
      </c>
      <c r="D1722" s="7" t="n">
        <v>2320</v>
      </c>
      <c r="E1722" s="7" t="s">
        <v>50</v>
      </c>
      <c r="F1722" s="7" t="n">
        <v>-32.732647</v>
      </c>
      <c r="G1722" s="7" t="n">
        <v>151.392334</v>
      </c>
      <c r="H1722" s="7" t="s">
        <v>6981</v>
      </c>
    </row>
    <row r="1723" customFormat="false" ht="15" hidden="false" customHeight="false" outlineLevel="0" collapsed="false">
      <c r="A1723" s="7" t="s">
        <v>6947</v>
      </c>
      <c r="B1723" s="7" t="s">
        <v>6993</v>
      </c>
      <c r="C1723" s="7" t="s">
        <v>2346</v>
      </c>
      <c r="D1723" s="7" t="n">
        <v>2031</v>
      </c>
      <c r="E1723" s="7" t="s">
        <v>50</v>
      </c>
      <c r="F1723" s="7" t="n">
        <v>-33.909254</v>
      </c>
      <c r="G1723" s="7" t="n">
        <v>151.242107</v>
      </c>
      <c r="H1723" s="7" t="s">
        <v>6994</v>
      </c>
    </row>
    <row r="1724" customFormat="false" ht="15" hidden="false" customHeight="false" outlineLevel="0" collapsed="false">
      <c r="A1724" s="7" t="s">
        <v>6947</v>
      </c>
      <c r="B1724" s="7" t="s">
        <v>7122</v>
      </c>
      <c r="C1724" s="7" t="s">
        <v>2347</v>
      </c>
      <c r="D1724" s="7" t="n">
        <v>2022</v>
      </c>
      <c r="E1724" s="7" t="s">
        <v>50</v>
      </c>
      <c r="F1724" s="7" t="n">
        <v>-33.89343</v>
      </c>
      <c r="G1724" s="7" t="n">
        <v>151.244388</v>
      </c>
      <c r="H1724" s="7" t="s">
        <v>7117</v>
      </c>
    </row>
    <row r="1725" customFormat="false" ht="15" hidden="false" customHeight="false" outlineLevel="0" collapsed="false">
      <c r="A1725" s="7" t="s">
        <v>6947</v>
      </c>
      <c r="B1725" s="7" t="s">
        <v>7075</v>
      </c>
      <c r="C1725" s="7" t="s">
        <v>2348</v>
      </c>
      <c r="D1725" s="7" t="n">
        <v>2539</v>
      </c>
      <c r="E1725" s="7" t="s">
        <v>50</v>
      </c>
      <c r="F1725" s="7" t="n">
        <v>-35.359557</v>
      </c>
      <c r="G1725" s="7" t="n">
        <v>150.475401</v>
      </c>
      <c r="H1725" s="7" t="s">
        <v>7140</v>
      </c>
    </row>
    <row r="1726" customFormat="false" ht="15" hidden="false" customHeight="false" outlineLevel="0" collapsed="false">
      <c r="A1726" s="7" t="s">
        <v>6947</v>
      </c>
      <c r="B1726" s="7" t="s">
        <v>7075</v>
      </c>
      <c r="C1726" s="7" t="s">
        <v>2349</v>
      </c>
      <c r="D1726" s="7" t="n">
        <v>2163</v>
      </c>
      <c r="E1726" s="7" t="s">
        <v>50</v>
      </c>
      <c r="F1726" s="7" t="n">
        <v>-33.879121</v>
      </c>
      <c r="G1726" s="7" t="n">
        <v>150.977644</v>
      </c>
      <c r="H1726" s="7" t="s">
        <v>7140</v>
      </c>
    </row>
    <row r="1727" customFormat="false" ht="15" hidden="false" customHeight="false" outlineLevel="0" collapsed="false">
      <c r="A1727" s="7" t="s">
        <v>6947</v>
      </c>
      <c r="B1727" s="7" t="s">
        <v>2350</v>
      </c>
      <c r="C1727" s="7" t="s">
        <v>2351</v>
      </c>
      <c r="D1727" s="7" t="n">
        <v>2624</v>
      </c>
      <c r="E1727" s="7" t="s">
        <v>50</v>
      </c>
      <c r="F1727" s="7" t="n">
        <v>-36.359929</v>
      </c>
      <c r="G1727" s="7" t="n">
        <v>148.484945</v>
      </c>
      <c r="H1727" s="7" t="s">
        <v>6981</v>
      </c>
    </row>
    <row r="1728" customFormat="false" ht="15" hidden="false" customHeight="false" outlineLevel="0" collapsed="false">
      <c r="A1728" s="7" t="s">
        <v>6947</v>
      </c>
      <c r="B1728" s="7" t="s">
        <v>7122</v>
      </c>
      <c r="C1728" s="7" t="s">
        <v>2352</v>
      </c>
      <c r="D1728" s="7" t="n">
        <v>2040</v>
      </c>
      <c r="E1728" s="7" t="s">
        <v>50</v>
      </c>
      <c r="F1728" s="7" t="n">
        <v>-33.885178</v>
      </c>
      <c r="G1728" s="7" t="n">
        <v>151.151927</v>
      </c>
      <c r="H1728" s="7" t="s">
        <v>7117</v>
      </c>
    </row>
    <row r="1729" customFormat="false" ht="15" hidden="false" customHeight="false" outlineLevel="0" collapsed="false">
      <c r="A1729" s="7" t="s">
        <v>6947</v>
      </c>
      <c r="B1729" s="7" t="s">
        <v>2353</v>
      </c>
      <c r="C1729" s="7" t="s">
        <v>2354</v>
      </c>
      <c r="D1729" s="7" t="n">
        <v>2800</v>
      </c>
      <c r="E1729" s="7" t="s">
        <v>50</v>
      </c>
      <c r="F1729" s="7" t="n">
        <v>-33.296872</v>
      </c>
      <c r="G1729" s="7" t="n">
        <v>149.02457</v>
      </c>
      <c r="H1729" s="7" t="s">
        <v>6984</v>
      </c>
    </row>
    <row r="1730" customFormat="false" ht="15" hidden="false" customHeight="false" outlineLevel="0" collapsed="false">
      <c r="A1730" s="7" t="s">
        <v>6947</v>
      </c>
      <c r="B1730" s="7" t="s">
        <v>7075</v>
      </c>
      <c r="C1730" s="7" t="s">
        <v>2355</v>
      </c>
      <c r="D1730" s="7" t="n">
        <v>2035</v>
      </c>
      <c r="E1730" s="7" t="s">
        <v>50</v>
      </c>
      <c r="F1730" s="7" t="n">
        <v>-33.940605</v>
      </c>
      <c r="G1730" s="7" t="n">
        <v>151.239517</v>
      </c>
      <c r="H1730" s="7" t="s">
        <v>7140</v>
      </c>
    </row>
    <row r="1731" customFormat="false" ht="15" hidden="false" customHeight="false" outlineLevel="0" collapsed="false">
      <c r="A1731" s="7" t="s">
        <v>6947</v>
      </c>
      <c r="B1731" s="7" t="s">
        <v>7122</v>
      </c>
      <c r="C1731" s="7" t="s">
        <v>2356</v>
      </c>
      <c r="D1731" s="7" t="n">
        <v>2044</v>
      </c>
      <c r="E1731" s="7" t="s">
        <v>50</v>
      </c>
      <c r="F1731" s="7" t="n">
        <v>-33.918651</v>
      </c>
      <c r="G1731" s="7" t="n">
        <v>151.165252</v>
      </c>
      <c r="H1731" s="7" t="s">
        <v>7117</v>
      </c>
    </row>
    <row r="1732" customFormat="false" ht="15" hidden="false" customHeight="false" outlineLevel="0" collapsed="false">
      <c r="A1732" s="7" t="s">
        <v>6947</v>
      </c>
      <c r="B1732" s="7" t="s">
        <v>7122</v>
      </c>
      <c r="C1732" s="7" t="s">
        <v>2357</v>
      </c>
      <c r="D1732" s="7" t="n">
        <v>2031</v>
      </c>
      <c r="E1732" s="7" t="s">
        <v>50</v>
      </c>
      <c r="F1732" s="7" t="n">
        <v>-33.909124</v>
      </c>
      <c r="G1732" s="7" t="n">
        <v>151.248602</v>
      </c>
      <c r="H1732" s="7" t="s">
        <v>7117</v>
      </c>
    </row>
    <row r="1733" customFormat="false" ht="15" hidden="false" customHeight="false" outlineLevel="0" collapsed="false">
      <c r="A1733" s="7" t="s">
        <v>6947</v>
      </c>
      <c r="B1733" s="7" t="s">
        <v>6962</v>
      </c>
      <c r="C1733" s="7" t="s">
        <v>2358</v>
      </c>
      <c r="D1733" s="7" t="n">
        <v>2026</v>
      </c>
      <c r="E1733" s="7" t="s">
        <v>50</v>
      </c>
      <c r="F1733" s="7" t="n">
        <v>-33.887905</v>
      </c>
      <c r="G1733" s="7" t="n">
        <v>151.272205</v>
      </c>
      <c r="H1733" s="7" t="s">
        <v>6969</v>
      </c>
    </row>
    <row r="1734" customFormat="false" ht="15" hidden="false" customHeight="false" outlineLevel="0" collapsed="false">
      <c r="A1734" s="7" t="s">
        <v>6947</v>
      </c>
      <c r="B1734" s="7" t="s">
        <v>6993</v>
      </c>
      <c r="C1734" s="7" t="s">
        <v>2359</v>
      </c>
      <c r="D1734" s="7" t="n">
        <v>2033</v>
      </c>
      <c r="E1734" s="7" t="s">
        <v>50</v>
      </c>
      <c r="F1734" s="7" t="n">
        <v>-33.907747</v>
      </c>
      <c r="G1734" s="7" t="n">
        <v>151.224102</v>
      </c>
      <c r="H1734" s="7" t="s">
        <v>6994</v>
      </c>
    </row>
    <row r="1735" customFormat="false" ht="15" hidden="false" customHeight="false" outlineLevel="0" collapsed="false">
      <c r="A1735" s="7" t="s">
        <v>6947</v>
      </c>
      <c r="B1735" s="7" t="s">
        <v>7122</v>
      </c>
      <c r="C1735" s="7" t="s">
        <v>2360</v>
      </c>
      <c r="D1735" s="7" t="n">
        <v>2049</v>
      </c>
      <c r="E1735" s="7" t="s">
        <v>50</v>
      </c>
      <c r="F1735" s="7" t="n">
        <v>-33.890109</v>
      </c>
      <c r="G1735" s="7" t="n">
        <v>151.157767</v>
      </c>
      <c r="H1735" s="7" t="s">
        <v>7117</v>
      </c>
    </row>
    <row r="1736" customFormat="false" ht="15" hidden="false" customHeight="false" outlineLevel="0" collapsed="false">
      <c r="A1736" s="7" t="s">
        <v>6947</v>
      </c>
      <c r="B1736" s="7" t="s">
        <v>2361</v>
      </c>
      <c r="C1736" s="7" t="s">
        <v>2362</v>
      </c>
      <c r="D1736" s="7" t="n">
        <v>2487</v>
      </c>
      <c r="E1736" s="7" t="s">
        <v>50</v>
      </c>
      <c r="F1736" s="7" t="n">
        <v>-28.277964</v>
      </c>
      <c r="G1736" s="7" t="n">
        <v>153.577631</v>
      </c>
      <c r="H1736" s="7" t="s">
        <v>6983</v>
      </c>
    </row>
    <row r="1737" customFormat="false" ht="15" hidden="false" customHeight="false" outlineLevel="0" collapsed="false">
      <c r="A1737" s="7" t="s">
        <v>6947</v>
      </c>
      <c r="B1737" s="7" t="s">
        <v>2363</v>
      </c>
      <c r="C1737" s="7" t="s">
        <v>2364</v>
      </c>
      <c r="D1737" s="7" t="n">
        <v>2283</v>
      </c>
      <c r="E1737" s="7" t="s">
        <v>50</v>
      </c>
      <c r="F1737" s="7" t="n">
        <v>-33.010417</v>
      </c>
      <c r="G1737" s="7" t="n">
        <v>151.591566</v>
      </c>
      <c r="H1737" s="7" t="s">
        <v>7165</v>
      </c>
    </row>
    <row r="1738" customFormat="false" ht="15" hidden="false" customHeight="false" outlineLevel="0" collapsed="false">
      <c r="A1738" s="7" t="s">
        <v>6947</v>
      </c>
      <c r="B1738" s="7" t="s">
        <v>7122</v>
      </c>
      <c r="C1738" s="7" t="s">
        <v>2365</v>
      </c>
      <c r="D1738" s="7" t="n">
        <v>2041</v>
      </c>
      <c r="E1738" s="7" t="s">
        <v>50</v>
      </c>
      <c r="F1738" s="7" t="n">
        <v>-33.856438</v>
      </c>
      <c r="G1738" s="7" t="n">
        <v>151.193394</v>
      </c>
      <c r="H1738" s="7" t="s">
        <v>7117</v>
      </c>
    </row>
    <row r="1739" customFormat="false" ht="15" hidden="false" customHeight="false" outlineLevel="0" collapsed="false">
      <c r="A1739" s="7" t="s">
        <v>6947</v>
      </c>
      <c r="B1739" s="7" t="s">
        <v>2366</v>
      </c>
      <c r="C1739" s="7" t="s">
        <v>2367</v>
      </c>
      <c r="D1739" s="7" t="n">
        <v>2548</v>
      </c>
      <c r="E1739" s="7" t="s">
        <v>50</v>
      </c>
      <c r="F1739" s="7" t="n">
        <v>-36.863888</v>
      </c>
      <c r="G1739" s="7" t="n">
        <v>149.915105</v>
      </c>
      <c r="H1739" s="7" t="s">
        <v>7023</v>
      </c>
    </row>
    <row r="1740" customFormat="false" ht="15" hidden="false" customHeight="false" outlineLevel="0" collapsed="false">
      <c r="A1740" s="7" t="s">
        <v>6947</v>
      </c>
      <c r="B1740" s="7" t="s">
        <v>7075</v>
      </c>
      <c r="C1740" s="7" t="s">
        <v>2368</v>
      </c>
      <c r="D1740" s="7" t="n">
        <v>2029</v>
      </c>
      <c r="E1740" s="7" t="s">
        <v>50</v>
      </c>
      <c r="F1740" s="7" t="n">
        <v>-33.870354</v>
      </c>
      <c r="G1740" s="7" t="n">
        <v>151.264257</v>
      </c>
      <c r="H1740" s="7" t="s">
        <v>7140</v>
      </c>
    </row>
    <row r="1741" customFormat="false" ht="15" hidden="false" customHeight="false" outlineLevel="0" collapsed="false">
      <c r="A1741" s="7" t="s">
        <v>6947</v>
      </c>
      <c r="B1741" s="7" t="s">
        <v>7122</v>
      </c>
      <c r="C1741" s="7" t="s">
        <v>2369</v>
      </c>
      <c r="D1741" s="7" t="n">
        <v>2021</v>
      </c>
      <c r="E1741" s="7" t="s">
        <v>50</v>
      </c>
      <c r="F1741" s="7" t="n">
        <v>-33.87922</v>
      </c>
      <c r="G1741" s="7" t="n">
        <v>151.224936</v>
      </c>
      <c r="H1741" s="7" t="s">
        <v>7117</v>
      </c>
    </row>
    <row r="1742" customFormat="false" ht="15" hidden="false" customHeight="false" outlineLevel="0" collapsed="false">
      <c r="A1742" s="7" t="s">
        <v>6947</v>
      </c>
      <c r="B1742" s="7" t="s">
        <v>199</v>
      </c>
      <c r="C1742" s="7" t="s">
        <v>2370</v>
      </c>
      <c r="D1742" s="7" t="n">
        <v>2850</v>
      </c>
      <c r="E1742" s="7" t="s">
        <v>50</v>
      </c>
      <c r="F1742" s="7" t="n">
        <v>-32.59009</v>
      </c>
      <c r="G1742" s="7" t="n">
        <v>149.583547</v>
      </c>
      <c r="H1742" s="7" t="s">
        <v>7127</v>
      </c>
    </row>
    <row r="1743" customFormat="false" ht="15" hidden="false" customHeight="false" outlineLevel="0" collapsed="false">
      <c r="A1743" s="7" t="s">
        <v>6947</v>
      </c>
      <c r="B1743" s="7" t="s">
        <v>7122</v>
      </c>
      <c r="C1743" s="7" t="s">
        <v>2371</v>
      </c>
      <c r="D1743" s="7" t="n">
        <v>2041</v>
      </c>
      <c r="E1743" s="7" t="s">
        <v>50</v>
      </c>
      <c r="F1743" s="7" t="n">
        <v>-33.853435</v>
      </c>
      <c r="G1743" s="7" t="n">
        <v>151.180239</v>
      </c>
      <c r="H1743" s="7" t="s">
        <v>7117</v>
      </c>
    </row>
    <row r="1744" customFormat="false" ht="15" hidden="false" customHeight="false" outlineLevel="0" collapsed="false">
      <c r="A1744" s="7" t="s">
        <v>6947</v>
      </c>
      <c r="B1744" s="7" t="s">
        <v>7122</v>
      </c>
      <c r="C1744" s="7" t="s">
        <v>2372</v>
      </c>
      <c r="D1744" s="7" t="n">
        <v>2038</v>
      </c>
      <c r="E1744" s="7" t="s">
        <v>50</v>
      </c>
      <c r="F1744" s="7" t="n">
        <v>-33.883053</v>
      </c>
      <c r="G1744" s="7" t="n">
        <v>151.168667</v>
      </c>
      <c r="H1744" s="7" t="s">
        <v>7117</v>
      </c>
    </row>
    <row r="1745" customFormat="false" ht="15" hidden="false" customHeight="false" outlineLevel="0" collapsed="false">
      <c r="A1745" s="7" t="s">
        <v>6947</v>
      </c>
      <c r="B1745" s="7" t="s">
        <v>2373</v>
      </c>
      <c r="C1745" s="7" t="s">
        <v>2374</v>
      </c>
      <c r="D1745" s="7" t="n">
        <v>2360</v>
      </c>
      <c r="E1745" s="7" t="s">
        <v>50</v>
      </c>
      <c r="F1745" s="7" t="n">
        <v>-29.779375</v>
      </c>
      <c r="G1745" s="7" t="n">
        <v>151.116445</v>
      </c>
      <c r="H1745" s="7" t="s">
        <v>6959</v>
      </c>
    </row>
    <row r="1746" customFormat="false" ht="15" hidden="false" customHeight="false" outlineLevel="0" collapsed="false">
      <c r="A1746" s="7" t="s">
        <v>6947</v>
      </c>
      <c r="B1746" s="7" t="s">
        <v>6993</v>
      </c>
      <c r="C1746" s="7" t="s">
        <v>2375</v>
      </c>
      <c r="D1746" s="7" t="n">
        <v>2050</v>
      </c>
      <c r="E1746" s="7" t="s">
        <v>50</v>
      </c>
      <c r="F1746" s="7" t="n">
        <v>-33.885881</v>
      </c>
      <c r="G1746" s="7" t="n">
        <v>151.176933</v>
      </c>
      <c r="H1746" s="7" t="s">
        <v>6994</v>
      </c>
    </row>
    <row r="1747" customFormat="false" ht="15" hidden="false" customHeight="false" outlineLevel="0" collapsed="false">
      <c r="A1747" s="7" t="s">
        <v>6947</v>
      </c>
      <c r="B1747" s="7" t="s">
        <v>6964</v>
      </c>
      <c r="C1747" s="7" t="s">
        <v>2376</v>
      </c>
      <c r="D1747" s="7" t="n">
        <v>2870</v>
      </c>
      <c r="E1747" s="7" t="s">
        <v>50</v>
      </c>
      <c r="F1747" s="7" t="n">
        <v>-33.141378</v>
      </c>
      <c r="G1747" s="7" t="n">
        <v>148.174069</v>
      </c>
      <c r="H1747" s="7" t="s">
        <v>6972</v>
      </c>
    </row>
    <row r="1748" customFormat="false" ht="15" hidden="false" customHeight="false" outlineLevel="0" collapsed="false">
      <c r="A1748" s="7" t="s">
        <v>6947</v>
      </c>
      <c r="B1748" s="7" t="s">
        <v>7075</v>
      </c>
      <c r="C1748" s="7" t="s">
        <v>2377</v>
      </c>
      <c r="D1748" s="7" t="n">
        <v>2035</v>
      </c>
      <c r="E1748" s="7" t="s">
        <v>50</v>
      </c>
      <c r="F1748" s="7" t="n">
        <v>-33.942769</v>
      </c>
      <c r="G1748" s="7" t="n">
        <v>151.24012</v>
      </c>
      <c r="H1748" s="7" t="s">
        <v>7076</v>
      </c>
    </row>
    <row r="1749" customFormat="false" ht="15" hidden="false" customHeight="false" outlineLevel="0" collapsed="false">
      <c r="A1749" s="7" t="s">
        <v>6947</v>
      </c>
      <c r="B1749" s="7" t="s">
        <v>2378</v>
      </c>
      <c r="C1749" s="7" t="s">
        <v>2379</v>
      </c>
      <c r="D1749" s="7" t="n">
        <v>2650</v>
      </c>
      <c r="E1749" s="7" t="s">
        <v>50</v>
      </c>
      <c r="F1749" s="7" t="n">
        <v>-35.121225</v>
      </c>
      <c r="G1749" s="7" t="n">
        <v>147.388612</v>
      </c>
      <c r="H1749" s="7" t="s">
        <v>6981</v>
      </c>
    </row>
    <row r="1750" customFormat="false" ht="15" hidden="false" customHeight="false" outlineLevel="0" collapsed="false">
      <c r="A1750" s="7" t="s">
        <v>6947</v>
      </c>
      <c r="B1750" s="7" t="s">
        <v>7122</v>
      </c>
      <c r="C1750" s="7" t="s">
        <v>2380</v>
      </c>
      <c r="D1750" s="7" t="n">
        <v>2042</v>
      </c>
      <c r="E1750" s="7" t="s">
        <v>50</v>
      </c>
      <c r="F1750" s="7" t="n">
        <v>-33.902056</v>
      </c>
      <c r="G1750" s="7" t="n">
        <v>151.172703</v>
      </c>
      <c r="H1750" s="7" t="s">
        <v>7117</v>
      </c>
    </row>
    <row r="1751" customFormat="false" ht="15" hidden="false" customHeight="false" outlineLevel="0" collapsed="false">
      <c r="A1751" s="7" t="s">
        <v>6947</v>
      </c>
      <c r="B1751" s="7" t="s">
        <v>2381</v>
      </c>
      <c r="C1751" s="7" t="s">
        <v>2382</v>
      </c>
      <c r="D1751" s="7" t="n">
        <v>2850</v>
      </c>
      <c r="E1751" s="7" t="s">
        <v>50</v>
      </c>
      <c r="F1751" s="7" t="n">
        <v>-32.278467</v>
      </c>
      <c r="G1751" s="7" t="n">
        <v>149.744306</v>
      </c>
      <c r="H1751" s="7" t="s">
        <v>6959</v>
      </c>
    </row>
    <row r="1752" customFormat="false" ht="15" hidden="false" customHeight="false" outlineLevel="0" collapsed="false">
      <c r="A1752" s="7" t="s">
        <v>6947</v>
      </c>
      <c r="B1752" s="7" t="s">
        <v>2383</v>
      </c>
      <c r="C1752" s="7" t="s">
        <v>2384</v>
      </c>
      <c r="D1752" s="7" t="n">
        <v>2578</v>
      </c>
      <c r="E1752" s="7" t="s">
        <v>50</v>
      </c>
      <c r="F1752" s="7" t="n">
        <v>-34.657549</v>
      </c>
      <c r="G1752" s="7" t="n">
        <v>150.302941</v>
      </c>
      <c r="H1752" s="7" t="s">
        <v>6981</v>
      </c>
    </row>
    <row r="1753" customFormat="false" ht="15" hidden="false" customHeight="false" outlineLevel="0" collapsed="false">
      <c r="A1753" s="7" t="s">
        <v>6947</v>
      </c>
      <c r="B1753" s="7" t="s">
        <v>7122</v>
      </c>
      <c r="C1753" s="7" t="s">
        <v>2385</v>
      </c>
      <c r="D1753" s="7" t="n">
        <v>2034</v>
      </c>
      <c r="E1753" s="7" t="s">
        <v>50</v>
      </c>
      <c r="F1753" s="7" t="n">
        <v>-33.924867</v>
      </c>
      <c r="G1753" s="7" t="n">
        <v>151.255378</v>
      </c>
      <c r="H1753" s="7" t="s">
        <v>7117</v>
      </c>
    </row>
    <row r="1754" customFormat="false" ht="15" hidden="false" customHeight="false" outlineLevel="0" collapsed="false">
      <c r="A1754" s="7" t="s">
        <v>6947</v>
      </c>
      <c r="B1754" s="7" t="s">
        <v>7122</v>
      </c>
      <c r="C1754" s="7" t="s">
        <v>2386</v>
      </c>
      <c r="D1754" s="7" t="n">
        <v>2021</v>
      </c>
      <c r="E1754" s="7" t="s">
        <v>50</v>
      </c>
      <c r="F1754" s="7" t="n">
        <v>-33.880735</v>
      </c>
      <c r="G1754" s="7" t="n">
        <v>151.232653</v>
      </c>
      <c r="H1754" s="7" t="s">
        <v>7117</v>
      </c>
    </row>
    <row r="1755" customFormat="false" ht="15" hidden="false" customHeight="false" outlineLevel="0" collapsed="false">
      <c r="A1755" s="7" t="s">
        <v>6947</v>
      </c>
      <c r="B1755" s="7" t="s">
        <v>2387</v>
      </c>
      <c r="C1755" s="7" t="s">
        <v>2388</v>
      </c>
      <c r="D1755" s="7" t="n">
        <v>2320</v>
      </c>
      <c r="E1755" s="7" t="s">
        <v>50</v>
      </c>
      <c r="F1755" s="7" t="n">
        <v>-32.73515</v>
      </c>
      <c r="G1755" s="7" t="n">
        <v>151.259784</v>
      </c>
      <c r="H1755" s="7" t="s">
        <v>6984</v>
      </c>
    </row>
    <row r="1756" customFormat="false" ht="15" hidden="false" customHeight="false" outlineLevel="0" collapsed="false">
      <c r="A1756" s="7" t="s">
        <v>6947</v>
      </c>
      <c r="B1756" s="7" t="s">
        <v>2389</v>
      </c>
      <c r="C1756" s="7" t="s">
        <v>2390</v>
      </c>
      <c r="D1756" s="7" t="n">
        <v>2486</v>
      </c>
      <c r="E1756" s="7" t="s">
        <v>50</v>
      </c>
      <c r="F1756" s="7" t="n">
        <v>-28.201621</v>
      </c>
      <c r="G1756" s="7" t="n">
        <v>153.522817</v>
      </c>
      <c r="H1756" s="7" t="s">
        <v>6983</v>
      </c>
    </row>
    <row r="1757" customFormat="false" ht="15" hidden="false" customHeight="false" outlineLevel="0" collapsed="false">
      <c r="A1757" s="7" t="s">
        <v>6947</v>
      </c>
      <c r="B1757" s="7" t="s">
        <v>2391</v>
      </c>
      <c r="C1757" s="7" t="s">
        <v>2392</v>
      </c>
      <c r="D1757" s="7" t="n">
        <v>2480</v>
      </c>
      <c r="E1757" s="7" t="s">
        <v>50</v>
      </c>
      <c r="F1757" s="7" t="n">
        <v>-28.808421</v>
      </c>
      <c r="G1757" s="7" t="n">
        <v>153.279344</v>
      </c>
      <c r="H1757" s="7" t="s">
        <v>7066</v>
      </c>
    </row>
    <row r="1758" customFormat="false" ht="15" hidden="false" customHeight="false" outlineLevel="0" collapsed="false">
      <c r="A1758" s="7" t="s">
        <v>6947</v>
      </c>
      <c r="B1758" s="7" t="s">
        <v>7122</v>
      </c>
      <c r="C1758" s="7" t="s">
        <v>2393</v>
      </c>
      <c r="D1758" s="7" t="n">
        <v>2041</v>
      </c>
      <c r="E1758" s="7" t="s">
        <v>50</v>
      </c>
      <c r="F1758" s="7" t="n">
        <v>-33.853145</v>
      </c>
      <c r="G1758" s="7" t="n">
        <v>151.180718</v>
      </c>
      <c r="H1758" s="7" t="s">
        <v>7117</v>
      </c>
    </row>
    <row r="1759" customFormat="false" ht="15" hidden="false" customHeight="false" outlineLevel="0" collapsed="false">
      <c r="A1759" s="7" t="s">
        <v>6947</v>
      </c>
      <c r="B1759" s="7" t="s">
        <v>2394</v>
      </c>
      <c r="C1759" s="7" t="s">
        <v>2395</v>
      </c>
      <c r="D1759" s="7" t="n">
        <v>2540</v>
      </c>
      <c r="E1759" s="7" t="s">
        <v>50</v>
      </c>
      <c r="F1759" s="7" t="n">
        <v>-35.102608</v>
      </c>
      <c r="G1759" s="7" t="n">
        <v>150.650295</v>
      </c>
      <c r="H1759" s="7" t="s">
        <v>6981</v>
      </c>
    </row>
    <row r="1760" customFormat="false" ht="15" hidden="false" customHeight="false" outlineLevel="0" collapsed="false">
      <c r="A1760" s="7" t="s">
        <v>6947</v>
      </c>
      <c r="B1760" s="7" t="s">
        <v>227</v>
      </c>
      <c r="C1760" s="7" t="s">
        <v>2396</v>
      </c>
      <c r="D1760" s="7" t="n">
        <v>2820</v>
      </c>
      <c r="E1760" s="7" t="s">
        <v>50</v>
      </c>
      <c r="F1760" s="7" t="n">
        <v>-32.554919</v>
      </c>
      <c r="G1760" s="7" t="n">
        <v>148.942181</v>
      </c>
      <c r="H1760" s="7" t="s">
        <v>7127</v>
      </c>
    </row>
    <row r="1761" customFormat="false" ht="15" hidden="false" customHeight="false" outlineLevel="0" collapsed="false">
      <c r="A1761" s="7" t="s">
        <v>6947</v>
      </c>
      <c r="B1761" s="7" t="s">
        <v>2397</v>
      </c>
      <c r="C1761" s="7" t="s">
        <v>2398</v>
      </c>
      <c r="D1761" s="7" t="n">
        <v>2250</v>
      </c>
      <c r="E1761" s="7" t="s">
        <v>50</v>
      </c>
      <c r="F1761" s="7" t="n">
        <v>-33.229984</v>
      </c>
      <c r="G1761" s="7" t="n">
        <v>151.217985</v>
      </c>
      <c r="H1761" s="7" t="s">
        <v>7151</v>
      </c>
    </row>
    <row r="1762" customFormat="false" ht="15" hidden="false" customHeight="false" outlineLevel="0" collapsed="false">
      <c r="A1762" s="7" t="s">
        <v>6947</v>
      </c>
      <c r="B1762" s="7" t="s">
        <v>2399</v>
      </c>
      <c r="C1762" s="7" t="s">
        <v>2400</v>
      </c>
      <c r="D1762" s="7" t="n">
        <v>2323</v>
      </c>
      <c r="E1762" s="7" t="s">
        <v>50</v>
      </c>
      <c r="F1762" s="7" t="n">
        <v>-32.748883</v>
      </c>
      <c r="G1762" s="7" t="n">
        <v>151.581178</v>
      </c>
      <c r="H1762" s="7" t="s">
        <v>6981</v>
      </c>
    </row>
    <row r="1763" customFormat="false" ht="15" hidden="false" customHeight="false" outlineLevel="0" collapsed="false">
      <c r="A1763" s="7" t="s">
        <v>6947</v>
      </c>
      <c r="B1763" s="7" t="s">
        <v>7052</v>
      </c>
      <c r="C1763" s="7" t="s">
        <v>2401</v>
      </c>
      <c r="D1763" s="7" t="n">
        <v>2015</v>
      </c>
      <c r="E1763" s="7" t="s">
        <v>50</v>
      </c>
      <c r="F1763" s="7" t="n">
        <v>-33.920945</v>
      </c>
      <c r="G1763" s="7" t="n">
        <v>151.194485</v>
      </c>
      <c r="H1763" s="7" t="s">
        <v>7079</v>
      </c>
    </row>
    <row r="1764" customFormat="false" ht="15" hidden="false" customHeight="false" outlineLevel="0" collapsed="false">
      <c r="A1764" s="7" t="s">
        <v>6947</v>
      </c>
      <c r="B1764" s="7" t="s">
        <v>1939</v>
      </c>
      <c r="C1764" s="7" t="s">
        <v>2402</v>
      </c>
      <c r="D1764" s="7" t="n">
        <v>2423</v>
      </c>
      <c r="E1764" s="7" t="s">
        <v>50</v>
      </c>
      <c r="F1764" s="7" t="n">
        <v>-32.440015</v>
      </c>
      <c r="G1764" s="7" t="n">
        <v>152.232825</v>
      </c>
      <c r="H1764" s="7" t="s">
        <v>7030</v>
      </c>
    </row>
    <row r="1765" customFormat="false" ht="15" hidden="false" customHeight="false" outlineLevel="0" collapsed="false">
      <c r="A1765" s="7" t="s">
        <v>6947</v>
      </c>
      <c r="B1765" s="7" t="s">
        <v>7075</v>
      </c>
      <c r="C1765" s="7" t="s">
        <v>2403</v>
      </c>
      <c r="D1765" s="7" t="n">
        <v>2137</v>
      </c>
      <c r="E1765" s="7" t="s">
        <v>50</v>
      </c>
      <c r="F1765" s="7" t="n">
        <v>-33.853834</v>
      </c>
      <c r="G1765" s="7" t="n">
        <v>151.105406</v>
      </c>
      <c r="H1765" s="7" t="s">
        <v>7140</v>
      </c>
    </row>
    <row r="1766" customFormat="false" ht="15" hidden="false" customHeight="false" outlineLevel="0" collapsed="false">
      <c r="A1766" s="7" t="s">
        <v>6947</v>
      </c>
      <c r="B1766" s="7" t="s">
        <v>1622</v>
      </c>
      <c r="C1766" s="7" t="s">
        <v>2405</v>
      </c>
      <c r="D1766" s="7" t="n">
        <v>2707</v>
      </c>
      <c r="E1766" s="7" t="s">
        <v>50</v>
      </c>
      <c r="F1766" s="7" t="n">
        <v>-34.806479</v>
      </c>
      <c r="G1766" s="7" t="n">
        <v>145.880176</v>
      </c>
      <c r="H1766" s="7" t="s">
        <v>6983</v>
      </c>
    </row>
    <row r="1767" customFormat="false" ht="15" hidden="false" customHeight="false" outlineLevel="0" collapsed="false">
      <c r="A1767" s="7" t="s">
        <v>6947</v>
      </c>
      <c r="B1767" s="7" t="s">
        <v>75</v>
      </c>
      <c r="C1767" s="7" t="s">
        <v>2406</v>
      </c>
      <c r="D1767" s="7" t="n">
        <v>2795</v>
      </c>
      <c r="E1767" s="7" t="s">
        <v>50</v>
      </c>
      <c r="F1767" s="7" t="n">
        <v>-33.689765</v>
      </c>
      <c r="G1767" s="7" t="n">
        <v>149.566386</v>
      </c>
      <c r="H1767" s="7" t="s">
        <v>6984</v>
      </c>
    </row>
    <row r="1768" customFormat="false" ht="15" hidden="false" customHeight="false" outlineLevel="0" collapsed="false">
      <c r="A1768" s="7" t="s">
        <v>6947</v>
      </c>
      <c r="B1768" s="7" t="s">
        <v>2407</v>
      </c>
      <c r="C1768" s="7" t="s">
        <v>2408</v>
      </c>
      <c r="D1768" s="7" t="n">
        <v>2873</v>
      </c>
      <c r="E1768" s="7" t="s">
        <v>50</v>
      </c>
      <c r="F1768" s="7" t="n">
        <v>-32.249495</v>
      </c>
      <c r="G1768" s="7" t="n">
        <v>147.354086</v>
      </c>
      <c r="H1768" s="7" t="s">
        <v>6984</v>
      </c>
    </row>
    <row r="1769" customFormat="false" ht="15" hidden="false" customHeight="false" outlineLevel="0" collapsed="false">
      <c r="A1769" s="7" t="s">
        <v>6947</v>
      </c>
      <c r="B1769" s="7" t="s">
        <v>2409</v>
      </c>
      <c r="C1769" s="7" t="s">
        <v>2410</v>
      </c>
      <c r="D1769" s="7" t="n">
        <v>3644</v>
      </c>
      <c r="E1769" s="7" t="s">
        <v>50</v>
      </c>
      <c r="F1769" s="7" t="n">
        <v>-35.906687</v>
      </c>
      <c r="G1769" s="7" t="n">
        <v>145.688043</v>
      </c>
      <c r="H1769" s="7" t="s">
        <v>7022</v>
      </c>
    </row>
    <row r="1770" customFormat="false" ht="15" hidden="false" customHeight="false" outlineLevel="0" collapsed="false">
      <c r="A1770" s="7" t="s">
        <v>6947</v>
      </c>
      <c r="B1770" s="7" t="s">
        <v>227</v>
      </c>
      <c r="C1770" s="7" t="s">
        <v>2411</v>
      </c>
      <c r="D1770" s="7" t="n">
        <v>2820</v>
      </c>
      <c r="E1770" s="7" t="s">
        <v>50</v>
      </c>
      <c r="F1770" s="7" t="n">
        <v>-32.620241</v>
      </c>
      <c r="G1770" s="7" t="n">
        <v>148.94704</v>
      </c>
      <c r="H1770" s="7" t="s">
        <v>7127</v>
      </c>
    </row>
    <row r="1771" customFormat="false" ht="15" hidden="false" customHeight="false" outlineLevel="0" collapsed="false">
      <c r="A1771" s="7" t="s">
        <v>6947</v>
      </c>
      <c r="B1771" s="7" t="s">
        <v>801</v>
      </c>
      <c r="C1771" s="7" t="s">
        <v>2412</v>
      </c>
      <c r="D1771" s="7" t="n">
        <v>2469</v>
      </c>
      <c r="E1771" s="7" t="s">
        <v>50</v>
      </c>
      <c r="F1771" s="7" t="n">
        <v>-28.889074</v>
      </c>
      <c r="G1771" s="7" t="n">
        <v>152.567742</v>
      </c>
      <c r="H1771" s="7" t="s">
        <v>6984</v>
      </c>
    </row>
    <row r="1772" customFormat="false" ht="15" hidden="false" customHeight="false" outlineLevel="0" collapsed="false">
      <c r="A1772" s="7" t="s">
        <v>6947</v>
      </c>
      <c r="B1772" s="7" t="s">
        <v>6960</v>
      </c>
      <c r="C1772" s="7" t="s">
        <v>2413</v>
      </c>
      <c r="D1772" s="7" t="n">
        <v>2166</v>
      </c>
      <c r="E1772" s="7" t="s">
        <v>50</v>
      </c>
      <c r="F1772" s="7" t="n">
        <v>-33.899373</v>
      </c>
      <c r="G1772" s="7" t="n">
        <v>150.919108</v>
      </c>
      <c r="H1772" s="7" t="s">
        <v>6961</v>
      </c>
    </row>
    <row r="1773" customFormat="false" ht="15" hidden="false" customHeight="false" outlineLevel="0" collapsed="false">
      <c r="A1773" s="7" t="s">
        <v>6947</v>
      </c>
      <c r="B1773" s="7" t="s">
        <v>2414</v>
      </c>
      <c r="C1773" s="7" t="s">
        <v>2415</v>
      </c>
      <c r="D1773" s="7" t="n">
        <v>2652</v>
      </c>
      <c r="E1773" s="7" t="s">
        <v>50</v>
      </c>
      <c r="F1773" s="7" t="n">
        <v>-33.980344</v>
      </c>
      <c r="G1773" s="7" t="n">
        <v>145.707344</v>
      </c>
      <c r="H1773" s="7" t="s">
        <v>6984</v>
      </c>
    </row>
    <row r="1774" customFormat="false" ht="15" hidden="false" customHeight="false" outlineLevel="0" collapsed="false">
      <c r="A1774" s="7" t="s">
        <v>6947</v>
      </c>
      <c r="B1774" s="7" t="s">
        <v>6964</v>
      </c>
      <c r="C1774" s="7" t="s">
        <v>2416</v>
      </c>
      <c r="D1774" s="7" t="n">
        <v>2324</v>
      </c>
      <c r="E1774" s="7" t="s">
        <v>50</v>
      </c>
      <c r="F1774" s="7" t="n">
        <v>-32.764542</v>
      </c>
      <c r="G1774" s="7" t="n">
        <v>151.742523</v>
      </c>
      <c r="H1774" s="7" t="s">
        <v>7001</v>
      </c>
    </row>
    <row r="1775" customFormat="false" ht="15" hidden="false" customHeight="false" outlineLevel="0" collapsed="false">
      <c r="A1775" s="7" t="s">
        <v>6947</v>
      </c>
      <c r="B1775" s="7" t="s">
        <v>262</v>
      </c>
      <c r="C1775" s="7" t="s">
        <v>2417</v>
      </c>
      <c r="D1775" s="7" t="n">
        <v>2710</v>
      </c>
      <c r="E1775" s="7" t="s">
        <v>50</v>
      </c>
      <c r="F1775" s="7" t="n">
        <v>-35.526843</v>
      </c>
      <c r="G1775" s="7" t="n">
        <v>144.960996</v>
      </c>
      <c r="H1775" s="7" t="s">
        <v>6981</v>
      </c>
    </row>
    <row r="1776" customFormat="false" ht="15" hidden="false" customHeight="false" outlineLevel="0" collapsed="false">
      <c r="A1776" s="7" t="s">
        <v>6947</v>
      </c>
      <c r="B1776" s="7" t="s">
        <v>2418</v>
      </c>
      <c r="C1776" s="7" t="s">
        <v>2419</v>
      </c>
      <c r="D1776" s="7" t="n">
        <v>2588</v>
      </c>
      <c r="E1776" s="7" t="s">
        <v>50</v>
      </c>
      <c r="F1776" s="7" t="n">
        <v>-34.561555</v>
      </c>
      <c r="G1776" s="7" t="n">
        <v>148.171015</v>
      </c>
      <c r="H1776" s="7" t="s">
        <v>6991</v>
      </c>
    </row>
    <row r="1777" customFormat="false" ht="15" hidden="false" customHeight="false" outlineLevel="0" collapsed="false">
      <c r="A1777" s="7" t="s">
        <v>6947</v>
      </c>
      <c r="B1777" s="7" t="s">
        <v>316</v>
      </c>
      <c r="C1777" s="7" t="s">
        <v>2420</v>
      </c>
      <c r="D1777" s="7" t="n">
        <v>2529</v>
      </c>
      <c r="E1777" s="7" t="s">
        <v>50</v>
      </c>
      <c r="F1777" s="7" t="n">
        <v>-34.565502</v>
      </c>
      <c r="G1777" s="7" t="n">
        <v>150.833452</v>
      </c>
      <c r="H1777" s="7" t="s">
        <v>6979</v>
      </c>
    </row>
    <row r="1778" customFormat="false" ht="15" hidden="false" customHeight="false" outlineLevel="0" collapsed="false">
      <c r="A1778" s="7" t="s">
        <v>6947</v>
      </c>
      <c r="B1778" s="7" t="s">
        <v>2421</v>
      </c>
      <c r="C1778" s="7" t="s">
        <v>2422</v>
      </c>
      <c r="D1778" s="7" t="n">
        <v>2342</v>
      </c>
      <c r="E1778" s="7" t="s">
        <v>50</v>
      </c>
      <c r="F1778" s="7" t="n">
        <v>-31.262109</v>
      </c>
      <c r="G1778" s="7" t="n">
        <v>150.736308</v>
      </c>
      <c r="H1778" s="7" t="s">
        <v>6984</v>
      </c>
    </row>
    <row r="1779" customFormat="false" ht="15" hidden="false" customHeight="false" outlineLevel="0" collapsed="false">
      <c r="A1779" s="7" t="s">
        <v>6947</v>
      </c>
      <c r="B1779" s="7" t="s">
        <v>2423</v>
      </c>
      <c r="C1779" s="7" t="s">
        <v>2424</v>
      </c>
      <c r="D1779" s="7" t="n">
        <v>2522</v>
      </c>
      <c r="E1779" s="7" t="s">
        <v>50</v>
      </c>
      <c r="F1779" s="7" t="n">
        <v>-34.407957</v>
      </c>
      <c r="G1779" s="7" t="n">
        <v>150.877135</v>
      </c>
      <c r="H1779" s="7" t="s">
        <v>6979</v>
      </c>
    </row>
    <row r="1780" customFormat="false" ht="15" hidden="false" customHeight="false" outlineLevel="0" collapsed="false">
      <c r="A1780" s="7" t="s">
        <v>6947</v>
      </c>
      <c r="B1780" s="7" t="s">
        <v>7122</v>
      </c>
      <c r="C1780" s="7" t="s">
        <v>2425</v>
      </c>
      <c r="D1780" s="7" t="n">
        <v>2031</v>
      </c>
      <c r="E1780" s="7" t="s">
        <v>50</v>
      </c>
      <c r="F1780" s="7" t="n">
        <v>-33.90392</v>
      </c>
      <c r="G1780" s="7" t="n">
        <v>151.238689</v>
      </c>
      <c r="H1780" s="7" t="s">
        <v>7117</v>
      </c>
    </row>
    <row r="1781" customFormat="false" ht="15" hidden="false" customHeight="false" outlineLevel="0" collapsed="false">
      <c r="A1781" s="7" t="s">
        <v>6947</v>
      </c>
      <c r="B1781" s="7" t="s">
        <v>1184</v>
      </c>
      <c r="C1781" s="7" t="s">
        <v>2426</v>
      </c>
      <c r="D1781" s="7" t="n">
        <v>2810</v>
      </c>
      <c r="E1781" s="7" t="s">
        <v>50</v>
      </c>
      <c r="F1781" s="7" t="n">
        <v>-33.896076</v>
      </c>
      <c r="G1781" s="7" t="n">
        <v>148.159985</v>
      </c>
      <c r="H1781" s="7" t="s">
        <v>6984</v>
      </c>
    </row>
    <row r="1782" customFormat="false" ht="15" hidden="false" customHeight="false" outlineLevel="0" collapsed="false">
      <c r="A1782" s="7" t="s">
        <v>6947</v>
      </c>
      <c r="B1782" s="7" t="s">
        <v>2427</v>
      </c>
      <c r="C1782" s="7" t="s">
        <v>2428</v>
      </c>
      <c r="D1782" s="7" t="n">
        <v>2502</v>
      </c>
      <c r="E1782" s="7" t="s">
        <v>50</v>
      </c>
      <c r="F1782" s="7" t="n">
        <v>-34.508</v>
      </c>
      <c r="G1782" s="7" t="n">
        <v>150.878648</v>
      </c>
      <c r="H1782" s="7" t="s">
        <v>7139</v>
      </c>
    </row>
    <row r="1783" customFormat="false" ht="15" hidden="false" customHeight="false" outlineLevel="0" collapsed="false">
      <c r="A1783" s="7" t="s">
        <v>6947</v>
      </c>
      <c r="B1783" s="7" t="s">
        <v>2429</v>
      </c>
      <c r="C1783" s="7" t="s">
        <v>2430</v>
      </c>
      <c r="D1783" s="7" t="n">
        <v>2431</v>
      </c>
      <c r="E1783" s="7" t="s">
        <v>50</v>
      </c>
      <c r="F1783" s="7" t="n">
        <v>-30.889722</v>
      </c>
      <c r="G1783" s="7" t="n">
        <v>153.032919</v>
      </c>
      <c r="H1783" s="7" t="s">
        <v>6981</v>
      </c>
    </row>
    <row r="1784" customFormat="false" ht="15" hidden="false" customHeight="false" outlineLevel="0" collapsed="false">
      <c r="A1784" s="7" t="s">
        <v>6947</v>
      </c>
      <c r="B1784" s="7" t="s">
        <v>2431</v>
      </c>
      <c r="C1784" s="7" t="s">
        <v>2432</v>
      </c>
      <c r="D1784" s="7" t="n">
        <v>2319</v>
      </c>
      <c r="E1784" s="7" t="s">
        <v>50</v>
      </c>
      <c r="F1784" s="7" t="n">
        <v>-32.734428</v>
      </c>
      <c r="G1784" s="7" t="n">
        <v>152.035467</v>
      </c>
      <c r="H1784" s="7" t="s">
        <v>6981</v>
      </c>
    </row>
    <row r="1785" customFormat="false" ht="15" hidden="false" customHeight="false" outlineLevel="0" collapsed="false">
      <c r="A1785" s="7" t="s">
        <v>6947</v>
      </c>
      <c r="B1785" s="7" t="s">
        <v>7075</v>
      </c>
      <c r="C1785" s="7" t="s">
        <v>2433</v>
      </c>
      <c r="D1785" s="7" t="n">
        <v>2088</v>
      </c>
      <c r="E1785" s="7" t="s">
        <v>50</v>
      </c>
      <c r="F1785" s="7" t="n">
        <v>-33.827659</v>
      </c>
      <c r="G1785" s="7" t="n">
        <v>151.242382</v>
      </c>
      <c r="H1785" s="7" t="s">
        <v>7076</v>
      </c>
    </row>
    <row r="1786" customFormat="false" ht="15" hidden="false" customHeight="false" outlineLevel="0" collapsed="false">
      <c r="A1786" s="7" t="s">
        <v>6947</v>
      </c>
      <c r="B1786" s="7" t="s">
        <v>2434</v>
      </c>
      <c r="C1786" s="7" t="s">
        <v>2435</v>
      </c>
      <c r="D1786" s="7" t="n">
        <v>2474</v>
      </c>
      <c r="E1786" s="7" t="s">
        <v>50</v>
      </c>
      <c r="F1786" s="7" t="n">
        <v>-28.436763</v>
      </c>
      <c r="G1786" s="7" t="n">
        <v>152.958956</v>
      </c>
      <c r="H1786" s="7" t="s">
        <v>6991</v>
      </c>
    </row>
    <row r="1787" customFormat="false" ht="15" hidden="false" customHeight="false" outlineLevel="0" collapsed="false">
      <c r="A1787" s="7" t="s">
        <v>6947</v>
      </c>
      <c r="B1787" s="7" t="s">
        <v>469</v>
      </c>
      <c r="C1787" s="7" t="s">
        <v>2436</v>
      </c>
      <c r="D1787" s="7" t="n">
        <v>2656</v>
      </c>
      <c r="E1787" s="7" t="s">
        <v>50</v>
      </c>
      <c r="F1787" s="7" t="n">
        <v>-35.221701</v>
      </c>
      <c r="G1787" s="7" t="n">
        <v>146.720696</v>
      </c>
      <c r="H1787" s="7" t="s">
        <v>6984</v>
      </c>
    </row>
    <row r="1788" customFormat="false" ht="15" hidden="false" customHeight="false" outlineLevel="0" collapsed="false">
      <c r="A1788" s="7" t="s">
        <v>6947</v>
      </c>
      <c r="B1788" s="7" t="s">
        <v>2437</v>
      </c>
      <c r="C1788" s="7" t="s">
        <v>2438</v>
      </c>
      <c r="D1788" s="7" t="n">
        <v>2526</v>
      </c>
      <c r="E1788" s="7" t="s">
        <v>50</v>
      </c>
      <c r="F1788" s="7" t="n">
        <v>-34.451906</v>
      </c>
      <c r="G1788" s="7" t="n">
        <v>150.842505</v>
      </c>
      <c r="H1788" s="7" t="s">
        <v>6981</v>
      </c>
    </row>
    <row r="1789" customFormat="false" ht="15" hidden="false" customHeight="false" outlineLevel="0" collapsed="false">
      <c r="A1789" s="7" t="s">
        <v>6947</v>
      </c>
      <c r="B1789" s="7" t="s">
        <v>229</v>
      </c>
      <c r="C1789" s="7" t="s">
        <v>2439</v>
      </c>
      <c r="D1789" s="7" t="n">
        <v>2333</v>
      </c>
      <c r="E1789" s="7" t="s">
        <v>50</v>
      </c>
      <c r="F1789" s="7" t="n">
        <v>-32.261908</v>
      </c>
      <c r="G1789" s="7" t="n">
        <v>150.894087</v>
      </c>
      <c r="H1789" s="7" t="s">
        <v>6959</v>
      </c>
    </row>
    <row r="1790" customFormat="false" ht="15" hidden="false" customHeight="false" outlineLevel="0" collapsed="false">
      <c r="A1790" s="7" t="s">
        <v>6947</v>
      </c>
      <c r="B1790" s="7" t="s">
        <v>6964</v>
      </c>
      <c r="C1790" s="7" t="s">
        <v>2440</v>
      </c>
      <c r="D1790" s="7" t="n">
        <v>2774</v>
      </c>
      <c r="E1790" s="7" t="s">
        <v>50</v>
      </c>
      <c r="F1790" s="7" t="n">
        <v>-33.745229</v>
      </c>
      <c r="G1790" s="7" t="n">
        <v>150.610129</v>
      </c>
      <c r="H1790" s="7" t="s">
        <v>6997</v>
      </c>
    </row>
    <row r="1791" customFormat="false" ht="15" hidden="false" customHeight="false" outlineLevel="0" collapsed="false">
      <c r="A1791" s="7" t="s">
        <v>6947</v>
      </c>
      <c r="B1791" s="7" t="s">
        <v>6964</v>
      </c>
      <c r="C1791" s="7" t="s">
        <v>2441</v>
      </c>
      <c r="D1791" s="7" t="n">
        <v>2350</v>
      </c>
      <c r="E1791" s="7" t="s">
        <v>50</v>
      </c>
      <c r="F1791" s="7" t="n">
        <v>-30.513231</v>
      </c>
      <c r="G1791" s="7" t="n">
        <v>151.663364</v>
      </c>
      <c r="H1791" s="7" t="s">
        <v>6972</v>
      </c>
    </row>
    <row r="1792" customFormat="false" ht="15" hidden="false" customHeight="false" outlineLevel="0" collapsed="false">
      <c r="A1792" s="7" t="s">
        <v>6947</v>
      </c>
      <c r="B1792" s="7" t="s">
        <v>2442</v>
      </c>
      <c r="C1792" s="7" t="s">
        <v>2443</v>
      </c>
      <c r="D1792" s="7" t="n">
        <v>2486</v>
      </c>
      <c r="E1792" s="7" t="s">
        <v>50</v>
      </c>
      <c r="F1792" s="7" t="n">
        <v>-28.212505</v>
      </c>
      <c r="G1792" s="7" t="n">
        <v>153.530593</v>
      </c>
      <c r="H1792" s="7" t="s">
        <v>6979</v>
      </c>
    </row>
    <row r="1793" customFormat="false" ht="15" hidden="false" customHeight="false" outlineLevel="0" collapsed="false">
      <c r="A1793" s="7" t="s">
        <v>6947</v>
      </c>
      <c r="B1793" s="7" t="s">
        <v>1188</v>
      </c>
      <c r="C1793" s="7" t="s">
        <v>2444</v>
      </c>
      <c r="D1793" s="7" t="n">
        <v>2701</v>
      </c>
      <c r="E1793" s="7" t="s">
        <v>50</v>
      </c>
      <c r="F1793" s="7" t="n">
        <v>-34.814503</v>
      </c>
      <c r="G1793" s="7" t="n">
        <v>147.195718</v>
      </c>
      <c r="H1793" s="7" t="s">
        <v>6984</v>
      </c>
    </row>
    <row r="1794" customFormat="false" ht="15" hidden="false" customHeight="false" outlineLevel="0" collapsed="false">
      <c r="A1794" s="7" t="s">
        <v>6947</v>
      </c>
      <c r="B1794" s="7" t="s">
        <v>2445</v>
      </c>
      <c r="C1794" s="7" t="s">
        <v>2446</v>
      </c>
      <c r="D1794" s="7" t="n">
        <v>2400</v>
      </c>
      <c r="E1794" s="7" t="s">
        <v>50</v>
      </c>
      <c r="F1794" s="7" t="n">
        <v>-29.469598</v>
      </c>
      <c r="G1794" s="7" t="n">
        <v>149.848721</v>
      </c>
      <c r="H1794" s="7" t="s">
        <v>7125</v>
      </c>
    </row>
    <row r="1795" customFormat="false" ht="15" hidden="false" customHeight="false" outlineLevel="0" collapsed="false">
      <c r="A1795" s="7" t="s">
        <v>6947</v>
      </c>
      <c r="B1795" s="7" t="s">
        <v>2447</v>
      </c>
      <c r="C1795" s="7" t="s">
        <v>2448</v>
      </c>
      <c r="D1795" s="7" t="n">
        <v>2534</v>
      </c>
      <c r="E1795" s="7" t="s">
        <v>50</v>
      </c>
      <c r="F1795" s="7" t="n">
        <v>-34.74269</v>
      </c>
      <c r="G1795" s="7" t="n">
        <v>150.832335</v>
      </c>
      <c r="H1795" s="7" t="s">
        <v>7152</v>
      </c>
    </row>
    <row r="1796" customFormat="false" ht="15" hidden="false" customHeight="false" outlineLevel="0" collapsed="false">
      <c r="A1796" s="7" t="s">
        <v>6947</v>
      </c>
      <c r="B1796" s="7" t="s">
        <v>2003</v>
      </c>
      <c r="C1796" s="7" t="s">
        <v>2449</v>
      </c>
      <c r="D1796" s="7" t="n">
        <v>2284</v>
      </c>
      <c r="E1796" s="7" t="s">
        <v>50</v>
      </c>
      <c r="F1796" s="7" t="n">
        <v>-32.961217</v>
      </c>
      <c r="G1796" s="7" t="n">
        <v>151.620933</v>
      </c>
      <c r="H1796" s="7" t="s">
        <v>7018</v>
      </c>
    </row>
    <row r="1797" customFormat="false" ht="15" hidden="false" customHeight="false" outlineLevel="0" collapsed="false">
      <c r="A1797" s="7" t="s">
        <v>6947</v>
      </c>
      <c r="B1797" s="7" t="s">
        <v>2450</v>
      </c>
      <c r="C1797" s="7" t="s">
        <v>2451</v>
      </c>
      <c r="D1797" s="7" t="n">
        <v>2650</v>
      </c>
      <c r="E1797" s="7" t="s">
        <v>50</v>
      </c>
      <c r="F1797" s="7" t="n">
        <v>-35.15204</v>
      </c>
      <c r="G1797" s="7" t="n">
        <v>147.370569</v>
      </c>
      <c r="H1797" s="7" t="s">
        <v>7133</v>
      </c>
    </row>
    <row r="1798" customFormat="false" ht="15" hidden="false" customHeight="false" outlineLevel="0" collapsed="false">
      <c r="A1798" s="7" t="s">
        <v>6947</v>
      </c>
      <c r="B1798" s="7" t="s">
        <v>7075</v>
      </c>
      <c r="C1798" s="7" t="s">
        <v>2452</v>
      </c>
      <c r="D1798" s="7" t="n">
        <v>2046</v>
      </c>
      <c r="E1798" s="7" t="s">
        <v>50</v>
      </c>
      <c r="F1798" s="7" t="n">
        <v>-33.869631</v>
      </c>
      <c r="G1798" s="7" t="n">
        <v>151.122375</v>
      </c>
      <c r="H1798" s="7" t="s">
        <v>7140</v>
      </c>
    </row>
    <row r="1799" customFormat="false" ht="15" hidden="false" customHeight="false" outlineLevel="0" collapsed="false">
      <c r="A1799" s="7" t="s">
        <v>6947</v>
      </c>
      <c r="B1799" s="7" t="s">
        <v>2453</v>
      </c>
      <c r="C1799" s="7" t="s">
        <v>2454</v>
      </c>
      <c r="D1799" s="7" t="n">
        <v>2720</v>
      </c>
      <c r="E1799" s="7" t="s">
        <v>50</v>
      </c>
      <c r="F1799" s="7" t="n">
        <v>-35.294701</v>
      </c>
      <c r="G1799" s="7" t="n">
        <v>148.219813</v>
      </c>
      <c r="H1799" s="7" t="s">
        <v>7130</v>
      </c>
    </row>
    <row r="1800" customFormat="false" ht="15" hidden="false" customHeight="false" outlineLevel="0" collapsed="false">
      <c r="A1800" s="7" t="s">
        <v>6947</v>
      </c>
      <c r="B1800" s="7" t="s">
        <v>2455</v>
      </c>
      <c r="C1800" s="7" t="s">
        <v>2456</v>
      </c>
      <c r="D1800" s="7" t="n">
        <v>2500</v>
      </c>
      <c r="E1800" s="7" t="s">
        <v>50</v>
      </c>
      <c r="F1800" s="7" t="n">
        <v>-34.404303</v>
      </c>
      <c r="G1800" s="7" t="n">
        <v>150.899878</v>
      </c>
      <c r="H1800" s="7" t="s">
        <v>6979</v>
      </c>
    </row>
    <row r="1801" customFormat="false" ht="15" hidden="false" customHeight="false" outlineLevel="0" collapsed="false">
      <c r="A1801" s="7" t="s">
        <v>6947</v>
      </c>
      <c r="B1801" s="7" t="s">
        <v>2457</v>
      </c>
      <c r="C1801" s="7" t="s">
        <v>2458</v>
      </c>
      <c r="D1801" s="7" t="n">
        <v>2322</v>
      </c>
      <c r="E1801" s="7" t="s">
        <v>50</v>
      </c>
      <c r="F1801" s="7" t="n">
        <v>-32.777545</v>
      </c>
      <c r="G1801" s="7" t="n">
        <v>151.64036</v>
      </c>
      <c r="H1801" s="7" t="s">
        <v>6981</v>
      </c>
    </row>
    <row r="1802" customFormat="false" ht="15" hidden="false" customHeight="false" outlineLevel="0" collapsed="false">
      <c r="A1802" s="7" t="s">
        <v>6947</v>
      </c>
      <c r="B1802" s="7" t="s">
        <v>2459</v>
      </c>
      <c r="C1802" s="7" t="s">
        <v>2460</v>
      </c>
      <c r="D1802" s="7" t="n">
        <v>2731</v>
      </c>
      <c r="E1802" s="7" t="s">
        <v>50</v>
      </c>
      <c r="F1802" s="7" t="n">
        <v>-36.039047</v>
      </c>
      <c r="G1802" s="7" t="n">
        <v>144.732734</v>
      </c>
      <c r="H1802" s="7" t="s">
        <v>7125</v>
      </c>
    </row>
    <row r="1803" customFormat="false" ht="15" hidden="false" customHeight="false" outlineLevel="0" collapsed="false">
      <c r="A1803" s="7" t="s">
        <v>6947</v>
      </c>
      <c r="B1803" s="7" t="s">
        <v>2461</v>
      </c>
      <c r="C1803" s="7" t="s">
        <v>2462</v>
      </c>
      <c r="D1803" s="7" t="n">
        <v>2653</v>
      </c>
      <c r="E1803" s="7" t="s">
        <v>50</v>
      </c>
      <c r="F1803" s="7" t="n">
        <v>-35.775989</v>
      </c>
      <c r="G1803" s="7" t="n">
        <v>148.010855</v>
      </c>
      <c r="H1803" s="7" t="s">
        <v>6979</v>
      </c>
    </row>
    <row r="1804" customFormat="false" ht="15" hidden="false" customHeight="false" outlineLevel="0" collapsed="false">
      <c r="A1804" s="7" t="s">
        <v>6947</v>
      </c>
      <c r="B1804" s="7" t="s">
        <v>2463</v>
      </c>
      <c r="C1804" s="7" t="s">
        <v>2464</v>
      </c>
      <c r="D1804" s="7" t="n">
        <v>2729</v>
      </c>
      <c r="E1804" s="7" t="s">
        <v>50</v>
      </c>
      <c r="F1804" s="7" t="n">
        <v>-35.306256</v>
      </c>
      <c r="G1804" s="7" t="n">
        <v>148.064293</v>
      </c>
      <c r="H1804" s="7" t="s">
        <v>7016</v>
      </c>
    </row>
    <row r="1805" customFormat="false" ht="15" hidden="false" customHeight="false" outlineLevel="0" collapsed="false">
      <c r="A1805" s="7" t="s">
        <v>6947</v>
      </c>
      <c r="B1805" s="7" t="s">
        <v>2465</v>
      </c>
      <c r="C1805" s="7" t="s">
        <v>2466</v>
      </c>
      <c r="D1805" s="7" t="n">
        <v>2587</v>
      </c>
      <c r="E1805" s="7" t="s">
        <v>50</v>
      </c>
      <c r="F1805" s="7" t="n">
        <v>-34.554346</v>
      </c>
      <c r="G1805" s="7" t="n">
        <v>148.369572</v>
      </c>
      <c r="H1805" s="7" t="s">
        <v>6991</v>
      </c>
    </row>
    <row r="1806" customFormat="false" ht="15" hidden="false" customHeight="false" outlineLevel="0" collapsed="false">
      <c r="A1806" s="7" t="s">
        <v>6947</v>
      </c>
      <c r="B1806" s="7" t="s">
        <v>1939</v>
      </c>
      <c r="C1806" s="7" t="s">
        <v>2467</v>
      </c>
      <c r="D1806" s="7" t="n">
        <v>2830</v>
      </c>
      <c r="E1806" s="7" t="s">
        <v>50</v>
      </c>
      <c r="F1806" s="7" t="n">
        <v>-32.24847</v>
      </c>
      <c r="G1806" s="7" t="n">
        <v>148.593128</v>
      </c>
      <c r="H1806" s="7" t="s">
        <v>7030</v>
      </c>
    </row>
    <row r="1807" customFormat="false" ht="15" hidden="false" customHeight="false" outlineLevel="0" collapsed="false">
      <c r="A1807" s="7" t="s">
        <v>6947</v>
      </c>
      <c r="B1807" s="7" t="s">
        <v>469</v>
      </c>
      <c r="C1807" s="7" t="s">
        <v>2468</v>
      </c>
      <c r="D1807" s="7" t="n">
        <v>2655</v>
      </c>
      <c r="E1807" s="7" t="s">
        <v>50</v>
      </c>
      <c r="F1807" s="7" t="n">
        <v>-35.266666</v>
      </c>
      <c r="G1807" s="7" t="n">
        <v>147.11016</v>
      </c>
      <c r="H1807" s="7" t="s">
        <v>6984</v>
      </c>
    </row>
    <row r="1808" customFormat="false" ht="15" hidden="false" customHeight="false" outlineLevel="0" collapsed="false">
      <c r="A1808" s="7" t="s">
        <v>6947</v>
      </c>
      <c r="B1808" s="7" t="s">
        <v>6962</v>
      </c>
      <c r="C1808" s="7" t="s">
        <v>2469</v>
      </c>
      <c r="D1808" s="7" t="n">
        <v>2750</v>
      </c>
      <c r="E1808" s="7" t="s">
        <v>50</v>
      </c>
      <c r="F1808" s="7" t="n">
        <v>-33.758135</v>
      </c>
      <c r="G1808" s="7" t="n">
        <v>150.691857</v>
      </c>
      <c r="H1808" s="7" t="s">
        <v>6983</v>
      </c>
    </row>
    <row r="1809" customFormat="false" ht="15" hidden="false" customHeight="false" outlineLevel="0" collapsed="false">
      <c r="A1809" s="7" t="s">
        <v>6947</v>
      </c>
      <c r="B1809" s="7" t="s">
        <v>2470</v>
      </c>
      <c r="C1809" s="7" t="s">
        <v>2471</v>
      </c>
      <c r="D1809" s="7" t="n">
        <v>2325</v>
      </c>
      <c r="E1809" s="7" t="s">
        <v>50</v>
      </c>
      <c r="F1809" s="7" t="n">
        <v>-32.831655</v>
      </c>
      <c r="G1809" s="7" t="n">
        <v>151.359974</v>
      </c>
      <c r="H1809" s="7" t="s">
        <v>7139</v>
      </c>
    </row>
    <row r="1810" customFormat="false" ht="15" hidden="false" customHeight="false" outlineLevel="0" collapsed="false">
      <c r="A1810" s="7" t="s">
        <v>6947</v>
      </c>
      <c r="B1810" s="7" t="s">
        <v>2472</v>
      </c>
      <c r="C1810" s="7" t="s">
        <v>2473</v>
      </c>
      <c r="D1810" s="7" t="n">
        <v>2550</v>
      </c>
      <c r="E1810" s="7" t="s">
        <v>50</v>
      </c>
      <c r="F1810" s="7" t="n">
        <v>-36.712544</v>
      </c>
      <c r="G1810" s="7" t="n">
        <v>149.976018</v>
      </c>
      <c r="H1810" s="7" t="s">
        <v>6983</v>
      </c>
    </row>
    <row r="1811" customFormat="false" ht="15" hidden="false" customHeight="false" outlineLevel="0" collapsed="false">
      <c r="A1811" s="7" t="s">
        <v>6947</v>
      </c>
      <c r="B1811" s="7" t="s">
        <v>1939</v>
      </c>
      <c r="C1811" s="7" t="s">
        <v>2474</v>
      </c>
      <c r="D1811" s="7" t="n">
        <v>2428</v>
      </c>
      <c r="E1811" s="7" t="s">
        <v>50</v>
      </c>
      <c r="F1811" s="7" t="n">
        <v>-32.183843</v>
      </c>
      <c r="G1811" s="7" t="n">
        <v>152.491878</v>
      </c>
      <c r="H1811" s="7" t="s">
        <v>7030</v>
      </c>
    </row>
    <row r="1812" customFormat="false" ht="15" hidden="false" customHeight="false" outlineLevel="0" collapsed="false">
      <c r="A1812" s="7" t="s">
        <v>6947</v>
      </c>
      <c r="B1812" s="7" t="s">
        <v>2475</v>
      </c>
      <c r="C1812" s="7" t="s">
        <v>2476</v>
      </c>
      <c r="D1812" s="7" t="n">
        <v>2546</v>
      </c>
      <c r="E1812" s="7" t="s">
        <v>50</v>
      </c>
      <c r="F1812" s="7" t="n">
        <v>-36.219204</v>
      </c>
      <c r="G1812" s="7" t="n">
        <v>150.139297</v>
      </c>
      <c r="H1812" s="7" t="s">
        <v>7152</v>
      </c>
    </row>
    <row r="1813" customFormat="false" ht="15" hidden="false" customHeight="false" outlineLevel="0" collapsed="false">
      <c r="A1813" s="7" t="s">
        <v>6947</v>
      </c>
      <c r="B1813" s="7" t="s">
        <v>1939</v>
      </c>
      <c r="C1813" s="7" t="s">
        <v>2477</v>
      </c>
      <c r="D1813" s="7" t="n">
        <v>2536</v>
      </c>
      <c r="E1813" s="7" t="s">
        <v>50</v>
      </c>
      <c r="F1813" s="7" t="n">
        <v>-35.661631</v>
      </c>
      <c r="G1813" s="7" t="n">
        <v>150.292982</v>
      </c>
      <c r="H1813" s="7" t="s">
        <v>7030</v>
      </c>
    </row>
    <row r="1814" customFormat="false" ht="15" hidden="false" customHeight="false" outlineLevel="0" collapsed="false">
      <c r="A1814" s="7" t="s">
        <v>6947</v>
      </c>
      <c r="B1814" s="7" t="s">
        <v>2478</v>
      </c>
      <c r="C1814" s="7" t="s">
        <v>2479</v>
      </c>
      <c r="D1814" s="7" t="n">
        <v>2731</v>
      </c>
      <c r="E1814" s="7" t="s">
        <v>50</v>
      </c>
      <c r="F1814" s="7" t="n">
        <v>-36.097248</v>
      </c>
      <c r="G1814" s="7" t="n">
        <v>144.759055</v>
      </c>
      <c r="H1814" s="7" t="s">
        <v>7127</v>
      </c>
    </row>
    <row r="1815" customFormat="false" ht="15" hidden="false" customHeight="false" outlineLevel="0" collapsed="false">
      <c r="A1815" s="7" t="s">
        <v>6947</v>
      </c>
      <c r="B1815" s="7" t="s">
        <v>2480</v>
      </c>
      <c r="C1815" s="7" t="s">
        <v>2481</v>
      </c>
      <c r="D1815" s="7" t="n">
        <v>2732</v>
      </c>
      <c r="E1815" s="7" t="s">
        <v>50</v>
      </c>
      <c r="F1815" s="7" t="n">
        <v>-35.629145</v>
      </c>
      <c r="G1815" s="7" t="n">
        <v>144.124311</v>
      </c>
      <c r="H1815" s="7" t="s">
        <v>7152</v>
      </c>
    </row>
    <row r="1816" customFormat="false" ht="15" hidden="false" customHeight="false" outlineLevel="0" collapsed="false">
      <c r="A1816" s="7" t="s">
        <v>6947</v>
      </c>
      <c r="B1816" s="7" t="s">
        <v>6993</v>
      </c>
      <c r="C1816" s="7" t="s">
        <v>2482</v>
      </c>
      <c r="D1816" s="7" t="n">
        <v>2031</v>
      </c>
      <c r="E1816" s="7" t="s">
        <v>50</v>
      </c>
      <c r="F1816" s="7" t="n">
        <v>-33.906092</v>
      </c>
      <c r="G1816" s="7" t="n">
        <v>151.232138</v>
      </c>
      <c r="H1816" s="7" t="s">
        <v>6994</v>
      </c>
    </row>
    <row r="1817" customFormat="false" ht="15" hidden="false" customHeight="false" outlineLevel="0" collapsed="false">
      <c r="A1817" s="7" t="s">
        <v>6947</v>
      </c>
      <c r="B1817" s="7" t="s">
        <v>6993</v>
      </c>
      <c r="C1817" s="7" t="s">
        <v>2483</v>
      </c>
      <c r="D1817" s="7" t="n">
        <v>2039</v>
      </c>
      <c r="E1817" s="7" t="s">
        <v>50</v>
      </c>
      <c r="F1817" s="7" t="n">
        <v>-33.865873</v>
      </c>
      <c r="G1817" s="7" t="n">
        <v>151.167777</v>
      </c>
      <c r="H1817" s="7" t="s">
        <v>6994</v>
      </c>
    </row>
    <row r="1818" customFormat="false" ht="15" hidden="false" customHeight="false" outlineLevel="0" collapsed="false">
      <c r="A1818" s="7" t="s">
        <v>6947</v>
      </c>
      <c r="B1818" s="7" t="s">
        <v>2003</v>
      </c>
      <c r="C1818" s="7" t="s">
        <v>2484</v>
      </c>
      <c r="D1818" s="7" t="n">
        <v>2281</v>
      </c>
      <c r="E1818" s="7" t="s">
        <v>50</v>
      </c>
      <c r="F1818" s="7" t="n">
        <v>-33.074543</v>
      </c>
      <c r="G1818" s="7" t="n">
        <v>151.634781</v>
      </c>
      <c r="H1818" s="7" t="s">
        <v>7066</v>
      </c>
    </row>
    <row r="1819" customFormat="false" ht="15" hidden="false" customHeight="false" outlineLevel="0" collapsed="false">
      <c r="A1819" s="7" t="s">
        <v>6947</v>
      </c>
      <c r="B1819" s="7" t="s">
        <v>7122</v>
      </c>
      <c r="C1819" s="7" t="s">
        <v>2485</v>
      </c>
      <c r="D1819" s="7" t="n">
        <v>2026</v>
      </c>
      <c r="E1819" s="7" t="s">
        <v>50</v>
      </c>
      <c r="F1819" s="7" t="n">
        <v>-33.896565</v>
      </c>
      <c r="G1819" s="7" t="n">
        <v>151.260795</v>
      </c>
      <c r="H1819" s="7" t="s">
        <v>7117</v>
      </c>
    </row>
    <row r="1820" customFormat="false" ht="15" hidden="false" customHeight="false" outlineLevel="0" collapsed="false">
      <c r="A1820" s="7" t="s">
        <v>6947</v>
      </c>
      <c r="B1820" s="7" t="s">
        <v>2486</v>
      </c>
      <c r="C1820" s="7" t="s">
        <v>2487</v>
      </c>
      <c r="D1820" s="7" t="n">
        <v>2672</v>
      </c>
      <c r="E1820" s="7" t="s">
        <v>50</v>
      </c>
      <c r="F1820" s="7" t="n">
        <v>-33.297815</v>
      </c>
      <c r="G1820" s="7" t="n">
        <v>146.376197</v>
      </c>
      <c r="H1820" s="7" t="s">
        <v>6984</v>
      </c>
    </row>
    <row r="1821" customFormat="false" ht="15" hidden="false" customHeight="false" outlineLevel="0" collapsed="false">
      <c r="A1821" s="7" t="s">
        <v>6947</v>
      </c>
      <c r="B1821" s="7" t="s">
        <v>2488</v>
      </c>
      <c r="C1821" s="7" t="s">
        <v>2489</v>
      </c>
      <c r="D1821" s="7" t="n">
        <v>2710</v>
      </c>
      <c r="E1821" s="7" t="s">
        <v>50</v>
      </c>
      <c r="F1821" s="7" t="n">
        <v>-35.536851</v>
      </c>
      <c r="G1821" s="7" t="n">
        <v>144.973721</v>
      </c>
      <c r="H1821" s="7" t="s">
        <v>6979</v>
      </c>
    </row>
    <row r="1822" customFormat="false" ht="15" hidden="false" customHeight="false" outlineLevel="0" collapsed="false">
      <c r="A1822" s="7" t="s">
        <v>6947</v>
      </c>
      <c r="B1822" s="7" t="s">
        <v>2490</v>
      </c>
      <c r="C1822" s="7" t="s">
        <v>2491</v>
      </c>
      <c r="D1822" s="7" t="n">
        <v>2647</v>
      </c>
      <c r="E1822" s="7" t="s">
        <v>50</v>
      </c>
      <c r="F1822" s="7" t="n">
        <v>-36.004909</v>
      </c>
      <c r="G1822" s="7" t="n">
        <v>145.994038</v>
      </c>
      <c r="H1822" s="7" t="s">
        <v>7133</v>
      </c>
    </row>
    <row r="1823" customFormat="false" ht="15" hidden="false" customHeight="false" outlineLevel="0" collapsed="false">
      <c r="A1823" s="7" t="s">
        <v>6947</v>
      </c>
      <c r="B1823" s="7" t="s">
        <v>6993</v>
      </c>
      <c r="C1823" s="7" t="s">
        <v>2492</v>
      </c>
      <c r="D1823" s="7" t="n">
        <v>2034</v>
      </c>
      <c r="E1823" s="7" t="s">
        <v>50</v>
      </c>
      <c r="F1823" s="7" t="n">
        <v>-33.929821</v>
      </c>
      <c r="G1823" s="7" t="n">
        <v>151.255909</v>
      </c>
      <c r="H1823" s="7" t="s">
        <v>6994</v>
      </c>
    </row>
    <row r="1824" customFormat="false" ht="15" hidden="false" customHeight="false" outlineLevel="0" collapsed="false">
      <c r="A1824" s="7" t="s">
        <v>6947</v>
      </c>
      <c r="B1824" s="7" t="s">
        <v>2493</v>
      </c>
      <c r="C1824" s="7" t="s">
        <v>2494</v>
      </c>
      <c r="D1824" s="7" t="n">
        <v>2481</v>
      </c>
      <c r="E1824" s="7" t="s">
        <v>50</v>
      </c>
      <c r="F1824" s="7" t="n">
        <v>-28.640647</v>
      </c>
      <c r="G1824" s="7" t="n">
        <v>153.612963</v>
      </c>
      <c r="H1824" s="7" t="s">
        <v>6983</v>
      </c>
    </row>
    <row r="1825" customFormat="false" ht="15" hidden="false" customHeight="false" outlineLevel="0" collapsed="false">
      <c r="A1825" s="7" t="s">
        <v>6947</v>
      </c>
      <c r="B1825" s="7" t="s">
        <v>6964</v>
      </c>
      <c r="C1825" s="7" t="s">
        <v>2495</v>
      </c>
      <c r="D1825" s="7" t="n">
        <v>2795</v>
      </c>
      <c r="E1825" s="7" t="s">
        <v>50</v>
      </c>
      <c r="F1825" s="7" t="n">
        <v>-33.41901</v>
      </c>
      <c r="G1825" s="7" t="n">
        <v>149.586757</v>
      </c>
      <c r="H1825" s="7" t="s">
        <v>7001</v>
      </c>
    </row>
    <row r="1826" customFormat="false" ht="15" hidden="false" customHeight="false" outlineLevel="0" collapsed="false">
      <c r="A1826" s="7" t="s">
        <v>6947</v>
      </c>
      <c r="B1826" s="7" t="s">
        <v>6993</v>
      </c>
      <c r="C1826" s="7" t="s">
        <v>2496</v>
      </c>
      <c r="D1826" s="7" t="n">
        <v>2031</v>
      </c>
      <c r="E1826" s="7" t="s">
        <v>50</v>
      </c>
      <c r="F1826" s="7" t="n">
        <v>-33.916929</v>
      </c>
      <c r="G1826" s="7" t="n">
        <v>151.241528</v>
      </c>
      <c r="H1826" s="7" t="s">
        <v>6994</v>
      </c>
    </row>
    <row r="1827" customFormat="false" ht="15" hidden="false" customHeight="false" outlineLevel="0" collapsed="false">
      <c r="A1827" s="7" t="s">
        <v>6947</v>
      </c>
      <c r="B1827" s="7" t="s">
        <v>1939</v>
      </c>
      <c r="C1827" s="7" t="s">
        <v>2497</v>
      </c>
      <c r="D1827" s="7" t="n">
        <v>2444</v>
      </c>
      <c r="E1827" s="7" t="s">
        <v>50</v>
      </c>
      <c r="F1827" s="7" t="n">
        <v>-31.427516</v>
      </c>
      <c r="G1827" s="7" t="n">
        <v>152.910513</v>
      </c>
      <c r="H1827" s="7" t="s">
        <v>7030</v>
      </c>
    </row>
    <row r="1828" customFormat="false" ht="15" hidden="false" customHeight="false" outlineLevel="0" collapsed="false">
      <c r="A1828" s="7" t="s">
        <v>6947</v>
      </c>
      <c r="B1828" s="7" t="s">
        <v>2498</v>
      </c>
      <c r="C1828" s="7" t="s">
        <v>2499</v>
      </c>
      <c r="D1828" s="7" t="n">
        <v>2448</v>
      </c>
      <c r="E1828" s="7" t="s">
        <v>50</v>
      </c>
      <c r="F1828" s="7" t="n">
        <v>-30.645444</v>
      </c>
      <c r="G1828" s="7" t="n">
        <v>153.003486</v>
      </c>
      <c r="H1828" s="7" t="s">
        <v>7010</v>
      </c>
    </row>
    <row r="1829" customFormat="false" ht="15" hidden="false" customHeight="false" outlineLevel="0" collapsed="false">
      <c r="A1829" s="7" t="s">
        <v>6947</v>
      </c>
      <c r="B1829" s="7" t="s">
        <v>2500</v>
      </c>
      <c r="C1829" s="7" t="s">
        <v>2501</v>
      </c>
      <c r="D1829" s="7" t="n">
        <v>2627</v>
      </c>
      <c r="E1829" s="7" t="s">
        <v>50</v>
      </c>
      <c r="F1829" s="7" t="n">
        <v>-36.418007</v>
      </c>
      <c r="G1829" s="7" t="n">
        <v>148.609211</v>
      </c>
      <c r="H1829" s="7" t="s">
        <v>6981</v>
      </c>
    </row>
    <row r="1830" customFormat="false" ht="15" hidden="false" customHeight="false" outlineLevel="0" collapsed="false">
      <c r="A1830" s="7" t="s">
        <v>6947</v>
      </c>
      <c r="B1830" s="7" t="s">
        <v>2502</v>
      </c>
      <c r="C1830" s="7" t="s">
        <v>2503</v>
      </c>
      <c r="D1830" s="7" t="n">
        <v>2539</v>
      </c>
      <c r="E1830" s="7" t="s">
        <v>50</v>
      </c>
      <c r="F1830" s="7" t="n">
        <v>-35.266684</v>
      </c>
      <c r="G1830" s="7" t="n">
        <v>150.476904</v>
      </c>
      <c r="H1830" s="7" t="s">
        <v>6981</v>
      </c>
    </row>
    <row r="1831" customFormat="false" ht="15" hidden="false" customHeight="false" outlineLevel="0" collapsed="false">
      <c r="A1831" s="7" t="s">
        <v>6947</v>
      </c>
      <c r="B1831" s="7" t="s">
        <v>6962</v>
      </c>
      <c r="C1831" s="7" t="s">
        <v>2504</v>
      </c>
      <c r="D1831" s="7" t="n">
        <v>2151</v>
      </c>
      <c r="E1831" s="7" t="s">
        <v>50</v>
      </c>
      <c r="F1831" s="7" t="n">
        <v>-33.792867</v>
      </c>
      <c r="G1831" s="7" t="n">
        <v>150.999556</v>
      </c>
      <c r="H1831" s="7" t="s">
        <v>6979</v>
      </c>
    </row>
    <row r="1832" customFormat="false" ht="15" hidden="false" customHeight="false" outlineLevel="0" collapsed="false">
      <c r="A1832" s="7" t="s">
        <v>6947</v>
      </c>
      <c r="B1832" s="7" t="s">
        <v>6977</v>
      </c>
      <c r="C1832" s="7" t="s">
        <v>2505</v>
      </c>
      <c r="D1832" s="7" t="n">
        <v>2627</v>
      </c>
      <c r="E1832" s="7" t="s">
        <v>50</v>
      </c>
      <c r="F1832" s="7" t="n">
        <v>-36.450988</v>
      </c>
      <c r="G1832" s="7" t="n">
        <v>148.494399</v>
      </c>
      <c r="H1832" s="7" t="s">
        <v>6984</v>
      </c>
    </row>
    <row r="1833" customFormat="false" ht="15" hidden="false" customHeight="false" outlineLevel="0" collapsed="false">
      <c r="A1833" s="7" t="s">
        <v>6947</v>
      </c>
      <c r="B1833" s="7" t="s">
        <v>2506</v>
      </c>
      <c r="C1833" s="7" t="s">
        <v>2507</v>
      </c>
      <c r="D1833" s="7" t="n">
        <v>2539</v>
      </c>
      <c r="E1833" s="7" t="s">
        <v>50</v>
      </c>
      <c r="F1833" s="7" t="n">
        <v>-35.386747</v>
      </c>
      <c r="G1833" s="7" t="n">
        <v>150.450108</v>
      </c>
      <c r="H1833" s="7" t="s">
        <v>7128</v>
      </c>
    </row>
    <row r="1834" customFormat="false" ht="15" hidden="false" customHeight="false" outlineLevel="0" collapsed="false">
      <c r="A1834" s="7" t="s">
        <v>6947</v>
      </c>
      <c r="B1834" s="7" t="s">
        <v>6993</v>
      </c>
      <c r="C1834" s="7" t="s">
        <v>2508</v>
      </c>
      <c r="D1834" s="7" t="n">
        <v>2204</v>
      </c>
      <c r="E1834" s="7" t="s">
        <v>50</v>
      </c>
      <c r="F1834" s="7" t="n">
        <v>-33.90589</v>
      </c>
      <c r="G1834" s="7" t="n">
        <v>151.165003</v>
      </c>
      <c r="H1834" s="7" t="s">
        <v>6994</v>
      </c>
    </row>
    <row r="1835" customFormat="false" ht="15" hidden="false" customHeight="false" outlineLevel="0" collapsed="false">
      <c r="A1835" s="7" t="s">
        <v>6947</v>
      </c>
      <c r="B1835" s="7" t="s">
        <v>6993</v>
      </c>
      <c r="C1835" s="7" t="s">
        <v>2509</v>
      </c>
      <c r="D1835" s="7" t="n">
        <v>2093</v>
      </c>
      <c r="E1835" s="7" t="s">
        <v>50</v>
      </c>
      <c r="F1835" s="7" t="n">
        <v>-33.80467</v>
      </c>
      <c r="G1835" s="7" t="n">
        <v>151.25284</v>
      </c>
      <c r="H1835" s="7" t="s">
        <v>6994</v>
      </c>
    </row>
    <row r="1836" customFormat="false" ht="15" hidden="false" customHeight="false" outlineLevel="0" collapsed="false">
      <c r="A1836" s="7" t="s">
        <v>6947</v>
      </c>
      <c r="B1836" s="7" t="s">
        <v>2510</v>
      </c>
      <c r="C1836" s="7" t="s">
        <v>2511</v>
      </c>
      <c r="D1836" s="7" t="n">
        <v>2477</v>
      </c>
      <c r="E1836" s="7" t="s">
        <v>50</v>
      </c>
      <c r="F1836" s="7" t="n">
        <v>-28.829257</v>
      </c>
      <c r="G1836" s="7" t="n">
        <v>153.421044</v>
      </c>
      <c r="H1836" s="7" t="s">
        <v>7141</v>
      </c>
    </row>
    <row r="1837" customFormat="false" ht="15" hidden="false" customHeight="false" outlineLevel="0" collapsed="false">
      <c r="A1837" s="7" t="s">
        <v>6947</v>
      </c>
      <c r="B1837" s="7" t="s">
        <v>7035</v>
      </c>
      <c r="C1837" s="7" t="s">
        <v>2512</v>
      </c>
      <c r="D1837" s="7" t="n">
        <v>2049</v>
      </c>
      <c r="E1837" s="7" t="s">
        <v>50</v>
      </c>
      <c r="F1837" s="7" t="n">
        <v>-33.892023</v>
      </c>
      <c r="G1837" s="7" t="n">
        <v>151.15179</v>
      </c>
      <c r="H1837" s="7" t="s">
        <v>7036</v>
      </c>
    </row>
    <row r="1838" customFormat="false" ht="15" hidden="false" customHeight="false" outlineLevel="0" collapsed="false">
      <c r="A1838" s="7" t="s">
        <v>6947</v>
      </c>
      <c r="B1838" s="7" t="s">
        <v>2513</v>
      </c>
      <c r="C1838" s="7" t="s">
        <v>2514</v>
      </c>
      <c r="D1838" s="7" t="n">
        <v>2283</v>
      </c>
      <c r="E1838" s="7" t="s">
        <v>50</v>
      </c>
      <c r="F1838" s="7" t="n">
        <v>-33.039877</v>
      </c>
      <c r="G1838" s="7" t="n">
        <v>151.597824</v>
      </c>
      <c r="H1838" s="7" t="s">
        <v>7127</v>
      </c>
    </row>
    <row r="1839" customFormat="false" ht="15" hidden="false" customHeight="false" outlineLevel="0" collapsed="false">
      <c r="A1839" s="7" t="s">
        <v>6947</v>
      </c>
      <c r="B1839" s="7" t="s">
        <v>2515</v>
      </c>
      <c r="C1839" s="7" t="s">
        <v>2516</v>
      </c>
      <c r="D1839" s="7" t="n">
        <v>2850</v>
      </c>
      <c r="E1839" s="7" t="s">
        <v>50</v>
      </c>
      <c r="F1839" s="7" t="n">
        <v>-32.601387</v>
      </c>
      <c r="G1839" s="7" t="n">
        <v>149.597548</v>
      </c>
      <c r="H1839" s="7" t="s">
        <v>6981</v>
      </c>
    </row>
    <row r="1840" customFormat="false" ht="15" hidden="false" customHeight="false" outlineLevel="0" collapsed="false">
      <c r="A1840" s="7" t="s">
        <v>6947</v>
      </c>
      <c r="B1840" s="7" t="s">
        <v>6960</v>
      </c>
      <c r="C1840" s="7" t="s">
        <v>2517</v>
      </c>
      <c r="D1840" s="7" t="n">
        <v>2652</v>
      </c>
      <c r="E1840" s="7" t="s">
        <v>50</v>
      </c>
      <c r="F1840" s="7" t="n">
        <v>-35.126213</v>
      </c>
      <c r="G1840" s="7" t="n">
        <v>147.420924</v>
      </c>
      <c r="H1840" s="7" t="s">
        <v>7155</v>
      </c>
    </row>
    <row r="1841" customFormat="false" ht="15" hidden="false" customHeight="false" outlineLevel="0" collapsed="false">
      <c r="A1841" s="7" t="s">
        <v>6947</v>
      </c>
      <c r="B1841" s="7" t="s">
        <v>2518</v>
      </c>
      <c r="C1841" s="7" t="s">
        <v>2519</v>
      </c>
      <c r="D1841" s="7" t="n">
        <v>2315</v>
      </c>
      <c r="E1841" s="7" t="s">
        <v>50</v>
      </c>
      <c r="F1841" s="7" t="n">
        <v>-32.717082</v>
      </c>
      <c r="G1841" s="7" t="n">
        <v>152.152922</v>
      </c>
      <c r="H1841" s="7" t="s">
        <v>7145</v>
      </c>
    </row>
    <row r="1842" customFormat="false" ht="15" hidden="false" customHeight="false" outlineLevel="0" collapsed="false">
      <c r="A1842" s="7" t="s">
        <v>6947</v>
      </c>
      <c r="B1842" s="7" t="s">
        <v>801</v>
      </c>
      <c r="C1842" s="7" t="s">
        <v>2520</v>
      </c>
      <c r="D1842" s="7" t="n">
        <v>2476</v>
      </c>
      <c r="E1842" s="7" t="s">
        <v>50</v>
      </c>
      <c r="F1842" s="7" t="n">
        <v>-28.388896</v>
      </c>
      <c r="G1842" s="7" t="n">
        <v>152.608732</v>
      </c>
      <c r="H1842" s="7" t="s">
        <v>6984</v>
      </c>
    </row>
    <row r="1843" customFormat="false" ht="15" hidden="false" customHeight="false" outlineLevel="0" collapsed="false">
      <c r="A1843" s="7" t="s">
        <v>6947</v>
      </c>
      <c r="B1843" s="7" t="s">
        <v>7122</v>
      </c>
      <c r="C1843" s="7" t="s">
        <v>2521</v>
      </c>
      <c r="D1843" s="7" t="n">
        <v>2022</v>
      </c>
      <c r="E1843" s="7" t="s">
        <v>50</v>
      </c>
      <c r="F1843" s="7" t="n">
        <v>-33.893113</v>
      </c>
      <c r="G1843" s="7" t="n">
        <v>151.241552</v>
      </c>
      <c r="H1843" s="7" t="s">
        <v>7117</v>
      </c>
    </row>
    <row r="1844" customFormat="false" ht="15" hidden="false" customHeight="false" outlineLevel="0" collapsed="false">
      <c r="A1844" s="7" t="s">
        <v>6947</v>
      </c>
      <c r="B1844" s="7" t="s">
        <v>6964</v>
      </c>
      <c r="C1844" s="7" t="s">
        <v>2522</v>
      </c>
      <c r="D1844" s="7" t="n">
        <v>2015</v>
      </c>
      <c r="E1844" s="7" t="s">
        <v>50</v>
      </c>
      <c r="F1844" s="7" t="n">
        <v>-33.913247</v>
      </c>
      <c r="G1844" s="7" t="n">
        <v>151.193582</v>
      </c>
      <c r="H1844" s="7" t="s">
        <v>6997</v>
      </c>
    </row>
    <row r="1845" customFormat="false" ht="15" hidden="false" customHeight="false" outlineLevel="0" collapsed="false">
      <c r="A1845" s="7" t="s">
        <v>6947</v>
      </c>
      <c r="B1845" s="7" t="s">
        <v>7122</v>
      </c>
      <c r="C1845" s="7" t="s">
        <v>2523</v>
      </c>
      <c r="D1845" s="7" t="n">
        <v>2030</v>
      </c>
      <c r="E1845" s="7" t="s">
        <v>50</v>
      </c>
      <c r="F1845" s="7" t="n">
        <v>-33.861973</v>
      </c>
      <c r="G1845" s="7" t="n">
        <v>151.280294</v>
      </c>
      <c r="H1845" s="7" t="s">
        <v>7117</v>
      </c>
    </row>
    <row r="1846" customFormat="false" ht="15" hidden="false" customHeight="false" outlineLevel="0" collapsed="false">
      <c r="A1846" s="7" t="s">
        <v>6947</v>
      </c>
      <c r="B1846" s="7" t="s">
        <v>6962</v>
      </c>
      <c r="C1846" s="7" t="s">
        <v>2524</v>
      </c>
      <c r="D1846" s="7" t="n">
        <v>2322</v>
      </c>
      <c r="E1846" s="7" t="s">
        <v>50</v>
      </c>
      <c r="F1846" s="7" t="n">
        <v>-32.80397</v>
      </c>
      <c r="G1846" s="7" t="n">
        <v>151.648716</v>
      </c>
      <c r="H1846" s="7" t="s">
        <v>6979</v>
      </c>
    </row>
    <row r="1847" customFormat="false" ht="15" hidden="false" customHeight="false" outlineLevel="0" collapsed="false">
      <c r="A1847" s="7" t="s">
        <v>6947</v>
      </c>
      <c r="B1847" s="7" t="s">
        <v>147</v>
      </c>
      <c r="C1847" s="7" t="s">
        <v>2525</v>
      </c>
      <c r="D1847" s="7" t="n">
        <v>2650</v>
      </c>
      <c r="E1847" s="7" t="s">
        <v>50</v>
      </c>
      <c r="F1847" s="7" t="n">
        <v>-35.110335</v>
      </c>
      <c r="G1847" s="7" t="n">
        <v>147.372084</v>
      </c>
      <c r="H1847" s="7" t="s">
        <v>7127</v>
      </c>
    </row>
    <row r="1848" customFormat="false" ht="15" hidden="false" customHeight="false" outlineLevel="0" collapsed="false">
      <c r="A1848" s="7" t="s">
        <v>6947</v>
      </c>
      <c r="B1848" s="7" t="s">
        <v>2526</v>
      </c>
      <c r="C1848" s="7" t="s">
        <v>2527</v>
      </c>
      <c r="D1848" s="7" t="n">
        <v>2644</v>
      </c>
      <c r="E1848" s="7" t="s">
        <v>50</v>
      </c>
      <c r="F1848" s="7" t="n">
        <v>-35.712537</v>
      </c>
      <c r="G1848" s="7" t="n">
        <v>147.323893</v>
      </c>
      <c r="H1848" s="7" t="s">
        <v>7010</v>
      </c>
    </row>
    <row r="1849" customFormat="false" ht="15" hidden="false" customHeight="false" outlineLevel="0" collapsed="false">
      <c r="A1849" s="7" t="s">
        <v>6947</v>
      </c>
      <c r="B1849" s="7" t="s">
        <v>7122</v>
      </c>
      <c r="C1849" s="7" t="s">
        <v>2528</v>
      </c>
      <c r="D1849" s="7" t="n">
        <v>2203</v>
      </c>
      <c r="E1849" s="7" t="s">
        <v>50</v>
      </c>
      <c r="F1849" s="7" t="n">
        <v>-33.902886</v>
      </c>
      <c r="G1849" s="7" t="n">
        <v>151.139961</v>
      </c>
      <c r="H1849" s="7" t="s">
        <v>7117</v>
      </c>
    </row>
    <row r="1850" customFormat="false" ht="15" hidden="false" customHeight="false" outlineLevel="0" collapsed="false">
      <c r="A1850" s="7" t="s">
        <v>6947</v>
      </c>
      <c r="B1850" s="7" t="s">
        <v>2529</v>
      </c>
      <c r="C1850" s="7" t="s">
        <v>2530</v>
      </c>
      <c r="D1850" s="7" t="n">
        <v>2850</v>
      </c>
      <c r="E1850" s="7" t="s">
        <v>50</v>
      </c>
      <c r="F1850" s="7" t="n">
        <v>-32.59692</v>
      </c>
      <c r="G1850" s="7" t="n">
        <v>149.587789</v>
      </c>
      <c r="H1850" s="7" t="s">
        <v>7089</v>
      </c>
    </row>
    <row r="1851" customFormat="false" ht="15" hidden="false" customHeight="false" outlineLevel="0" collapsed="false">
      <c r="A1851" s="7" t="s">
        <v>6947</v>
      </c>
      <c r="B1851" s="7" t="s">
        <v>1939</v>
      </c>
      <c r="C1851" s="7" t="s">
        <v>2531</v>
      </c>
      <c r="D1851" s="7" t="n">
        <v>2647</v>
      </c>
      <c r="E1851" s="7" t="s">
        <v>50</v>
      </c>
      <c r="F1851" s="7" t="n">
        <v>-35.975061</v>
      </c>
      <c r="G1851" s="7" t="n">
        <v>146.024193</v>
      </c>
      <c r="H1851" s="7" t="s">
        <v>7030</v>
      </c>
    </row>
    <row r="1852" customFormat="false" ht="15" hidden="false" customHeight="false" outlineLevel="0" collapsed="false">
      <c r="A1852" s="7" t="s">
        <v>6947</v>
      </c>
      <c r="B1852" s="7" t="s">
        <v>7122</v>
      </c>
      <c r="C1852" s="7" t="s">
        <v>2532</v>
      </c>
      <c r="D1852" s="7" t="n">
        <v>2039</v>
      </c>
      <c r="E1852" s="7" t="s">
        <v>50</v>
      </c>
      <c r="F1852" s="7" t="n">
        <v>-33.869986</v>
      </c>
      <c r="G1852" s="7" t="n">
        <v>151.169758</v>
      </c>
      <c r="H1852" s="7" t="s">
        <v>7117</v>
      </c>
    </row>
    <row r="1853" customFormat="false" ht="15" hidden="false" customHeight="false" outlineLevel="0" collapsed="false">
      <c r="A1853" s="7" t="s">
        <v>6947</v>
      </c>
      <c r="B1853" s="7" t="s">
        <v>7122</v>
      </c>
      <c r="C1853" s="7" t="s">
        <v>2533</v>
      </c>
      <c r="D1853" s="7" t="n">
        <v>2022</v>
      </c>
      <c r="E1853" s="7" t="s">
        <v>50</v>
      </c>
      <c r="F1853" s="7" t="n">
        <v>-33.894117</v>
      </c>
      <c r="G1853" s="7" t="n">
        <v>151.25091</v>
      </c>
      <c r="H1853" s="7" t="s">
        <v>7117</v>
      </c>
    </row>
    <row r="1854" customFormat="false" ht="15" hidden="false" customHeight="false" outlineLevel="0" collapsed="false">
      <c r="A1854" s="7" t="s">
        <v>6947</v>
      </c>
      <c r="B1854" s="7" t="s">
        <v>2534</v>
      </c>
      <c r="C1854" s="7" t="s">
        <v>2535</v>
      </c>
      <c r="D1854" s="7" t="n">
        <v>2800</v>
      </c>
      <c r="E1854" s="7" t="s">
        <v>50</v>
      </c>
      <c r="F1854" s="7" t="n">
        <v>-33.308413</v>
      </c>
      <c r="G1854" s="7" t="n">
        <v>148.989209</v>
      </c>
      <c r="H1854" s="7" t="s">
        <v>7166</v>
      </c>
    </row>
    <row r="1855" customFormat="false" ht="15" hidden="false" customHeight="false" outlineLevel="0" collapsed="false">
      <c r="A1855" s="7" t="s">
        <v>6947</v>
      </c>
      <c r="B1855" s="7" t="s">
        <v>2537</v>
      </c>
      <c r="C1855" s="7" t="s">
        <v>2538</v>
      </c>
      <c r="D1855" s="7" t="n">
        <v>2340</v>
      </c>
      <c r="E1855" s="7" t="s">
        <v>50</v>
      </c>
      <c r="F1855" s="7" t="n">
        <v>-31.096448</v>
      </c>
      <c r="G1855" s="7" t="n">
        <v>150.92419</v>
      </c>
      <c r="H1855" s="7" t="s">
        <v>7152</v>
      </c>
    </row>
    <row r="1856" customFormat="false" ht="15" hidden="false" customHeight="false" outlineLevel="0" collapsed="false">
      <c r="A1856" s="7" t="s">
        <v>6947</v>
      </c>
      <c r="B1856" s="7" t="s">
        <v>7122</v>
      </c>
      <c r="C1856" s="7" t="s">
        <v>2539</v>
      </c>
      <c r="D1856" s="7" t="n">
        <v>2033</v>
      </c>
      <c r="E1856" s="7" t="s">
        <v>50</v>
      </c>
      <c r="F1856" s="7" t="n">
        <v>-33.905587</v>
      </c>
      <c r="G1856" s="7" t="n">
        <v>151.222369</v>
      </c>
      <c r="H1856" s="7" t="s">
        <v>7117</v>
      </c>
    </row>
    <row r="1857" customFormat="false" ht="15" hidden="false" customHeight="false" outlineLevel="0" collapsed="false">
      <c r="A1857" s="7" t="s">
        <v>6947</v>
      </c>
      <c r="B1857" s="7" t="s">
        <v>7122</v>
      </c>
      <c r="C1857" s="7" t="s">
        <v>2540</v>
      </c>
      <c r="D1857" s="7" t="n">
        <v>2032</v>
      </c>
      <c r="E1857" s="7" t="s">
        <v>50</v>
      </c>
      <c r="F1857" s="7" t="n">
        <v>-33.923959</v>
      </c>
      <c r="G1857" s="7" t="n">
        <v>151.234347</v>
      </c>
      <c r="H1857" s="7" t="s">
        <v>7117</v>
      </c>
    </row>
    <row r="1858" customFormat="false" ht="15" hidden="false" customHeight="false" outlineLevel="0" collapsed="false">
      <c r="A1858" s="7" t="s">
        <v>6947</v>
      </c>
      <c r="B1858" s="7" t="s">
        <v>7122</v>
      </c>
      <c r="C1858" s="7" t="s">
        <v>2541</v>
      </c>
      <c r="D1858" s="7" t="n">
        <v>2022</v>
      </c>
      <c r="E1858" s="7" t="s">
        <v>50</v>
      </c>
      <c r="F1858" s="7" t="n">
        <v>-33.893676</v>
      </c>
      <c r="G1858" s="7" t="n">
        <v>151.243886</v>
      </c>
      <c r="H1858" s="7" t="s">
        <v>7117</v>
      </c>
    </row>
    <row r="1859" customFormat="false" ht="15" hidden="false" customHeight="false" outlineLevel="0" collapsed="false">
      <c r="A1859" s="7" t="s">
        <v>6947</v>
      </c>
      <c r="B1859" s="7" t="s">
        <v>7035</v>
      </c>
      <c r="C1859" s="7" t="s">
        <v>2542</v>
      </c>
      <c r="D1859" s="7" t="n">
        <v>2131</v>
      </c>
      <c r="E1859" s="7" t="s">
        <v>50</v>
      </c>
      <c r="F1859" s="7" t="n">
        <v>-33.880316</v>
      </c>
      <c r="G1859" s="7" t="n">
        <v>151.12992</v>
      </c>
      <c r="H1859" s="7" t="s">
        <v>7162</v>
      </c>
    </row>
    <row r="1860" customFormat="false" ht="15" hidden="false" customHeight="false" outlineLevel="0" collapsed="false">
      <c r="A1860" s="7" t="s">
        <v>6947</v>
      </c>
      <c r="B1860" s="7" t="s">
        <v>2543</v>
      </c>
      <c r="C1860" s="7" t="s">
        <v>2544</v>
      </c>
      <c r="D1860" s="7" t="n">
        <v>2627</v>
      </c>
      <c r="E1860" s="7" t="s">
        <v>50</v>
      </c>
      <c r="F1860" s="7" t="n">
        <v>-36.442568</v>
      </c>
      <c r="G1860" s="7" t="n">
        <v>148.498913</v>
      </c>
      <c r="H1860" s="7" t="s">
        <v>6979</v>
      </c>
    </row>
    <row r="1861" customFormat="false" ht="15" hidden="false" customHeight="false" outlineLevel="0" collapsed="false">
      <c r="A1861" s="7" t="s">
        <v>6947</v>
      </c>
      <c r="B1861" s="7" t="s">
        <v>7075</v>
      </c>
      <c r="C1861" s="7" t="s">
        <v>2545</v>
      </c>
      <c r="D1861" s="7" t="n">
        <v>2090</v>
      </c>
      <c r="E1861" s="7" t="s">
        <v>50</v>
      </c>
      <c r="F1861" s="7" t="n">
        <v>-33.827279</v>
      </c>
      <c r="G1861" s="7" t="n">
        <v>151.230162</v>
      </c>
      <c r="H1861" s="7" t="s">
        <v>7140</v>
      </c>
    </row>
    <row r="1862" customFormat="false" ht="15" hidden="false" customHeight="false" outlineLevel="0" collapsed="false">
      <c r="A1862" s="7" t="s">
        <v>6947</v>
      </c>
      <c r="B1862" s="7" t="s">
        <v>2546</v>
      </c>
      <c r="C1862" s="7" t="s">
        <v>2547</v>
      </c>
      <c r="D1862" s="7" t="n">
        <v>2800</v>
      </c>
      <c r="E1862" s="7" t="s">
        <v>50</v>
      </c>
      <c r="F1862" s="7" t="n">
        <v>-33.276671</v>
      </c>
      <c r="G1862" s="7" t="n">
        <v>149.090366</v>
      </c>
      <c r="H1862" s="7" t="s">
        <v>7011</v>
      </c>
    </row>
    <row r="1863" customFormat="false" ht="15" hidden="false" customHeight="false" outlineLevel="0" collapsed="false">
      <c r="A1863" s="7" t="s">
        <v>6947</v>
      </c>
      <c r="B1863" s="7" t="s">
        <v>1360</v>
      </c>
      <c r="C1863" s="7" t="s">
        <v>2548</v>
      </c>
      <c r="D1863" s="7" t="n">
        <v>2800</v>
      </c>
      <c r="E1863" s="7" t="s">
        <v>50</v>
      </c>
      <c r="F1863" s="7" t="n">
        <v>-33.292488</v>
      </c>
      <c r="G1863" s="7" t="n">
        <v>148.974603</v>
      </c>
      <c r="H1863" s="7" t="s">
        <v>6979</v>
      </c>
    </row>
    <row r="1864" customFormat="false" ht="15" hidden="false" customHeight="false" outlineLevel="0" collapsed="false">
      <c r="A1864" s="7" t="s">
        <v>6947</v>
      </c>
      <c r="B1864" s="7" t="s">
        <v>199</v>
      </c>
      <c r="C1864" s="7" t="s">
        <v>2549</v>
      </c>
      <c r="D1864" s="7" t="n">
        <v>2852</v>
      </c>
      <c r="E1864" s="7" t="s">
        <v>50</v>
      </c>
      <c r="F1864" s="7" t="n">
        <v>-32.364256</v>
      </c>
      <c r="G1864" s="7" t="n">
        <v>149.532809</v>
      </c>
      <c r="H1864" s="7" t="s">
        <v>7127</v>
      </c>
    </row>
    <row r="1865" customFormat="false" ht="15" hidden="false" customHeight="false" outlineLevel="0" collapsed="false">
      <c r="A1865" s="7" t="s">
        <v>6947</v>
      </c>
      <c r="B1865" s="7" t="s">
        <v>469</v>
      </c>
      <c r="C1865" s="7" t="s">
        <v>2550</v>
      </c>
      <c r="D1865" s="7" t="n">
        <v>2656</v>
      </c>
      <c r="E1865" s="7" t="s">
        <v>50</v>
      </c>
      <c r="F1865" s="7" t="n">
        <v>-35.220593</v>
      </c>
      <c r="G1865" s="7" t="n">
        <v>146.715379</v>
      </c>
      <c r="H1865" s="7" t="s">
        <v>6984</v>
      </c>
    </row>
    <row r="1866" customFormat="false" ht="15" hidden="false" customHeight="false" outlineLevel="0" collapsed="false">
      <c r="A1866" s="7" t="s">
        <v>6947</v>
      </c>
      <c r="B1866" s="7" t="s">
        <v>2551</v>
      </c>
      <c r="C1866" s="7" t="s">
        <v>2552</v>
      </c>
      <c r="D1866" s="7" t="n">
        <v>2594</v>
      </c>
      <c r="E1866" s="7" t="s">
        <v>50</v>
      </c>
      <c r="F1866" s="7" t="n">
        <v>-34.315235</v>
      </c>
      <c r="G1866" s="7" t="n">
        <v>148.2955</v>
      </c>
      <c r="H1866" s="7" t="s">
        <v>6979</v>
      </c>
    </row>
    <row r="1867" customFormat="false" ht="15" hidden="false" customHeight="false" outlineLevel="0" collapsed="false">
      <c r="A1867" s="7" t="s">
        <v>6947</v>
      </c>
      <c r="B1867" s="7" t="s">
        <v>7122</v>
      </c>
      <c r="C1867" s="7" t="s">
        <v>2553</v>
      </c>
      <c r="D1867" s="7" t="n">
        <v>2035</v>
      </c>
      <c r="E1867" s="7" t="s">
        <v>50</v>
      </c>
      <c r="F1867" s="7" t="n">
        <v>-33.944085</v>
      </c>
      <c r="G1867" s="7" t="n">
        <v>151.260408</v>
      </c>
      <c r="H1867" s="7" t="s">
        <v>7117</v>
      </c>
    </row>
    <row r="1868" customFormat="false" ht="15" hidden="false" customHeight="false" outlineLevel="0" collapsed="false">
      <c r="A1868" s="7" t="s">
        <v>6947</v>
      </c>
      <c r="B1868" s="7" t="s">
        <v>7122</v>
      </c>
      <c r="C1868" s="7" t="s">
        <v>2554</v>
      </c>
      <c r="D1868" s="7" t="n">
        <v>2021</v>
      </c>
      <c r="E1868" s="7" t="s">
        <v>50</v>
      </c>
      <c r="F1868" s="7" t="n">
        <v>-33.882547</v>
      </c>
      <c r="G1868" s="7" t="n">
        <v>151.229697</v>
      </c>
      <c r="H1868" s="7" t="s">
        <v>7117</v>
      </c>
    </row>
    <row r="1869" customFormat="false" ht="15" hidden="false" customHeight="false" outlineLevel="0" collapsed="false">
      <c r="A1869" s="7" t="s">
        <v>6947</v>
      </c>
      <c r="B1869" s="7" t="s">
        <v>7035</v>
      </c>
      <c r="C1869" s="7" t="s">
        <v>2555</v>
      </c>
      <c r="D1869" s="7" t="n">
        <v>2050</v>
      </c>
      <c r="E1869" s="7" t="s">
        <v>50</v>
      </c>
      <c r="F1869" s="7" t="n">
        <v>-33.890532</v>
      </c>
      <c r="G1869" s="7" t="n">
        <v>151.176127</v>
      </c>
      <c r="H1869" s="7" t="s">
        <v>7148</v>
      </c>
    </row>
    <row r="1870" customFormat="false" ht="15" hidden="false" customHeight="false" outlineLevel="0" collapsed="false">
      <c r="A1870" s="7" t="s">
        <v>6947</v>
      </c>
      <c r="B1870" s="7" t="s">
        <v>2556</v>
      </c>
      <c r="C1870" s="7" t="s">
        <v>2557</v>
      </c>
      <c r="D1870" s="7" t="n">
        <v>2539</v>
      </c>
      <c r="E1870" s="7" t="s">
        <v>50</v>
      </c>
      <c r="F1870" s="7" t="n">
        <v>-35.340277</v>
      </c>
      <c r="G1870" s="7" t="n">
        <v>150.47355</v>
      </c>
      <c r="H1870" s="7" t="s">
        <v>7145</v>
      </c>
    </row>
    <row r="1871" customFormat="false" ht="15" hidden="false" customHeight="false" outlineLevel="0" collapsed="false">
      <c r="A1871" s="7" t="s">
        <v>6947</v>
      </c>
      <c r="B1871" s="7" t="s">
        <v>2558</v>
      </c>
      <c r="C1871" s="7" t="s">
        <v>2559</v>
      </c>
      <c r="D1871" s="7" t="n">
        <v>2450</v>
      </c>
      <c r="E1871" s="7" t="s">
        <v>50</v>
      </c>
      <c r="F1871" s="7" t="n">
        <v>-30.301066</v>
      </c>
      <c r="G1871" s="7" t="n">
        <v>153.11108</v>
      </c>
      <c r="H1871" s="7" t="s">
        <v>6983</v>
      </c>
    </row>
    <row r="1872" customFormat="false" ht="15" hidden="false" customHeight="false" outlineLevel="0" collapsed="false">
      <c r="A1872" s="7" t="s">
        <v>6947</v>
      </c>
      <c r="B1872" s="7" t="s">
        <v>2560</v>
      </c>
      <c r="C1872" s="7" t="s">
        <v>2561</v>
      </c>
      <c r="D1872" s="7" t="n">
        <v>2786</v>
      </c>
      <c r="E1872" s="7" t="s">
        <v>50</v>
      </c>
      <c r="F1872" s="7" t="n">
        <v>-33.588553</v>
      </c>
      <c r="G1872" s="7" t="n">
        <v>150.254116</v>
      </c>
      <c r="H1872" s="7" t="s">
        <v>7145</v>
      </c>
    </row>
    <row r="1873" customFormat="false" ht="15" hidden="false" customHeight="false" outlineLevel="0" collapsed="false">
      <c r="A1873" s="7" t="s">
        <v>6947</v>
      </c>
      <c r="B1873" s="7" t="s">
        <v>2562</v>
      </c>
      <c r="C1873" s="7" t="s">
        <v>2563</v>
      </c>
      <c r="D1873" s="7" t="n">
        <v>2339</v>
      </c>
      <c r="E1873" s="7" t="s">
        <v>50</v>
      </c>
      <c r="F1873" s="7" t="n">
        <v>-31.649439</v>
      </c>
      <c r="G1873" s="7" t="n">
        <v>150.726117</v>
      </c>
      <c r="H1873" s="7" t="s">
        <v>6984</v>
      </c>
    </row>
    <row r="1874" customFormat="false" ht="15" hidden="false" customHeight="false" outlineLevel="0" collapsed="false">
      <c r="A1874" s="7" t="s">
        <v>6947</v>
      </c>
      <c r="B1874" s="7" t="s">
        <v>2564</v>
      </c>
      <c r="C1874" s="7" t="s">
        <v>2565</v>
      </c>
      <c r="D1874" s="7" t="n">
        <v>2540</v>
      </c>
      <c r="E1874" s="7" t="s">
        <v>50</v>
      </c>
      <c r="F1874" s="7" t="n">
        <v>-35.10437</v>
      </c>
      <c r="G1874" s="7" t="n">
        <v>150.624673</v>
      </c>
      <c r="H1874" s="7" t="s">
        <v>7152</v>
      </c>
    </row>
    <row r="1875" customFormat="false" ht="15" hidden="false" customHeight="false" outlineLevel="0" collapsed="false">
      <c r="A1875" s="7" t="s">
        <v>6947</v>
      </c>
      <c r="B1875" s="7" t="s">
        <v>7122</v>
      </c>
      <c r="C1875" s="7" t="s">
        <v>2566</v>
      </c>
      <c r="D1875" s="7" t="n">
        <v>2034</v>
      </c>
      <c r="E1875" s="7" t="s">
        <v>50</v>
      </c>
      <c r="F1875" s="7" t="n">
        <v>-33.917692</v>
      </c>
      <c r="G1875" s="7" t="n">
        <v>151.258472</v>
      </c>
      <c r="H1875" s="7" t="s">
        <v>7117</v>
      </c>
    </row>
    <row r="1876" customFormat="false" ht="15" hidden="false" customHeight="false" outlineLevel="0" collapsed="false">
      <c r="A1876" s="7" t="s">
        <v>6947</v>
      </c>
      <c r="B1876" s="7" t="s">
        <v>6993</v>
      </c>
      <c r="C1876" s="7" t="s">
        <v>2567</v>
      </c>
      <c r="D1876" s="7" t="n">
        <v>2064</v>
      </c>
      <c r="E1876" s="7" t="s">
        <v>50</v>
      </c>
      <c r="F1876" s="7" t="n">
        <v>-33.811954</v>
      </c>
      <c r="G1876" s="7" t="n">
        <v>151.183564</v>
      </c>
      <c r="H1876" s="7" t="s">
        <v>6994</v>
      </c>
    </row>
    <row r="1877" customFormat="false" ht="15" hidden="false" customHeight="false" outlineLevel="0" collapsed="false">
      <c r="A1877" s="7" t="s">
        <v>6947</v>
      </c>
      <c r="B1877" s="7" t="s">
        <v>2568</v>
      </c>
      <c r="C1877" s="7" t="s">
        <v>2569</v>
      </c>
      <c r="D1877" s="7" t="n">
        <v>2330</v>
      </c>
      <c r="E1877" s="7" t="s">
        <v>50</v>
      </c>
      <c r="F1877" s="7" t="n">
        <v>-32.750473</v>
      </c>
      <c r="G1877" s="7" t="n">
        <v>151.078251</v>
      </c>
      <c r="H1877" s="7" t="s">
        <v>7147</v>
      </c>
    </row>
    <row r="1878" customFormat="false" ht="15" hidden="false" customHeight="false" outlineLevel="0" collapsed="false">
      <c r="A1878" s="7" t="s">
        <v>6947</v>
      </c>
      <c r="B1878" s="7" t="s">
        <v>2570</v>
      </c>
      <c r="C1878" s="7" t="s">
        <v>2571</v>
      </c>
      <c r="D1878" s="7" t="n">
        <v>2800</v>
      </c>
      <c r="E1878" s="7" t="s">
        <v>50</v>
      </c>
      <c r="F1878" s="7" t="n">
        <v>-33.344473</v>
      </c>
      <c r="G1878" s="7" t="n">
        <v>149.038306</v>
      </c>
      <c r="H1878" s="7" t="s">
        <v>7129</v>
      </c>
    </row>
    <row r="1879" customFormat="false" ht="15" hidden="false" customHeight="false" outlineLevel="0" collapsed="false">
      <c r="A1879" s="7" t="s">
        <v>6947</v>
      </c>
      <c r="B1879" s="7" t="s">
        <v>7122</v>
      </c>
      <c r="C1879" s="7" t="s">
        <v>2572</v>
      </c>
      <c r="D1879" s="7" t="n">
        <v>2035</v>
      </c>
      <c r="E1879" s="7" t="s">
        <v>50</v>
      </c>
      <c r="F1879" s="7" t="n">
        <v>-33.945282</v>
      </c>
      <c r="G1879" s="7" t="n">
        <v>151.254077</v>
      </c>
      <c r="H1879" s="7" t="s">
        <v>7117</v>
      </c>
    </row>
    <row r="1880" customFormat="false" ht="15" hidden="false" customHeight="false" outlineLevel="0" collapsed="false">
      <c r="A1880" s="7" t="s">
        <v>6947</v>
      </c>
      <c r="B1880" s="7" t="s">
        <v>2573</v>
      </c>
      <c r="C1880" s="7" t="s">
        <v>2574</v>
      </c>
      <c r="D1880" s="7" t="n">
        <v>2525</v>
      </c>
      <c r="E1880" s="7" t="s">
        <v>50</v>
      </c>
      <c r="F1880" s="7" t="n">
        <v>-34.44058</v>
      </c>
      <c r="G1880" s="7" t="n">
        <v>150.856614</v>
      </c>
      <c r="H1880" s="7" t="s">
        <v>6981</v>
      </c>
    </row>
    <row r="1881" customFormat="false" ht="15" hidden="false" customHeight="false" outlineLevel="0" collapsed="false">
      <c r="A1881" s="7" t="s">
        <v>6947</v>
      </c>
      <c r="B1881" s="7" t="s">
        <v>2575</v>
      </c>
      <c r="C1881" s="7" t="s">
        <v>2576</v>
      </c>
      <c r="D1881" s="7" t="n">
        <v>2787</v>
      </c>
      <c r="E1881" s="7" t="s">
        <v>50</v>
      </c>
      <c r="F1881" s="7" t="n">
        <v>-33.701865</v>
      </c>
      <c r="G1881" s="7" t="n">
        <v>149.874042</v>
      </c>
      <c r="H1881" s="7" t="s">
        <v>7165</v>
      </c>
    </row>
    <row r="1882" customFormat="false" ht="15" hidden="false" customHeight="false" outlineLevel="0" collapsed="false">
      <c r="A1882" s="7" t="s">
        <v>6947</v>
      </c>
      <c r="B1882" s="7" t="s">
        <v>2577</v>
      </c>
      <c r="C1882" s="7" t="s">
        <v>2578</v>
      </c>
      <c r="D1882" s="7" t="n">
        <v>2780</v>
      </c>
      <c r="E1882" s="7" t="s">
        <v>50</v>
      </c>
      <c r="F1882" s="7" t="n">
        <v>-33.712631</v>
      </c>
      <c r="G1882" s="7" t="n">
        <v>150.312557</v>
      </c>
      <c r="H1882" s="7" t="s">
        <v>7018</v>
      </c>
    </row>
    <row r="1883" customFormat="false" ht="15" hidden="false" customHeight="false" outlineLevel="0" collapsed="false">
      <c r="A1883" s="7" t="s">
        <v>6947</v>
      </c>
      <c r="B1883" s="7" t="s">
        <v>2579</v>
      </c>
      <c r="C1883" s="7" t="s">
        <v>2580</v>
      </c>
      <c r="D1883" s="7" t="n">
        <v>2340</v>
      </c>
      <c r="E1883" s="7" t="s">
        <v>50</v>
      </c>
      <c r="F1883" s="7" t="n">
        <v>-31.108478</v>
      </c>
      <c r="G1883" s="7" t="n">
        <v>150.920827</v>
      </c>
      <c r="H1883" s="7" t="s">
        <v>6984</v>
      </c>
    </row>
    <row r="1884" customFormat="false" ht="15" hidden="false" customHeight="false" outlineLevel="0" collapsed="false">
      <c r="A1884" s="7" t="s">
        <v>6947</v>
      </c>
      <c r="B1884" s="7" t="s">
        <v>6993</v>
      </c>
      <c r="C1884" s="7" t="s">
        <v>2581</v>
      </c>
      <c r="D1884" s="7" t="n">
        <v>2010</v>
      </c>
      <c r="E1884" s="7" t="s">
        <v>50</v>
      </c>
      <c r="F1884" s="7" t="n">
        <v>-33.878902</v>
      </c>
      <c r="G1884" s="7" t="n">
        <v>151.219218</v>
      </c>
      <c r="H1884" s="7" t="s">
        <v>6994</v>
      </c>
    </row>
    <row r="1885" customFormat="false" ht="15" hidden="false" customHeight="false" outlineLevel="0" collapsed="false">
      <c r="A1885" s="7" t="s">
        <v>6947</v>
      </c>
      <c r="B1885" s="7" t="s">
        <v>2582</v>
      </c>
      <c r="C1885" s="7" t="s">
        <v>2583</v>
      </c>
      <c r="D1885" s="7" t="n">
        <v>2550</v>
      </c>
      <c r="E1885" s="7" t="s">
        <v>50</v>
      </c>
      <c r="F1885" s="7" t="n">
        <v>-36.677509</v>
      </c>
      <c r="G1885" s="7" t="n">
        <v>149.848685</v>
      </c>
      <c r="H1885" s="7" t="s">
        <v>6981</v>
      </c>
    </row>
    <row r="1886" customFormat="false" ht="15" hidden="false" customHeight="false" outlineLevel="0" collapsed="false">
      <c r="A1886" s="7" t="s">
        <v>6947</v>
      </c>
      <c r="B1886" s="7" t="s">
        <v>6964</v>
      </c>
      <c r="C1886" s="7" t="s">
        <v>2584</v>
      </c>
      <c r="D1886" s="7" t="n">
        <v>2390</v>
      </c>
      <c r="E1886" s="7" t="s">
        <v>50</v>
      </c>
      <c r="F1886" s="7" t="n">
        <v>-30.322637</v>
      </c>
      <c r="G1886" s="7" t="n">
        <v>149.780189</v>
      </c>
      <c r="H1886" s="7" t="s">
        <v>6972</v>
      </c>
    </row>
    <row r="1887" customFormat="false" ht="15" hidden="false" customHeight="false" outlineLevel="0" collapsed="false">
      <c r="A1887" s="7" t="s">
        <v>6947</v>
      </c>
      <c r="B1887" s="7" t="s">
        <v>7122</v>
      </c>
      <c r="C1887" s="7" t="s">
        <v>2585</v>
      </c>
      <c r="D1887" s="7" t="n">
        <v>2038</v>
      </c>
      <c r="E1887" s="7" t="s">
        <v>50</v>
      </c>
      <c r="F1887" s="7" t="n">
        <v>-33.88338</v>
      </c>
      <c r="G1887" s="7" t="n">
        <v>151.172846</v>
      </c>
      <c r="H1887" s="7" t="s">
        <v>7117</v>
      </c>
    </row>
    <row r="1888" customFormat="false" ht="15" hidden="false" customHeight="false" outlineLevel="0" collapsed="false">
      <c r="A1888" s="7" t="s">
        <v>6947</v>
      </c>
      <c r="B1888" s="7" t="s">
        <v>6962</v>
      </c>
      <c r="C1888" s="7" t="s">
        <v>2586</v>
      </c>
      <c r="D1888" s="7" t="n">
        <v>2304</v>
      </c>
      <c r="E1888" s="7" t="s">
        <v>50</v>
      </c>
      <c r="F1888" s="7" t="n">
        <v>-32.897209</v>
      </c>
      <c r="G1888" s="7" t="n">
        <v>151.737401</v>
      </c>
      <c r="H1888" s="7" t="s">
        <v>6983</v>
      </c>
    </row>
    <row r="1889" customFormat="false" ht="15" hidden="false" customHeight="false" outlineLevel="0" collapsed="false">
      <c r="A1889" s="7" t="s">
        <v>6947</v>
      </c>
      <c r="B1889" s="7" t="s">
        <v>2587</v>
      </c>
      <c r="C1889" s="7" t="s">
        <v>2588</v>
      </c>
      <c r="D1889" s="7" t="n">
        <v>2285</v>
      </c>
      <c r="E1889" s="7" t="s">
        <v>50</v>
      </c>
      <c r="F1889" s="7" t="n">
        <v>-32.925804</v>
      </c>
      <c r="G1889" s="7" t="n">
        <v>151.621419</v>
      </c>
      <c r="H1889" s="7" t="s">
        <v>7018</v>
      </c>
    </row>
    <row r="1890" customFormat="false" ht="15" hidden="false" customHeight="false" outlineLevel="0" collapsed="false">
      <c r="A1890" s="7" t="s">
        <v>6947</v>
      </c>
      <c r="B1890" s="7" t="s">
        <v>2589</v>
      </c>
      <c r="C1890" s="7" t="s">
        <v>2590</v>
      </c>
      <c r="D1890" s="7" t="n">
        <v>2800</v>
      </c>
      <c r="E1890" s="7" t="s">
        <v>50</v>
      </c>
      <c r="F1890" s="7" t="n">
        <v>-33.281818</v>
      </c>
      <c r="G1890" s="7" t="n">
        <v>148.990954</v>
      </c>
      <c r="H1890" s="7" t="s">
        <v>6984</v>
      </c>
    </row>
    <row r="1891" customFormat="false" ht="15" hidden="false" customHeight="false" outlineLevel="0" collapsed="false">
      <c r="A1891" s="7" t="s">
        <v>6947</v>
      </c>
      <c r="B1891" s="7" t="s">
        <v>6993</v>
      </c>
      <c r="C1891" s="7" t="s">
        <v>2591</v>
      </c>
      <c r="D1891" s="7" t="n">
        <v>2132</v>
      </c>
      <c r="E1891" s="7" t="s">
        <v>50</v>
      </c>
      <c r="F1891" s="7" t="n">
        <v>-33.880829</v>
      </c>
      <c r="G1891" s="7" t="n">
        <v>151.114005</v>
      </c>
      <c r="H1891" s="7" t="s">
        <v>6994</v>
      </c>
    </row>
    <row r="1892" customFormat="false" ht="15" hidden="false" customHeight="false" outlineLevel="0" collapsed="false">
      <c r="A1892" s="7" t="s">
        <v>6947</v>
      </c>
      <c r="B1892" s="7" t="s">
        <v>7122</v>
      </c>
      <c r="C1892" s="7" t="s">
        <v>2592</v>
      </c>
      <c r="D1892" s="7" t="n">
        <v>2024</v>
      </c>
      <c r="E1892" s="7" t="s">
        <v>50</v>
      </c>
      <c r="F1892" s="7" t="n">
        <v>-33.902035</v>
      </c>
      <c r="G1892" s="7" t="n">
        <v>151.258103</v>
      </c>
      <c r="H1892" s="7" t="s">
        <v>7117</v>
      </c>
    </row>
    <row r="1893" customFormat="false" ht="15" hidden="false" customHeight="false" outlineLevel="0" collapsed="false">
      <c r="A1893" s="7" t="s">
        <v>6947</v>
      </c>
      <c r="B1893" s="7" t="s">
        <v>6993</v>
      </c>
      <c r="C1893" s="7" t="s">
        <v>2593</v>
      </c>
      <c r="D1893" s="7" t="n">
        <v>2065</v>
      </c>
      <c r="E1893" s="7" t="s">
        <v>50</v>
      </c>
      <c r="F1893" s="7" t="n">
        <v>-33.818008</v>
      </c>
      <c r="G1893" s="7" t="n">
        <v>151.189005</v>
      </c>
      <c r="H1893" s="7" t="s">
        <v>6994</v>
      </c>
    </row>
    <row r="1894" customFormat="false" ht="15" hidden="false" customHeight="false" outlineLevel="0" collapsed="false">
      <c r="A1894" s="7" t="s">
        <v>6947</v>
      </c>
      <c r="B1894" s="7" t="s">
        <v>7123</v>
      </c>
      <c r="C1894" s="7" t="s">
        <v>2594</v>
      </c>
      <c r="D1894" s="7" t="n">
        <v>2061</v>
      </c>
      <c r="E1894" s="7" t="s">
        <v>50</v>
      </c>
      <c r="F1894" s="7" t="n">
        <v>-33.843546</v>
      </c>
      <c r="G1894" s="7" t="n">
        <v>151.21371</v>
      </c>
      <c r="H1894" s="7" t="s">
        <v>7124</v>
      </c>
    </row>
    <row r="1895" customFormat="false" ht="15" hidden="false" customHeight="false" outlineLevel="0" collapsed="false">
      <c r="A1895" s="7" t="s">
        <v>6947</v>
      </c>
      <c r="B1895" s="7" t="s">
        <v>1926</v>
      </c>
      <c r="C1895" s="7" t="s">
        <v>2595</v>
      </c>
      <c r="D1895" s="7" t="n">
        <v>2261</v>
      </c>
      <c r="E1895" s="7" t="s">
        <v>50</v>
      </c>
      <c r="F1895" s="7" t="n">
        <v>-33.361969</v>
      </c>
      <c r="G1895" s="7" t="n">
        <v>151.440778</v>
      </c>
      <c r="H1895" s="7" t="s">
        <v>6981</v>
      </c>
    </row>
    <row r="1896" customFormat="false" ht="15" hidden="false" customHeight="false" outlineLevel="0" collapsed="false">
      <c r="A1896" s="7" t="s">
        <v>6947</v>
      </c>
      <c r="B1896" s="7" t="s">
        <v>6962</v>
      </c>
      <c r="C1896" s="7" t="s">
        <v>2596</v>
      </c>
      <c r="D1896" s="7" t="n">
        <v>2029</v>
      </c>
      <c r="E1896" s="7" t="s">
        <v>50</v>
      </c>
      <c r="F1896" s="7" t="n">
        <v>-33.871059</v>
      </c>
      <c r="G1896" s="7" t="n">
        <v>151.270164</v>
      </c>
      <c r="H1896" s="7" t="s">
        <v>6983</v>
      </c>
    </row>
    <row r="1897" customFormat="false" ht="15" hidden="false" customHeight="false" outlineLevel="0" collapsed="false">
      <c r="A1897" s="7" t="s">
        <v>6947</v>
      </c>
      <c r="B1897" s="7" t="s">
        <v>7122</v>
      </c>
      <c r="C1897" s="7" t="s">
        <v>2597</v>
      </c>
      <c r="D1897" s="7" t="n">
        <v>2035</v>
      </c>
      <c r="E1897" s="7" t="s">
        <v>50</v>
      </c>
      <c r="F1897" s="7" t="n">
        <v>-33.944245</v>
      </c>
      <c r="G1897" s="7" t="n">
        <v>151.260852</v>
      </c>
      <c r="H1897" s="7" t="s">
        <v>7117</v>
      </c>
    </row>
    <row r="1898" customFormat="false" ht="15" hidden="false" customHeight="false" outlineLevel="0" collapsed="false">
      <c r="A1898" s="7" t="s">
        <v>6947</v>
      </c>
      <c r="B1898" s="7" t="s">
        <v>7122</v>
      </c>
      <c r="C1898" s="7" t="s">
        <v>2598</v>
      </c>
      <c r="D1898" s="7" t="n">
        <v>2033</v>
      </c>
      <c r="E1898" s="7" t="s">
        <v>50</v>
      </c>
      <c r="F1898" s="7" t="n">
        <v>-33.910025</v>
      </c>
      <c r="G1898" s="7" t="n">
        <v>151.220773</v>
      </c>
      <c r="H1898" s="7" t="s">
        <v>7117</v>
      </c>
    </row>
    <row r="1899" customFormat="false" ht="15" hidden="false" customHeight="false" outlineLevel="0" collapsed="false">
      <c r="A1899" s="7" t="s">
        <v>6947</v>
      </c>
      <c r="B1899" s="7" t="s">
        <v>7035</v>
      </c>
      <c r="C1899" s="7" t="s">
        <v>2599</v>
      </c>
      <c r="D1899" s="7" t="n">
        <v>2204</v>
      </c>
      <c r="E1899" s="7" t="s">
        <v>50</v>
      </c>
      <c r="F1899" s="7" t="n">
        <v>-33.915966</v>
      </c>
      <c r="G1899" s="7" t="n">
        <v>151.145994</v>
      </c>
      <c r="H1899" s="7" t="s">
        <v>7036</v>
      </c>
    </row>
    <row r="1900" customFormat="false" ht="15" hidden="false" customHeight="false" outlineLevel="0" collapsed="false">
      <c r="A1900" s="7" t="s">
        <v>6947</v>
      </c>
      <c r="B1900" s="7" t="s">
        <v>7075</v>
      </c>
      <c r="C1900" s="7" t="s">
        <v>2600</v>
      </c>
      <c r="D1900" s="7" t="n">
        <v>2036</v>
      </c>
      <c r="E1900" s="7" t="s">
        <v>50</v>
      </c>
      <c r="F1900" s="7" t="n">
        <v>-33.96264</v>
      </c>
      <c r="G1900" s="7" t="n">
        <v>151.245869</v>
      </c>
      <c r="H1900" s="7" t="s">
        <v>7140</v>
      </c>
    </row>
    <row r="1901" customFormat="false" ht="15" hidden="false" customHeight="false" outlineLevel="0" collapsed="false">
      <c r="A1901" s="7" t="s">
        <v>6947</v>
      </c>
      <c r="B1901" s="7" t="s">
        <v>2601</v>
      </c>
      <c r="C1901" s="7" t="s">
        <v>2602</v>
      </c>
      <c r="D1901" s="7" t="n">
        <v>2795</v>
      </c>
      <c r="E1901" s="7" t="s">
        <v>50</v>
      </c>
      <c r="F1901" s="7" t="n">
        <v>-33.417466</v>
      </c>
      <c r="G1901" s="7" t="n">
        <v>149.576125</v>
      </c>
      <c r="H1901" s="7" t="s">
        <v>6969</v>
      </c>
    </row>
    <row r="1902" customFormat="false" ht="15" hidden="false" customHeight="false" outlineLevel="0" collapsed="false">
      <c r="A1902" s="7" t="s">
        <v>6947</v>
      </c>
      <c r="B1902" s="7" t="s">
        <v>2603</v>
      </c>
      <c r="C1902" s="7" t="s">
        <v>2604</v>
      </c>
      <c r="D1902" s="7" t="n">
        <v>2317</v>
      </c>
      <c r="E1902" s="7" t="s">
        <v>50</v>
      </c>
      <c r="F1902" s="7" t="n">
        <v>-32.711975</v>
      </c>
      <c r="G1902" s="7" t="n">
        <v>152.070889</v>
      </c>
      <c r="H1902" s="7" t="s">
        <v>6981</v>
      </c>
    </row>
    <row r="1903" customFormat="false" ht="15" hidden="false" customHeight="false" outlineLevel="0" collapsed="false">
      <c r="A1903" s="7" t="s">
        <v>6947</v>
      </c>
      <c r="B1903" s="7" t="s">
        <v>6960</v>
      </c>
      <c r="C1903" s="7" t="s">
        <v>2605</v>
      </c>
      <c r="D1903" s="7" t="n">
        <v>2114</v>
      </c>
      <c r="E1903" s="7" t="s">
        <v>50</v>
      </c>
      <c r="F1903" s="7" t="n">
        <v>-33.806731</v>
      </c>
      <c r="G1903" s="7" t="n">
        <v>151.070881</v>
      </c>
      <c r="H1903" s="7" t="s">
        <v>6961</v>
      </c>
    </row>
    <row r="1904" customFormat="false" ht="15" hidden="false" customHeight="false" outlineLevel="0" collapsed="false">
      <c r="A1904" s="7" t="s">
        <v>6947</v>
      </c>
      <c r="B1904" s="7" t="s">
        <v>6960</v>
      </c>
      <c r="C1904" s="7" t="s">
        <v>2606</v>
      </c>
      <c r="D1904" s="7" t="n">
        <v>2233</v>
      </c>
      <c r="E1904" s="7" t="s">
        <v>50</v>
      </c>
      <c r="F1904" s="7" t="n">
        <v>-34.077403</v>
      </c>
      <c r="G1904" s="7" t="n">
        <v>151.011205</v>
      </c>
      <c r="H1904" s="7" t="s">
        <v>6961</v>
      </c>
    </row>
    <row r="1905" customFormat="false" ht="15" hidden="false" customHeight="false" outlineLevel="0" collapsed="false">
      <c r="A1905" s="7" t="s">
        <v>6947</v>
      </c>
      <c r="B1905" s="7" t="s">
        <v>6993</v>
      </c>
      <c r="C1905" s="7" t="s">
        <v>2607</v>
      </c>
      <c r="D1905" s="7" t="n">
        <v>2021</v>
      </c>
      <c r="E1905" s="7" t="s">
        <v>50</v>
      </c>
      <c r="F1905" s="7" t="n">
        <v>-33.887311</v>
      </c>
      <c r="G1905" s="7" t="n">
        <v>151.235506</v>
      </c>
      <c r="H1905" s="7" t="s">
        <v>6994</v>
      </c>
    </row>
    <row r="1906" customFormat="false" ht="15" hidden="false" customHeight="false" outlineLevel="0" collapsed="false">
      <c r="A1906" s="7" t="s">
        <v>6947</v>
      </c>
      <c r="B1906" s="7" t="s">
        <v>2608</v>
      </c>
      <c r="C1906" s="7" t="s">
        <v>2609</v>
      </c>
      <c r="D1906" s="7" t="n">
        <v>2650</v>
      </c>
      <c r="E1906" s="7" t="s">
        <v>50</v>
      </c>
      <c r="F1906" s="7" t="n">
        <v>-35.128142</v>
      </c>
      <c r="G1906" s="7" t="n">
        <v>147.368009</v>
      </c>
      <c r="H1906" s="7" t="s">
        <v>7127</v>
      </c>
    </row>
    <row r="1907" customFormat="false" ht="15" hidden="false" customHeight="false" outlineLevel="0" collapsed="false">
      <c r="A1907" s="7" t="s">
        <v>6947</v>
      </c>
      <c r="B1907" s="7" t="s">
        <v>7122</v>
      </c>
      <c r="C1907" s="7" t="s">
        <v>2610</v>
      </c>
      <c r="D1907" s="7" t="n">
        <v>2041</v>
      </c>
      <c r="E1907" s="7" t="s">
        <v>50</v>
      </c>
      <c r="F1907" s="7" t="n">
        <v>-33.852418</v>
      </c>
      <c r="G1907" s="7" t="n">
        <v>151.181993</v>
      </c>
      <c r="H1907" s="7" t="s">
        <v>7117</v>
      </c>
    </row>
    <row r="1908" customFormat="false" ht="15" hidden="false" customHeight="false" outlineLevel="0" collapsed="false">
      <c r="A1908" s="7" t="s">
        <v>6947</v>
      </c>
      <c r="B1908" s="7" t="s">
        <v>6993</v>
      </c>
      <c r="C1908" s="7" t="s">
        <v>2611</v>
      </c>
      <c r="D1908" s="7" t="n">
        <v>2041</v>
      </c>
      <c r="E1908" s="7" t="s">
        <v>50</v>
      </c>
      <c r="F1908" s="7" t="n">
        <v>-33.857744</v>
      </c>
      <c r="G1908" s="7" t="n">
        <v>151.180071</v>
      </c>
      <c r="H1908" s="7" t="s">
        <v>6994</v>
      </c>
    </row>
    <row r="1909" customFormat="false" ht="15" hidden="false" customHeight="false" outlineLevel="0" collapsed="false">
      <c r="A1909" s="7" t="s">
        <v>6947</v>
      </c>
      <c r="B1909" s="7" t="s">
        <v>7122</v>
      </c>
      <c r="C1909" s="7" t="s">
        <v>2612</v>
      </c>
      <c r="D1909" s="7" t="n">
        <v>2022</v>
      </c>
      <c r="E1909" s="7" t="s">
        <v>50</v>
      </c>
      <c r="F1909" s="7" t="n">
        <v>-33.893562</v>
      </c>
      <c r="G1909" s="7" t="n">
        <v>151.252073</v>
      </c>
      <c r="H1909" s="7" t="s">
        <v>7117</v>
      </c>
    </row>
    <row r="1910" customFormat="false" ht="15" hidden="false" customHeight="false" outlineLevel="0" collapsed="false">
      <c r="A1910" s="7" t="s">
        <v>6947</v>
      </c>
      <c r="B1910" s="7" t="s">
        <v>7122</v>
      </c>
      <c r="C1910" s="7" t="s">
        <v>2613</v>
      </c>
      <c r="D1910" s="7" t="n">
        <v>2034</v>
      </c>
      <c r="E1910" s="7" t="s">
        <v>50</v>
      </c>
      <c r="F1910" s="7" t="n">
        <v>-33.926379</v>
      </c>
      <c r="G1910" s="7" t="n">
        <v>151.257804</v>
      </c>
      <c r="H1910" s="7" t="s">
        <v>7117</v>
      </c>
    </row>
    <row r="1911" customFormat="false" ht="15" hidden="false" customHeight="false" outlineLevel="0" collapsed="false">
      <c r="A1911" s="7" t="s">
        <v>6947</v>
      </c>
      <c r="B1911" s="7" t="s">
        <v>6960</v>
      </c>
      <c r="C1911" s="7" t="s">
        <v>2614</v>
      </c>
      <c r="D1911" s="7" t="n">
        <v>2716</v>
      </c>
      <c r="E1911" s="7" t="s">
        <v>50</v>
      </c>
      <c r="F1911" s="7" t="n">
        <v>-35.360898</v>
      </c>
      <c r="G1911" s="7" t="n">
        <v>145.719467</v>
      </c>
      <c r="H1911" s="7" t="s">
        <v>7155</v>
      </c>
    </row>
    <row r="1912" customFormat="false" ht="15" hidden="false" customHeight="false" outlineLevel="0" collapsed="false">
      <c r="A1912" s="7" t="s">
        <v>6947</v>
      </c>
      <c r="B1912" s="7" t="s">
        <v>7122</v>
      </c>
      <c r="C1912" s="7" t="s">
        <v>2615</v>
      </c>
      <c r="D1912" s="7" t="n">
        <v>2038</v>
      </c>
      <c r="E1912" s="7" t="s">
        <v>50</v>
      </c>
      <c r="F1912" s="7" t="n">
        <v>-33.881865</v>
      </c>
      <c r="G1912" s="7" t="n">
        <v>151.1693</v>
      </c>
      <c r="H1912" s="7" t="s">
        <v>7117</v>
      </c>
    </row>
    <row r="1913" customFormat="false" ht="15" hidden="false" customHeight="false" outlineLevel="0" collapsed="false">
      <c r="A1913" s="7" t="s">
        <v>6947</v>
      </c>
      <c r="B1913" s="7" t="s">
        <v>2616</v>
      </c>
      <c r="C1913" s="7" t="s">
        <v>2617</v>
      </c>
      <c r="D1913" s="7" t="n">
        <v>2540</v>
      </c>
      <c r="E1913" s="7" t="s">
        <v>50</v>
      </c>
      <c r="F1913" s="7" t="n">
        <v>-34.889859</v>
      </c>
      <c r="G1913" s="7" t="n">
        <v>150.625969</v>
      </c>
      <c r="H1913" s="7" t="s">
        <v>6981</v>
      </c>
    </row>
    <row r="1914" customFormat="false" ht="15" hidden="false" customHeight="false" outlineLevel="0" collapsed="false">
      <c r="A1914" s="7" t="s">
        <v>6947</v>
      </c>
      <c r="B1914" s="7" t="s">
        <v>6962</v>
      </c>
      <c r="C1914" s="7" t="s">
        <v>2618</v>
      </c>
      <c r="D1914" s="7" t="n">
        <v>2026</v>
      </c>
      <c r="E1914" s="7" t="s">
        <v>50</v>
      </c>
      <c r="F1914" s="7" t="n">
        <v>-33.889034</v>
      </c>
      <c r="G1914" s="7" t="n">
        <v>151.273948</v>
      </c>
      <c r="H1914" s="7" t="s">
        <v>6969</v>
      </c>
    </row>
    <row r="1915" customFormat="false" ht="15" hidden="false" customHeight="false" outlineLevel="0" collapsed="false">
      <c r="A1915" s="7" t="s">
        <v>6947</v>
      </c>
      <c r="B1915" s="7" t="s">
        <v>7122</v>
      </c>
      <c r="C1915" s="7" t="s">
        <v>2619</v>
      </c>
      <c r="D1915" s="7" t="n">
        <v>2038</v>
      </c>
      <c r="E1915" s="7" t="s">
        <v>50</v>
      </c>
      <c r="F1915" s="7" t="n">
        <v>-33.883867</v>
      </c>
      <c r="G1915" s="7" t="n">
        <v>151.166499</v>
      </c>
      <c r="H1915" s="7" t="s">
        <v>7117</v>
      </c>
    </row>
    <row r="1916" customFormat="false" ht="15" hidden="false" customHeight="false" outlineLevel="0" collapsed="false">
      <c r="A1916" s="7" t="s">
        <v>6947</v>
      </c>
      <c r="B1916" s="7" t="s">
        <v>1943</v>
      </c>
      <c r="C1916" s="7" t="s">
        <v>2620</v>
      </c>
      <c r="D1916" s="7" t="n">
        <v>2320</v>
      </c>
      <c r="E1916" s="7" t="s">
        <v>50</v>
      </c>
      <c r="F1916" s="7" t="n">
        <v>-32.71822</v>
      </c>
      <c r="G1916" s="7" t="n">
        <v>151.528476</v>
      </c>
      <c r="H1916" s="7" t="s">
        <v>7145</v>
      </c>
    </row>
    <row r="1917" customFormat="false" ht="15" hidden="false" customHeight="false" outlineLevel="0" collapsed="false">
      <c r="A1917" s="7" t="s">
        <v>6947</v>
      </c>
      <c r="B1917" s="7" t="s">
        <v>7167</v>
      </c>
      <c r="C1917" s="7" t="s">
        <v>2621</v>
      </c>
      <c r="D1917" s="7" t="n">
        <v>2795</v>
      </c>
      <c r="E1917" s="7" t="s">
        <v>50</v>
      </c>
      <c r="F1917" s="7" t="n">
        <v>-33.417695</v>
      </c>
      <c r="G1917" s="7" t="n">
        <v>149.575089</v>
      </c>
      <c r="H1917" s="7" t="s">
        <v>7143</v>
      </c>
    </row>
    <row r="1918" customFormat="false" ht="15" hidden="false" customHeight="false" outlineLevel="0" collapsed="false">
      <c r="A1918" s="7" t="s">
        <v>6947</v>
      </c>
      <c r="B1918" s="7" t="s">
        <v>2622</v>
      </c>
      <c r="C1918" s="7" t="s">
        <v>2623</v>
      </c>
      <c r="D1918" s="7" t="n">
        <v>2350</v>
      </c>
      <c r="E1918" s="7" t="s">
        <v>50</v>
      </c>
      <c r="F1918" s="7" t="n">
        <v>-30.516911</v>
      </c>
      <c r="G1918" s="7" t="n">
        <v>151.668335</v>
      </c>
      <c r="H1918" s="7" t="s">
        <v>7089</v>
      </c>
    </row>
    <row r="1919" customFormat="false" ht="15" hidden="false" customHeight="false" outlineLevel="0" collapsed="false">
      <c r="A1919" s="7" t="s">
        <v>6947</v>
      </c>
      <c r="B1919" s="7" t="s">
        <v>2624</v>
      </c>
      <c r="C1919" s="7" t="s">
        <v>2625</v>
      </c>
      <c r="D1919" s="7" t="n">
        <v>2648</v>
      </c>
      <c r="E1919" s="7" t="s">
        <v>50</v>
      </c>
      <c r="F1919" s="7" t="n">
        <v>-34.109016</v>
      </c>
      <c r="G1919" s="7" t="n">
        <v>141.919391</v>
      </c>
      <c r="H1919" s="7" t="s">
        <v>6983</v>
      </c>
    </row>
    <row r="1920" customFormat="false" ht="15" hidden="false" customHeight="false" outlineLevel="0" collapsed="false">
      <c r="A1920" s="7" t="s">
        <v>6947</v>
      </c>
      <c r="B1920" s="7" t="s">
        <v>6962</v>
      </c>
      <c r="C1920" s="7" t="s">
        <v>2626</v>
      </c>
      <c r="D1920" s="7" t="n">
        <v>2481</v>
      </c>
      <c r="E1920" s="7" t="s">
        <v>50</v>
      </c>
      <c r="F1920" s="7" t="n">
        <v>-28.625908</v>
      </c>
      <c r="G1920" s="7" t="n">
        <v>153.586978</v>
      </c>
      <c r="H1920" s="7" t="s">
        <v>6980</v>
      </c>
    </row>
    <row r="1921" customFormat="false" ht="15" hidden="false" customHeight="false" outlineLevel="0" collapsed="false">
      <c r="A1921" s="7" t="s">
        <v>6947</v>
      </c>
      <c r="B1921" s="7" t="s">
        <v>2627</v>
      </c>
      <c r="C1921" s="7" t="s">
        <v>2628</v>
      </c>
      <c r="D1921" s="7" t="n">
        <v>2800</v>
      </c>
      <c r="E1921" s="7" t="s">
        <v>50</v>
      </c>
      <c r="F1921" s="7" t="n">
        <v>-33.295494</v>
      </c>
      <c r="G1921" s="7" t="n">
        <v>149.115836</v>
      </c>
      <c r="H1921" s="7" t="s">
        <v>7016</v>
      </c>
    </row>
    <row r="1922" customFormat="false" ht="15" hidden="false" customHeight="false" outlineLevel="0" collapsed="false">
      <c r="A1922" s="7" t="s">
        <v>6947</v>
      </c>
      <c r="B1922" s="7" t="s">
        <v>2629</v>
      </c>
      <c r="C1922" s="7" t="s">
        <v>2630</v>
      </c>
      <c r="D1922" s="7" t="n">
        <v>2350</v>
      </c>
      <c r="E1922" s="7" t="s">
        <v>50</v>
      </c>
      <c r="F1922" s="7" t="n">
        <v>-30.51676</v>
      </c>
      <c r="G1922" s="7" t="n">
        <v>151.663672</v>
      </c>
      <c r="H1922" s="7" t="s">
        <v>7028</v>
      </c>
    </row>
    <row r="1923" customFormat="false" ht="15" hidden="false" customHeight="false" outlineLevel="0" collapsed="false">
      <c r="A1923" s="7" t="s">
        <v>6947</v>
      </c>
      <c r="B1923" s="7" t="s">
        <v>6993</v>
      </c>
      <c r="C1923" s="7" t="s">
        <v>2631</v>
      </c>
      <c r="D1923" s="7" t="n">
        <v>2040</v>
      </c>
      <c r="E1923" s="7" t="s">
        <v>50</v>
      </c>
      <c r="F1923" s="7" t="n">
        <v>-33.883498</v>
      </c>
      <c r="G1923" s="7" t="n">
        <v>151.149764</v>
      </c>
      <c r="H1923" s="7" t="s">
        <v>6994</v>
      </c>
    </row>
    <row r="1924" customFormat="false" ht="15" hidden="false" customHeight="false" outlineLevel="0" collapsed="false">
      <c r="A1924" s="7" t="s">
        <v>6947</v>
      </c>
      <c r="B1924" s="7" t="s">
        <v>6993</v>
      </c>
      <c r="C1924" s="7" t="s">
        <v>2632</v>
      </c>
      <c r="D1924" s="7" t="n">
        <v>2021</v>
      </c>
      <c r="E1924" s="7" t="s">
        <v>50</v>
      </c>
      <c r="F1924" s="7" t="n">
        <v>-33.88205</v>
      </c>
      <c r="G1924" s="7" t="n">
        <v>151.225578</v>
      </c>
      <c r="H1924" s="7" t="s">
        <v>6994</v>
      </c>
    </row>
    <row r="1925" customFormat="false" ht="15" hidden="false" customHeight="false" outlineLevel="0" collapsed="false">
      <c r="A1925" s="7" t="s">
        <v>6947</v>
      </c>
      <c r="B1925" s="7" t="s">
        <v>2633</v>
      </c>
      <c r="C1925" s="7" t="s">
        <v>2634</v>
      </c>
      <c r="D1925" s="7" t="n">
        <v>2620</v>
      </c>
      <c r="E1925" s="7" t="s">
        <v>50</v>
      </c>
      <c r="F1925" s="7" t="n">
        <v>-35.344225</v>
      </c>
      <c r="G1925" s="7" t="n">
        <v>149.215531</v>
      </c>
      <c r="H1925" s="7" t="s">
        <v>6959</v>
      </c>
    </row>
    <row r="1926" customFormat="false" ht="15" hidden="false" customHeight="false" outlineLevel="0" collapsed="false">
      <c r="A1926" s="7" t="s">
        <v>6947</v>
      </c>
      <c r="B1926" s="7" t="s">
        <v>6993</v>
      </c>
      <c r="C1926" s="7" t="s">
        <v>2635</v>
      </c>
      <c r="D1926" s="7" t="n">
        <v>2033</v>
      </c>
      <c r="E1926" s="7" t="s">
        <v>50</v>
      </c>
      <c r="F1926" s="7" t="n">
        <v>-33.91931</v>
      </c>
      <c r="G1926" s="7" t="n">
        <v>151.225843</v>
      </c>
      <c r="H1926" s="7" t="s">
        <v>6994</v>
      </c>
    </row>
    <row r="1927" customFormat="false" ht="15" hidden="false" customHeight="false" outlineLevel="0" collapsed="false">
      <c r="A1927" s="7" t="s">
        <v>6947</v>
      </c>
      <c r="B1927" s="7" t="s">
        <v>6993</v>
      </c>
      <c r="C1927" s="7" t="s">
        <v>2636</v>
      </c>
      <c r="D1927" s="7" t="n">
        <v>2010</v>
      </c>
      <c r="E1927" s="7" t="s">
        <v>50</v>
      </c>
      <c r="F1927" s="7" t="n">
        <v>-33.878856</v>
      </c>
      <c r="G1927" s="7" t="n">
        <v>151.225141</v>
      </c>
      <c r="H1927" s="7" t="s">
        <v>6994</v>
      </c>
    </row>
    <row r="1928" customFormat="false" ht="15" hidden="false" customHeight="false" outlineLevel="0" collapsed="false">
      <c r="A1928" s="7" t="s">
        <v>6947</v>
      </c>
      <c r="B1928" s="7" t="s">
        <v>7122</v>
      </c>
      <c r="C1928" s="7" t="s">
        <v>2637</v>
      </c>
      <c r="D1928" s="7" t="n">
        <v>2031</v>
      </c>
      <c r="E1928" s="7" t="s">
        <v>50</v>
      </c>
      <c r="F1928" s="7" t="n">
        <v>-33.90812</v>
      </c>
      <c r="G1928" s="7" t="n">
        <v>151.234786</v>
      </c>
      <c r="H1928" s="7" t="s">
        <v>7117</v>
      </c>
    </row>
    <row r="1929" customFormat="false" ht="15" hidden="false" customHeight="false" outlineLevel="0" collapsed="false">
      <c r="A1929" s="7" t="s">
        <v>6947</v>
      </c>
      <c r="B1929" s="7" t="s">
        <v>7122</v>
      </c>
      <c r="C1929" s="7" t="s">
        <v>2638</v>
      </c>
      <c r="D1929" s="7" t="n">
        <v>2023</v>
      </c>
      <c r="E1929" s="7" t="s">
        <v>50</v>
      </c>
      <c r="F1929" s="7" t="n">
        <v>-33.878636</v>
      </c>
      <c r="G1929" s="7" t="n">
        <v>151.24656</v>
      </c>
      <c r="H1929" s="7" t="s">
        <v>7117</v>
      </c>
    </row>
    <row r="1930" customFormat="false" ht="15" hidden="false" customHeight="false" outlineLevel="0" collapsed="false">
      <c r="A1930" s="7" t="s">
        <v>6947</v>
      </c>
      <c r="B1930" s="7" t="s">
        <v>2639</v>
      </c>
      <c r="C1930" s="7" t="s">
        <v>2640</v>
      </c>
      <c r="D1930" s="7" t="n">
        <v>2800</v>
      </c>
      <c r="E1930" s="7" t="s">
        <v>50</v>
      </c>
      <c r="F1930" s="7" t="n">
        <v>-33.281735</v>
      </c>
      <c r="G1930" s="7" t="n">
        <v>149.103413</v>
      </c>
      <c r="H1930" s="7" t="s">
        <v>7139</v>
      </c>
    </row>
    <row r="1931" customFormat="false" ht="15" hidden="false" customHeight="false" outlineLevel="0" collapsed="false">
      <c r="A1931" s="7" t="s">
        <v>6947</v>
      </c>
      <c r="B1931" s="7" t="s">
        <v>7122</v>
      </c>
      <c r="C1931" s="7" t="s">
        <v>2641</v>
      </c>
      <c r="D1931" s="7" t="n">
        <v>2021</v>
      </c>
      <c r="E1931" s="7" t="s">
        <v>50</v>
      </c>
      <c r="F1931" s="7" t="n">
        <v>-33.886427</v>
      </c>
      <c r="G1931" s="7" t="n">
        <v>151.235113</v>
      </c>
      <c r="H1931" s="7" t="s">
        <v>7117</v>
      </c>
    </row>
    <row r="1932" customFormat="false" ht="15" hidden="false" customHeight="false" outlineLevel="0" collapsed="false">
      <c r="A1932" s="7" t="s">
        <v>6947</v>
      </c>
      <c r="B1932" s="7" t="s">
        <v>6964</v>
      </c>
      <c r="C1932" s="7" t="s">
        <v>2642</v>
      </c>
      <c r="D1932" s="7" t="n">
        <v>2536</v>
      </c>
      <c r="E1932" s="7" t="s">
        <v>50</v>
      </c>
      <c r="F1932" s="7" t="n">
        <v>-35.719693</v>
      </c>
      <c r="G1932" s="7" t="n">
        <v>150.189743</v>
      </c>
      <c r="H1932" s="7" t="s">
        <v>6997</v>
      </c>
    </row>
    <row r="1933" customFormat="false" ht="15" hidden="false" customHeight="false" outlineLevel="0" collapsed="false">
      <c r="A1933" s="7" t="s">
        <v>6947</v>
      </c>
      <c r="B1933" s="7" t="s">
        <v>2643</v>
      </c>
      <c r="C1933" s="7" t="s">
        <v>2644</v>
      </c>
      <c r="D1933" s="7" t="n">
        <v>2647</v>
      </c>
      <c r="E1933" s="7" t="s">
        <v>50</v>
      </c>
      <c r="F1933" s="7" t="n">
        <v>-35.995041</v>
      </c>
      <c r="G1933" s="7" t="n">
        <v>146.002096</v>
      </c>
      <c r="H1933" s="7" t="s">
        <v>7127</v>
      </c>
    </row>
    <row r="1934" customFormat="false" ht="15" hidden="false" customHeight="false" outlineLevel="0" collapsed="false">
      <c r="A1934" s="7" t="s">
        <v>6947</v>
      </c>
      <c r="B1934" s="7" t="s">
        <v>6962</v>
      </c>
      <c r="C1934" s="7" t="s">
        <v>2645</v>
      </c>
      <c r="D1934" s="7" t="n">
        <v>2026</v>
      </c>
      <c r="E1934" s="7" t="s">
        <v>50</v>
      </c>
      <c r="F1934" s="7" t="n">
        <v>-33.88954</v>
      </c>
      <c r="G1934" s="7" t="n">
        <v>151.274517</v>
      </c>
      <c r="H1934" s="7" t="s">
        <v>6969</v>
      </c>
    </row>
    <row r="1935" customFormat="false" ht="15" hidden="false" customHeight="false" outlineLevel="0" collapsed="false">
      <c r="A1935" s="7" t="s">
        <v>6947</v>
      </c>
      <c r="B1935" s="7" t="s">
        <v>6962</v>
      </c>
      <c r="C1935" s="7" t="s">
        <v>2646</v>
      </c>
      <c r="D1935" s="7" t="n">
        <v>2024</v>
      </c>
      <c r="E1935" s="7" t="s">
        <v>50</v>
      </c>
      <c r="F1935" s="7" t="n">
        <v>-33.897222</v>
      </c>
      <c r="G1935" s="7" t="n">
        <v>151.257219</v>
      </c>
      <c r="H1935" s="7" t="s">
        <v>6983</v>
      </c>
    </row>
    <row r="1936" customFormat="false" ht="15" hidden="false" customHeight="false" outlineLevel="0" collapsed="false">
      <c r="A1936" s="7" t="s">
        <v>6947</v>
      </c>
      <c r="B1936" s="7" t="s">
        <v>6993</v>
      </c>
      <c r="C1936" s="7" t="s">
        <v>2647</v>
      </c>
      <c r="D1936" s="7" t="n">
        <v>2131</v>
      </c>
      <c r="E1936" s="7" t="s">
        <v>50</v>
      </c>
      <c r="F1936" s="7" t="n">
        <v>-33.886887</v>
      </c>
      <c r="G1936" s="7" t="n">
        <v>151.125634</v>
      </c>
      <c r="H1936" s="7" t="s">
        <v>6994</v>
      </c>
    </row>
    <row r="1937" customFormat="false" ht="15" hidden="false" customHeight="false" outlineLevel="0" collapsed="false">
      <c r="A1937" s="7" t="s">
        <v>6947</v>
      </c>
      <c r="B1937" s="7" t="s">
        <v>7122</v>
      </c>
      <c r="C1937" s="7" t="s">
        <v>2648</v>
      </c>
      <c r="D1937" s="7" t="n">
        <v>2021</v>
      </c>
      <c r="E1937" s="7" t="s">
        <v>50</v>
      </c>
      <c r="F1937" s="7" t="n">
        <v>-33.882559</v>
      </c>
      <c r="G1937" s="7" t="n">
        <v>151.229031</v>
      </c>
      <c r="H1937" s="7" t="s">
        <v>7117</v>
      </c>
    </row>
    <row r="1938" customFormat="false" ht="15" hidden="false" customHeight="false" outlineLevel="0" collapsed="false">
      <c r="A1938" s="7" t="s">
        <v>6947</v>
      </c>
      <c r="B1938" s="7" t="s">
        <v>7122</v>
      </c>
      <c r="C1938" s="7" t="s">
        <v>2649</v>
      </c>
      <c r="D1938" s="7" t="n">
        <v>2026</v>
      </c>
      <c r="E1938" s="7" t="s">
        <v>50</v>
      </c>
      <c r="F1938" s="7" t="n">
        <v>-33.89672</v>
      </c>
      <c r="G1938" s="7" t="n">
        <v>151.269609</v>
      </c>
      <c r="H1938" s="7" t="s">
        <v>7117</v>
      </c>
    </row>
    <row r="1939" customFormat="false" ht="15" hidden="false" customHeight="false" outlineLevel="0" collapsed="false">
      <c r="A1939" s="7" t="s">
        <v>6947</v>
      </c>
      <c r="B1939" s="7" t="s">
        <v>7122</v>
      </c>
      <c r="C1939" s="7" t="s">
        <v>2650</v>
      </c>
      <c r="D1939" s="7" t="n">
        <v>2130</v>
      </c>
      <c r="E1939" s="7" t="s">
        <v>50</v>
      </c>
      <c r="F1939" s="7" t="n">
        <v>-33.888803</v>
      </c>
      <c r="G1939" s="7" t="n">
        <v>151.137912</v>
      </c>
      <c r="H1939" s="7" t="s">
        <v>7117</v>
      </c>
    </row>
    <row r="1940" customFormat="false" ht="15" hidden="false" customHeight="false" outlineLevel="0" collapsed="false">
      <c r="A1940" s="7" t="s">
        <v>6947</v>
      </c>
      <c r="B1940" s="7" t="s">
        <v>7035</v>
      </c>
      <c r="C1940" s="7" t="s">
        <v>2651</v>
      </c>
      <c r="D1940" s="7" t="n">
        <v>2203</v>
      </c>
      <c r="E1940" s="7" t="s">
        <v>50</v>
      </c>
      <c r="F1940" s="7" t="n">
        <v>-33.907162</v>
      </c>
      <c r="G1940" s="7" t="n">
        <v>151.135791</v>
      </c>
      <c r="H1940" s="7" t="s">
        <v>7036</v>
      </c>
    </row>
    <row r="1941" customFormat="false" ht="15" hidden="false" customHeight="false" outlineLevel="0" collapsed="false">
      <c r="A1941" s="7" t="s">
        <v>6947</v>
      </c>
      <c r="B1941" s="7" t="s">
        <v>7122</v>
      </c>
      <c r="C1941" s="7" t="s">
        <v>2652</v>
      </c>
      <c r="D1941" s="7" t="n">
        <v>2042</v>
      </c>
      <c r="E1941" s="7" t="s">
        <v>50</v>
      </c>
      <c r="F1941" s="7" t="n">
        <v>-33.894734</v>
      </c>
      <c r="G1941" s="7" t="n">
        <v>151.177793</v>
      </c>
      <c r="H1941" s="7" t="s">
        <v>7117</v>
      </c>
    </row>
    <row r="1942" customFormat="false" ht="15" hidden="false" customHeight="false" outlineLevel="0" collapsed="false">
      <c r="A1942" s="7" t="s">
        <v>6947</v>
      </c>
      <c r="B1942" s="7" t="s">
        <v>2653</v>
      </c>
      <c r="C1942" s="7" t="s">
        <v>2654</v>
      </c>
      <c r="D1942" s="7" t="n">
        <v>2454</v>
      </c>
      <c r="E1942" s="7" t="s">
        <v>50</v>
      </c>
      <c r="F1942" s="7" t="n">
        <v>-30.530304</v>
      </c>
      <c r="G1942" s="7" t="n">
        <v>152.869309</v>
      </c>
      <c r="H1942" s="7" t="s">
        <v>6991</v>
      </c>
    </row>
    <row r="1943" customFormat="false" ht="15" hidden="false" customHeight="false" outlineLevel="0" collapsed="false">
      <c r="A1943" s="7" t="s">
        <v>6947</v>
      </c>
      <c r="B1943" s="7" t="s">
        <v>2655</v>
      </c>
      <c r="C1943" s="7" t="s">
        <v>2656</v>
      </c>
      <c r="D1943" s="7" t="n">
        <v>2320</v>
      </c>
      <c r="E1943" s="7" t="s">
        <v>50</v>
      </c>
      <c r="F1943" s="7" t="n">
        <v>-32.760447</v>
      </c>
      <c r="G1943" s="7" t="n">
        <v>151.25287</v>
      </c>
      <c r="H1943" s="7" t="s">
        <v>7022</v>
      </c>
    </row>
    <row r="1944" customFormat="false" ht="15" hidden="false" customHeight="false" outlineLevel="0" collapsed="false">
      <c r="A1944" s="7" t="s">
        <v>6947</v>
      </c>
      <c r="B1944" s="7" t="s">
        <v>6958</v>
      </c>
      <c r="C1944" s="7" t="s">
        <v>2657</v>
      </c>
      <c r="D1944" s="7" t="n">
        <v>2470</v>
      </c>
      <c r="E1944" s="7" t="s">
        <v>50</v>
      </c>
      <c r="F1944" s="7" t="n">
        <v>-28.862848</v>
      </c>
      <c r="G1944" s="7" t="n">
        <v>153.049044</v>
      </c>
      <c r="H1944" s="7" t="s">
        <v>6959</v>
      </c>
    </row>
    <row r="1945" customFormat="false" ht="15" hidden="false" customHeight="false" outlineLevel="0" collapsed="false">
      <c r="A1945" s="7" t="s">
        <v>6947</v>
      </c>
      <c r="B1945" s="7" t="s">
        <v>6964</v>
      </c>
      <c r="C1945" s="7" t="s">
        <v>2658</v>
      </c>
      <c r="D1945" s="7" t="n">
        <v>2372</v>
      </c>
      <c r="E1945" s="7" t="s">
        <v>50</v>
      </c>
      <c r="F1945" s="7" t="n">
        <v>-29.056524</v>
      </c>
      <c r="G1945" s="7" t="n">
        <v>152.018188</v>
      </c>
      <c r="H1945" s="7" t="s">
        <v>6972</v>
      </c>
    </row>
    <row r="1946" customFormat="false" ht="15" hidden="false" customHeight="false" outlineLevel="0" collapsed="false">
      <c r="A1946" s="7" t="s">
        <v>6947</v>
      </c>
      <c r="B1946" s="7" t="s">
        <v>7122</v>
      </c>
      <c r="C1946" s="7" t="s">
        <v>2659</v>
      </c>
      <c r="D1946" s="7" t="n">
        <v>2021</v>
      </c>
      <c r="E1946" s="7" t="s">
        <v>50</v>
      </c>
      <c r="F1946" s="7" t="n">
        <v>-33.886589</v>
      </c>
      <c r="G1946" s="7" t="n">
        <v>151.235361</v>
      </c>
      <c r="H1946" s="7" t="s">
        <v>7117</v>
      </c>
    </row>
    <row r="1947" customFormat="false" ht="15" hidden="false" customHeight="false" outlineLevel="0" collapsed="false">
      <c r="A1947" s="7" t="s">
        <v>6947</v>
      </c>
      <c r="B1947" s="7" t="s">
        <v>7122</v>
      </c>
      <c r="C1947" s="7" t="s">
        <v>2660</v>
      </c>
      <c r="D1947" s="7" t="n">
        <v>2041</v>
      </c>
      <c r="E1947" s="7" t="s">
        <v>50</v>
      </c>
      <c r="F1947" s="7" t="n">
        <v>-33.858364</v>
      </c>
      <c r="G1947" s="7" t="n">
        <v>151.18752</v>
      </c>
      <c r="H1947" s="7" t="s">
        <v>7117</v>
      </c>
    </row>
    <row r="1948" customFormat="false" ht="15" hidden="false" customHeight="false" outlineLevel="0" collapsed="false">
      <c r="A1948" s="7" t="s">
        <v>6947</v>
      </c>
      <c r="B1948" s="7" t="s">
        <v>2661</v>
      </c>
      <c r="C1948" s="7" t="s">
        <v>2662</v>
      </c>
      <c r="D1948" s="7" t="n">
        <v>2540</v>
      </c>
      <c r="E1948" s="7" t="s">
        <v>50</v>
      </c>
      <c r="F1948" s="7" t="n">
        <v>-35.153349</v>
      </c>
      <c r="G1948" s="7" t="n">
        <v>150.596487</v>
      </c>
      <c r="H1948" s="7" t="s">
        <v>6981</v>
      </c>
    </row>
    <row r="1949" customFormat="false" ht="15" hidden="false" customHeight="false" outlineLevel="0" collapsed="false">
      <c r="A1949" s="7" t="s">
        <v>6947</v>
      </c>
      <c r="B1949" s="7" t="s">
        <v>1325</v>
      </c>
      <c r="C1949" s="7" t="s">
        <v>2663</v>
      </c>
      <c r="D1949" s="7" t="n">
        <v>2289</v>
      </c>
      <c r="E1949" s="7" t="s">
        <v>50</v>
      </c>
      <c r="F1949" s="7" t="n">
        <v>-32.931578</v>
      </c>
      <c r="G1949" s="7" t="n">
        <v>151.727608</v>
      </c>
      <c r="H1949" s="7" t="s">
        <v>7150</v>
      </c>
    </row>
    <row r="1950" customFormat="false" ht="15" hidden="false" customHeight="false" outlineLevel="0" collapsed="false">
      <c r="A1950" s="7" t="s">
        <v>6947</v>
      </c>
      <c r="B1950" s="7" t="s">
        <v>7122</v>
      </c>
      <c r="C1950" s="7" t="s">
        <v>2664</v>
      </c>
      <c r="D1950" s="7" t="n">
        <v>2023</v>
      </c>
      <c r="E1950" s="7" t="s">
        <v>50</v>
      </c>
      <c r="F1950" s="7" t="n">
        <v>-33.888282</v>
      </c>
      <c r="G1950" s="7" t="n">
        <v>151.258716</v>
      </c>
      <c r="H1950" s="7" t="s">
        <v>7117</v>
      </c>
    </row>
    <row r="1951" customFormat="false" ht="15" hidden="false" customHeight="false" outlineLevel="0" collapsed="false">
      <c r="A1951" s="7" t="s">
        <v>6947</v>
      </c>
      <c r="B1951" s="7" t="s">
        <v>2665</v>
      </c>
      <c r="C1951" s="7" t="s">
        <v>2666</v>
      </c>
      <c r="D1951" s="7" t="n">
        <v>2464</v>
      </c>
      <c r="E1951" s="7" t="s">
        <v>50</v>
      </c>
      <c r="F1951" s="7" t="n">
        <v>-29.450278</v>
      </c>
      <c r="G1951" s="7" t="n">
        <v>153.352423</v>
      </c>
      <c r="H1951" s="7" t="s">
        <v>6981</v>
      </c>
    </row>
    <row r="1952" customFormat="false" ht="15" hidden="false" customHeight="false" outlineLevel="0" collapsed="false">
      <c r="A1952" s="7" t="s">
        <v>6947</v>
      </c>
      <c r="B1952" s="7" t="s">
        <v>6993</v>
      </c>
      <c r="C1952" s="7" t="s">
        <v>2667</v>
      </c>
      <c r="D1952" s="7" t="n">
        <v>2015</v>
      </c>
      <c r="E1952" s="7" t="s">
        <v>50</v>
      </c>
      <c r="F1952" s="7" t="n">
        <v>-33.900053</v>
      </c>
      <c r="G1952" s="7" t="n">
        <v>151.199688</v>
      </c>
      <c r="H1952" s="7" t="s">
        <v>6994</v>
      </c>
    </row>
    <row r="1953" customFormat="false" ht="15" hidden="false" customHeight="false" outlineLevel="0" collapsed="false">
      <c r="A1953" s="7" t="s">
        <v>6947</v>
      </c>
      <c r="B1953" s="7" t="s">
        <v>7122</v>
      </c>
      <c r="C1953" s="7" t="s">
        <v>2668</v>
      </c>
      <c r="D1953" s="7" t="n">
        <v>2031</v>
      </c>
      <c r="E1953" s="7" t="s">
        <v>50</v>
      </c>
      <c r="F1953" s="7" t="n">
        <v>-33.903155</v>
      </c>
      <c r="G1953" s="7" t="n">
        <v>151.245679</v>
      </c>
      <c r="H1953" s="7" t="s">
        <v>7117</v>
      </c>
    </row>
    <row r="1954" customFormat="false" ht="15" hidden="false" customHeight="false" outlineLevel="0" collapsed="false">
      <c r="A1954" s="7" t="s">
        <v>6947</v>
      </c>
      <c r="B1954" s="7" t="s">
        <v>7122</v>
      </c>
      <c r="C1954" s="7" t="s">
        <v>2669</v>
      </c>
      <c r="D1954" s="7" t="n">
        <v>2034</v>
      </c>
      <c r="E1954" s="7" t="s">
        <v>50</v>
      </c>
      <c r="F1954" s="7" t="n">
        <v>-33.92449</v>
      </c>
      <c r="G1954" s="7" t="n">
        <v>151.256964</v>
      </c>
      <c r="H1954" s="7" t="s">
        <v>7117</v>
      </c>
    </row>
    <row r="1955" customFormat="false" ht="15" hidden="false" customHeight="false" outlineLevel="0" collapsed="false">
      <c r="A1955" s="7" t="s">
        <v>6947</v>
      </c>
      <c r="B1955" s="7" t="s">
        <v>7122</v>
      </c>
      <c r="C1955" s="7" t="s">
        <v>2670</v>
      </c>
      <c r="D1955" s="7" t="n">
        <v>2203</v>
      </c>
      <c r="E1955" s="7" t="s">
        <v>50</v>
      </c>
      <c r="F1955" s="7" t="n">
        <v>-33.902552</v>
      </c>
      <c r="G1955" s="7" t="n">
        <v>151.140843</v>
      </c>
      <c r="H1955" s="7" t="s">
        <v>7117</v>
      </c>
    </row>
    <row r="1956" customFormat="false" ht="15" hidden="false" customHeight="false" outlineLevel="0" collapsed="false">
      <c r="A1956" s="7" t="s">
        <v>6947</v>
      </c>
      <c r="B1956" s="7" t="s">
        <v>6993</v>
      </c>
      <c r="C1956" s="7" t="s">
        <v>2671</v>
      </c>
      <c r="D1956" s="7" t="n">
        <v>2026</v>
      </c>
      <c r="E1956" s="7" t="s">
        <v>50</v>
      </c>
      <c r="F1956" s="7" t="n">
        <v>-33.891058</v>
      </c>
      <c r="G1956" s="7" t="n">
        <v>151.258787</v>
      </c>
      <c r="H1956" s="7" t="s">
        <v>6994</v>
      </c>
    </row>
    <row r="1957" customFormat="false" ht="15" hidden="false" customHeight="false" outlineLevel="0" collapsed="false">
      <c r="A1957" s="7" t="s">
        <v>6947</v>
      </c>
      <c r="B1957" s="7" t="s">
        <v>7122</v>
      </c>
      <c r="C1957" s="7" t="s">
        <v>2672</v>
      </c>
      <c r="D1957" s="7" t="n">
        <v>2203</v>
      </c>
      <c r="E1957" s="7" t="s">
        <v>50</v>
      </c>
      <c r="F1957" s="7" t="n">
        <v>-33.901739</v>
      </c>
      <c r="G1957" s="7" t="n">
        <v>151.139465</v>
      </c>
      <c r="H1957" s="7" t="s">
        <v>7117</v>
      </c>
    </row>
    <row r="1958" customFormat="false" ht="15" hidden="false" customHeight="false" outlineLevel="0" collapsed="false">
      <c r="A1958" s="7" t="s">
        <v>6947</v>
      </c>
      <c r="B1958" s="7" t="s">
        <v>7122</v>
      </c>
      <c r="C1958" s="7" t="s">
        <v>2673</v>
      </c>
      <c r="D1958" s="7" t="n">
        <v>2035</v>
      </c>
      <c r="E1958" s="7" t="s">
        <v>50</v>
      </c>
      <c r="F1958" s="7" t="n">
        <v>-33.945104</v>
      </c>
      <c r="G1958" s="7" t="n">
        <v>151.256166</v>
      </c>
      <c r="H1958" s="7" t="s">
        <v>7117</v>
      </c>
    </row>
    <row r="1959" customFormat="false" ht="15" hidden="false" customHeight="false" outlineLevel="0" collapsed="false">
      <c r="A1959" s="7" t="s">
        <v>6947</v>
      </c>
      <c r="B1959" s="7" t="s">
        <v>2674</v>
      </c>
      <c r="C1959" s="7" t="s">
        <v>2675</v>
      </c>
      <c r="D1959" s="7" t="n">
        <v>2478</v>
      </c>
      <c r="E1959" s="7" t="s">
        <v>50</v>
      </c>
      <c r="F1959" s="7" t="n">
        <v>-28.862874</v>
      </c>
      <c r="G1959" s="7" t="n">
        <v>153.566216</v>
      </c>
      <c r="H1959" s="7" t="s">
        <v>6979</v>
      </c>
    </row>
    <row r="1960" customFormat="false" ht="15" hidden="false" customHeight="false" outlineLevel="0" collapsed="false">
      <c r="A1960" s="7" t="s">
        <v>7168</v>
      </c>
      <c r="B1960" s="7" t="s">
        <v>2689</v>
      </c>
      <c r="C1960" s="7" t="s">
        <v>2692</v>
      </c>
      <c r="D1960" s="7" t="n">
        <v>2046</v>
      </c>
      <c r="E1960" s="7" t="s">
        <v>50</v>
      </c>
      <c r="F1960" s="7" t="n">
        <v>-33.84367442</v>
      </c>
      <c r="G1960" s="7" t="n">
        <v>151.1281726</v>
      </c>
      <c r="H1960" s="7" t="s">
        <v>2693</v>
      </c>
    </row>
    <row r="1961" customFormat="false" ht="15" hidden="false" customHeight="false" outlineLevel="0" collapsed="false">
      <c r="A1961" s="7" t="s">
        <v>7168</v>
      </c>
      <c r="B1961" s="7" t="s">
        <v>2696</v>
      </c>
      <c r="C1961" s="7" t="s">
        <v>2699</v>
      </c>
      <c r="D1961" s="7" t="n">
        <v>2336</v>
      </c>
      <c r="E1961" s="7" t="s">
        <v>50</v>
      </c>
      <c r="F1961" s="7" t="n">
        <v>-32.16710358</v>
      </c>
      <c r="G1961" s="7" t="n">
        <v>150.8920522</v>
      </c>
      <c r="H1961" s="7" t="s">
        <v>2700</v>
      </c>
    </row>
    <row r="1962" customFormat="false" ht="15" hidden="false" customHeight="false" outlineLevel="0" collapsed="false">
      <c r="A1962" s="7" t="s">
        <v>7168</v>
      </c>
      <c r="B1962" s="7" t="s">
        <v>2706</v>
      </c>
      <c r="C1962" s="7" t="s">
        <v>2709</v>
      </c>
      <c r="D1962" s="7" t="n">
        <v>2289</v>
      </c>
      <c r="E1962" s="7" t="s">
        <v>50</v>
      </c>
      <c r="F1962" s="7" t="n">
        <v>-32.93372988</v>
      </c>
      <c r="G1962" s="7" t="n">
        <v>151.7200807</v>
      </c>
      <c r="H1962" s="7" t="s">
        <v>2710</v>
      </c>
    </row>
    <row r="1963" customFormat="false" ht="15" hidden="false" customHeight="false" outlineLevel="0" collapsed="false">
      <c r="A1963" s="7" t="s">
        <v>7168</v>
      </c>
      <c r="B1963" s="7" t="s">
        <v>2714</v>
      </c>
      <c r="C1963" s="7" t="s">
        <v>2717</v>
      </c>
      <c r="D1963" s="7" t="n">
        <v>5000</v>
      </c>
      <c r="E1963" s="7" t="s">
        <v>50</v>
      </c>
      <c r="F1963" s="7" t="n">
        <v>-34.92748</v>
      </c>
      <c r="G1963" s="7" t="n">
        <v>138.595501</v>
      </c>
      <c r="H1963" s="7" t="s">
        <v>2718</v>
      </c>
    </row>
    <row r="1964" customFormat="false" ht="15" hidden="false" customHeight="false" outlineLevel="0" collapsed="false">
      <c r="A1964" s="7" t="s">
        <v>7168</v>
      </c>
      <c r="B1964" s="7" t="s">
        <v>2720</v>
      </c>
      <c r="C1964" s="7" t="s">
        <v>2723</v>
      </c>
      <c r="D1964" s="7" t="n">
        <v>2729</v>
      </c>
      <c r="E1964" s="7" t="s">
        <v>50</v>
      </c>
      <c r="F1964" s="7" t="n">
        <v>-35.308251</v>
      </c>
      <c r="G1964" s="7" t="n">
        <v>148.063498</v>
      </c>
      <c r="H1964" s="7" t="s">
        <v>2718</v>
      </c>
    </row>
    <row r="1965" customFormat="false" ht="15" hidden="false" customHeight="false" outlineLevel="0" collapsed="false">
      <c r="A1965" s="7" t="s">
        <v>7168</v>
      </c>
      <c r="B1965" s="7" t="s">
        <v>2724</v>
      </c>
      <c r="C1965" s="7" t="s">
        <v>2727</v>
      </c>
      <c r="D1965" s="7" t="n">
        <v>2527</v>
      </c>
      <c r="E1965" s="7" t="s">
        <v>50</v>
      </c>
      <c r="F1965" s="7" t="n">
        <v>-34.56264671</v>
      </c>
      <c r="G1965" s="7" t="n">
        <v>150.7984997</v>
      </c>
      <c r="H1965" s="7" t="s">
        <v>2710</v>
      </c>
    </row>
    <row r="1966" customFormat="false" ht="15" hidden="false" customHeight="false" outlineLevel="0" collapsed="false">
      <c r="A1966" s="7" t="s">
        <v>7168</v>
      </c>
      <c r="B1966" s="7" t="s">
        <v>2731</v>
      </c>
      <c r="C1966" s="7" t="s">
        <v>2734</v>
      </c>
      <c r="D1966" s="7" t="n">
        <v>2640</v>
      </c>
      <c r="E1966" s="7" t="s">
        <v>50</v>
      </c>
      <c r="F1966" s="7" t="n">
        <v>-36.084068</v>
      </c>
      <c r="G1966" s="7" t="n">
        <v>146.924691</v>
      </c>
      <c r="H1966" s="7" t="s">
        <v>2735</v>
      </c>
    </row>
    <row r="1967" customFormat="false" ht="15" hidden="false" customHeight="false" outlineLevel="0" collapsed="false">
      <c r="A1967" s="7" t="s">
        <v>7168</v>
      </c>
      <c r="B1967" s="7" t="s">
        <v>2738</v>
      </c>
      <c r="C1967" s="7" t="s">
        <v>2741</v>
      </c>
      <c r="D1967" s="7" t="n">
        <v>2870</v>
      </c>
      <c r="E1967" s="7" t="s">
        <v>50</v>
      </c>
      <c r="F1967" s="7" t="n">
        <v>-32.933121</v>
      </c>
      <c r="G1967" s="7" t="n">
        <v>148.240234</v>
      </c>
      <c r="H1967" s="7" t="s">
        <v>2718</v>
      </c>
    </row>
    <row r="1968" customFormat="false" ht="15" hidden="false" customHeight="false" outlineLevel="0" collapsed="false">
      <c r="A1968" s="7" t="s">
        <v>7168</v>
      </c>
      <c r="B1968" s="7" t="s">
        <v>2742</v>
      </c>
      <c r="C1968" s="7" t="s">
        <v>2745</v>
      </c>
      <c r="D1968" s="7" t="n">
        <v>2218</v>
      </c>
      <c r="E1968" s="7" t="s">
        <v>50</v>
      </c>
      <c r="F1968" s="7" t="n">
        <v>-33.96958391</v>
      </c>
      <c r="G1968" s="7" t="n">
        <v>151.11433</v>
      </c>
      <c r="H1968" s="7" t="s">
        <v>2710</v>
      </c>
    </row>
    <row r="1969" customFormat="false" ht="15" hidden="false" customHeight="false" outlineLevel="0" collapsed="false">
      <c r="A1969" s="7" t="s">
        <v>7168</v>
      </c>
      <c r="B1969" s="7" t="s">
        <v>2749</v>
      </c>
      <c r="C1969" s="7" t="s">
        <v>2752</v>
      </c>
      <c r="D1969" s="7" t="n">
        <v>2425</v>
      </c>
      <c r="E1969" s="7" t="s">
        <v>50</v>
      </c>
      <c r="F1969" s="7" t="n">
        <v>-32.531345</v>
      </c>
      <c r="G1969" s="7" t="n">
        <v>151.944198</v>
      </c>
      <c r="H1969" s="7" t="s">
        <v>2718</v>
      </c>
    </row>
    <row r="1970" customFormat="false" ht="15" hidden="false" customHeight="false" outlineLevel="0" collapsed="false">
      <c r="A1970" s="7" t="s">
        <v>7168</v>
      </c>
      <c r="B1970" s="7" t="s">
        <v>2753</v>
      </c>
      <c r="C1970" s="7" t="s">
        <v>2756</v>
      </c>
      <c r="D1970" s="7" t="n">
        <v>2477</v>
      </c>
      <c r="E1970" s="7" t="s">
        <v>50</v>
      </c>
      <c r="F1970" s="7" t="n">
        <v>-28.8418</v>
      </c>
      <c r="G1970" s="7" t="n">
        <v>153.44001</v>
      </c>
      <c r="H1970" s="7" t="s">
        <v>2718</v>
      </c>
    </row>
    <row r="1971" customFormat="false" ht="15" hidden="false" customHeight="false" outlineLevel="0" collapsed="false">
      <c r="A1971" s="7" t="s">
        <v>7168</v>
      </c>
      <c r="B1971" s="7" t="s">
        <v>2757</v>
      </c>
      <c r="C1971" s="7" t="s">
        <v>2760</v>
      </c>
      <c r="D1971" s="7" t="n">
        <v>2665</v>
      </c>
      <c r="E1971" s="7" t="s">
        <v>50</v>
      </c>
      <c r="F1971" s="7" t="n">
        <v>-34.357807</v>
      </c>
      <c r="G1971" s="7" t="n">
        <v>146.902563</v>
      </c>
      <c r="H1971" s="7" t="s">
        <v>2718</v>
      </c>
    </row>
    <row r="1972" customFormat="false" ht="15" hidden="false" customHeight="false" outlineLevel="0" collapsed="false">
      <c r="A1972" s="7" t="s">
        <v>7168</v>
      </c>
      <c r="B1972" s="7" t="s">
        <v>2761</v>
      </c>
      <c r="C1972" s="7" t="s">
        <v>2764</v>
      </c>
      <c r="D1972" s="7" t="n">
        <v>2665</v>
      </c>
      <c r="E1972" s="7" t="s">
        <v>50</v>
      </c>
      <c r="F1972" s="7" t="n">
        <v>-34.347706</v>
      </c>
      <c r="G1972" s="7" t="n">
        <v>147.221084</v>
      </c>
      <c r="H1972" s="7" t="s">
        <v>2718</v>
      </c>
    </row>
    <row r="1973" customFormat="false" ht="15" hidden="false" customHeight="false" outlineLevel="0" collapsed="false">
      <c r="A1973" s="7" t="s">
        <v>7168</v>
      </c>
      <c r="B1973" s="7" t="s">
        <v>2765</v>
      </c>
      <c r="C1973" s="7" t="s">
        <v>2768</v>
      </c>
      <c r="D1973" s="7" t="n">
        <v>2203</v>
      </c>
      <c r="E1973" s="7" t="s">
        <v>50</v>
      </c>
      <c r="F1973" s="7" t="n">
        <v>-33.90184127</v>
      </c>
      <c r="G1973" s="7" t="n">
        <v>151.1380613</v>
      </c>
      <c r="H1973" s="7" t="s">
        <v>2769</v>
      </c>
    </row>
    <row r="1974" customFormat="false" ht="15" hidden="false" customHeight="false" outlineLevel="0" collapsed="false">
      <c r="A1974" s="7" t="s">
        <v>7168</v>
      </c>
      <c r="B1974" s="7" t="s">
        <v>2773</v>
      </c>
      <c r="C1974" s="7" t="s">
        <v>2776</v>
      </c>
      <c r="D1974" s="7" t="n">
        <v>2350</v>
      </c>
      <c r="E1974" s="7" t="s">
        <v>50</v>
      </c>
      <c r="F1974" s="7" t="n">
        <v>-30.515373</v>
      </c>
      <c r="G1974" s="7" t="n">
        <v>151.651753</v>
      </c>
      <c r="H1974" s="7" t="s">
        <v>2735</v>
      </c>
    </row>
    <row r="1975" customFormat="false" ht="15" hidden="false" customHeight="false" outlineLevel="0" collapsed="false">
      <c r="A1975" s="7" t="s">
        <v>7168</v>
      </c>
      <c r="B1975" s="7" t="s">
        <v>2778</v>
      </c>
      <c r="C1975" s="7" t="s">
        <v>2781</v>
      </c>
      <c r="D1975" s="7" t="n">
        <v>2350</v>
      </c>
      <c r="E1975" s="7" t="s">
        <v>50</v>
      </c>
      <c r="F1975" s="7" t="n">
        <v>-30.513408</v>
      </c>
      <c r="G1975" s="7" t="n">
        <v>151.667149</v>
      </c>
      <c r="H1975" s="7" t="s">
        <v>2718</v>
      </c>
    </row>
    <row r="1976" customFormat="false" ht="15" hidden="false" customHeight="false" outlineLevel="0" collapsed="false">
      <c r="A1976" s="7" t="s">
        <v>7168</v>
      </c>
      <c r="B1976" s="7" t="s">
        <v>2782</v>
      </c>
      <c r="C1976" s="7" t="s">
        <v>2785</v>
      </c>
      <c r="D1976" s="7" t="n">
        <v>2205</v>
      </c>
      <c r="E1976" s="7" t="s">
        <v>50</v>
      </c>
      <c r="F1976" s="7" t="n">
        <v>-33.93645619</v>
      </c>
      <c r="G1976" s="7" t="n">
        <v>151.1472995</v>
      </c>
      <c r="H1976" s="7" t="s">
        <v>2786</v>
      </c>
    </row>
    <row r="1977" customFormat="false" ht="15" hidden="false" customHeight="false" outlineLevel="0" collapsed="false">
      <c r="A1977" s="7" t="s">
        <v>7168</v>
      </c>
      <c r="B1977" s="7" t="s">
        <v>2789</v>
      </c>
      <c r="C1977" s="7" t="s">
        <v>2792</v>
      </c>
      <c r="D1977" s="7" t="n">
        <v>2064</v>
      </c>
      <c r="E1977" s="7" t="s">
        <v>50</v>
      </c>
      <c r="F1977" s="7" t="n">
        <v>-33.80890264</v>
      </c>
      <c r="G1977" s="7" t="n">
        <v>151.1852939</v>
      </c>
      <c r="H1977" s="7" t="s">
        <v>2793</v>
      </c>
    </row>
    <row r="1978" customFormat="false" ht="15" hidden="false" customHeight="false" outlineLevel="0" collapsed="false">
      <c r="A1978" s="7" t="s">
        <v>7168</v>
      </c>
      <c r="B1978" s="7" t="s">
        <v>2796</v>
      </c>
      <c r="C1978" s="7" t="s">
        <v>2799</v>
      </c>
      <c r="D1978" s="7" t="n">
        <v>2131</v>
      </c>
      <c r="E1978" s="7" t="s">
        <v>50</v>
      </c>
      <c r="F1978" s="7" t="n">
        <v>-33.88755061</v>
      </c>
      <c r="G1978" s="7" t="n">
        <v>151.1255042</v>
      </c>
      <c r="H1978" s="7" t="s">
        <v>2786</v>
      </c>
    </row>
    <row r="1979" customFormat="false" ht="15" hidden="false" customHeight="false" outlineLevel="0" collapsed="false">
      <c r="A1979" s="7" t="s">
        <v>7168</v>
      </c>
      <c r="B1979" s="7" t="s">
        <v>2802</v>
      </c>
      <c r="C1979" s="7" t="s">
        <v>2805</v>
      </c>
      <c r="D1979" s="7" t="n">
        <v>2077</v>
      </c>
      <c r="E1979" s="7" t="s">
        <v>50</v>
      </c>
      <c r="F1979" s="7" t="n">
        <v>-33.68876996</v>
      </c>
      <c r="G1979" s="7" t="n">
        <v>151.1080252</v>
      </c>
      <c r="H1979" s="7" t="s">
        <v>2806</v>
      </c>
    </row>
    <row r="1980" customFormat="false" ht="15" hidden="false" customHeight="false" outlineLevel="0" collapsed="false">
      <c r="A1980" s="7" t="s">
        <v>7168</v>
      </c>
      <c r="B1980" s="7" t="s">
        <v>2810</v>
      </c>
      <c r="C1980" s="7" t="s">
        <v>2813</v>
      </c>
      <c r="D1980" s="7" t="n">
        <v>2345</v>
      </c>
      <c r="E1980" s="7" t="s">
        <v>50</v>
      </c>
      <c r="F1980" s="7" t="n">
        <v>-30.92869</v>
      </c>
      <c r="G1980" s="7" t="n">
        <v>150.845836</v>
      </c>
      <c r="H1980" s="7" t="s">
        <v>2718</v>
      </c>
    </row>
    <row r="1981" customFormat="false" ht="15" hidden="false" customHeight="false" outlineLevel="0" collapsed="false">
      <c r="A1981" s="7" t="s">
        <v>7168</v>
      </c>
      <c r="B1981" s="7" t="s">
        <v>2814</v>
      </c>
      <c r="C1981" s="7" t="s">
        <v>2817</v>
      </c>
      <c r="D1981" s="7" t="n">
        <v>2144</v>
      </c>
      <c r="E1981" s="7" t="s">
        <v>50</v>
      </c>
      <c r="F1981" s="7" t="n">
        <v>-33.8492696</v>
      </c>
      <c r="G1981" s="7" t="n">
        <v>151.032867</v>
      </c>
      <c r="H1981" s="7" t="s">
        <v>2786</v>
      </c>
    </row>
    <row r="1982" customFormat="false" ht="15" hidden="false" customHeight="false" outlineLevel="0" collapsed="false">
      <c r="A1982" s="7" t="s">
        <v>7168</v>
      </c>
      <c r="B1982" s="7" t="s">
        <v>2820</v>
      </c>
      <c r="C1982" s="7" t="s">
        <v>2823</v>
      </c>
      <c r="D1982" s="7" t="n">
        <v>2515</v>
      </c>
      <c r="E1982" s="7" t="s">
        <v>50</v>
      </c>
      <c r="F1982" s="7" t="n">
        <v>-34.30641046</v>
      </c>
      <c r="G1982" s="7" t="n">
        <v>150.9293128</v>
      </c>
      <c r="H1982" s="7" t="s">
        <v>2710</v>
      </c>
    </row>
    <row r="1983" customFormat="false" ht="15" hidden="false" customHeight="false" outlineLevel="0" collapsed="false">
      <c r="A1983" s="7" t="s">
        <v>7168</v>
      </c>
      <c r="B1983" s="7" t="s">
        <v>2826</v>
      </c>
      <c r="C1983" s="7" t="s">
        <v>2829</v>
      </c>
      <c r="D1983" s="7" t="n">
        <v>2283</v>
      </c>
      <c r="E1983" s="7" t="s">
        <v>50</v>
      </c>
      <c r="F1983" s="7" t="n">
        <v>-33.0129204</v>
      </c>
      <c r="G1983" s="7" t="n">
        <v>151.5416347</v>
      </c>
      <c r="H1983" s="7" t="s">
        <v>2710</v>
      </c>
    </row>
    <row r="1984" customFormat="false" ht="15" hidden="false" customHeight="false" outlineLevel="0" collapsed="false">
      <c r="A1984" s="7" t="s">
        <v>7168</v>
      </c>
      <c r="B1984" s="7" t="s">
        <v>2833</v>
      </c>
      <c r="C1984" s="7" t="s">
        <v>2836</v>
      </c>
      <c r="D1984" s="7" t="n">
        <v>2478</v>
      </c>
      <c r="E1984" s="7" t="s">
        <v>50</v>
      </c>
      <c r="F1984" s="7" t="n">
        <v>-28.86933</v>
      </c>
      <c r="G1984" s="7" t="n">
        <v>153.560592</v>
      </c>
      <c r="H1984" s="7" t="s">
        <v>2837</v>
      </c>
    </row>
    <row r="1985" customFormat="false" ht="15" hidden="false" customHeight="false" outlineLevel="0" collapsed="false">
      <c r="A1985" s="7" t="s">
        <v>7168</v>
      </c>
      <c r="B1985" s="7" t="s">
        <v>2838</v>
      </c>
      <c r="C1985" s="7" t="s">
        <v>2841</v>
      </c>
      <c r="D1985" s="7" t="n">
        <v>2478</v>
      </c>
      <c r="E1985" s="7" t="s">
        <v>50</v>
      </c>
      <c r="F1985" s="7" t="n">
        <v>-28.864101</v>
      </c>
      <c r="G1985" s="7" t="n">
        <v>153.533926</v>
      </c>
      <c r="H1985" s="7" t="s">
        <v>2837</v>
      </c>
    </row>
    <row r="1986" customFormat="false" ht="15" hidden="false" customHeight="false" outlineLevel="0" collapsed="false">
      <c r="A1986" s="7" t="s">
        <v>7168</v>
      </c>
      <c r="B1986" s="7" t="s">
        <v>2842</v>
      </c>
      <c r="C1986" s="7" t="s">
        <v>2845</v>
      </c>
      <c r="D1986" s="7" t="n">
        <v>2041</v>
      </c>
      <c r="E1986" s="7" t="s">
        <v>50</v>
      </c>
      <c r="F1986" s="7" t="n">
        <v>-33.85696725</v>
      </c>
      <c r="G1986" s="7" t="n">
        <v>151.1959756</v>
      </c>
      <c r="H1986" s="7" t="s">
        <v>2693</v>
      </c>
    </row>
    <row r="1987" customFormat="false" ht="15" hidden="false" customHeight="false" outlineLevel="0" collapsed="false">
      <c r="A1987" s="7" t="s">
        <v>7168</v>
      </c>
      <c r="B1987" s="7" t="s">
        <v>2848</v>
      </c>
      <c r="C1987" s="7" t="s">
        <v>2851</v>
      </c>
      <c r="D1987" s="7" t="n">
        <v>2041</v>
      </c>
      <c r="E1987" s="7" t="s">
        <v>50</v>
      </c>
      <c r="F1987" s="7" t="n">
        <v>-33.855082</v>
      </c>
      <c r="G1987" s="7" t="n">
        <v>151.168749</v>
      </c>
      <c r="H1987" s="7" t="s">
        <v>2852</v>
      </c>
    </row>
    <row r="1988" customFormat="false" ht="15" hidden="false" customHeight="false" outlineLevel="0" collapsed="false">
      <c r="A1988" s="7" t="s">
        <v>7168</v>
      </c>
      <c r="B1988" s="7" t="s">
        <v>2855</v>
      </c>
      <c r="C1988" s="7" t="s">
        <v>2858</v>
      </c>
      <c r="D1988" s="7" t="n">
        <v>2041</v>
      </c>
      <c r="E1988" s="7" t="s">
        <v>50</v>
      </c>
      <c r="F1988" s="7" t="n">
        <v>-33.85471605</v>
      </c>
      <c r="G1988" s="7" t="n">
        <v>151.1863604</v>
      </c>
      <c r="H1988" s="7" t="s">
        <v>2852</v>
      </c>
    </row>
    <row r="1989" customFormat="false" ht="15" hidden="false" customHeight="false" outlineLevel="0" collapsed="false">
      <c r="A1989" s="7" t="s">
        <v>7168</v>
      </c>
      <c r="B1989" s="7" t="s">
        <v>2860</v>
      </c>
      <c r="C1989" s="7" t="s">
        <v>2863</v>
      </c>
      <c r="D1989" s="7" t="n">
        <v>2715</v>
      </c>
      <c r="E1989" s="7" t="s">
        <v>50</v>
      </c>
      <c r="F1989" s="7" t="n">
        <v>-34.640572</v>
      </c>
      <c r="G1989" s="7" t="n">
        <v>143.564637</v>
      </c>
      <c r="H1989" s="7" t="s">
        <v>2718</v>
      </c>
    </row>
    <row r="1990" customFormat="false" ht="15" hidden="false" customHeight="false" outlineLevel="0" collapsed="false">
      <c r="A1990" s="7" t="s">
        <v>7168</v>
      </c>
      <c r="B1990" s="7" t="s">
        <v>2864</v>
      </c>
      <c r="C1990" s="7" t="s">
        <v>2867</v>
      </c>
      <c r="D1990" s="7" t="n">
        <v>2479</v>
      </c>
      <c r="E1990" s="7" t="s">
        <v>50</v>
      </c>
      <c r="F1990" s="7" t="n">
        <v>-28.686545</v>
      </c>
      <c r="G1990" s="7" t="n">
        <v>153.5248</v>
      </c>
      <c r="H1990" s="7" t="s">
        <v>2718</v>
      </c>
    </row>
    <row r="1991" customFormat="false" ht="15" hidden="false" customHeight="false" outlineLevel="0" collapsed="false">
      <c r="A1991" s="7" t="s">
        <v>7168</v>
      </c>
      <c r="B1991" s="7" t="s">
        <v>2868</v>
      </c>
      <c r="C1991" s="7" t="s">
        <v>2871</v>
      </c>
      <c r="D1991" s="7" t="n">
        <v>2009</v>
      </c>
      <c r="E1991" s="7" t="s">
        <v>50</v>
      </c>
      <c r="F1991" s="7" t="n">
        <v>-33.87091734</v>
      </c>
      <c r="G1991" s="7" t="n">
        <v>151.192293</v>
      </c>
      <c r="H1991" s="7" t="s">
        <v>2769</v>
      </c>
    </row>
    <row r="1992" customFormat="false" ht="15" hidden="false" customHeight="false" outlineLevel="0" collapsed="false">
      <c r="A1992" s="7" t="s">
        <v>7168</v>
      </c>
      <c r="B1992" s="7" t="s">
        <v>2874</v>
      </c>
      <c r="C1992" s="7" t="s">
        <v>2877</v>
      </c>
      <c r="D1992" s="7" t="n">
        <v>2216</v>
      </c>
      <c r="E1992" s="7" t="s">
        <v>50</v>
      </c>
      <c r="F1992" s="7" t="n">
        <v>-33.94528645</v>
      </c>
      <c r="G1992" s="7" t="n">
        <v>151.1404316</v>
      </c>
      <c r="H1992" s="7" t="s">
        <v>2786</v>
      </c>
    </row>
    <row r="1993" customFormat="false" ht="15" hidden="false" customHeight="false" outlineLevel="0" collapsed="false">
      <c r="A1993" s="7" t="s">
        <v>7168</v>
      </c>
      <c r="B1993" s="7" t="s">
        <v>2880</v>
      </c>
      <c r="C1993" s="7" t="s">
        <v>2883</v>
      </c>
      <c r="D1993" s="7" t="n">
        <v>2200</v>
      </c>
      <c r="E1993" s="7" t="s">
        <v>50</v>
      </c>
      <c r="F1993" s="7" t="n">
        <v>-33.91786454</v>
      </c>
      <c r="G1993" s="7" t="n">
        <v>151.0346869</v>
      </c>
      <c r="H1993" s="7" t="s">
        <v>2786</v>
      </c>
    </row>
    <row r="1994" customFormat="false" ht="15" hidden="false" customHeight="false" outlineLevel="0" collapsed="false">
      <c r="A1994" s="7" t="s">
        <v>7168</v>
      </c>
      <c r="B1994" s="7" t="s">
        <v>2887</v>
      </c>
      <c r="C1994" s="7" t="s">
        <v>2890</v>
      </c>
      <c r="D1994" s="7" t="n">
        <v>2396</v>
      </c>
      <c r="E1994" s="7" t="s">
        <v>50</v>
      </c>
      <c r="F1994" s="7" t="n">
        <v>-30.949333</v>
      </c>
      <c r="G1994" s="7" t="n">
        <v>149.066505</v>
      </c>
      <c r="H1994" s="7" t="s">
        <v>2718</v>
      </c>
    </row>
    <row r="1995" customFormat="false" ht="15" hidden="false" customHeight="false" outlineLevel="0" collapsed="false">
      <c r="A1995" s="7" t="s">
        <v>7168</v>
      </c>
      <c r="B1995" s="7" t="s">
        <v>2891</v>
      </c>
      <c r="C1995" s="7" t="s">
        <v>2894</v>
      </c>
      <c r="D1995" s="7" t="n">
        <v>2000</v>
      </c>
      <c r="E1995" s="7" t="s">
        <v>50</v>
      </c>
      <c r="F1995" s="7" t="n">
        <v>-33.859163</v>
      </c>
      <c r="G1995" s="7" t="n">
        <v>151.202555</v>
      </c>
      <c r="H1995" s="7" t="s">
        <v>2895</v>
      </c>
    </row>
    <row r="1996" customFormat="false" ht="15" hidden="false" customHeight="false" outlineLevel="0" collapsed="false">
      <c r="A1996" s="7" t="s">
        <v>7168</v>
      </c>
      <c r="B1996" s="7" t="s">
        <v>2899</v>
      </c>
      <c r="C1996" s="7" t="s">
        <v>2902</v>
      </c>
      <c r="D1996" s="7" t="n">
        <v>2000</v>
      </c>
      <c r="E1996" s="7" t="s">
        <v>50</v>
      </c>
      <c r="F1996" s="7" t="n">
        <v>-33.864377</v>
      </c>
      <c r="G1996" s="7" t="n">
        <v>151.200591</v>
      </c>
      <c r="H1996" s="7" t="s">
        <v>2852</v>
      </c>
    </row>
    <row r="1997" customFormat="false" ht="15" hidden="false" customHeight="false" outlineLevel="0" collapsed="false">
      <c r="A1997" s="7" t="s">
        <v>7168</v>
      </c>
      <c r="B1997" s="7" t="s">
        <v>2904</v>
      </c>
      <c r="C1997" s="7" t="s">
        <v>2907</v>
      </c>
      <c r="D1997" s="7" t="n">
        <v>2207</v>
      </c>
      <c r="E1997" s="7" t="s">
        <v>50</v>
      </c>
      <c r="F1997" s="7" t="n">
        <v>-33.93161666</v>
      </c>
      <c r="G1997" s="7" t="n">
        <v>151.1248574</v>
      </c>
      <c r="H1997" s="7" t="s">
        <v>2710</v>
      </c>
    </row>
    <row r="1998" customFormat="false" ht="15" hidden="false" customHeight="false" outlineLevel="0" collapsed="false">
      <c r="A1998" s="7" t="s">
        <v>7168</v>
      </c>
      <c r="B1998" s="7" t="s">
        <v>2910</v>
      </c>
      <c r="C1998" s="7" t="s">
        <v>2913</v>
      </c>
      <c r="D1998" s="7" t="n">
        <v>2665</v>
      </c>
      <c r="E1998" s="7" t="s">
        <v>50</v>
      </c>
      <c r="F1998" s="7" t="n">
        <v>-34.284782</v>
      </c>
      <c r="G1998" s="7" t="n">
        <v>146.572035</v>
      </c>
      <c r="H1998" s="7" t="s">
        <v>2718</v>
      </c>
    </row>
    <row r="1999" customFormat="false" ht="15" hidden="false" customHeight="false" outlineLevel="0" collapsed="false">
      <c r="A1999" s="7" t="s">
        <v>7168</v>
      </c>
      <c r="B1999" s="7" t="s">
        <v>2914</v>
      </c>
      <c r="C1999" s="7" t="s">
        <v>2917</v>
      </c>
      <c r="D1999" s="7" t="n">
        <v>2574</v>
      </c>
      <c r="E1999" s="7" t="s">
        <v>50</v>
      </c>
      <c r="F1999" s="7" t="n">
        <v>-34.29136493</v>
      </c>
      <c r="G1999" s="7" t="n">
        <v>150.5802091</v>
      </c>
      <c r="H1999" s="7" t="s">
        <v>2710</v>
      </c>
    </row>
    <row r="2000" customFormat="false" ht="15" hidden="false" customHeight="false" outlineLevel="0" collapsed="false">
      <c r="A2000" s="7" t="s">
        <v>7168</v>
      </c>
      <c r="B2000" s="7" t="s">
        <v>2921</v>
      </c>
      <c r="C2000" s="7" t="s">
        <v>2924</v>
      </c>
      <c r="D2000" s="7" t="n">
        <v>2668</v>
      </c>
      <c r="E2000" s="7" t="s">
        <v>50</v>
      </c>
      <c r="F2000" s="7" t="n">
        <v>-34.143373</v>
      </c>
      <c r="G2000" s="7" t="n">
        <v>147.386609</v>
      </c>
      <c r="H2000" s="7" t="s">
        <v>2718</v>
      </c>
    </row>
    <row r="2001" customFormat="false" ht="15" hidden="false" customHeight="false" outlineLevel="0" collapsed="false">
      <c r="A2001" s="7" t="s">
        <v>7168</v>
      </c>
      <c r="B2001" s="7" t="s">
        <v>2925</v>
      </c>
      <c r="C2001" s="7" t="s">
        <v>2928</v>
      </c>
      <c r="D2001" s="7" t="n">
        <v>3644</v>
      </c>
      <c r="E2001" s="7" t="s">
        <v>50</v>
      </c>
      <c r="F2001" s="7" t="n">
        <v>-35.91225</v>
      </c>
      <c r="G2001" s="7" t="n">
        <v>145.69018</v>
      </c>
      <c r="H2001" s="7" t="s">
        <v>2718</v>
      </c>
    </row>
    <row r="2002" customFormat="false" ht="15" hidden="false" customHeight="false" outlineLevel="0" collapsed="false">
      <c r="A2002" s="7" t="s">
        <v>7168</v>
      </c>
      <c r="B2002" s="7" t="s">
        <v>2929</v>
      </c>
      <c r="C2002" s="7" t="s">
        <v>2932</v>
      </c>
      <c r="D2002" s="7" t="n">
        <v>2347</v>
      </c>
      <c r="E2002" s="7" t="s">
        <v>50</v>
      </c>
      <c r="F2002" s="7" t="n">
        <v>-30.380272</v>
      </c>
      <c r="G2002" s="7" t="n">
        <v>150.609609</v>
      </c>
      <c r="H2002" s="7" t="s">
        <v>2718</v>
      </c>
    </row>
    <row r="2003" customFormat="false" ht="15" hidden="false" customHeight="false" outlineLevel="0" collapsed="false">
      <c r="A2003" s="7" t="s">
        <v>7168</v>
      </c>
      <c r="B2003" s="7" t="s">
        <v>2933</v>
      </c>
      <c r="C2003" s="7" t="s">
        <v>2936</v>
      </c>
      <c r="D2003" s="7" t="n">
        <v>2795</v>
      </c>
      <c r="E2003" s="7" t="s">
        <v>50</v>
      </c>
      <c r="F2003" s="7" t="n">
        <v>-33.42562703</v>
      </c>
      <c r="G2003" s="7" t="n">
        <v>149.5832161</v>
      </c>
      <c r="H2003" s="7" t="s">
        <v>2937</v>
      </c>
    </row>
    <row r="2004" customFormat="false" ht="15" hidden="false" customHeight="false" outlineLevel="0" collapsed="false">
      <c r="A2004" s="7" t="s">
        <v>7168</v>
      </c>
      <c r="B2004" s="7" t="s">
        <v>2941</v>
      </c>
      <c r="C2004" s="7" t="s">
        <v>2944</v>
      </c>
      <c r="D2004" s="7" t="n">
        <v>2730</v>
      </c>
      <c r="E2004" s="7" t="s">
        <v>50</v>
      </c>
      <c r="F2004" s="7" t="n">
        <v>-35.520277</v>
      </c>
      <c r="G2004" s="7" t="n">
        <v>148.14722</v>
      </c>
      <c r="H2004" s="7" t="s">
        <v>2718</v>
      </c>
    </row>
    <row r="2005" customFormat="false" ht="15" hidden="false" customHeight="false" outlineLevel="0" collapsed="false">
      <c r="A2005" s="7" t="s">
        <v>7168</v>
      </c>
      <c r="B2005" s="7" t="s">
        <v>2945</v>
      </c>
      <c r="C2005" s="7" t="s">
        <v>2948</v>
      </c>
      <c r="D2005" s="7" t="n">
        <v>2665</v>
      </c>
      <c r="E2005" s="7" t="s">
        <v>50</v>
      </c>
      <c r="F2005" s="7" t="n">
        <v>-34.331341</v>
      </c>
      <c r="G2005" s="7" t="n">
        <v>146.958477</v>
      </c>
      <c r="H2005" s="7" t="s">
        <v>2718</v>
      </c>
    </row>
    <row r="2006" customFormat="false" ht="15" hidden="false" customHeight="false" outlineLevel="0" collapsed="false">
      <c r="A2006" s="7" t="s">
        <v>7168</v>
      </c>
      <c r="B2006" s="7" t="s">
        <v>2949</v>
      </c>
      <c r="C2006" s="7" t="s">
        <v>2952</v>
      </c>
      <c r="D2006" s="7" t="n">
        <v>2119</v>
      </c>
      <c r="E2006" s="7" t="s">
        <v>50</v>
      </c>
      <c r="F2006" s="7" t="n">
        <v>-33.74995417</v>
      </c>
      <c r="G2006" s="7" t="n">
        <v>151.0662982</v>
      </c>
      <c r="H2006" s="7" t="s">
        <v>2786</v>
      </c>
    </row>
    <row r="2007" customFormat="false" ht="15" hidden="false" customHeight="false" outlineLevel="0" collapsed="false">
      <c r="A2007" s="7" t="s">
        <v>7168</v>
      </c>
      <c r="B2007" s="7" t="s">
        <v>2955</v>
      </c>
      <c r="C2007" s="7" t="s">
        <v>2958</v>
      </c>
      <c r="D2007" s="7" t="n">
        <v>4207</v>
      </c>
      <c r="E2007" s="7" t="s">
        <v>50</v>
      </c>
      <c r="F2007" s="7" t="n">
        <v>-27.717673</v>
      </c>
      <c r="G2007" s="7" t="n">
        <v>153.204518</v>
      </c>
      <c r="H2007" s="7" t="s">
        <v>2718</v>
      </c>
    </row>
    <row r="2008" customFormat="false" ht="15" hidden="false" customHeight="false" outlineLevel="0" collapsed="false">
      <c r="A2008" s="7" t="s">
        <v>7168</v>
      </c>
      <c r="B2008" s="7" t="s">
        <v>2959</v>
      </c>
      <c r="C2008" s="7" t="s">
        <v>2962</v>
      </c>
      <c r="D2008" s="7" t="n">
        <v>2550</v>
      </c>
      <c r="E2008" s="7" t="s">
        <v>50</v>
      </c>
      <c r="F2008" s="7" t="n">
        <v>-36.673857</v>
      </c>
      <c r="G2008" s="7" t="n">
        <v>149.842188</v>
      </c>
      <c r="H2008" s="7" t="s">
        <v>2837</v>
      </c>
    </row>
    <row r="2009" customFormat="false" ht="15" hidden="false" customHeight="false" outlineLevel="0" collapsed="false">
      <c r="A2009" s="7" t="s">
        <v>7168</v>
      </c>
      <c r="B2009" s="7" t="s">
        <v>2963</v>
      </c>
      <c r="C2009" s="7" t="s">
        <v>2966</v>
      </c>
      <c r="D2009" s="7" t="n">
        <v>2422</v>
      </c>
      <c r="E2009" s="7" t="s">
        <v>50</v>
      </c>
      <c r="F2009" s="7" t="n">
        <v>-32.012693</v>
      </c>
      <c r="G2009" s="7" t="n">
        <v>152.178504</v>
      </c>
      <c r="H2009" s="7" t="s">
        <v>2718</v>
      </c>
    </row>
    <row r="2010" customFormat="false" ht="15" hidden="false" customHeight="false" outlineLevel="0" collapsed="false">
      <c r="A2010" s="7" t="s">
        <v>7168</v>
      </c>
      <c r="B2010" s="7" t="s">
        <v>2967</v>
      </c>
      <c r="C2010" s="7" t="s">
        <v>2970</v>
      </c>
      <c r="D2010" s="7" t="n">
        <v>2617</v>
      </c>
      <c r="E2010" s="7" t="s">
        <v>50</v>
      </c>
      <c r="F2010" s="7" t="n">
        <v>-35.23976</v>
      </c>
      <c r="G2010" s="7" t="n">
        <v>149.06966</v>
      </c>
      <c r="H2010" s="7" t="s">
        <v>2837</v>
      </c>
    </row>
    <row r="2011" customFormat="false" ht="15" hidden="false" customHeight="false" outlineLevel="0" collapsed="false">
      <c r="A2011" s="7" t="s">
        <v>7168</v>
      </c>
      <c r="B2011" s="7" t="s">
        <v>2971</v>
      </c>
      <c r="C2011" s="7" t="s">
        <v>2974</v>
      </c>
      <c r="D2011" s="7" t="n">
        <v>2786</v>
      </c>
      <c r="E2011" s="7" t="s">
        <v>50</v>
      </c>
      <c r="F2011" s="7" t="n">
        <v>-33.50568554</v>
      </c>
      <c r="G2011" s="7" t="n">
        <v>150.2788861</v>
      </c>
      <c r="H2011" s="7" t="s">
        <v>2806</v>
      </c>
    </row>
    <row r="2012" customFormat="false" ht="15" hidden="false" customHeight="false" outlineLevel="0" collapsed="false">
      <c r="A2012" s="7" t="s">
        <v>7168</v>
      </c>
      <c r="B2012" s="7" t="s">
        <v>2978</v>
      </c>
      <c r="C2012" s="7" t="s">
        <v>2981</v>
      </c>
      <c r="D2012" s="7" t="n">
        <v>2153</v>
      </c>
      <c r="E2012" s="7" t="s">
        <v>50</v>
      </c>
      <c r="F2012" s="7" t="n">
        <v>-33.730592</v>
      </c>
      <c r="G2012" s="7" t="n">
        <v>150.944024</v>
      </c>
      <c r="H2012" s="7" t="s">
        <v>2982</v>
      </c>
    </row>
    <row r="2013" customFormat="false" ht="15" hidden="false" customHeight="false" outlineLevel="0" collapsed="false">
      <c r="A2013" s="7" t="s">
        <v>7168</v>
      </c>
      <c r="B2013" s="7" t="s">
        <v>2984</v>
      </c>
      <c r="C2013" s="7" t="s">
        <v>2987</v>
      </c>
      <c r="D2013" s="7" t="n">
        <v>2518</v>
      </c>
      <c r="E2013" s="7" t="s">
        <v>50</v>
      </c>
      <c r="F2013" s="7" t="n">
        <v>-34.36331842</v>
      </c>
      <c r="G2013" s="7" t="n">
        <v>150.9099025</v>
      </c>
      <c r="H2013" s="7" t="s">
        <v>2786</v>
      </c>
    </row>
    <row r="2014" customFormat="false" ht="15" hidden="false" customHeight="false" outlineLevel="0" collapsed="false">
      <c r="A2014" s="7" t="s">
        <v>7168</v>
      </c>
      <c r="B2014" s="7" t="s">
        <v>2991</v>
      </c>
      <c r="C2014" s="7" t="s">
        <v>2994</v>
      </c>
      <c r="D2014" s="7" t="n">
        <v>2397</v>
      </c>
      <c r="E2014" s="7" t="s">
        <v>50</v>
      </c>
      <c r="F2014" s="7" t="n">
        <v>-29.917328</v>
      </c>
      <c r="G2014" s="7" t="n">
        <v>149.791068</v>
      </c>
      <c r="H2014" s="7" t="s">
        <v>2718</v>
      </c>
    </row>
    <row r="2015" customFormat="false" ht="15" hidden="false" customHeight="false" outlineLevel="0" collapsed="false">
      <c r="A2015" s="7" t="s">
        <v>7168</v>
      </c>
      <c r="B2015" s="7" t="s">
        <v>2995</v>
      </c>
      <c r="C2015" s="7" t="s">
        <v>2998</v>
      </c>
      <c r="D2015" s="7" t="n">
        <v>2397</v>
      </c>
      <c r="E2015" s="7" t="s">
        <v>50</v>
      </c>
      <c r="F2015" s="7" t="n">
        <v>-29.9183</v>
      </c>
      <c r="G2015" s="7" t="n">
        <v>149.7905</v>
      </c>
      <c r="H2015" s="7" t="s">
        <v>2806</v>
      </c>
    </row>
    <row r="2016" customFormat="false" ht="15" hidden="false" customHeight="false" outlineLevel="0" collapsed="false">
      <c r="A2016" s="7" t="s">
        <v>7168</v>
      </c>
      <c r="B2016" s="7" t="s">
        <v>2999</v>
      </c>
      <c r="C2016" s="7" t="s">
        <v>3002</v>
      </c>
      <c r="D2016" s="7" t="n">
        <v>2192</v>
      </c>
      <c r="E2016" s="7" t="s">
        <v>50</v>
      </c>
      <c r="F2016" s="7" t="n">
        <v>-33.91721798</v>
      </c>
      <c r="G2016" s="7" t="n">
        <v>151.0887332</v>
      </c>
      <c r="H2016" s="7" t="s">
        <v>3003</v>
      </c>
    </row>
    <row r="2017" customFormat="false" ht="15" hidden="false" customHeight="false" outlineLevel="0" collapsed="false">
      <c r="A2017" s="7" t="s">
        <v>7168</v>
      </c>
      <c r="B2017" s="7" t="s">
        <v>3006</v>
      </c>
      <c r="C2017" s="7" t="s">
        <v>3009</v>
      </c>
      <c r="D2017" s="7" t="n">
        <v>2550</v>
      </c>
      <c r="E2017" s="7" t="s">
        <v>50</v>
      </c>
      <c r="F2017" s="7" t="n">
        <v>-36.627333</v>
      </c>
      <c r="G2017" s="7" t="n">
        <v>149.568778</v>
      </c>
      <c r="H2017" s="7" t="s">
        <v>2718</v>
      </c>
    </row>
    <row r="2018" customFormat="false" ht="15" hidden="false" customHeight="false" outlineLevel="0" collapsed="false">
      <c r="A2018" s="7" t="s">
        <v>7168</v>
      </c>
      <c r="B2018" s="7" t="s">
        <v>3010</v>
      </c>
      <c r="C2018" s="7" t="s">
        <v>3013</v>
      </c>
      <c r="D2018" s="7" t="n">
        <v>2790</v>
      </c>
      <c r="E2018" s="7" t="s">
        <v>50</v>
      </c>
      <c r="F2018" s="7" t="n">
        <v>-33.218809</v>
      </c>
      <c r="G2018" s="7" t="n">
        <v>150.021411</v>
      </c>
      <c r="H2018" s="7" t="s">
        <v>2718</v>
      </c>
    </row>
    <row r="2019" customFormat="false" ht="15" hidden="false" customHeight="false" outlineLevel="0" collapsed="false">
      <c r="A2019" s="7" t="s">
        <v>7168</v>
      </c>
      <c r="B2019" s="7" t="s">
        <v>3014</v>
      </c>
      <c r="C2019" s="7" t="s">
        <v>3017</v>
      </c>
      <c r="D2019" s="7" t="n">
        <v>2151</v>
      </c>
      <c r="E2019" s="7" t="s">
        <v>50</v>
      </c>
      <c r="F2019" s="7" t="n">
        <v>-33.800814</v>
      </c>
      <c r="G2019" s="7" t="n">
        <v>151.004558</v>
      </c>
      <c r="H2019" s="7" t="s">
        <v>2769</v>
      </c>
    </row>
    <row r="2020" customFormat="false" ht="15" hidden="false" customHeight="false" outlineLevel="0" collapsed="false">
      <c r="A2020" s="7" t="s">
        <v>7168</v>
      </c>
      <c r="B2020" s="7" t="s">
        <v>3020</v>
      </c>
      <c r="C2020" s="7" t="s">
        <v>3023</v>
      </c>
      <c r="D2020" s="7" t="n">
        <v>2355</v>
      </c>
      <c r="E2020" s="7" t="s">
        <v>50</v>
      </c>
      <c r="F2020" s="7" t="n">
        <v>-30.883473</v>
      </c>
      <c r="G2020" s="7" t="n">
        <v>151.1548</v>
      </c>
      <c r="H2020" s="7" t="s">
        <v>2837</v>
      </c>
    </row>
    <row r="2021" customFormat="false" ht="15" hidden="false" customHeight="false" outlineLevel="0" collapsed="false">
      <c r="A2021" s="7" t="s">
        <v>7168</v>
      </c>
      <c r="B2021" s="7" t="s">
        <v>3024</v>
      </c>
      <c r="C2021" s="7" t="s">
        <v>3027</v>
      </c>
      <c r="D2021" s="7" t="n">
        <v>2803</v>
      </c>
      <c r="E2021" s="7" t="s">
        <v>50</v>
      </c>
      <c r="F2021" s="7" t="n">
        <v>-34.159821</v>
      </c>
      <c r="G2021" s="7" t="n">
        <v>148.445796</v>
      </c>
      <c r="H2021" s="7" t="s">
        <v>2718</v>
      </c>
    </row>
    <row r="2022" customFormat="false" ht="15" hidden="false" customHeight="false" outlineLevel="0" collapsed="false">
      <c r="A2022" s="7" t="s">
        <v>7168</v>
      </c>
      <c r="B2022" s="7" t="s">
        <v>3028</v>
      </c>
      <c r="C2022" s="7" t="s">
        <v>3031</v>
      </c>
      <c r="D2022" s="7" t="n">
        <v>2141</v>
      </c>
      <c r="E2022" s="7" t="s">
        <v>50</v>
      </c>
      <c r="F2022" s="7" t="n">
        <v>-33.87183567</v>
      </c>
      <c r="G2022" s="7" t="n">
        <v>151.0324418</v>
      </c>
      <c r="H2022" s="7" t="s">
        <v>2786</v>
      </c>
    </row>
    <row r="2023" customFormat="false" ht="15" hidden="false" customHeight="false" outlineLevel="0" collapsed="false">
      <c r="A2023" s="7" t="s">
        <v>7168</v>
      </c>
      <c r="B2023" s="7" t="s">
        <v>3034</v>
      </c>
      <c r="C2023" s="7" t="s">
        <v>3037</v>
      </c>
      <c r="D2023" s="7" t="n">
        <v>2322</v>
      </c>
      <c r="E2023" s="7" t="s">
        <v>50</v>
      </c>
      <c r="F2023" s="7" t="n">
        <v>-32.79894599</v>
      </c>
      <c r="G2023" s="7" t="n">
        <v>151.6578627</v>
      </c>
      <c r="H2023" s="7" t="s">
        <v>2786</v>
      </c>
    </row>
    <row r="2024" customFormat="false" ht="15" hidden="false" customHeight="false" outlineLevel="0" collapsed="false">
      <c r="A2024" s="7" t="s">
        <v>7168</v>
      </c>
      <c r="B2024" s="7" t="s">
        <v>3040</v>
      </c>
      <c r="C2024" s="7" t="s">
        <v>3043</v>
      </c>
      <c r="D2024" s="7" t="n">
        <v>2081</v>
      </c>
      <c r="E2024" s="7" t="s">
        <v>50</v>
      </c>
      <c r="F2024" s="7" t="n">
        <v>-33.6236572</v>
      </c>
      <c r="G2024" s="7" t="n">
        <v>151.1529711</v>
      </c>
      <c r="H2024" s="7" t="s">
        <v>2710</v>
      </c>
    </row>
    <row r="2025" customFormat="false" ht="15" hidden="false" customHeight="false" outlineLevel="0" collapsed="false">
      <c r="A2025" s="7" t="s">
        <v>7168</v>
      </c>
      <c r="B2025" s="7" t="s">
        <v>3046</v>
      </c>
      <c r="C2025" s="7" t="s">
        <v>3049</v>
      </c>
      <c r="D2025" s="7" t="n">
        <v>2628</v>
      </c>
      <c r="E2025" s="7" t="s">
        <v>50</v>
      </c>
      <c r="F2025" s="7" t="n">
        <v>-36.365118</v>
      </c>
      <c r="G2025" s="7" t="n">
        <v>148.82788</v>
      </c>
      <c r="H2025" s="7" t="s">
        <v>2718</v>
      </c>
    </row>
    <row r="2026" customFormat="false" ht="15" hidden="false" customHeight="false" outlineLevel="0" collapsed="false">
      <c r="A2026" s="7" t="s">
        <v>7168</v>
      </c>
      <c r="B2026" s="7" t="s">
        <v>3050</v>
      </c>
      <c r="C2026" s="7" t="s">
        <v>3053</v>
      </c>
      <c r="D2026" s="7" t="n">
        <v>2712</v>
      </c>
      <c r="E2026" s="7" t="s">
        <v>50</v>
      </c>
      <c r="F2026" s="7" t="n">
        <v>-35.658002</v>
      </c>
      <c r="G2026" s="7" t="n">
        <v>145.812199</v>
      </c>
      <c r="H2026" s="7" t="s">
        <v>2718</v>
      </c>
    </row>
    <row r="2027" customFormat="false" ht="15" hidden="false" customHeight="false" outlineLevel="0" collapsed="false">
      <c r="A2027" s="7" t="s">
        <v>7168</v>
      </c>
      <c r="B2027" s="7" t="s">
        <v>3054</v>
      </c>
      <c r="C2027" s="7" t="s">
        <v>3057</v>
      </c>
      <c r="D2027" s="7" t="n">
        <v>2535</v>
      </c>
      <c r="E2027" s="7" t="s">
        <v>50</v>
      </c>
      <c r="F2027" s="7" t="n">
        <v>-34.78033267</v>
      </c>
      <c r="G2027" s="7" t="n">
        <v>150.6969659</v>
      </c>
      <c r="H2027" s="7" t="s">
        <v>2786</v>
      </c>
    </row>
    <row r="2028" customFormat="false" ht="15" hidden="false" customHeight="false" outlineLevel="0" collapsed="false">
      <c r="A2028" s="7" t="s">
        <v>7168</v>
      </c>
      <c r="B2028" s="7" t="s">
        <v>3061</v>
      </c>
      <c r="C2028" s="7" t="s">
        <v>3064</v>
      </c>
      <c r="D2028" s="7" t="n">
        <v>2209</v>
      </c>
      <c r="E2028" s="7" t="s">
        <v>50</v>
      </c>
      <c r="F2028" s="7" t="n">
        <v>-33.94884857</v>
      </c>
      <c r="G2028" s="7" t="n">
        <v>151.0816922</v>
      </c>
      <c r="H2028" s="7" t="s">
        <v>2786</v>
      </c>
    </row>
    <row r="2029" customFormat="false" ht="15" hidden="false" customHeight="false" outlineLevel="0" collapsed="false">
      <c r="A2029" s="7" t="s">
        <v>7168</v>
      </c>
      <c r="B2029" s="7" t="s">
        <v>3067</v>
      </c>
      <c r="C2029" s="7" t="s">
        <v>3070</v>
      </c>
      <c r="D2029" s="7" t="n">
        <v>2480</v>
      </c>
      <c r="E2029" s="7" t="s">
        <v>50</v>
      </c>
      <c r="F2029" s="7" t="n">
        <v>-28.76554</v>
      </c>
      <c r="G2029" s="7" t="n">
        <v>153.34515</v>
      </c>
      <c r="H2029" s="7" t="s">
        <v>2718</v>
      </c>
    </row>
    <row r="2030" customFormat="false" ht="15" hidden="false" customHeight="false" outlineLevel="0" collapsed="false">
      <c r="A2030" s="7" t="s">
        <v>7168</v>
      </c>
      <c r="B2030" s="7" t="s">
        <v>3071</v>
      </c>
      <c r="C2030" s="7" t="s">
        <v>3074</v>
      </c>
      <c r="D2030" s="7" t="n">
        <v>2207</v>
      </c>
      <c r="E2030" s="7" t="s">
        <v>50</v>
      </c>
      <c r="F2030" s="7" t="n">
        <v>-33.93756601</v>
      </c>
      <c r="G2030" s="7" t="n">
        <v>151.1133973</v>
      </c>
      <c r="H2030" s="7" t="s">
        <v>2710</v>
      </c>
    </row>
    <row r="2031" customFormat="false" ht="15" hidden="false" customHeight="false" outlineLevel="0" collapsed="false">
      <c r="A2031" s="7" t="s">
        <v>7168</v>
      </c>
      <c r="B2031" s="7" t="s">
        <v>3077</v>
      </c>
      <c r="C2031" s="7" t="s">
        <v>3080</v>
      </c>
      <c r="D2031" s="7" t="n">
        <v>2632</v>
      </c>
      <c r="E2031" s="7" t="s">
        <v>50</v>
      </c>
      <c r="F2031" s="7" t="n">
        <v>-36.811109</v>
      </c>
      <c r="G2031" s="7" t="n">
        <v>149.280902</v>
      </c>
      <c r="H2031" s="7" t="s">
        <v>2718</v>
      </c>
    </row>
    <row r="2032" customFormat="false" ht="15" hidden="false" customHeight="false" outlineLevel="0" collapsed="false">
      <c r="A2032" s="7" t="s">
        <v>7168</v>
      </c>
      <c r="B2032" s="7" t="s">
        <v>3081</v>
      </c>
      <c r="C2032" s="7" t="s">
        <v>3084</v>
      </c>
      <c r="D2032" s="7" t="n">
        <v>2483</v>
      </c>
      <c r="E2032" s="7" t="s">
        <v>50</v>
      </c>
      <c r="F2032" s="7" t="n">
        <v>-28.505065</v>
      </c>
      <c r="G2032" s="7" t="n">
        <v>153.528385</v>
      </c>
      <c r="H2032" s="7" t="s">
        <v>2718</v>
      </c>
    </row>
    <row r="2033" customFormat="false" ht="15" hidden="false" customHeight="false" outlineLevel="0" collapsed="false">
      <c r="A2033" s="7" t="s">
        <v>7168</v>
      </c>
      <c r="B2033" s="7" t="s">
        <v>3085</v>
      </c>
      <c r="C2033" s="7" t="s">
        <v>3088</v>
      </c>
      <c r="D2033" s="7" t="n">
        <v>2584</v>
      </c>
      <c r="E2033" s="7" t="s">
        <v>50</v>
      </c>
      <c r="F2033" s="7" t="n">
        <v>-34.672661</v>
      </c>
      <c r="G2033" s="7" t="n">
        <v>148.629146</v>
      </c>
      <c r="H2033" s="7" t="s">
        <v>2718</v>
      </c>
    </row>
    <row r="2034" customFormat="false" ht="15" hidden="false" customHeight="false" outlineLevel="0" collapsed="false">
      <c r="A2034" s="7" t="s">
        <v>7168</v>
      </c>
      <c r="B2034" s="7" t="s">
        <v>3089</v>
      </c>
      <c r="C2034" s="7" t="s">
        <v>3092</v>
      </c>
      <c r="D2034" s="7" t="n">
        <v>2404</v>
      </c>
      <c r="E2034" s="7" t="s">
        <v>50</v>
      </c>
      <c r="F2034" s="7" t="n">
        <v>-29.868516</v>
      </c>
      <c r="G2034" s="7" t="n">
        <v>150.572172</v>
      </c>
      <c r="H2034" s="7" t="s">
        <v>2718</v>
      </c>
    </row>
    <row r="2035" customFormat="false" ht="15" hidden="false" customHeight="false" outlineLevel="0" collapsed="false">
      <c r="A2035" s="7" t="s">
        <v>7168</v>
      </c>
      <c r="B2035" s="7" t="s">
        <v>3093</v>
      </c>
      <c r="C2035" s="7" t="s">
        <v>3096</v>
      </c>
      <c r="D2035" s="7" t="n">
        <v>2399</v>
      </c>
      <c r="E2035" s="7" t="s">
        <v>50</v>
      </c>
      <c r="F2035" s="7" t="n">
        <v>-29.536002</v>
      </c>
      <c r="G2035" s="7" t="n">
        <v>150.20611</v>
      </c>
      <c r="H2035" s="7" t="s">
        <v>2718</v>
      </c>
    </row>
    <row r="2036" customFormat="false" ht="15" hidden="false" customHeight="false" outlineLevel="0" collapsed="false">
      <c r="A2036" s="7" t="s">
        <v>7168</v>
      </c>
      <c r="B2036" s="7" t="s">
        <v>3097</v>
      </c>
      <c r="C2036" s="7" t="s">
        <v>3100</v>
      </c>
      <c r="D2036" s="7" t="n">
        <v>2479</v>
      </c>
      <c r="E2036" s="7" t="s">
        <v>50</v>
      </c>
      <c r="F2036" s="7" t="n">
        <v>-28.706562</v>
      </c>
      <c r="G2036" s="7" t="n">
        <v>153.497345</v>
      </c>
      <c r="H2036" s="7" t="s">
        <v>2837</v>
      </c>
    </row>
    <row r="2037" customFormat="false" ht="15" hidden="false" customHeight="false" outlineLevel="0" collapsed="false">
      <c r="A2037" s="7" t="s">
        <v>7168</v>
      </c>
      <c r="B2037" s="7" t="s">
        <v>3101</v>
      </c>
      <c r="C2037" s="7" t="s">
        <v>3104</v>
      </c>
      <c r="D2037" s="7" t="n">
        <v>2395</v>
      </c>
      <c r="E2037" s="7" t="s">
        <v>50</v>
      </c>
      <c r="F2037" s="7" t="n">
        <v>-31.55185</v>
      </c>
      <c r="G2037" s="7" t="n">
        <v>149.378649</v>
      </c>
      <c r="H2037" s="7" t="s">
        <v>2718</v>
      </c>
    </row>
    <row r="2038" customFormat="false" ht="15" hidden="false" customHeight="false" outlineLevel="0" collapsed="false">
      <c r="A2038" s="7" t="s">
        <v>7168</v>
      </c>
      <c r="B2038" s="7" t="s">
        <v>3105</v>
      </c>
      <c r="C2038" s="7" t="s">
        <v>3108</v>
      </c>
      <c r="D2038" s="7" t="n">
        <v>2665</v>
      </c>
      <c r="E2038" s="7" t="s">
        <v>50</v>
      </c>
      <c r="F2038" s="7" t="n">
        <v>-34.229159</v>
      </c>
      <c r="G2038" s="7" t="n">
        <v>146.344388</v>
      </c>
      <c r="H2038" s="7" t="s">
        <v>2718</v>
      </c>
    </row>
    <row r="2039" customFormat="false" ht="15" hidden="false" customHeight="false" outlineLevel="0" collapsed="false">
      <c r="A2039" s="7" t="s">
        <v>7168</v>
      </c>
      <c r="B2039" s="7" t="s">
        <v>3109</v>
      </c>
      <c r="C2039" s="7" t="s">
        <v>3112</v>
      </c>
      <c r="D2039" s="7" t="n">
        <v>2041</v>
      </c>
      <c r="E2039" s="7" t="s">
        <v>50</v>
      </c>
      <c r="F2039" s="7" t="n">
        <v>-33.84645581</v>
      </c>
      <c r="G2039" s="7" t="n">
        <v>151.1863405</v>
      </c>
      <c r="H2039" s="7" t="s">
        <v>2852</v>
      </c>
    </row>
    <row r="2040" customFormat="false" ht="15" hidden="false" customHeight="false" outlineLevel="0" collapsed="false">
      <c r="A2040" s="7" t="s">
        <v>7168</v>
      </c>
      <c r="B2040" s="7" t="s">
        <v>3115</v>
      </c>
      <c r="C2040" s="7" t="s">
        <v>3118</v>
      </c>
      <c r="D2040" s="7" t="n">
        <v>2143</v>
      </c>
      <c r="E2040" s="7" t="s">
        <v>50</v>
      </c>
      <c r="F2040" s="7" t="n">
        <v>-33.8932786</v>
      </c>
      <c r="G2040" s="7" t="n">
        <v>151.0240413</v>
      </c>
      <c r="H2040" s="7" t="s">
        <v>2806</v>
      </c>
    </row>
    <row r="2041" customFormat="false" ht="15" hidden="false" customHeight="false" outlineLevel="0" collapsed="false">
      <c r="A2041" s="7" t="s">
        <v>7168</v>
      </c>
      <c r="B2041" s="7" t="s">
        <v>3122</v>
      </c>
      <c r="C2041" s="7" t="s">
        <v>3125</v>
      </c>
      <c r="D2041" s="7" t="n">
        <v>2785</v>
      </c>
      <c r="E2041" s="7" t="s">
        <v>50</v>
      </c>
      <c r="F2041" s="7" t="n">
        <v>-33.63288104</v>
      </c>
      <c r="G2041" s="7" t="n">
        <v>150.284345</v>
      </c>
      <c r="H2041" s="7" t="s">
        <v>2786</v>
      </c>
    </row>
    <row r="2042" customFormat="false" ht="15" hidden="false" customHeight="false" outlineLevel="0" collapsed="false">
      <c r="A2042" s="7" t="s">
        <v>7168</v>
      </c>
      <c r="B2042" s="7" t="s">
        <v>3128</v>
      </c>
      <c r="C2042" s="7" t="s">
        <v>3131</v>
      </c>
      <c r="D2042" s="7" t="n">
        <v>2148</v>
      </c>
      <c r="E2042" s="7" t="s">
        <v>50</v>
      </c>
      <c r="F2042" s="7" t="n">
        <v>-33.76822903</v>
      </c>
      <c r="G2042" s="7" t="n">
        <v>150.9075105</v>
      </c>
      <c r="H2042" s="7" t="s">
        <v>2786</v>
      </c>
    </row>
    <row r="2043" customFormat="false" ht="15" hidden="false" customHeight="false" outlineLevel="0" collapsed="false">
      <c r="A2043" s="7" t="s">
        <v>7168</v>
      </c>
      <c r="B2043" s="7" t="s">
        <v>3135</v>
      </c>
      <c r="C2043" s="7" t="s">
        <v>3138</v>
      </c>
      <c r="D2043" s="7" t="n">
        <v>2037</v>
      </c>
      <c r="E2043" s="7" t="s">
        <v>50</v>
      </c>
      <c r="F2043" s="7" t="n">
        <v>-33.871362</v>
      </c>
      <c r="G2043" s="7" t="n">
        <v>151.185199</v>
      </c>
      <c r="H2043" s="7" t="s">
        <v>2852</v>
      </c>
    </row>
    <row r="2044" customFormat="false" ht="15" hidden="false" customHeight="false" outlineLevel="0" collapsed="false">
      <c r="A2044" s="7" t="s">
        <v>7168</v>
      </c>
      <c r="B2044" s="7" t="s">
        <v>3141</v>
      </c>
      <c r="C2044" s="7" t="s">
        <v>3144</v>
      </c>
      <c r="D2044" s="7" t="n">
        <v>2774</v>
      </c>
      <c r="E2044" s="7" t="s">
        <v>50</v>
      </c>
      <c r="F2044" s="7" t="n">
        <v>-33.74357659</v>
      </c>
      <c r="G2044" s="7" t="n">
        <v>150.6095957</v>
      </c>
      <c r="H2044" s="7" t="s">
        <v>2786</v>
      </c>
    </row>
    <row r="2045" customFormat="false" ht="15" hidden="false" customHeight="false" outlineLevel="0" collapsed="false">
      <c r="A2045" s="7" t="s">
        <v>7168</v>
      </c>
      <c r="B2045" s="7" t="s">
        <v>3148</v>
      </c>
      <c r="C2045" s="7" t="s">
        <v>3151</v>
      </c>
      <c r="D2045" s="7" t="n">
        <v>2799</v>
      </c>
      <c r="E2045" s="7" t="s">
        <v>50</v>
      </c>
      <c r="F2045" s="7" t="n">
        <v>-33.52704</v>
      </c>
      <c r="G2045" s="7" t="n">
        <v>149.254516</v>
      </c>
      <c r="H2045" s="7" t="s">
        <v>2806</v>
      </c>
    </row>
    <row r="2046" customFormat="false" ht="15" hidden="false" customHeight="false" outlineLevel="0" collapsed="false">
      <c r="A2046" s="7" t="s">
        <v>7168</v>
      </c>
      <c r="B2046" s="7" t="s">
        <v>3153</v>
      </c>
      <c r="C2046" s="7" t="s">
        <v>3156</v>
      </c>
      <c r="D2046" s="7" t="n">
        <v>2713</v>
      </c>
      <c r="E2046" s="7" t="s">
        <v>50</v>
      </c>
      <c r="F2046" s="7" t="n">
        <v>-35.591983</v>
      </c>
      <c r="G2046" s="7" t="n">
        <v>145.287219</v>
      </c>
      <c r="H2046" s="7" t="s">
        <v>2718</v>
      </c>
    </row>
    <row r="2047" customFormat="false" ht="15" hidden="false" customHeight="false" outlineLevel="0" collapsed="false">
      <c r="A2047" s="7" t="s">
        <v>7168</v>
      </c>
      <c r="B2047" s="7" t="s">
        <v>3157</v>
      </c>
      <c r="C2047" s="7" t="s">
        <v>3160</v>
      </c>
      <c r="D2047" s="7" t="n">
        <v>2876</v>
      </c>
      <c r="E2047" s="7" t="s">
        <v>50</v>
      </c>
      <c r="F2047" s="7" t="n">
        <v>-33.107693</v>
      </c>
      <c r="G2047" s="7" t="n">
        <v>147.803932</v>
      </c>
      <c r="H2047" s="7" t="s">
        <v>2718</v>
      </c>
    </row>
    <row r="2048" customFormat="false" ht="15" hidden="false" customHeight="false" outlineLevel="0" collapsed="false">
      <c r="A2048" s="7" t="s">
        <v>7168</v>
      </c>
      <c r="B2048" s="7" t="s">
        <v>3161</v>
      </c>
      <c r="C2048" s="7" t="s">
        <v>3164</v>
      </c>
      <c r="D2048" s="7" t="n">
        <v>2488</v>
      </c>
      <c r="E2048" s="7" t="s">
        <v>50</v>
      </c>
      <c r="F2048" s="7" t="n">
        <v>-28.332352</v>
      </c>
      <c r="G2048" s="7" t="n">
        <v>153.5697</v>
      </c>
      <c r="H2048" s="7" t="s">
        <v>2718</v>
      </c>
    </row>
    <row r="2049" customFormat="false" ht="15" hidden="false" customHeight="false" outlineLevel="0" collapsed="false">
      <c r="A2049" s="7" t="s">
        <v>7168</v>
      </c>
      <c r="B2049" s="7" t="s">
        <v>3165</v>
      </c>
      <c r="C2049" s="7" t="s">
        <v>3168</v>
      </c>
      <c r="D2049" s="7" t="n">
        <v>2382</v>
      </c>
      <c r="E2049" s="7" t="s">
        <v>50</v>
      </c>
      <c r="F2049" s="7" t="n">
        <v>-30.703834</v>
      </c>
      <c r="G2049" s="7" t="n">
        <v>150.039827</v>
      </c>
      <c r="H2049" s="7" t="s">
        <v>2806</v>
      </c>
    </row>
    <row r="2050" customFormat="false" ht="15" hidden="false" customHeight="false" outlineLevel="0" collapsed="false">
      <c r="A2050" s="7" t="s">
        <v>7168</v>
      </c>
      <c r="B2050" s="7" t="s">
        <v>3171</v>
      </c>
      <c r="C2050" s="7" t="s">
        <v>3174</v>
      </c>
      <c r="D2050" s="7" t="n">
        <v>2372</v>
      </c>
      <c r="E2050" s="7" t="s">
        <v>50</v>
      </c>
      <c r="F2050" s="7" t="n">
        <v>-29.289661</v>
      </c>
      <c r="G2050" s="7" t="n">
        <v>151.960969</v>
      </c>
      <c r="H2050" s="7" t="s">
        <v>2718</v>
      </c>
    </row>
    <row r="2051" customFormat="false" ht="15" hidden="false" customHeight="false" outlineLevel="0" collapsed="false">
      <c r="A2051" s="7" t="s">
        <v>7168</v>
      </c>
      <c r="B2051" s="7" t="s">
        <v>3175</v>
      </c>
      <c r="C2051" s="7" t="s">
        <v>3178</v>
      </c>
      <c r="D2051" s="7" t="n">
        <v>2541</v>
      </c>
      <c r="E2051" s="7" t="s">
        <v>50</v>
      </c>
      <c r="F2051" s="7" t="n">
        <v>-34.85377666</v>
      </c>
      <c r="G2051" s="7" t="n">
        <v>150.6098088</v>
      </c>
      <c r="H2051" s="7" t="s">
        <v>2786</v>
      </c>
    </row>
    <row r="2052" customFormat="false" ht="15" hidden="false" customHeight="false" outlineLevel="0" collapsed="false">
      <c r="A2052" s="7" t="s">
        <v>7168</v>
      </c>
      <c r="B2052" s="7" t="s">
        <v>3181</v>
      </c>
      <c r="C2052" s="7" t="s">
        <v>3184</v>
      </c>
      <c r="D2052" s="7" t="n">
        <v>2632</v>
      </c>
      <c r="E2052" s="7" t="s">
        <v>50</v>
      </c>
      <c r="F2052" s="7" t="n">
        <v>-36.911161</v>
      </c>
      <c r="G2052" s="7" t="n">
        <v>149.240322</v>
      </c>
      <c r="H2052" s="7" t="s">
        <v>2718</v>
      </c>
    </row>
    <row r="2053" customFormat="false" ht="15" hidden="false" customHeight="false" outlineLevel="0" collapsed="false">
      <c r="A2053" s="7" t="s">
        <v>7168</v>
      </c>
      <c r="B2053" s="7" t="s">
        <v>3185</v>
      </c>
      <c r="C2053" s="7" t="s">
        <v>3188</v>
      </c>
      <c r="D2053" s="7" t="n">
        <v>2533</v>
      </c>
      <c r="E2053" s="7" t="s">
        <v>50</v>
      </c>
      <c r="F2053" s="7" t="n">
        <v>-34.6580285</v>
      </c>
      <c r="G2053" s="7" t="n">
        <v>150.8539755</v>
      </c>
      <c r="H2053" s="7" t="s">
        <v>2793</v>
      </c>
    </row>
    <row r="2054" customFormat="false" ht="15" hidden="false" customHeight="false" outlineLevel="0" collapsed="false">
      <c r="A2054" s="7" t="s">
        <v>7168</v>
      </c>
      <c r="B2054" s="7" t="s">
        <v>3192</v>
      </c>
      <c r="C2054" s="7" t="s">
        <v>3195</v>
      </c>
      <c r="D2054" s="7" t="n">
        <v>2022</v>
      </c>
      <c r="E2054" s="7" t="s">
        <v>50</v>
      </c>
      <c r="F2054" s="7" t="n">
        <v>-33.89120228</v>
      </c>
      <c r="G2054" s="7" t="n">
        <v>151.2483843</v>
      </c>
      <c r="H2054" s="7" t="s">
        <v>2786</v>
      </c>
    </row>
    <row r="2055" customFormat="false" ht="15" hidden="false" customHeight="false" outlineLevel="0" collapsed="false">
      <c r="A2055" s="7" t="s">
        <v>7168</v>
      </c>
      <c r="B2055" s="7" t="s">
        <v>3198</v>
      </c>
      <c r="C2055" s="7" t="s">
        <v>3201</v>
      </c>
      <c r="D2055" s="7" t="n">
        <v>2284</v>
      </c>
      <c r="E2055" s="7" t="s">
        <v>50</v>
      </c>
      <c r="F2055" s="7" t="n">
        <v>-32.97142254</v>
      </c>
      <c r="G2055" s="7" t="n">
        <v>151.6046902</v>
      </c>
      <c r="H2055" s="7" t="s">
        <v>2806</v>
      </c>
    </row>
    <row r="2056" customFormat="false" ht="15" hidden="false" customHeight="false" outlineLevel="0" collapsed="false">
      <c r="A2056" s="7" t="s">
        <v>7168</v>
      </c>
      <c r="B2056" s="7" t="s">
        <v>3204</v>
      </c>
      <c r="C2056" s="7" t="s">
        <v>3207</v>
      </c>
      <c r="D2056" s="7" t="n">
        <v>2425</v>
      </c>
      <c r="E2056" s="7" t="s">
        <v>50</v>
      </c>
      <c r="F2056" s="7" t="n">
        <v>-32.466585</v>
      </c>
      <c r="G2056" s="7" t="n">
        <v>151.95947</v>
      </c>
      <c r="H2056" s="7" t="s">
        <v>2718</v>
      </c>
    </row>
    <row r="2057" customFormat="false" ht="15" hidden="false" customHeight="false" outlineLevel="0" collapsed="false">
      <c r="A2057" s="7" t="s">
        <v>7168</v>
      </c>
      <c r="B2057" s="7" t="s">
        <v>3208</v>
      </c>
      <c r="C2057" s="7" t="s">
        <v>3211</v>
      </c>
      <c r="D2057" s="7" t="n">
        <v>2586</v>
      </c>
      <c r="E2057" s="7" t="s">
        <v>50</v>
      </c>
      <c r="F2057" s="7" t="n">
        <v>-34.439297</v>
      </c>
      <c r="G2057" s="7" t="n">
        <v>148.716209</v>
      </c>
      <c r="H2057" s="7" t="s">
        <v>2718</v>
      </c>
    </row>
    <row r="2058" customFormat="false" ht="15" hidden="false" customHeight="false" outlineLevel="0" collapsed="false">
      <c r="A2058" s="7" t="s">
        <v>7168</v>
      </c>
      <c r="B2058" s="7" t="s">
        <v>3212</v>
      </c>
      <c r="C2058" s="7" t="s">
        <v>3215</v>
      </c>
      <c r="D2058" s="7" t="n">
        <v>2835</v>
      </c>
      <c r="E2058" s="7" t="s">
        <v>50</v>
      </c>
      <c r="F2058" s="7" t="n">
        <v>-31.531</v>
      </c>
      <c r="G2058" s="7" t="n">
        <v>146.2831</v>
      </c>
      <c r="H2058" s="7" t="s">
        <v>2718</v>
      </c>
    </row>
    <row r="2059" customFormat="false" ht="15" hidden="false" customHeight="false" outlineLevel="0" collapsed="false">
      <c r="A2059" s="7" t="s">
        <v>7168</v>
      </c>
      <c r="B2059" s="7" t="s">
        <v>3216</v>
      </c>
      <c r="C2059" s="7" t="s">
        <v>3219</v>
      </c>
      <c r="D2059" s="7" t="n">
        <v>2840</v>
      </c>
      <c r="E2059" s="7" t="s">
        <v>50</v>
      </c>
      <c r="F2059" s="7" t="n">
        <v>-30.094494</v>
      </c>
      <c r="G2059" s="7" t="n">
        <v>145.935178</v>
      </c>
      <c r="H2059" s="7" t="s">
        <v>2718</v>
      </c>
    </row>
    <row r="2060" customFormat="false" ht="15" hidden="false" customHeight="false" outlineLevel="0" collapsed="false">
      <c r="A2060" s="7" t="s">
        <v>7168</v>
      </c>
      <c r="B2060" s="7" t="s">
        <v>3220</v>
      </c>
      <c r="C2060" s="7" t="s">
        <v>3223</v>
      </c>
      <c r="D2060" s="7" t="n">
        <v>2582</v>
      </c>
      <c r="E2060" s="7" t="s">
        <v>50</v>
      </c>
      <c r="F2060" s="7" t="n">
        <v>-34.767715</v>
      </c>
      <c r="G2060" s="7" t="n">
        <v>148.814797</v>
      </c>
      <c r="H2060" s="7" t="s">
        <v>2718</v>
      </c>
    </row>
    <row r="2061" customFormat="false" ht="15" hidden="false" customHeight="false" outlineLevel="0" collapsed="false">
      <c r="A2061" s="7" t="s">
        <v>7168</v>
      </c>
      <c r="B2061" s="7" t="s">
        <v>3224</v>
      </c>
      <c r="C2061" s="7" t="s">
        <v>3227</v>
      </c>
      <c r="D2061" s="7" t="n">
        <v>2576</v>
      </c>
      <c r="E2061" s="7" t="s">
        <v>50</v>
      </c>
      <c r="F2061" s="7" t="n">
        <v>-34.47812317</v>
      </c>
      <c r="G2061" s="7" t="n">
        <v>150.4166585</v>
      </c>
      <c r="H2061" s="7" t="s">
        <v>2937</v>
      </c>
    </row>
    <row r="2062" customFormat="false" ht="15" hidden="false" customHeight="false" outlineLevel="0" collapsed="false">
      <c r="A2062" s="7" t="s">
        <v>7168</v>
      </c>
      <c r="B2062" s="7" t="s">
        <v>3230</v>
      </c>
      <c r="C2062" s="7" t="s">
        <v>3233</v>
      </c>
      <c r="D2062" s="7" t="n">
        <v>2335</v>
      </c>
      <c r="E2062" s="7" t="s">
        <v>50</v>
      </c>
      <c r="F2062" s="7" t="n">
        <v>-32.66225215</v>
      </c>
      <c r="G2062" s="7" t="n">
        <v>151.3456449</v>
      </c>
      <c r="H2062" s="7" t="s">
        <v>2806</v>
      </c>
    </row>
    <row r="2063" customFormat="false" ht="15" hidden="false" customHeight="false" outlineLevel="0" collapsed="false">
      <c r="A2063" s="7" t="s">
        <v>7168</v>
      </c>
      <c r="B2063" s="7" t="s">
        <v>3234</v>
      </c>
      <c r="C2063" s="7" t="s">
        <v>3237</v>
      </c>
      <c r="D2063" s="7" t="n">
        <v>2626</v>
      </c>
      <c r="E2063" s="7" t="s">
        <v>50</v>
      </c>
      <c r="F2063" s="7" t="n">
        <v>-35.955665</v>
      </c>
      <c r="G2063" s="7" t="n">
        <v>149.14802</v>
      </c>
      <c r="H2063" s="7" t="s">
        <v>2718</v>
      </c>
    </row>
    <row r="2064" customFormat="false" ht="15" hidden="false" customHeight="false" outlineLevel="0" collapsed="false">
      <c r="A2064" s="7" t="s">
        <v>7168</v>
      </c>
      <c r="B2064" s="7" t="s">
        <v>3238</v>
      </c>
      <c r="C2064" s="7" t="s">
        <v>3241</v>
      </c>
      <c r="D2064" s="7" t="n">
        <v>2839</v>
      </c>
      <c r="E2064" s="7" t="s">
        <v>50</v>
      </c>
      <c r="F2064" s="7" t="n">
        <v>-29.944252</v>
      </c>
      <c r="G2064" s="7" t="n">
        <v>146.86057</v>
      </c>
      <c r="H2064" s="7" t="s">
        <v>2718</v>
      </c>
    </row>
    <row r="2065" customFormat="false" ht="15" hidden="false" customHeight="false" outlineLevel="0" collapsed="false">
      <c r="A2065" s="7" t="s">
        <v>7168</v>
      </c>
      <c r="B2065" s="7" t="s">
        <v>3242</v>
      </c>
      <c r="C2065" s="7" t="s">
        <v>3245</v>
      </c>
      <c r="D2065" s="7" t="n">
        <v>2839</v>
      </c>
      <c r="E2065" s="7" t="s">
        <v>50</v>
      </c>
      <c r="F2065" s="7" t="n">
        <v>-29.954624</v>
      </c>
      <c r="G2065" s="7" t="n">
        <v>146.86336</v>
      </c>
      <c r="H2065" s="7" t="s">
        <v>2718</v>
      </c>
    </row>
    <row r="2066" customFormat="false" ht="15" hidden="false" customHeight="false" outlineLevel="0" collapsed="false">
      <c r="A2066" s="7" t="s">
        <v>7168</v>
      </c>
      <c r="B2066" s="7" t="s">
        <v>3246</v>
      </c>
      <c r="C2066" s="7" t="s">
        <v>3249</v>
      </c>
      <c r="D2066" s="7" t="n">
        <v>2839</v>
      </c>
      <c r="E2066" s="7" t="s">
        <v>50</v>
      </c>
      <c r="F2066" s="7" t="n">
        <v>-29.958895</v>
      </c>
      <c r="G2066" s="7" t="n">
        <v>146.84598</v>
      </c>
      <c r="H2066" s="7" t="s">
        <v>2718</v>
      </c>
    </row>
    <row r="2067" customFormat="false" ht="15" hidden="false" customHeight="false" outlineLevel="0" collapsed="false">
      <c r="A2067" s="7" t="s">
        <v>7168</v>
      </c>
      <c r="B2067" s="7" t="s">
        <v>3250</v>
      </c>
      <c r="C2067" s="7" t="s">
        <v>3253</v>
      </c>
      <c r="D2067" s="7" t="n">
        <v>2839</v>
      </c>
      <c r="E2067" s="7" t="s">
        <v>50</v>
      </c>
      <c r="F2067" s="7" t="n">
        <v>-29.96192</v>
      </c>
      <c r="G2067" s="7" t="n">
        <v>146.861301</v>
      </c>
      <c r="H2067" s="7" t="s">
        <v>2718</v>
      </c>
    </row>
    <row r="2068" customFormat="false" ht="15" hidden="false" customHeight="false" outlineLevel="0" collapsed="false">
      <c r="A2068" s="7" t="s">
        <v>7168</v>
      </c>
      <c r="B2068" s="7" t="s">
        <v>3254</v>
      </c>
      <c r="C2068" s="7" t="s">
        <v>3257</v>
      </c>
      <c r="D2068" s="7" t="n">
        <v>2839</v>
      </c>
      <c r="E2068" s="7" t="s">
        <v>50</v>
      </c>
      <c r="F2068" s="7" t="n">
        <v>-29.972094</v>
      </c>
      <c r="G2068" s="7" t="n">
        <v>146.866691</v>
      </c>
      <c r="H2068" s="7" t="s">
        <v>2718</v>
      </c>
    </row>
    <row r="2069" customFormat="false" ht="15" hidden="false" customHeight="false" outlineLevel="0" collapsed="false">
      <c r="A2069" s="7" t="s">
        <v>7168</v>
      </c>
      <c r="B2069" s="7" t="s">
        <v>3258</v>
      </c>
      <c r="C2069" s="7" t="s">
        <v>3261</v>
      </c>
      <c r="D2069" s="7" t="n">
        <v>2000</v>
      </c>
      <c r="E2069" s="7" t="s">
        <v>50</v>
      </c>
      <c r="F2069" s="7" t="n">
        <v>-33.864128</v>
      </c>
      <c r="G2069" s="7" t="n">
        <v>151.207465</v>
      </c>
      <c r="H2069" s="7" t="s">
        <v>3262</v>
      </c>
    </row>
    <row r="2070" customFormat="false" ht="15" hidden="false" customHeight="false" outlineLevel="0" collapsed="false">
      <c r="A2070" s="7" t="s">
        <v>7168</v>
      </c>
      <c r="B2070" s="7" t="s">
        <v>3265</v>
      </c>
      <c r="C2070" s="7" t="s">
        <v>3268</v>
      </c>
      <c r="D2070" s="7" t="n">
        <v>4000</v>
      </c>
      <c r="E2070" s="7" t="s">
        <v>50</v>
      </c>
      <c r="F2070" s="7" t="n">
        <v>-27.46577</v>
      </c>
      <c r="G2070" s="7" t="n">
        <v>153.018781</v>
      </c>
      <c r="H2070" s="7" t="s">
        <v>3269</v>
      </c>
    </row>
    <row r="2071" customFormat="false" ht="15" hidden="false" customHeight="false" outlineLevel="0" collapsed="false">
      <c r="A2071" s="7" t="s">
        <v>7168</v>
      </c>
      <c r="B2071" s="7" t="s">
        <v>3270</v>
      </c>
      <c r="C2071" s="7" t="s">
        <v>3273</v>
      </c>
      <c r="D2071" s="7" t="n">
        <v>2292</v>
      </c>
      <c r="E2071" s="7" t="s">
        <v>50</v>
      </c>
      <c r="F2071" s="7" t="n">
        <v>-32.92301689</v>
      </c>
      <c r="G2071" s="7" t="n">
        <v>151.734686</v>
      </c>
      <c r="H2071" s="7" t="s">
        <v>2937</v>
      </c>
    </row>
    <row r="2072" customFormat="false" ht="15" hidden="false" customHeight="false" outlineLevel="0" collapsed="false">
      <c r="A2072" s="7" t="s">
        <v>7168</v>
      </c>
      <c r="B2072" s="7" t="s">
        <v>3276</v>
      </c>
      <c r="C2072" s="7" t="s">
        <v>3279</v>
      </c>
      <c r="D2072" s="7" t="n">
        <v>2472</v>
      </c>
      <c r="E2072" s="7" t="s">
        <v>50</v>
      </c>
      <c r="F2072" s="7" t="n">
        <v>-29.010026</v>
      </c>
      <c r="G2072" s="7" t="n">
        <v>153.435869</v>
      </c>
      <c r="H2072" s="7" t="s">
        <v>2718</v>
      </c>
    </row>
    <row r="2073" customFormat="false" ht="15" hidden="false" customHeight="false" outlineLevel="0" collapsed="false">
      <c r="A2073" s="7" t="s">
        <v>7168</v>
      </c>
      <c r="B2073" s="7" t="s">
        <v>3280</v>
      </c>
      <c r="C2073" s="7" t="s">
        <v>3283</v>
      </c>
      <c r="D2073" s="7" t="n">
        <v>2880</v>
      </c>
      <c r="E2073" s="7" t="s">
        <v>50</v>
      </c>
      <c r="F2073" s="7" t="n">
        <v>-31.959275</v>
      </c>
      <c r="G2073" s="7" t="n">
        <v>141.466665</v>
      </c>
      <c r="H2073" s="7" t="s">
        <v>2793</v>
      </c>
    </row>
    <row r="2074" customFormat="false" ht="15" hidden="false" customHeight="false" outlineLevel="0" collapsed="false">
      <c r="A2074" s="7" t="s">
        <v>7168</v>
      </c>
      <c r="B2074" s="7" t="s">
        <v>3286</v>
      </c>
      <c r="C2074" s="7" t="s">
        <v>3289</v>
      </c>
      <c r="D2074" s="7" t="n">
        <v>2880</v>
      </c>
      <c r="E2074" s="7" t="s">
        <v>50</v>
      </c>
      <c r="F2074" s="7" t="n">
        <v>-31.960181</v>
      </c>
      <c r="G2074" s="7" t="n">
        <v>141.460489</v>
      </c>
      <c r="H2074" s="7" t="s">
        <v>2718</v>
      </c>
    </row>
    <row r="2075" customFormat="false" ht="15" hidden="false" customHeight="false" outlineLevel="0" collapsed="false">
      <c r="A2075" s="7" t="s">
        <v>7168</v>
      </c>
      <c r="B2075" s="7" t="s">
        <v>3290</v>
      </c>
      <c r="C2075" s="7" t="s">
        <v>3293</v>
      </c>
      <c r="D2075" s="7" t="n">
        <v>2483</v>
      </c>
      <c r="E2075" s="7" t="s">
        <v>50</v>
      </c>
      <c r="F2075" s="7" t="n">
        <v>-28.54016</v>
      </c>
      <c r="G2075" s="7" t="n">
        <v>153.550552</v>
      </c>
      <c r="H2075" s="7" t="s">
        <v>2837</v>
      </c>
    </row>
    <row r="2076" customFormat="false" ht="15" hidden="false" customHeight="false" outlineLevel="0" collapsed="false">
      <c r="A2076" s="7" t="s">
        <v>7168</v>
      </c>
      <c r="B2076" s="7" t="s">
        <v>3294</v>
      </c>
      <c r="C2076" s="7" t="s">
        <v>3297</v>
      </c>
      <c r="D2076" s="7" t="n">
        <v>2784</v>
      </c>
      <c r="E2076" s="7" t="s">
        <v>50</v>
      </c>
      <c r="F2076" s="7" t="n">
        <v>-33.72360616</v>
      </c>
      <c r="G2076" s="7" t="n">
        <v>150.4146074</v>
      </c>
      <c r="H2076" s="7" t="s">
        <v>2710</v>
      </c>
    </row>
    <row r="2077" customFormat="false" ht="15" hidden="false" customHeight="false" outlineLevel="0" collapsed="false">
      <c r="A2077" s="7" t="s">
        <v>7168</v>
      </c>
      <c r="B2077" s="7" t="s">
        <v>3300</v>
      </c>
      <c r="C2077" s="7" t="s">
        <v>3303</v>
      </c>
      <c r="D2077" s="7" t="n">
        <v>2516</v>
      </c>
      <c r="E2077" s="7" t="s">
        <v>50</v>
      </c>
      <c r="F2077" s="7" t="n">
        <v>-34.33448098</v>
      </c>
      <c r="G2077" s="7" t="n">
        <v>150.9147439</v>
      </c>
      <c r="H2077" s="7" t="s">
        <v>2786</v>
      </c>
    </row>
    <row r="2078" customFormat="false" ht="15" hidden="false" customHeight="false" outlineLevel="0" collapsed="false">
      <c r="A2078" s="7" t="s">
        <v>7168</v>
      </c>
      <c r="B2078" s="7" t="s">
        <v>3307</v>
      </c>
      <c r="C2078" s="7" t="s">
        <v>3310</v>
      </c>
      <c r="D2078" s="7" t="n">
        <v>2794</v>
      </c>
      <c r="E2078" s="7" t="s">
        <v>50</v>
      </c>
      <c r="F2078" s="7" t="n">
        <v>-33.901793</v>
      </c>
      <c r="G2078" s="7" t="n">
        <v>148.466454</v>
      </c>
      <c r="H2078" s="7" t="s">
        <v>2718</v>
      </c>
    </row>
    <row r="2079" customFormat="false" ht="15" hidden="false" customHeight="false" outlineLevel="0" collapsed="false">
      <c r="A2079" s="7" t="s">
        <v>7168</v>
      </c>
      <c r="B2079" s="7" t="s">
        <v>3311</v>
      </c>
      <c r="C2079" s="7" t="s">
        <v>3314</v>
      </c>
      <c r="D2079" s="7" t="n">
        <v>2578</v>
      </c>
      <c r="E2079" s="7" t="s">
        <v>50</v>
      </c>
      <c r="F2079" s="7" t="n">
        <v>-34.65613474</v>
      </c>
      <c r="G2079" s="7" t="n">
        <v>150.2987371</v>
      </c>
      <c r="H2079" s="7" t="s">
        <v>2700</v>
      </c>
    </row>
    <row r="2080" customFormat="false" ht="15" hidden="false" customHeight="false" outlineLevel="0" collapsed="false">
      <c r="A2080" s="7" t="s">
        <v>7168</v>
      </c>
      <c r="B2080" s="7" t="s">
        <v>3318</v>
      </c>
      <c r="C2080" s="7" t="s">
        <v>3321</v>
      </c>
      <c r="D2080" s="7" t="n">
        <v>2359</v>
      </c>
      <c r="E2080" s="7" t="s">
        <v>50</v>
      </c>
      <c r="F2080" s="7" t="n">
        <v>-30.171575</v>
      </c>
      <c r="G2080" s="7" t="n">
        <v>151.075729</v>
      </c>
      <c r="H2080" s="7" t="s">
        <v>2718</v>
      </c>
    </row>
    <row r="2081" customFormat="false" ht="15" hidden="false" customHeight="false" outlineLevel="0" collapsed="false">
      <c r="A2081" s="7" t="s">
        <v>7168</v>
      </c>
      <c r="B2081" s="7" t="s">
        <v>3322</v>
      </c>
      <c r="C2081" s="7" t="s">
        <v>3325</v>
      </c>
      <c r="D2081" s="7" t="n">
        <v>2621</v>
      </c>
      <c r="E2081" s="7" t="s">
        <v>50</v>
      </c>
      <c r="F2081" s="7" t="n">
        <v>-35.255778</v>
      </c>
      <c r="G2081" s="7" t="n">
        <v>149.446409</v>
      </c>
      <c r="H2081" s="7" t="s">
        <v>2806</v>
      </c>
    </row>
    <row r="2082" customFormat="false" ht="15" hidden="false" customHeight="false" outlineLevel="0" collapsed="false">
      <c r="A2082" s="7" t="s">
        <v>7168</v>
      </c>
      <c r="B2082" s="7" t="s">
        <v>3327</v>
      </c>
      <c r="C2082" s="7" t="s">
        <v>3330</v>
      </c>
      <c r="D2082" s="7" t="n">
        <v>4220</v>
      </c>
      <c r="E2082" s="7" t="s">
        <v>50</v>
      </c>
      <c r="F2082" s="7" t="n">
        <v>-28.089973</v>
      </c>
      <c r="G2082" s="7" t="n">
        <v>153.452729</v>
      </c>
      <c r="H2082" s="7" t="s">
        <v>2718</v>
      </c>
    </row>
    <row r="2083" customFormat="false" ht="15" hidden="false" customHeight="false" outlineLevel="0" collapsed="false">
      <c r="A2083" s="7" t="s">
        <v>7168</v>
      </c>
      <c r="B2083" s="7" t="s">
        <v>3331</v>
      </c>
      <c r="C2083" s="7" t="s">
        <v>3334</v>
      </c>
      <c r="D2083" s="7" t="n">
        <v>2739</v>
      </c>
      <c r="E2083" s="7" t="s">
        <v>50</v>
      </c>
      <c r="F2083" s="7" t="n">
        <v>-34.171219</v>
      </c>
      <c r="G2083" s="7" t="n">
        <v>142.185386</v>
      </c>
      <c r="H2083" s="7" t="s">
        <v>2718</v>
      </c>
    </row>
    <row r="2084" customFormat="false" ht="15" hidden="false" customHeight="false" outlineLevel="0" collapsed="false">
      <c r="A2084" s="7" t="s">
        <v>7168</v>
      </c>
      <c r="B2084" s="7" t="s">
        <v>3335</v>
      </c>
      <c r="C2084" s="7" t="s">
        <v>3338</v>
      </c>
      <c r="D2084" s="7" t="n">
        <v>2576</v>
      </c>
      <c r="E2084" s="7" t="s">
        <v>50</v>
      </c>
      <c r="F2084" s="7" t="n">
        <v>-34.49401919</v>
      </c>
      <c r="G2084" s="7" t="n">
        <v>150.3983388</v>
      </c>
      <c r="H2084" s="7" t="s">
        <v>2806</v>
      </c>
    </row>
    <row r="2085" customFormat="false" ht="15" hidden="false" customHeight="false" outlineLevel="0" collapsed="false">
      <c r="A2085" s="7" t="s">
        <v>7168</v>
      </c>
      <c r="B2085" s="7" t="s">
        <v>3340</v>
      </c>
      <c r="C2085" s="7" t="s">
        <v>3343</v>
      </c>
      <c r="D2085" s="7" t="n">
        <v>2577</v>
      </c>
      <c r="E2085" s="7" t="s">
        <v>50</v>
      </c>
      <c r="F2085" s="7" t="n">
        <v>-34.593273</v>
      </c>
      <c r="G2085" s="7" t="n">
        <v>150.516609</v>
      </c>
      <c r="H2085" s="7" t="s">
        <v>2718</v>
      </c>
    </row>
    <row r="2086" customFormat="false" ht="15" hidden="false" customHeight="false" outlineLevel="0" collapsed="false">
      <c r="A2086" s="7" t="s">
        <v>7168</v>
      </c>
      <c r="B2086" s="7" t="s">
        <v>3344</v>
      </c>
      <c r="C2086" s="7" t="s">
        <v>3347</v>
      </c>
      <c r="D2086" s="7" t="n">
        <v>2429</v>
      </c>
      <c r="E2086" s="7" t="s">
        <v>50</v>
      </c>
      <c r="F2086" s="7" t="n">
        <v>-31.9522</v>
      </c>
      <c r="G2086" s="7" t="n">
        <v>152.2957</v>
      </c>
      <c r="H2086" s="7" t="s">
        <v>2718</v>
      </c>
    </row>
    <row r="2087" customFormat="false" ht="15" hidden="false" customHeight="false" outlineLevel="0" collapsed="false">
      <c r="A2087" s="7" t="s">
        <v>7168</v>
      </c>
      <c r="B2087" s="7" t="s">
        <v>3348</v>
      </c>
      <c r="C2087" s="7" t="s">
        <v>3351</v>
      </c>
      <c r="D2087" s="7" t="n">
        <v>2386</v>
      </c>
      <c r="E2087" s="7" t="s">
        <v>50</v>
      </c>
      <c r="F2087" s="7" t="n">
        <v>-30.1036</v>
      </c>
      <c r="G2087" s="7" t="n">
        <v>148.966504</v>
      </c>
      <c r="H2087" s="7" t="s">
        <v>2718</v>
      </c>
    </row>
    <row r="2088" customFormat="false" ht="15" hidden="false" customHeight="false" outlineLevel="0" collapsed="false">
      <c r="A2088" s="7" t="s">
        <v>7168</v>
      </c>
      <c r="B2088" s="7" t="s">
        <v>3352</v>
      </c>
      <c r="C2088" s="7" t="s">
        <v>3355</v>
      </c>
      <c r="D2088" s="7" t="n">
        <v>2483</v>
      </c>
      <c r="E2088" s="7" t="s">
        <v>50</v>
      </c>
      <c r="F2088" s="7" t="n">
        <v>-28.430064</v>
      </c>
      <c r="G2088" s="7" t="n">
        <v>153.470608</v>
      </c>
      <c r="H2088" s="7" t="s">
        <v>2718</v>
      </c>
    </row>
    <row r="2089" customFormat="false" ht="15" hidden="false" customHeight="false" outlineLevel="0" collapsed="false">
      <c r="A2089" s="7" t="s">
        <v>7168</v>
      </c>
      <c r="B2089" s="7" t="s">
        <v>3356</v>
      </c>
      <c r="C2089" s="7" t="s">
        <v>3359</v>
      </c>
      <c r="D2089" s="7" t="n">
        <v>2134</v>
      </c>
      <c r="E2089" s="7" t="s">
        <v>50</v>
      </c>
      <c r="F2089" s="7" t="n">
        <v>-33.87731465</v>
      </c>
      <c r="G2089" s="7" t="n">
        <v>151.1047622</v>
      </c>
      <c r="H2089" s="7" t="s">
        <v>2786</v>
      </c>
    </row>
    <row r="2090" customFormat="false" ht="15" hidden="false" customHeight="false" outlineLevel="0" collapsed="false">
      <c r="A2090" s="7" t="s">
        <v>7168</v>
      </c>
      <c r="B2090" s="7" t="s">
        <v>3362</v>
      </c>
      <c r="C2090" s="7" t="s">
        <v>3365</v>
      </c>
      <c r="D2090" s="7" t="n">
        <v>2831</v>
      </c>
      <c r="E2090" s="7" t="s">
        <v>50</v>
      </c>
      <c r="F2090" s="7" t="n">
        <v>-30.6632</v>
      </c>
      <c r="G2090" s="7" t="n">
        <v>146.4037</v>
      </c>
      <c r="H2090" s="7" t="s">
        <v>2718</v>
      </c>
    </row>
    <row r="2091" customFormat="false" ht="15" hidden="false" customHeight="false" outlineLevel="0" collapsed="false">
      <c r="A2091" s="7" t="s">
        <v>7168</v>
      </c>
      <c r="B2091" s="7" t="s">
        <v>3366</v>
      </c>
      <c r="C2091" s="7" t="s">
        <v>3369</v>
      </c>
      <c r="D2091" s="7" t="n">
        <v>2481</v>
      </c>
      <c r="E2091" s="7" t="s">
        <v>50</v>
      </c>
      <c r="F2091" s="7" t="n">
        <v>-28.644828</v>
      </c>
      <c r="G2091" s="7" t="n">
        <v>153.612473</v>
      </c>
      <c r="H2091" s="7" t="s">
        <v>3370</v>
      </c>
    </row>
    <row r="2092" customFormat="false" ht="15" hidden="false" customHeight="false" outlineLevel="0" collapsed="false">
      <c r="A2092" s="7" t="s">
        <v>7168</v>
      </c>
      <c r="B2092" s="7" t="s">
        <v>3373</v>
      </c>
      <c r="C2092" s="7" t="s">
        <v>3376</v>
      </c>
      <c r="D2092" s="7" t="n">
        <v>2137</v>
      </c>
      <c r="E2092" s="7" t="s">
        <v>50</v>
      </c>
      <c r="F2092" s="7" t="n">
        <v>-33.84096251</v>
      </c>
      <c r="G2092" s="7" t="n">
        <v>151.1164853</v>
      </c>
      <c r="H2092" s="7" t="s">
        <v>2693</v>
      </c>
    </row>
    <row r="2093" customFormat="false" ht="15" hidden="false" customHeight="false" outlineLevel="0" collapsed="false">
      <c r="A2093" s="7" t="s">
        <v>7168</v>
      </c>
      <c r="B2093" s="7" t="s">
        <v>3378</v>
      </c>
      <c r="C2093" s="7" t="s">
        <v>3381</v>
      </c>
      <c r="D2093" s="7" t="n">
        <v>2166</v>
      </c>
      <c r="E2093" s="7" t="s">
        <v>50</v>
      </c>
      <c r="F2093" s="7" t="n">
        <v>-33.89486655</v>
      </c>
      <c r="G2093" s="7" t="n">
        <v>150.9388206</v>
      </c>
      <c r="H2093" s="7" t="s">
        <v>2786</v>
      </c>
    </row>
    <row r="2094" customFormat="false" ht="15" hidden="false" customHeight="false" outlineLevel="0" collapsed="false">
      <c r="A2094" s="7" t="s">
        <v>7168</v>
      </c>
      <c r="B2094" s="7" t="s">
        <v>3384</v>
      </c>
      <c r="C2094" s="7" t="s">
        <v>3387</v>
      </c>
      <c r="D2094" s="7" t="n">
        <v>2560</v>
      </c>
      <c r="E2094" s="7" t="s">
        <v>50</v>
      </c>
      <c r="F2094" s="7" t="n">
        <v>-34.06383549</v>
      </c>
      <c r="G2094" s="7" t="n">
        <v>150.813929</v>
      </c>
      <c r="H2094" s="7" t="s">
        <v>2786</v>
      </c>
    </row>
    <row r="2095" customFormat="false" ht="15" hidden="false" customHeight="false" outlineLevel="0" collapsed="false">
      <c r="A2095" s="7" t="s">
        <v>7168</v>
      </c>
      <c r="B2095" s="7" t="s">
        <v>3390</v>
      </c>
      <c r="C2095" s="7" t="s">
        <v>3393</v>
      </c>
      <c r="D2095" s="7" t="n">
        <v>2194</v>
      </c>
      <c r="E2095" s="7" t="s">
        <v>50</v>
      </c>
      <c r="F2095" s="7" t="n">
        <v>-33.91048116</v>
      </c>
      <c r="G2095" s="7" t="n">
        <v>151.1026308</v>
      </c>
      <c r="H2095" s="7" t="s">
        <v>3003</v>
      </c>
    </row>
    <row r="2096" customFormat="false" ht="15" hidden="false" customHeight="false" outlineLevel="0" collapsed="false">
      <c r="A2096" s="7" t="s">
        <v>7168</v>
      </c>
      <c r="B2096" s="7" t="s">
        <v>3396</v>
      </c>
      <c r="C2096" s="7" t="s">
        <v>3399</v>
      </c>
      <c r="D2096" s="7" t="n">
        <v>2609</v>
      </c>
      <c r="E2096" s="7" t="s">
        <v>50</v>
      </c>
      <c r="F2096" s="7" t="n">
        <v>-35.307605</v>
      </c>
      <c r="G2096" s="7" t="n">
        <v>149.189465</v>
      </c>
      <c r="H2096" s="7" t="s">
        <v>2718</v>
      </c>
    </row>
    <row r="2097" customFormat="false" ht="15" hidden="false" customHeight="false" outlineLevel="0" collapsed="false">
      <c r="A2097" s="7" t="s">
        <v>7168</v>
      </c>
      <c r="B2097" s="7" t="s">
        <v>3401</v>
      </c>
      <c r="C2097" s="7" t="s">
        <v>3404</v>
      </c>
      <c r="D2097" s="7" t="n">
        <v>2617</v>
      </c>
      <c r="E2097" s="7" t="s">
        <v>50</v>
      </c>
      <c r="F2097" s="7" t="n">
        <v>-35.252561</v>
      </c>
      <c r="G2097" s="7" t="n">
        <v>149.086931</v>
      </c>
      <c r="H2097" s="7" t="s">
        <v>2718</v>
      </c>
    </row>
    <row r="2098" customFormat="false" ht="15" hidden="false" customHeight="false" outlineLevel="0" collapsed="false">
      <c r="A2098" s="7" t="s">
        <v>7168</v>
      </c>
      <c r="B2098" s="7" t="s">
        <v>3405</v>
      </c>
      <c r="C2098" s="7" t="s">
        <v>3408</v>
      </c>
      <c r="D2098" s="7" t="n">
        <v>2601</v>
      </c>
      <c r="E2098" s="7" t="s">
        <v>50</v>
      </c>
      <c r="F2098" s="7" t="n">
        <v>-35.278997</v>
      </c>
      <c r="G2098" s="7" t="n">
        <v>149.127618</v>
      </c>
      <c r="H2098" s="7" t="s">
        <v>2837</v>
      </c>
    </row>
    <row r="2099" customFormat="false" ht="15" hidden="false" customHeight="false" outlineLevel="0" collapsed="false">
      <c r="A2099" s="7" t="s">
        <v>7168</v>
      </c>
      <c r="B2099" s="7" t="s">
        <v>3409</v>
      </c>
      <c r="C2099" s="7" t="s">
        <v>3412</v>
      </c>
      <c r="D2099" s="7" t="n">
        <v>2605</v>
      </c>
      <c r="E2099" s="7" t="s">
        <v>50</v>
      </c>
      <c r="F2099" s="7" t="n">
        <v>-35.343983</v>
      </c>
      <c r="G2099" s="7" t="n">
        <v>149.101423</v>
      </c>
      <c r="H2099" s="7" t="s">
        <v>2837</v>
      </c>
    </row>
    <row r="2100" customFormat="false" ht="15" hidden="false" customHeight="false" outlineLevel="0" collapsed="false">
      <c r="A2100" s="7" t="s">
        <v>7168</v>
      </c>
      <c r="B2100" s="7" t="s">
        <v>3413</v>
      </c>
      <c r="C2100" s="7" t="s">
        <v>3416</v>
      </c>
      <c r="D2100" s="7" t="n">
        <v>2600</v>
      </c>
      <c r="E2100" s="7" t="s">
        <v>50</v>
      </c>
      <c r="F2100" s="7" t="n">
        <v>-35.318475</v>
      </c>
      <c r="G2100" s="7" t="n">
        <v>149.095764</v>
      </c>
      <c r="H2100" s="7" t="s">
        <v>2837</v>
      </c>
    </row>
    <row r="2101" customFormat="false" ht="15" hidden="false" customHeight="false" outlineLevel="0" collapsed="false">
      <c r="A2101" s="7" t="s">
        <v>7168</v>
      </c>
      <c r="B2101" s="7" t="s">
        <v>3417</v>
      </c>
      <c r="C2101" s="7" t="s">
        <v>3420</v>
      </c>
      <c r="D2101" s="7" t="n">
        <v>2604</v>
      </c>
      <c r="E2101" s="7" t="s">
        <v>50</v>
      </c>
      <c r="F2101" s="7" t="n">
        <v>-35.319272</v>
      </c>
      <c r="G2101" s="7" t="n">
        <v>149.149396</v>
      </c>
      <c r="H2101" s="7" t="s">
        <v>2735</v>
      </c>
    </row>
    <row r="2102" customFormat="false" ht="15" hidden="false" customHeight="false" outlineLevel="0" collapsed="false">
      <c r="A2102" s="7" t="s">
        <v>7168</v>
      </c>
      <c r="B2102" s="7" t="s">
        <v>3421</v>
      </c>
      <c r="C2102" s="7" t="s">
        <v>3424</v>
      </c>
      <c r="D2102" s="7" t="n">
        <v>2617</v>
      </c>
      <c r="E2102" s="7" t="s">
        <v>50</v>
      </c>
      <c r="F2102" s="7" t="n">
        <v>-35.24116474</v>
      </c>
      <c r="G2102" s="7" t="n">
        <v>149.081254</v>
      </c>
      <c r="H2102" s="7" t="s">
        <v>2718</v>
      </c>
    </row>
    <row r="2103" customFormat="false" ht="15" hidden="false" customHeight="false" outlineLevel="0" collapsed="false">
      <c r="A2103" s="7" t="s">
        <v>7168</v>
      </c>
      <c r="B2103" s="7" t="s">
        <v>3425</v>
      </c>
      <c r="C2103" s="7" t="s">
        <v>3428</v>
      </c>
      <c r="D2103" s="7" t="n">
        <v>2166</v>
      </c>
      <c r="E2103" s="7" t="s">
        <v>50</v>
      </c>
      <c r="F2103" s="7" t="n">
        <v>-33.88679793</v>
      </c>
      <c r="G2103" s="7" t="n">
        <v>150.943987</v>
      </c>
      <c r="H2103" s="7" t="s">
        <v>2710</v>
      </c>
    </row>
    <row r="2104" customFormat="false" ht="15" hidden="false" customHeight="false" outlineLevel="0" collapsed="false">
      <c r="A2104" s="7" t="s">
        <v>7168</v>
      </c>
      <c r="B2104" s="7" t="s">
        <v>3431</v>
      </c>
      <c r="C2104" s="7" t="s">
        <v>3434</v>
      </c>
      <c r="D2104" s="7" t="n">
        <v>2804</v>
      </c>
      <c r="E2104" s="7" t="s">
        <v>50</v>
      </c>
      <c r="F2104" s="7" t="n">
        <v>-33.56361</v>
      </c>
      <c r="G2104" s="7" t="n">
        <v>148.65979</v>
      </c>
      <c r="H2104" s="7" t="s">
        <v>2718</v>
      </c>
    </row>
    <row r="2105" customFormat="false" ht="15" hidden="false" customHeight="false" outlineLevel="0" collapsed="false">
      <c r="A2105" s="7" t="s">
        <v>7168</v>
      </c>
      <c r="B2105" s="7" t="s">
        <v>3435</v>
      </c>
      <c r="C2105" s="7" t="s">
        <v>3438</v>
      </c>
      <c r="D2105" s="7" t="n">
        <v>2193</v>
      </c>
      <c r="E2105" s="7" t="s">
        <v>50</v>
      </c>
      <c r="F2105" s="7" t="n">
        <v>-33.91167214</v>
      </c>
      <c r="G2105" s="7" t="n">
        <v>151.1182133</v>
      </c>
      <c r="H2105" s="7" t="s">
        <v>3439</v>
      </c>
    </row>
    <row r="2106" customFormat="false" ht="15" hidden="false" customHeight="false" outlineLevel="0" collapsed="false">
      <c r="A2106" s="7" t="s">
        <v>7168</v>
      </c>
      <c r="B2106" s="7" t="s">
        <v>3442</v>
      </c>
      <c r="C2106" s="7" t="s">
        <v>3445</v>
      </c>
      <c r="D2106" s="7" t="n">
        <v>2846</v>
      </c>
      <c r="E2106" s="7" t="s">
        <v>50</v>
      </c>
      <c r="F2106" s="7" t="n">
        <v>-33.146391</v>
      </c>
      <c r="G2106" s="7" t="n">
        <v>149.984257</v>
      </c>
      <c r="H2106" s="7" t="s">
        <v>2718</v>
      </c>
    </row>
    <row r="2107" customFormat="false" ht="15" hidden="false" customHeight="false" outlineLevel="0" collapsed="false">
      <c r="A2107" s="7" t="s">
        <v>7168</v>
      </c>
      <c r="B2107" s="7" t="s">
        <v>3446</v>
      </c>
      <c r="C2107" s="7" t="s">
        <v>3449</v>
      </c>
      <c r="D2107" s="7" t="n">
        <v>2000</v>
      </c>
      <c r="E2107" s="7" t="s">
        <v>50</v>
      </c>
      <c r="F2107" s="7" t="n">
        <v>-33.87975438</v>
      </c>
      <c r="G2107" s="7" t="n">
        <v>151.2056556</v>
      </c>
      <c r="H2107" s="7" t="s">
        <v>2769</v>
      </c>
    </row>
    <row r="2108" customFormat="false" ht="15" hidden="false" customHeight="false" outlineLevel="0" collapsed="false">
      <c r="A2108" s="7" t="s">
        <v>7168</v>
      </c>
      <c r="B2108" s="7" t="s">
        <v>3451</v>
      </c>
      <c r="C2108" s="7" t="s">
        <v>3454</v>
      </c>
      <c r="D2108" s="7" t="n">
        <v>2791</v>
      </c>
      <c r="E2108" s="7" t="s">
        <v>50</v>
      </c>
      <c r="F2108" s="7" t="n">
        <v>-33.611524</v>
      </c>
      <c r="G2108" s="7" t="n">
        <v>149.140096</v>
      </c>
      <c r="H2108" s="7" t="s">
        <v>2718</v>
      </c>
    </row>
    <row r="2109" customFormat="false" ht="15" hidden="false" customHeight="false" outlineLevel="0" collapsed="false">
      <c r="A2109" s="7" t="s">
        <v>7168</v>
      </c>
      <c r="B2109" s="7" t="s">
        <v>3455</v>
      </c>
      <c r="C2109" s="7" t="s">
        <v>3458</v>
      </c>
      <c r="D2109" s="7" t="n">
        <v>2285</v>
      </c>
      <c r="E2109" s="7" t="s">
        <v>50</v>
      </c>
      <c r="F2109" s="7" t="n">
        <v>-32.94182388</v>
      </c>
      <c r="G2109" s="7" t="n">
        <v>151.6629801</v>
      </c>
      <c r="H2109" s="7" t="s">
        <v>2786</v>
      </c>
    </row>
    <row r="2110" customFormat="false" ht="15" hidden="false" customHeight="false" outlineLevel="0" collapsed="false">
      <c r="A2110" s="7" t="s">
        <v>7168</v>
      </c>
      <c r="B2110" s="7" t="s">
        <v>3460</v>
      </c>
      <c r="C2110" s="7" t="s">
        <v>3463</v>
      </c>
      <c r="D2110" s="7" t="n">
        <v>2229</v>
      </c>
      <c r="E2110" s="7" t="s">
        <v>50</v>
      </c>
      <c r="F2110" s="7" t="n">
        <v>-34.04161039</v>
      </c>
      <c r="G2110" s="7" t="n">
        <v>151.1227476</v>
      </c>
      <c r="H2110" s="7" t="s">
        <v>2786</v>
      </c>
    </row>
    <row r="2111" customFormat="false" ht="15" hidden="false" customHeight="false" outlineLevel="0" collapsed="false">
      <c r="A2111" s="7" t="s">
        <v>7168</v>
      </c>
      <c r="B2111" s="7" t="s">
        <v>3466</v>
      </c>
      <c r="C2111" s="7" t="s">
        <v>3469</v>
      </c>
      <c r="D2111" s="7" t="n">
        <v>2118</v>
      </c>
      <c r="E2111" s="7" t="s">
        <v>50</v>
      </c>
      <c r="F2111" s="7" t="n">
        <v>-33.781969</v>
      </c>
      <c r="G2111" s="7" t="n">
        <v>151.047184</v>
      </c>
      <c r="H2111" s="7" t="s">
        <v>3262</v>
      </c>
    </row>
    <row r="2112" customFormat="false" ht="15" hidden="false" customHeight="false" outlineLevel="0" collapsed="false">
      <c r="A2112" s="7" t="s">
        <v>7168</v>
      </c>
      <c r="B2112" s="7" t="s">
        <v>3472</v>
      </c>
      <c r="C2112" s="7" t="s">
        <v>3475</v>
      </c>
      <c r="D2112" s="7" t="n">
        <v>2218</v>
      </c>
      <c r="E2112" s="7" t="s">
        <v>50</v>
      </c>
      <c r="F2112" s="7" t="n">
        <v>-33.96826632</v>
      </c>
      <c r="G2112" s="7" t="n">
        <v>151.1243369</v>
      </c>
      <c r="H2112" s="7" t="s">
        <v>2786</v>
      </c>
    </row>
    <row r="2113" customFormat="false" ht="15" hidden="false" customHeight="false" outlineLevel="0" collapsed="false">
      <c r="A2113" s="7" t="s">
        <v>7168</v>
      </c>
      <c r="B2113" s="7" t="s">
        <v>3478</v>
      </c>
      <c r="C2113" s="7" t="s">
        <v>3481</v>
      </c>
      <c r="D2113" s="7" t="n">
        <v>2163</v>
      </c>
      <c r="E2113" s="7" t="s">
        <v>50</v>
      </c>
      <c r="F2113" s="7" t="n">
        <v>-33.88431779</v>
      </c>
      <c r="G2113" s="7" t="n">
        <v>150.9615486</v>
      </c>
      <c r="H2113" s="7" t="s">
        <v>2806</v>
      </c>
    </row>
    <row r="2114" customFormat="false" ht="15" hidden="false" customHeight="false" outlineLevel="0" collapsed="false">
      <c r="A2114" s="7" t="s">
        <v>7168</v>
      </c>
      <c r="B2114" s="7" t="s">
        <v>3484</v>
      </c>
      <c r="C2114" s="7" t="s">
        <v>3487</v>
      </c>
      <c r="D2114" s="7" t="n">
        <v>2711</v>
      </c>
      <c r="E2114" s="7" t="s">
        <v>50</v>
      </c>
      <c r="F2114" s="7" t="n">
        <v>-34.466659</v>
      </c>
      <c r="G2114" s="7" t="n">
        <v>145.416181</v>
      </c>
      <c r="H2114" s="7" t="s">
        <v>2718</v>
      </c>
    </row>
    <row r="2115" customFormat="false" ht="15" hidden="false" customHeight="false" outlineLevel="0" collapsed="false">
      <c r="A2115" s="7" t="s">
        <v>7168</v>
      </c>
      <c r="B2115" s="7" t="s">
        <v>3488</v>
      </c>
      <c r="C2115" s="7" t="s">
        <v>3491</v>
      </c>
      <c r="D2115" s="7" t="n">
        <v>2340</v>
      </c>
      <c r="E2115" s="7" t="s">
        <v>50</v>
      </c>
      <c r="F2115" s="7" t="n">
        <v>-30.985528</v>
      </c>
      <c r="G2115" s="7" t="n">
        <v>150.445932</v>
      </c>
      <c r="H2115" s="7" t="s">
        <v>2718</v>
      </c>
    </row>
    <row r="2116" customFormat="false" ht="15" hidden="false" customHeight="false" outlineLevel="0" collapsed="false">
      <c r="A2116" s="7" t="s">
        <v>7168</v>
      </c>
      <c r="B2116" s="7" t="s">
        <v>3492</v>
      </c>
      <c r="C2116" s="7" t="s">
        <v>3495</v>
      </c>
      <c r="D2116" s="7" t="n">
        <v>2470</v>
      </c>
      <c r="E2116" s="7" t="s">
        <v>50</v>
      </c>
      <c r="F2116" s="7" t="n">
        <v>-28.860663</v>
      </c>
      <c r="G2116" s="7" t="n">
        <v>153.038275</v>
      </c>
      <c r="H2116" s="7" t="s">
        <v>2735</v>
      </c>
    </row>
    <row r="2117" customFormat="false" ht="15" hidden="false" customHeight="false" outlineLevel="0" collapsed="false">
      <c r="A2117" s="7" t="s">
        <v>7168</v>
      </c>
      <c r="B2117" s="7" t="s">
        <v>3497</v>
      </c>
      <c r="C2117" s="7" t="s">
        <v>3500</v>
      </c>
      <c r="D2117" s="7" t="n">
        <v>2154</v>
      </c>
      <c r="E2117" s="7" t="s">
        <v>50</v>
      </c>
      <c r="F2117" s="7" t="n">
        <v>-33.731485</v>
      </c>
      <c r="G2117" s="7" t="n">
        <v>151.007809</v>
      </c>
      <c r="H2117" s="7" t="s">
        <v>2982</v>
      </c>
    </row>
    <row r="2118" customFormat="false" ht="15" hidden="false" customHeight="false" outlineLevel="0" collapsed="false">
      <c r="A2118" s="7" t="s">
        <v>7168</v>
      </c>
      <c r="B2118" s="7" t="s">
        <v>3502</v>
      </c>
      <c r="C2118" s="7" t="s">
        <v>3505</v>
      </c>
      <c r="D2118" s="7" t="n">
        <v>2170</v>
      </c>
      <c r="E2118" s="7" t="s">
        <v>50</v>
      </c>
      <c r="F2118" s="7" t="n">
        <v>-33.94981838</v>
      </c>
      <c r="G2118" s="7" t="n">
        <v>150.911946</v>
      </c>
      <c r="H2118" s="7" t="s">
        <v>2806</v>
      </c>
    </row>
    <row r="2119" customFormat="false" ht="15" hidden="false" customHeight="false" outlineLevel="0" collapsed="false">
      <c r="A2119" s="7" t="s">
        <v>7168</v>
      </c>
      <c r="B2119" s="7" t="s">
        <v>3508</v>
      </c>
      <c r="C2119" s="7" t="s">
        <v>3511</v>
      </c>
      <c r="D2119" s="7" t="n">
        <v>2000</v>
      </c>
      <c r="E2119" s="7" t="s">
        <v>50</v>
      </c>
      <c r="F2119" s="7" t="n">
        <v>-33.88388163</v>
      </c>
      <c r="G2119" s="7" t="n">
        <v>151.2058293</v>
      </c>
      <c r="H2119" s="7" t="s">
        <v>3512</v>
      </c>
    </row>
    <row r="2120" customFormat="false" ht="15" hidden="false" customHeight="false" outlineLevel="0" collapsed="false">
      <c r="A2120" s="7" t="s">
        <v>7168</v>
      </c>
      <c r="B2120" s="7" t="s">
        <v>3516</v>
      </c>
      <c r="C2120" s="7" t="s">
        <v>3519</v>
      </c>
      <c r="D2120" s="7" t="n">
        <v>2848</v>
      </c>
      <c r="E2120" s="7" t="s">
        <v>50</v>
      </c>
      <c r="F2120" s="7" t="n">
        <v>-32.880988</v>
      </c>
      <c r="G2120" s="7" t="n">
        <v>149.965112</v>
      </c>
      <c r="H2120" s="7" t="s">
        <v>2718</v>
      </c>
    </row>
    <row r="2121" customFormat="false" ht="15" hidden="false" customHeight="false" outlineLevel="0" collapsed="false">
      <c r="A2121" s="7" t="s">
        <v>7168</v>
      </c>
      <c r="B2121" s="7" t="s">
        <v>3520</v>
      </c>
      <c r="C2121" s="7" t="s">
        <v>3523</v>
      </c>
      <c r="D2121" s="7" t="n">
        <v>2067</v>
      </c>
      <c r="E2121" s="7" t="s">
        <v>50</v>
      </c>
      <c r="F2121" s="7" t="n">
        <v>-33.79713406</v>
      </c>
      <c r="G2121" s="7" t="n">
        <v>151.1808207</v>
      </c>
      <c r="H2121" s="7" t="s">
        <v>3524</v>
      </c>
    </row>
    <row r="2122" customFormat="false" ht="15" hidden="false" customHeight="false" outlineLevel="0" collapsed="false">
      <c r="A2122" s="7" t="s">
        <v>7168</v>
      </c>
      <c r="B2122" s="7" t="s">
        <v>3528</v>
      </c>
      <c r="C2122" s="7" t="s">
        <v>3531</v>
      </c>
      <c r="D2122" s="7" t="n">
        <v>2469</v>
      </c>
      <c r="E2122" s="7" t="s">
        <v>50</v>
      </c>
      <c r="F2122" s="7" t="n">
        <v>-29.381595</v>
      </c>
      <c r="G2122" s="7" t="n">
        <v>153.233697</v>
      </c>
      <c r="H2122" s="7" t="s">
        <v>2718</v>
      </c>
    </row>
    <row r="2123" customFormat="false" ht="15" hidden="false" customHeight="false" outlineLevel="0" collapsed="false">
      <c r="A2123" s="7" t="s">
        <v>7168</v>
      </c>
      <c r="B2123" s="7" t="s">
        <v>3532</v>
      </c>
      <c r="C2123" s="7" t="s">
        <v>3535</v>
      </c>
      <c r="D2123" s="7" t="n">
        <v>2119</v>
      </c>
      <c r="E2123" s="7" t="s">
        <v>50</v>
      </c>
      <c r="F2123" s="7" t="n">
        <v>-33.75586837</v>
      </c>
      <c r="G2123" s="7" t="n">
        <v>151.0788513</v>
      </c>
      <c r="H2123" s="7" t="s">
        <v>2806</v>
      </c>
    </row>
    <row r="2124" customFormat="false" ht="15" hidden="false" customHeight="false" outlineLevel="0" collapsed="false">
      <c r="A2124" s="7" t="s">
        <v>7168</v>
      </c>
      <c r="B2124" s="7" t="s">
        <v>3537</v>
      </c>
      <c r="C2124" s="7" t="s">
        <v>3540</v>
      </c>
      <c r="D2124" s="7" t="n">
        <v>2126</v>
      </c>
      <c r="E2124" s="7" t="s">
        <v>50</v>
      </c>
      <c r="F2124" s="7" t="n">
        <v>-33.736703</v>
      </c>
      <c r="G2124" s="7" t="n">
        <v>151.031977</v>
      </c>
      <c r="H2124" s="7" t="s">
        <v>2982</v>
      </c>
    </row>
    <row r="2125" customFormat="false" ht="15" hidden="false" customHeight="false" outlineLevel="0" collapsed="false">
      <c r="A2125" s="7" t="s">
        <v>7168</v>
      </c>
      <c r="B2125" s="7" t="s">
        <v>3542</v>
      </c>
      <c r="C2125" s="7" t="s">
        <v>3545</v>
      </c>
      <c r="D2125" s="7" t="n">
        <v>2162</v>
      </c>
      <c r="E2125" s="7" t="s">
        <v>50</v>
      </c>
      <c r="F2125" s="7" t="n">
        <v>-33.8835435</v>
      </c>
      <c r="G2125" s="7" t="n">
        <v>150.9994456</v>
      </c>
      <c r="H2125" s="7" t="s">
        <v>2786</v>
      </c>
    </row>
    <row r="2126" customFormat="false" ht="15" hidden="false" customHeight="false" outlineLevel="0" collapsed="false">
      <c r="A2126" s="7" t="s">
        <v>7168</v>
      </c>
      <c r="B2126" s="7" t="s">
        <v>3548</v>
      </c>
      <c r="C2126" s="7" t="s">
        <v>3551</v>
      </c>
      <c r="D2126" s="7" t="n">
        <v>2145</v>
      </c>
      <c r="E2126" s="7" t="s">
        <v>50</v>
      </c>
      <c r="F2126" s="7" t="n">
        <v>-33.802589</v>
      </c>
      <c r="G2126" s="7" t="n">
        <v>150.993036</v>
      </c>
      <c r="H2126" s="7" t="s">
        <v>2769</v>
      </c>
    </row>
    <row r="2127" customFormat="false" ht="15" hidden="false" customHeight="false" outlineLevel="0" collapsed="false">
      <c r="A2127" s="7" t="s">
        <v>7168</v>
      </c>
      <c r="B2127" s="7" t="s">
        <v>3553</v>
      </c>
      <c r="C2127" s="7" t="s">
        <v>3556</v>
      </c>
      <c r="D2127" s="7" t="n">
        <v>2000</v>
      </c>
      <c r="E2127" s="7" t="s">
        <v>50</v>
      </c>
      <c r="F2127" s="7" t="n">
        <v>-33.878579</v>
      </c>
      <c r="G2127" s="7" t="n">
        <v>151.205567</v>
      </c>
      <c r="H2127" s="7" t="s">
        <v>3262</v>
      </c>
    </row>
    <row r="2128" customFormat="false" ht="15" hidden="false" customHeight="false" outlineLevel="0" collapsed="false">
      <c r="A2128" s="7" t="s">
        <v>7168</v>
      </c>
      <c r="B2128" s="7" t="s">
        <v>3557</v>
      </c>
      <c r="C2128" s="7" t="s">
        <v>3560</v>
      </c>
      <c r="D2128" s="7" t="n">
        <v>2487</v>
      </c>
      <c r="E2128" s="7" t="s">
        <v>50</v>
      </c>
      <c r="F2128" s="7" t="n">
        <v>-28.233483</v>
      </c>
      <c r="G2128" s="7" t="n">
        <v>153.555962</v>
      </c>
      <c r="H2128" s="7" t="s">
        <v>2718</v>
      </c>
    </row>
    <row r="2129" customFormat="false" ht="15" hidden="false" customHeight="false" outlineLevel="0" collapsed="false">
      <c r="A2129" s="7" t="s">
        <v>7168</v>
      </c>
      <c r="B2129" s="7" t="s">
        <v>3561</v>
      </c>
      <c r="C2129" s="7" t="s">
        <v>3564</v>
      </c>
      <c r="D2129" s="7" t="n">
        <v>2046</v>
      </c>
      <c r="E2129" s="7" t="s">
        <v>50</v>
      </c>
      <c r="F2129" s="7" t="n">
        <v>-33.84554855</v>
      </c>
      <c r="G2129" s="7" t="n">
        <v>151.1417808</v>
      </c>
      <c r="H2129" s="7" t="s">
        <v>2693</v>
      </c>
    </row>
    <row r="2130" customFormat="false" ht="15" hidden="false" customHeight="false" outlineLevel="0" collapsed="false">
      <c r="A2130" s="7" t="s">
        <v>7168</v>
      </c>
      <c r="B2130" s="7" t="s">
        <v>3566</v>
      </c>
      <c r="C2130" s="7" t="s">
        <v>3569</v>
      </c>
      <c r="D2130" s="7" t="n">
        <v>2150</v>
      </c>
      <c r="E2130" s="7" t="s">
        <v>50</v>
      </c>
      <c r="F2130" s="7" t="n">
        <v>-33.812947</v>
      </c>
      <c r="G2130" s="7" t="n">
        <v>151.003617</v>
      </c>
      <c r="H2130" s="7" t="s">
        <v>2769</v>
      </c>
    </row>
    <row r="2131" customFormat="false" ht="15" hidden="false" customHeight="false" outlineLevel="0" collapsed="false">
      <c r="A2131" s="7" t="s">
        <v>7168</v>
      </c>
      <c r="B2131" s="7" t="s">
        <v>3571</v>
      </c>
      <c r="C2131" s="7" t="s">
        <v>3574</v>
      </c>
      <c r="D2131" s="7" t="n">
        <v>2000</v>
      </c>
      <c r="E2131" s="7" t="s">
        <v>50</v>
      </c>
      <c r="F2131" s="7" t="n">
        <v>-33.86132358</v>
      </c>
      <c r="G2131" s="7" t="n">
        <v>151.2103898</v>
      </c>
      <c r="H2131" s="7" t="s">
        <v>3575</v>
      </c>
    </row>
    <row r="2132" customFormat="false" ht="15" hidden="false" customHeight="false" outlineLevel="0" collapsed="false">
      <c r="A2132" s="7" t="s">
        <v>7168</v>
      </c>
      <c r="B2132" s="7" t="s">
        <v>3578</v>
      </c>
      <c r="C2132" s="7" t="s">
        <v>3581</v>
      </c>
      <c r="D2132" s="7" t="n">
        <v>2300</v>
      </c>
      <c r="E2132" s="7" t="s">
        <v>50</v>
      </c>
      <c r="F2132" s="7" t="n">
        <v>-32.927024</v>
      </c>
      <c r="G2132" s="7" t="n">
        <v>151.771687</v>
      </c>
      <c r="H2132" s="7" t="s">
        <v>2769</v>
      </c>
    </row>
    <row r="2133" customFormat="false" ht="15" hidden="false" customHeight="false" outlineLevel="0" collapsed="false">
      <c r="A2133" s="7" t="s">
        <v>7168</v>
      </c>
      <c r="B2133" s="7" t="s">
        <v>3584</v>
      </c>
      <c r="C2133" s="7" t="s">
        <v>3587</v>
      </c>
      <c r="D2133" s="7" t="n">
        <v>2848</v>
      </c>
      <c r="E2133" s="7" t="s">
        <v>50</v>
      </c>
      <c r="F2133" s="7" t="n">
        <v>-32.903535</v>
      </c>
      <c r="G2133" s="7" t="n">
        <v>149.946374</v>
      </c>
      <c r="H2133" s="7" t="s">
        <v>2718</v>
      </c>
    </row>
    <row r="2134" customFormat="false" ht="15" hidden="false" customHeight="false" outlineLevel="0" collapsed="false">
      <c r="A2134" s="7" t="s">
        <v>7168</v>
      </c>
      <c r="B2134" s="7" t="s">
        <v>3588</v>
      </c>
      <c r="C2134" s="7" t="s">
        <v>3591</v>
      </c>
      <c r="D2134" s="7" t="n">
        <v>2756</v>
      </c>
      <c r="E2134" s="7" t="s">
        <v>50</v>
      </c>
      <c r="F2134" s="7" t="n">
        <v>-33.60895245</v>
      </c>
      <c r="G2134" s="7" t="n">
        <v>150.7885628</v>
      </c>
      <c r="H2134" s="7" t="s">
        <v>2806</v>
      </c>
    </row>
    <row r="2135" customFormat="false" ht="15" hidden="false" customHeight="false" outlineLevel="0" collapsed="false">
      <c r="A2135" s="7" t="s">
        <v>7168</v>
      </c>
      <c r="B2135" s="7" t="s">
        <v>3594</v>
      </c>
      <c r="C2135" s="7" t="s">
        <v>3597</v>
      </c>
      <c r="D2135" s="7" t="n">
        <v>2480</v>
      </c>
      <c r="E2135" s="7" t="s">
        <v>50</v>
      </c>
      <c r="F2135" s="7" t="n">
        <v>-28.731116</v>
      </c>
      <c r="G2135" s="7" t="n">
        <v>153.405844</v>
      </c>
      <c r="H2135" s="7" t="s">
        <v>2718</v>
      </c>
    </row>
    <row r="2136" customFormat="false" ht="15" hidden="false" customHeight="false" outlineLevel="0" collapsed="false">
      <c r="A2136" s="7" t="s">
        <v>7168</v>
      </c>
      <c r="B2136" s="7" t="s">
        <v>3598</v>
      </c>
      <c r="C2136" s="7" t="s">
        <v>3601</v>
      </c>
      <c r="D2136" s="7" t="n">
        <v>2142</v>
      </c>
      <c r="E2136" s="7" t="s">
        <v>50</v>
      </c>
      <c r="F2136" s="7" t="n">
        <v>-33.83628176</v>
      </c>
      <c r="G2136" s="7" t="n">
        <v>151.0174895</v>
      </c>
      <c r="H2136" s="7" t="s">
        <v>2806</v>
      </c>
    </row>
    <row r="2137" customFormat="false" ht="15" hidden="false" customHeight="false" outlineLevel="0" collapsed="false">
      <c r="A2137" s="7" t="s">
        <v>7168</v>
      </c>
      <c r="B2137" s="7" t="s">
        <v>3605</v>
      </c>
      <c r="C2137" s="7" t="s">
        <v>3608</v>
      </c>
      <c r="D2137" s="7" t="n">
        <v>2508</v>
      </c>
      <c r="E2137" s="7" t="s">
        <v>50</v>
      </c>
      <c r="F2137" s="7" t="n">
        <v>-34.24225043</v>
      </c>
      <c r="G2137" s="7" t="n">
        <v>150.9772427</v>
      </c>
      <c r="H2137" s="7" t="s">
        <v>2710</v>
      </c>
    </row>
    <row r="2138" customFormat="false" ht="15" hidden="false" customHeight="false" outlineLevel="0" collapsed="false">
      <c r="A2138" s="7" t="s">
        <v>7168</v>
      </c>
      <c r="B2138" s="7" t="s">
        <v>3611</v>
      </c>
      <c r="C2138" s="7" t="s">
        <v>3614</v>
      </c>
      <c r="D2138" s="7" t="n">
        <v>2835</v>
      </c>
      <c r="E2138" s="7" t="s">
        <v>50</v>
      </c>
      <c r="F2138" s="7" t="n">
        <v>-31.498306</v>
      </c>
      <c r="G2138" s="7" t="n">
        <v>145.83831</v>
      </c>
      <c r="H2138" s="7" t="s">
        <v>3615</v>
      </c>
    </row>
    <row r="2139" customFormat="false" ht="15" hidden="false" customHeight="false" outlineLevel="0" collapsed="false">
      <c r="A2139" s="7" t="s">
        <v>7168</v>
      </c>
      <c r="B2139" s="7" t="s">
        <v>3616</v>
      </c>
      <c r="C2139" s="7" t="s">
        <v>3619</v>
      </c>
      <c r="D2139" s="7" t="n">
        <v>2347</v>
      </c>
      <c r="E2139" s="7" t="s">
        <v>50</v>
      </c>
      <c r="F2139" s="7" t="n">
        <v>-30.230845</v>
      </c>
      <c r="G2139" s="7" t="n">
        <v>150.577905</v>
      </c>
      <c r="H2139" s="7" t="s">
        <v>2718</v>
      </c>
    </row>
    <row r="2140" customFormat="false" ht="15" hidden="false" customHeight="false" outlineLevel="0" collapsed="false">
      <c r="A2140" s="7" t="s">
        <v>7168</v>
      </c>
      <c r="B2140" s="7" t="s">
        <v>3620</v>
      </c>
      <c r="C2140" s="7" t="s">
        <v>3623</v>
      </c>
      <c r="D2140" s="7" t="n">
        <v>3644</v>
      </c>
      <c r="E2140" s="7" t="s">
        <v>50</v>
      </c>
      <c r="F2140" s="7" t="n">
        <v>-35.920883</v>
      </c>
      <c r="G2140" s="7" t="n">
        <v>145.645189</v>
      </c>
      <c r="H2140" s="7" t="s">
        <v>2718</v>
      </c>
    </row>
    <row r="2141" customFormat="false" ht="15" hidden="false" customHeight="false" outlineLevel="0" collapsed="false">
      <c r="A2141" s="7" t="s">
        <v>7168</v>
      </c>
      <c r="B2141" s="7" t="s">
        <v>3624</v>
      </c>
      <c r="C2141" s="7" t="s">
        <v>3627</v>
      </c>
      <c r="D2141" s="7" t="n">
        <v>2041</v>
      </c>
      <c r="E2141" s="7" t="s">
        <v>3628</v>
      </c>
      <c r="F2141" s="7" t="n">
        <v>-33.84559502</v>
      </c>
      <c r="G2141" s="7" t="n">
        <v>151.1732389</v>
      </c>
      <c r="H2141" s="7" t="s">
        <v>2852</v>
      </c>
    </row>
    <row r="2142" customFormat="false" ht="15" hidden="false" customHeight="false" outlineLevel="0" collapsed="false">
      <c r="A2142" s="7" t="s">
        <v>7168</v>
      </c>
      <c r="B2142" s="7" t="s">
        <v>3629</v>
      </c>
      <c r="C2142" s="7" t="s">
        <v>3632</v>
      </c>
      <c r="D2142" s="7" t="n">
        <v>2284</v>
      </c>
      <c r="E2142" s="7" t="s">
        <v>50</v>
      </c>
      <c r="F2142" s="7" t="n">
        <v>-32.94270992</v>
      </c>
      <c r="G2142" s="7" t="n">
        <v>151.6233813</v>
      </c>
      <c r="H2142" s="7" t="s">
        <v>2710</v>
      </c>
    </row>
    <row r="2143" customFormat="false" ht="15" hidden="false" customHeight="false" outlineLevel="0" collapsed="false">
      <c r="A2143" s="7" t="s">
        <v>7168</v>
      </c>
      <c r="B2143" s="7" t="s">
        <v>3634</v>
      </c>
      <c r="C2143" s="7" t="s">
        <v>3637</v>
      </c>
      <c r="D2143" s="7" t="n">
        <v>2450</v>
      </c>
      <c r="E2143" s="7" t="s">
        <v>50</v>
      </c>
      <c r="F2143" s="7" t="n">
        <v>-30.298868</v>
      </c>
      <c r="G2143" s="7" t="n">
        <v>153.111773</v>
      </c>
      <c r="H2143" s="7" t="s">
        <v>2718</v>
      </c>
    </row>
    <row r="2144" customFormat="false" ht="15" hidden="false" customHeight="false" outlineLevel="0" collapsed="false">
      <c r="A2144" s="7" t="s">
        <v>7168</v>
      </c>
      <c r="B2144" s="7" t="s">
        <v>3638</v>
      </c>
      <c r="C2144" s="7" t="s">
        <v>3641</v>
      </c>
      <c r="D2144" s="7" t="n">
        <v>2450</v>
      </c>
      <c r="E2144" s="7" t="s">
        <v>50</v>
      </c>
      <c r="F2144" s="7" t="n">
        <v>-30.3052</v>
      </c>
      <c r="G2144" s="7" t="n">
        <v>153.138175</v>
      </c>
      <c r="H2144" s="7" t="s">
        <v>2793</v>
      </c>
    </row>
    <row r="2145" customFormat="false" ht="15" hidden="false" customHeight="false" outlineLevel="0" collapsed="false">
      <c r="A2145" s="7" t="s">
        <v>7168</v>
      </c>
      <c r="B2145" s="7" t="s">
        <v>3642</v>
      </c>
      <c r="C2145" s="7" t="s">
        <v>3645</v>
      </c>
      <c r="D2145" s="7" t="n">
        <v>2515</v>
      </c>
      <c r="E2145" s="7" t="s">
        <v>50</v>
      </c>
      <c r="F2145" s="7" t="n">
        <v>-34.28938913</v>
      </c>
      <c r="G2145" s="7" t="n">
        <v>150.9433353</v>
      </c>
      <c r="H2145" s="7" t="s">
        <v>2793</v>
      </c>
    </row>
    <row r="2146" customFormat="false" ht="15" hidden="false" customHeight="false" outlineLevel="0" collapsed="false">
      <c r="A2146" s="7" t="s">
        <v>7168</v>
      </c>
      <c r="B2146" s="7" t="s">
        <v>3646</v>
      </c>
      <c r="C2146" s="7" t="s">
        <v>3649</v>
      </c>
      <c r="D2146" s="7" t="n">
        <v>2097</v>
      </c>
      <c r="E2146" s="7" t="s">
        <v>50</v>
      </c>
      <c r="F2146" s="7" t="n">
        <v>-33.731811</v>
      </c>
      <c r="G2146" s="7" t="n">
        <v>151.301239</v>
      </c>
      <c r="H2146" s="7" t="s">
        <v>3439</v>
      </c>
    </row>
    <row r="2147" customFormat="false" ht="15" hidden="false" customHeight="false" outlineLevel="0" collapsed="false">
      <c r="A2147" s="7" t="s">
        <v>7168</v>
      </c>
      <c r="B2147" s="7" t="s">
        <v>3651</v>
      </c>
      <c r="C2147" s="7" t="s">
        <v>3654</v>
      </c>
      <c r="D2147" s="7" t="n">
        <v>2226</v>
      </c>
      <c r="E2147" s="7" t="s">
        <v>50</v>
      </c>
      <c r="F2147" s="7" t="n">
        <v>-34.00426616</v>
      </c>
      <c r="G2147" s="7" t="n">
        <v>151.0679988</v>
      </c>
      <c r="H2147" s="7" t="s">
        <v>2806</v>
      </c>
    </row>
    <row r="2148" customFormat="false" ht="15" hidden="false" customHeight="false" outlineLevel="0" collapsed="false">
      <c r="A2148" s="7" t="s">
        <v>7168</v>
      </c>
      <c r="B2148" s="7" t="s">
        <v>3657</v>
      </c>
      <c r="C2148" s="7" t="s">
        <v>3660</v>
      </c>
      <c r="D2148" s="7" t="n">
        <v>2138</v>
      </c>
      <c r="E2148" s="7" t="s">
        <v>50</v>
      </c>
      <c r="F2148" s="7" t="n">
        <v>-33.84873998</v>
      </c>
      <c r="G2148" s="7" t="n">
        <v>151.0856262</v>
      </c>
      <c r="H2148" s="7" t="s">
        <v>2806</v>
      </c>
    </row>
    <row r="2149" customFormat="false" ht="15" hidden="false" customHeight="false" outlineLevel="0" collapsed="false">
      <c r="A2149" s="7" t="s">
        <v>7168</v>
      </c>
      <c r="B2149" s="7" t="s">
        <v>3663</v>
      </c>
      <c r="C2149" s="7" t="s">
        <v>3666</v>
      </c>
      <c r="D2149" s="7" t="n">
        <v>2877</v>
      </c>
      <c r="E2149" s="7" t="s">
        <v>50</v>
      </c>
      <c r="F2149" s="7" t="n">
        <v>-33.08391</v>
      </c>
      <c r="G2149" s="7" t="n">
        <v>147.153285</v>
      </c>
      <c r="H2149" s="7" t="s">
        <v>2806</v>
      </c>
    </row>
    <row r="2150" customFormat="false" ht="15" hidden="false" customHeight="false" outlineLevel="0" collapsed="false">
      <c r="A2150" s="7" t="s">
        <v>7168</v>
      </c>
      <c r="B2150" s="7" t="s">
        <v>3668</v>
      </c>
      <c r="C2150" s="7" t="s">
        <v>3671</v>
      </c>
      <c r="D2150" s="7" t="n">
        <v>2877</v>
      </c>
      <c r="E2150" s="7" t="s">
        <v>50</v>
      </c>
      <c r="F2150" s="7" t="n">
        <v>-33.090038</v>
      </c>
      <c r="G2150" s="7" t="n">
        <v>147.147115</v>
      </c>
      <c r="H2150" s="7" t="s">
        <v>2718</v>
      </c>
    </row>
    <row r="2151" customFormat="false" ht="15" hidden="false" customHeight="false" outlineLevel="0" collapsed="false">
      <c r="A2151" s="7" t="s">
        <v>7168</v>
      </c>
      <c r="B2151" s="7" t="s">
        <v>3672</v>
      </c>
      <c r="C2151" s="7" t="s">
        <v>3675</v>
      </c>
      <c r="D2151" s="7" t="n">
        <v>2500</v>
      </c>
      <c r="E2151" s="7" t="s">
        <v>50</v>
      </c>
      <c r="F2151" s="7" t="n">
        <v>-34.43745489</v>
      </c>
      <c r="G2151" s="7" t="n">
        <v>150.8855292</v>
      </c>
      <c r="H2151" s="7" t="s">
        <v>2786</v>
      </c>
    </row>
    <row r="2152" customFormat="false" ht="15" hidden="false" customHeight="false" outlineLevel="0" collapsed="false">
      <c r="A2152" s="7" t="s">
        <v>7168</v>
      </c>
      <c r="B2152" s="7" t="s">
        <v>3678</v>
      </c>
      <c r="C2152" s="7" t="s">
        <v>3681</v>
      </c>
      <c r="D2152" s="7" t="n">
        <v>2000</v>
      </c>
      <c r="E2152" s="7" t="s">
        <v>50</v>
      </c>
      <c r="F2152" s="7" t="n">
        <v>-33.87262846</v>
      </c>
      <c r="G2152" s="7" t="n">
        <v>151.198123</v>
      </c>
      <c r="H2152" s="7" t="s">
        <v>2769</v>
      </c>
    </row>
    <row r="2153" customFormat="false" ht="15" hidden="false" customHeight="false" outlineLevel="0" collapsed="false">
      <c r="A2153" s="7" t="s">
        <v>7168</v>
      </c>
      <c r="B2153" s="7" t="s">
        <v>3683</v>
      </c>
      <c r="C2153" s="7" t="s">
        <v>3686</v>
      </c>
      <c r="D2153" s="7" t="n">
        <v>2831</v>
      </c>
      <c r="E2153" s="7" t="s">
        <v>50</v>
      </c>
      <c r="F2153" s="7" t="n">
        <v>-31.027687</v>
      </c>
      <c r="G2153" s="7" t="n">
        <v>146.713126</v>
      </c>
      <c r="H2153" s="7" t="s">
        <v>2718</v>
      </c>
    </row>
    <row r="2154" customFormat="false" ht="15" hidden="false" customHeight="false" outlineLevel="0" collapsed="false">
      <c r="A2154" s="7" t="s">
        <v>7168</v>
      </c>
      <c r="B2154" s="7" t="s">
        <v>3687</v>
      </c>
      <c r="C2154" s="7" t="s">
        <v>3690</v>
      </c>
      <c r="D2154" s="7" t="n">
        <v>2727</v>
      </c>
      <c r="E2154" s="7" t="s">
        <v>50</v>
      </c>
      <c r="F2154" s="7" t="n">
        <v>-34.929046</v>
      </c>
      <c r="G2154" s="7" t="n">
        <v>148.166247</v>
      </c>
      <c r="H2154" s="7" t="s">
        <v>2718</v>
      </c>
    </row>
    <row r="2155" customFormat="false" ht="15" hidden="false" customHeight="false" outlineLevel="0" collapsed="false">
      <c r="A2155" s="7" t="s">
        <v>7168</v>
      </c>
      <c r="B2155" s="7" t="s">
        <v>3691</v>
      </c>
      <c r="C2155" s="7" t="s">
        <v>3694</v>
      </c>
      <c r="D2155" s="7" t="n">
        <v>2843</v>
      </c>
      <c r="E2155" s="7" t="s">
        <v>50</v>
      </c>
      <c r="F2155" s="7" t="n">
        <v>-31.825022</v>
      </c>
      <c r="G2155" s="7" t="n">
        <v>149.718902</v>
      </c>
      <c r="H2155" s="7" t="s">
        <v>2718</v>
      </c>
    </row>
    <row r="2156" customFormat="false" ht="15" hidden="false" customHeight="false" outlineLevel="0" collapsed="false">
      <c r="A2156" s="7" t="s">
        <v>7168</v>
      </c>
      <c r="B2156" s="7" t="s">
        <v>3695</v>
      </c>
      <c r="C2156" s="7" t="s">
        <v>3698</v>
      </c>
      <c r="D2156" s="7" t="n">
        <v>2701</v>
      </c>
      <c r="E2156" s="7" t="s">
        <v>50</v>
      </c>
      <c r="F2156" s="7" t="n">
        <v>-34.816045</v>
      </c>
      <c r="G2156" s="7" t="n">
        <v>147.201858</v>
      </c>
      <c r="H2156" s="7" t="s">
        <v>2806</v>
      </c>
    </row>
    <row r="2157" customFormat="false" ht="15" hidden="false" customHeight="false" outlineLevel="0" collapsed="false">
      <c r="A2157" s="7" t="s">
        <v>7168</v>
      </c>
      <c r="B2157" s="7" t="s">
        <v>3700</v>
      </c>
      <c r="C2157" s="7" t="s">
        <v>3703</v>
      </c>
      <c r="D2157" s="7" t="n">
        <v>2630</v>
      </c>
      <c r="E2157" s="7" t="s">
        <v>50</v>
      </c>
      <c r="F2157" s="7" t="n">
        <v>-36.234146</v>
      </c>
      <c r="G2157" s="7" t="n">
        <v>149.126521</v>
      </c>
      <c r="H2157" s="7" t="s">
        <v>2718</v>
      </c>
    </row>
    <row r="2158" customFormat="false" ht="15" hidden="false" customHeight="false" outlineLevel="0" collapsed="false">
      <c r="A2158" s="7" t="s">
        <v>7168</v>
      </c>
      <c r="B2158" s="7" t="s">
        <v>3704</v>
      </c>
      <c r="C2158" s="7" t="s">
        <v>3707</v>
      </c>
      <c r="D2158" s="7" t="n">
        <v>2357</v>
      </c>
      <c r="E2158" s="7" t="s">
        <v>50</v>
      </c>
      <c r="F2158" s="7" t="n">
        <v>-31.279073</v>
      </c>
      <c r="G2158" s="7" t="n">
        <v>149.279362</v>
      </c>
      <c r="H2158" s="7" t="s">
        <v>2718</v>
      </c>
    </row>
    <row r="2159" customFormat="false" ht="15" hidden="false" customHeight="false" outlineLevel="0" collapsed="false">
      <c r="A2159" s="7" t="s">
        <v>7168</v>
      </c>
      <c r="B2159" s="7" t="s">
        <v>3708</v>
      </c>
      <c r="C2159" s="7" t="s">
        <v>3711</v>
      </c>
      <c r="D2159" s="7" t="n">
        <v>2829</v>
      </c>
      <c r="E2159" s="7" t="s">
        <v>50</v>
      </c>
      <c r="F2159" s="7" t="n">
        <v>-30.955843</v>
      </c>
      <c r="G2159" s="7" t="n">
        <v>148.389184</v>
      </c>
      <c r="H2159" s="7" t="s">
        <v>2718</v>
      </c>
    </row>
    <row r="2160" customFormat="false" ht="15" hidden="false" customHeight="false" outlineLevel="0" collapsed="false">
      <c r="A2160" s="7" t="s">
        <v>7168</v>
      </c>
      <c r="B2160" s="7" t="s">
        <v>3712</v>
      </c>
      <c r="C2160" s="7" t="s">
        <v>3715</v>
      </c>
      <c r="D2160" s="7" t="n">
        <v>2590</v>
      </c>
      <c r="E2160" s="7" t="s">
        <v>50</v>
      </c>
      <c r="F2160" s="7" t="n">
        <v>-34.641038</v>
      </c>
      <c r="G2160" s="7" t="n">
        <v>148.030649</v>
      </c>
      <c r="H2160" s="7" t="s">
        <v>2735</v>
      </c>
    </row>
    <row r="2161" customFormat="false" ht="15" hidden="false" customHeight="false" outlineLevel="0" collapsed="false">
      <c r="A2161" s="7" t="s">
        <v>7168</v>
      </c>
      <c r="B2161" s="7" t="s">
        <v>3717</v>
      </c>
      <c r="C2161" s="7" t="s">
        <v>3720</v>
      </c>
      <c r="D2161" s="7" t="n">
        <v>2646</v>
      </c>
      <c r="E2161" s="7" t="s">
        <v>50</v>
      </c>
      <c r="F2161" s="7" t="n">
        <v>-35.998779</v>
      </c>
      <c r="G2161" s="7" t="n">
        <v>146.391492</v>
      </c>
      <c r="H2161" s="7" t="s">
        <v>2718</v>
      </c>
    </row>
    <row r="2162" customFormat="false" ht="15" hidden="false" customHeight="false" outlineLevel="0" collapsed="false">
      <c r="A2162" s="7" t="s">
        <v>7168</v>
      </c>
      <c r="B2162" s="7" t="s">
        <v>3721</v>
      </c>
      <c r="C2162" s="7" t="s">
        <v>3724</v>
      </c>
      <c r="D2162" s="7" t="n">
        <v>2518</v>
      </c>
      <c r="E2162" s="7" t="s">
        <v>50</v>
      </c>
      <c r="F2162" s="7" t="n">
        <v>-34.37572692</v>
      </c>
      <c r="G2162" s="7" t="n">
        <v>150.9049716</v>
      </c>
      <c r="H2162" s="7" t="s">
        <v>2793</v>
      </c>
    </row>
    <row r="2163" customFormat="false" ht="15" hidden="false" customHeight="false" outlineLevel="0" collapsed="false">
      <c r="A2163" s="7" t="s">
        <v>7168</v>
      </c>
      <c r="B2163" s="7" t="s">
        <v>3728</v>
      </c>
      <c r="C2163" s="7" t="s">
        <v>3731</v>
      </c>
      <c r="D2163" s="7" t="n">
        <v>2081</v>
      </c>
      <c r="E2163" s="7" t="s">
        <v>50</v>
      </c>
      <c r="F2163" s="7" t="n">
        <v>-33.59310763</v>
      </c>
      <c r="G2163" s="7" t="n">
        <v>151.1717177</v>
      </c>
      <c r="H2163" s="7" t="s">
        <v>2806</v>
      </c>
    </row>
    <row r="2164" customFormat="false" ht="15" hidden="false" customHeight="false" outlineLevel="0" collapsed="false">
      <c r="A2164" s="7" t="s">
        <v>7168</v>
      </c>
      <c r="B2164" s="7" t="s">
        <v>3733</v>
      </c>
      <c r="C2164" s="7" t="s">
        <v>3736</v>
      </c>
      <c r="D2164" s="7" t="n">
        <v>2460</v>
      </c>
      <c r="E2164" s="7" t="s">
        <v>50</v>
      </c>
      <c r="F2164" s="7" t="n">
        <v>-29.573336</v>
      </c>
      <c r="G2164" s="7" t="n">
        <v>153.073751</v>
      </c>
      <c r="H2164" s="7" t="s">
        <v>2718</v>
      </c>
    </row>
    <row r="2165" customFormat="false" ht="15" hidden="false" customHeight="false" outlineLevel="0" collapsed="false">
      <c r="A2165" s="7" t="s">
        <v>7168</v>
      </c>
      <c r="B2165" s="7" t="s">
        <v>3737</v>
      </c>
      <c r="C2165" s="7" t="s">
        <v>3740</v>
      </c>
      <c r="D2165" s="7" t="n">
        <v>2794</v>
      </c>
      <c r="E2165" s="7" t="s">
        <v>50</v>
      </c>
      <c r="F2165" s="7" t="n">
        <v>-33.834717</v>
      </c>
      <c r="G2165" s="7" t="n">
        <v>148.688777</v>
      </c>
      <c r="H2165" s="7" t="s">
        <v>2718</v>
      </c>
    </row>
    <row r="2166" customFormat="false" ht="15" hidden="false" customHeight="false" outlineLevel="0" collapsed="false">
      <c r="A2166" s="7" t="s">
        <v>7168</v>
      </c>
      <c r="B2166" s="7" t="s">
        <v>3741</v>
      </c>
      <c r="C2166" s="7" t="s">
        <v>3744</v>
      </c>
      <c r="D2166" s="7" t="n">
        <v>2844</v>
      </c>
      <c r="E2166" s="7" t="s">
        <v>50</v>
      </c>
      <c r="F2166" s="7" t="n">
        <v>-32.03896</v>
      </c>
      <c r="G2166" s="7" t="n">
        <v>149.476512</v>
      </c>
      <c r="H2166" s="7" t="s">
        <v>2718</v>
      </c>
    </row>
    <row r="2167" customFormat="false" ht="15" hidden="false" customHeight="false" outlineLevel="0" collapsed="false">
      <c r="A2167" s="7" t="s">
        <v>7168</v>
      </c>
      <c r="B2167" s="7" t="s">
        <v>3745</v>
      </c>
      <c r="C2167" s="7" t="s">
        <v>3748</v>
      </c>
      <c r="D2167" s="7" t="n">
        <v>2422</v>
      </c>
      <c r="E2167" s="7" t="s">
        <v>50</v>
      </c>
      <c r="F2167" s="7" t="n">
        <v>-32.1575</v>
      </c>
      <c r="G2167" s="7" t="n">
        <v>151.9494</v>
      </c>
      <c r="H2167" s="7" t="s">
        <v>2718</v>
      </c>
    </row>
    <row r="2168" customFormat="false" ht="15" hidden="false" customHeight="false" outlineLevel="0" collapsed="false">
      <c r="A2168" s="7" t="s">
        <v>7168</v>
      </c>
      <c r="B2168" s="7" t="s">
        <v>3749</v>
      </c>
      <c r="C2168" s="7" t="s">
        <v>3752</v>
      </c>
      <c r="D2168" s="7" t="n">
        <v>2090</v>
      </c>
      <c r="E2168" s="7" t="s">
        <v>50</v>
      </c>
      <c r="F2168" s="7" t="n">
        <v>-33.84787838</v>
      </c>
      <c r="G2168" s="7" t="n">
        <v>151.2308584</v>
      </c>
      <c r="H2168" s="7" t="s">
        <v>2693</v>
      </c>
    </row>
    <row r="2169" customFormat="false" ht="15" hidden="false" customHeight="false" outlineLevel="0" collapsed="false">
      <c r="A2169" s="7" t="s">
        <v>7168</v>
      </c>
      <c r="B2169" s="7" t="s">
        <v>3754</v>
      </c>
      <c r="C2169" s="7" t="s">
        <v>3757</v>
      </c>
      <c r="D2169" s="7" t="n">
        <v>2505</v>
      </c>
      <c r="E2169" s="7" t="s">
        <v>50</v>
      </c>
      <c r="F2169" s="7" t="n">
        <v>-34.46717554</v>
      </c>
      <c r="G2169" s="7" t="n">
        <v>150.8784228</v>
      </c>
      <c r="H2169" s="7" t="s">
        <v>2710</v>
      </c>
    </row>
    <row r="2170" customFormat="false" ht="15" hidden="false" customHeight="false" outlineLevel="0" collapsed="false">
      <c r="A2170" s="7" t="s">
        <v>7168</v>
      </c>
      <c r="B2170" s="7" t="s">
        <v>3760</v>
      </c>
      <c r="C2170" s="7" t="s">
        <v>3763</v>
      </c>
      <c r="D2170" s="7" t="n">
        <v>2230</v>
      </c>
      <c r="E2170" s="7" t="s">
        <v>50</v>
      </c>
      <c r="F2170" s="7" t="n">
        <v>-34.05625171</v>
      </c>
      <c r="G2170" s="7" t="n">
        <v>151.1515424</v>
      </c>
      <c r="H2170" s="7" t="s">
        <v>3764</v>
      </c>
    </row>
    <row r="2171" customFormat="false" ht="15" hidden="false" customHeight="false" outlineLevel="0" collapsed="false">
      <c r="A2171" s="7" t="s">
        <v>7168</v>
      </c>
      <c r="B2171" s="7" t="s">
        <v>3767</v>
      </c>
      <c r="C2171" s="7" t="s">
        <v>3581</v>
      </c>
      <c r="D2171" s="7" t="n">
        <v>2300</v>
      </c>
      <c r="E2171" s="7" t="s">
        <v>50</v>
      </c>
      <c r="F2171" s="7" t="n">
        <v>-32.926418</v>
      </c>
      <c r="G2171" s="7" t="n">
        <v>151.77715</v>
      </c>
      <c r="H2171" s="7" t="s">
        <v>2769</v>
      </c>
    </row>
    <row r="2172" customFormat="false" ht="15" hidden="false" customHeight="false" outlineLevel="0" collapsed="false">
      <c r="A2172" s="7" t="s">
        <v>7168</v>
      </c>
      <c r="B2172" s="7" t="s">
        <v>3770</v>
      </c>
      <c r="C2172" s="7" t="s">
        <v>3773</v>
      </c>
      <c r="D2172" s="7" t="n">
        <v>2065</v>
      </c>
      <c r="E2172" s="7" t="s">
        <v>50</v>
      </c>
      <c r="F2172" s="7" t="n">
        <v>-33.825649</v>
      </c>
      <c r="G2172" s="7" t="n">
        <v>151.19919</v>
      </c>
      <c r="H2172" s="7" t="s">
        <v>2982</v>
      </c>
    </row>
    <row r="2173" customFormat="false" ht="15" hidden="false" customHeight="false" outlineLevel="0" collapsed="false">
      <c r="A2173" s="7" t="s">
        <v>7168</v>
      </c>
      <c r="B2173" s="7" t="s">
        <v>3774</v>
      </c>
      <c r="C2173" s="7" t="s">
        <v>3777</v>
      </c>
      <c r="D2173" s="7" t="n">
        <v>2132</v>
      </c>
      <c r="E2173" s="7" t="s">
        <v>50</v>
      </c>
      <c r="F2173" s="7" t="n">
        <v>-33.88323425</v>
      </c>
      <c r="G2173" s="7" t="n">
        <v>151.1154882</v>
      </c>
      <c r="H2173" s="7" t="s">
        <v>2806</v>
      </c>
    </row>
    <row r="2174" customFormat="false" ht="15" hidden="false" customHeight="false" outlineLevel="0" collapsed="false">
      <c r="A2174" s="7" t="s">
        <v>7168</v>
      </c>
      <c r="B2174" s="7" t="s">
        <v>3779</v>
      </c>
      <c r="C2174" s="7" t="s">
        <v>3782</v>
      </c>
      <c r="D2174" s="7" t="n">
        <v>2864</v>
      </c>
      <c r="E2174" s="7" t="s">
        <v>50</v>
      </c>
      <c r="F2174" s="7" t="n">
        <v>-33.286363</v>
      </c>
      <c r="G2174" s="7" t="n">
        <v>148.739524</v>
      </c>
      <c r="H2174" s="7" t="s">
        <v>2718</v>
      </c>
    </row>
    <row r="2175" customFormat="false" ht="15" hidden="false" customHeight="false" outlineLevel="0" collapsed="false">
      <c r="A2175" s="7" t="s">
        <v>7168</v>
      </c>
      <c r="B2175" s="7" t="s">
        <v>3783</v>
      </c>
      <c r="C2175" s="7" t="s">
        <v>3786</v>
      </c>
      <c r="D2175" s="7" t="n">
        <v>2660</v>
      </c>
      <c r="E2175" s="7" t="s">
        <v>50</v>
      </c>
      <c r="F2175" s="7" t="n">
        <v>-35.666107</v>
      </c>
      <c r="G2175" s="7" t="n">
        <v>147.038128</v>
      </c>
      <c r="H2175" s="7" t="s">
        <v>3269</v>
      </c>
    </row>
    <row r="2176" customFormat="false" ht="15" hidden="false" customHeight="false" outlineLevel="0" collapsed="false">
      <c r="A2176" s="7" t="s">
        <v>7168</v>
      </c>
      <c r="B2176" s="7" t="s">
        <v>3788</v>
      </c>
      <c r="C2176" s="7" t="s">
        <v>3791</v>
      </c>
      <c r="D2176" s="7" t="n">
        <v>2790</v>
      </c>
      <c r="E2176" s="7" t="s">
        <v>50</v>
      </c>
      <c r="F2176" s="7" t="n">
        <v>-33.299749</v>
      </c>
      <c r="G2176" s="7" t="n">
        <v>150.032939</v>
      </c>
      <c r="H2176" s="7" t="s">
        <v>2718</v>
      </c>
    </row>
    <row r="2177" customFormat="false" ht="15" hidden="false" customHeight="false" outlineLevel="0" collapsed="false">
      <c r="A2177" s="7" t="s">
        <v>7168</v>
      </c>
      <c r="B2177" s="7" t="s">
        <v>3792</v>
      </c>
      <c r="C2177" s="7" t="s">
        <v>3795</v>
      </c>
      <c r="D2177" s="7" t="n">
        <v>2628</v>
      </c>
      <c r="E2177" s="7" t="s">
        <v>50</v>
      </c>
      <c r="F2177" s="7" t="n">
        <v>-36.50329</v>
      </c>
      <c r="G2177" s="7" t="n">
        <v>148.834386</v>
      </c>
      <c r="H2177" s="7" t="s">
        <v>2718</v>
      </c>
    </row>
    <row r="2178" customFormat="false" ht="15" hidden="false" customHeight="false" outlineLevel="0" collapsed="false">
      <c r="A2178" s="7" t="s">
        <v>7168</v>
      </c>
      <c r="B2178" s="7" t="s">
        <v>3796</v>
      </c>
      <c r="C2178" s="7" t="s">
        <v>3799</v>
      </c>
      <c r="D2178" s="7" t="n">
        <v>2530</v>
      </c>
      <c r="E2178" s="7" t="s">
        <v>50</v>
      </c>
      <c r="F2178" s="7" t="n">
        <v>-34.49209044</v>
      </c>
      <c r="G2178" s="7" t="n">
        <v>150.7923283</v>
      </c>
      <c r="H2178" s="7" t="s">
        <v>2937</v>
      </c>
    </row>
    <row r="2179" customFormat="false" ht="15" hidden="false" customHeight="false" outlineLevel="0" collapsed="false">
      <c r="A2179" s="7" t="s">
        <v>7168</v>
      </c>
      <c r="B2179" s="7" t="s">
        <v>3802</v>
      </c>
      <c r="C2179" s="7" t="s">
        <v>3805</v>
      </c>
      <c r="D2179" s="7" t="n">
        <v>2000</v>
      </c>
      <c r="E2179" s="7" t="s">
        <v>50</v>
      </c>
      <c r="F2179" s="7" t="n">
        <v>-33.866467</v>
      </c>
      <c r="G2179" s="7" t="n">
        <v>151.201175</v>
      </c>
      <c r="H2179" s="7" t="s">
        <v>3806</v>
      </c>
    </row>
    <row r="2180" customFormat="false" ht="15" hidden="false" customHeight="false" outlineLevel="0" collapsed="false">
      <c r="A2180" s="7" t="s">
        <v>7168</v>
      </c>
      <c r="B2180" s="7" t="s">
        <v>3809</v>
      </c>
      <c r="C2180" s="7" t="s">
        <v>3812</v>
      </c>
      <c r="D2180" s="7" t="n">
        <v>2000</v>
      </c>
      <c r="E2180" s="7" t="s">
        <v>50</v>
      </c>
      <c r="F2180" s="7" t="n">
        <v>-33.86974</v>
      </c>
      <c r="G2180" s="7" t="n">
        <v>151.201214</v>
      </c>
      <c r="H2180" s="7" t="s">
        <v>2852</v>
      </c>
    </row>
    <row r="2181" customFormat="false" ht="15" hidden="false" customHeight="false" outlineLevel="0" collapsed="false">
      <c r="A2181" s="7" t="s">
        <v>7168</v>
      </c>
      <c r="B2181" s="7" t="s">
        <v>3813</v>
      </c>
      <c r="C2181" s="7" t="s">
        <v>3816</v>
      </c>
      <c r="D2181" s="7" t="n">
        <v>2000</v>
      </c>
      <c r="E2181" s="7" t="s">
        <v>50</v>
      </c>
      <c r="F2181" s="7" t="n">
        <v>-33.872469</v>
      </c>
      <c r="G2181" s="7" t="n">
        <v>151.199652</v>
      </c>
      <c r="H2181" s="7" t="s">
        <v>2852</v>
      </c>
    </row>
    <row r="2182" customFormat="false" ht="15" hidden="false" customHeight="false" outlineLevel="0" collapsed="false">
      <c r="A2182" s="7" t="s">
        <v>7168</v>
      </c>
      <c r="B2182" s="7" t="s">
        <v>3818</v>
      </c>
      <c r="C2182" s="7" t="s">
        <v>3812</v>
      </c>
      <c r="D2182" s="7" t="n">
        <v>2000</v>
      </c>
      <c r="E2182" s="7" t="s">
        <v>50</v>
      </c>
      <c r="F2182" s="7" t="n">
        <v>-33.870136</v>
      </c>
      <c r="G2182" s="7" t="n">
        <v>151.201881</v>
      </c>
      <c r="H2182" s="7" t="s">
        <v>2852</v>
      </c>
    </row>
    <row r="2183" customFormat="false" ht="15" hidden="false" customHeight="false" outlineLevel="0" collapsed="false">
      <c r="A2183" s="7" t="s">
        <v>7168</v>
      </c>
      <c r="B2183" s="7" t="s">
        <v>3822</v>
      </c>
      <c r="C2183" s="7" t="s">
        <v>3825</v>
      </c>
      <c r="D2183" s="7" t="n">
        <v>2027</v>
      </c>
      <c r="E2183" s="7" t="s">
        <v>50</v>
      </c>
      <c r="F2183" s="7" t="n">
        <v>-33.8664518</v>
      </c>
      <c r="G2183" s="7" t="n">
        <v>151.2394906</v>
      </c>
      <c r="H2183" s="7" t="s">
        <v>2852</v>
      </c>
    </row>
    <row r="2184" customFormat="false" ht="15" hidden="false" customHeight="false" outlineLevel="0" collapsed="false">
      <c r="A2184" s="7" t="s">
        <v>7168</v>
      </c>
      <c r="B2184" s="7" t="s">
        <v>3827</v>
      </c>
      <c r="C2184" s="7" t="s">
        <v>3830</v>
      </c>
      <c r="D2184" s="7" t="n">
        <v>2706</v>
      </c>
      <c r="E2184" s="7" t="s">
        <v>50</v>
      </c>
      <c r="F2184" s="7" t="n">
        <v>-34.567662</v>
      </c>
      <c r="G2184" s="7" t="n">
        <v>146.000244</v>
      </c>
      <c r="H2184" s="7" t="s">
        <v>2718</v>
      </c>
    </row>
    <row r="2185" customFormat="false" ht="15" hidden="false" customHeight="false" outlineLevel="0" collapsed="false">
      <c r="A2185" s="7" t="s">
        <v>7168</v>
      </c>
      <c r="B2185" s="7" t="s">
        <v>3831</v>
      </c>
      <c r="C2185" s="7" t="s">
        <v>3834</v>
      </c>
      <c r="D2185" s="7" t="n">
        <v>2878</v>
      </c>
      <c r="E2185" s="7" t="s">
        <v>50</v>
      </c>
      <c r="F2185" s="7" t="n">
        <v>-32.851214</v>
      </c>
      <c r="G2185" s="7" t="n">
        <v>143.624896</v>
      </c>
      <c r="H2185" s="7" t="s">
        <v>2806</v>
      </c>
    </row>
    <row r="2186" customFormat="false" ht="15" hidden="false" customHeight="false" outlineLevel="0" collapsed="false">
      <c r="A2186" s="7" t="s">
        <v>7168</v>
      </c>
      <c r="B2186" s="7" t="s">
        <v>3835</v>
      </c>
      <c r="C2186" s="7" t="s">
        <v>3838</v>
      </c>
      <c r="D2186" s="7" t="n">
        <v>2099</v>
      </c>
      <c r="E2186" s="7" t="s">
        <v>50</v>
      </c>
      <c r="F2186" s="7" t="n">
        <v>-33.752971</v>
      </c>
      <c r="G2186" s="7" t="n">
        <v>151.286433</v>
      </c>
      <c r="H2186" s="7" t="s">
        <v>3003</v>
      </c>
    </row>
    <row r="2187" customFormat="false" ht="15" hidden="false" customHeight="false" outlineLevel="0" collapsed="false">
      <c r="A2187" s="7" t="s">
        <v>7168</v>
      </c>
      <c r="B2187" s="7" t="s">
        <v>3840</v>
      </c>
      <c r="C2187" s="7" t="s">
        <v>3843</v>
      </c>
      <c r="D2187" s="7" t="n">
        <v>2371</v>
      </c>
      <c r="E2187" s="7" t="s">
        <v>50</v>
      </c>
      <c r="F2187" s="7" t="n">
        <v>-29.4383</v>
      </c>
      <c r="G2187" s="7" t="n">
        <v>151.8471</v>
      </c>
      <c r="H2187" s="7" t="s">
        <v>2718</v>
      </c>
    </row>
    <row r="2188" customFormat="false" ht="15" hidden="false" customHeight="false" outlineLevel="0" collapsed="false">
      <c r="A2188" s="7" t="s">
        <v>7168</v>
      </c>
      <c r="B2188" s="7" t="s">
        <v>3844</v>
      </c>
      <c r="C2188" s="7" t="s">
        <v>3847</v>
      </c>
      <c r="D2188" s="7" t="n">
        <v>2403</v>
      </c>
      <c r="E2188" s="7" t="s">
        <v>50</v>
      </c>
      <c r="F2188" s="7" t="n">
        <v>-29.654333</v>
      </c>
      <c r="G2188" s="7" t="n">
        <v>150.830022</v>
      </c>
      <c r="H2188" s="7" t="s">
        <v>2718</v>
      </c>
    </row>
    <row r="2189" customFormat="false" ht="15" hidden="false" customHeight="false" outlineLevel="0" collapsed="false">
      <c r="A2189" s="7" t="s">
        <v>7168</v>
      </c>
      <c r="B2189" s="7" t="s">
        <v>3848</v>
      </c>
      <c r="C2189" s="7" t="s">
        <v>3851</v>
      </c>
      <c r="D2189" s="7" t="n">
        <v>2710</v>
      </c>
      <c r="E2189" s="7" t="s">
        <v>50</v>
      </c>
      <c r="F2189" s="7" t="n">
        <v>-35.52882</v>
      </c>
      <c r="G2189" s="7" t="n">
        <v>144.96153</v>
      </c>
      <c r="H2189" s="7" t="s">
        <v>2718</v>
      </c>
    </row>
    <row r="2190" customFormat="false" ht="15" hidden="false" customHeight="false" outlineLevel="0" collapsed="false">
      <c r="A2190" s="7" t="s">
        <v>7168</v>
      </c>
      <c r="B2190" s="7" t="s">
        <v>3852</v>
      </c>
      <c r="C2190" s="7" t="s">
        <v>3855</v>
      </c>
      <c r="D2190" s="7" t="n">
        <v>2114</v>
      </c>
      <c r="E2190" s="7" t="s">
        <v>50</v>
      </c>
      <c r="F2190" s="7" t="n">
        <v>-33.79990618</v>
      </c>
      <c r="G2190" s="7" t="n">
        <v>151.0875503</v>
      </c>
      <c r="H2190" s="7" t="s">
        <v>2806</v>
      </c>
    </row>
    <row r="2191" customFormat="false" ht="15" hidden="false" customHeight="false" outlineLevel="0" collapsed="false">
      <c r="A2191" s="7" t="s">
        <v>7168</v>
      </c>
      <c r="B2191" s="7" t="s">
        <v>3858</v>
      </c>
      <c r="C2191" s="7" t="s">
        <v>3861</v>
      </c>
      <c r="D2191" s="7" t="n">
        <v>2877</v>
      </c>
      <c r="E2191" s="7" t="s">
        <v>50</v>
      </c>
      <c r="F2191" s="7" t="n">
        <v>-33.097654</v>
      </c>
      <c r="G2191" s="7" t="n">
        <v>147.335882</v>
      </c>
      <c r="H2191" s="7" t="s">
        <v>2718</v>
      </c>
    </row>
    <row r="2192" customFormat="false" ht="15" hidden="false" customHeight="false" outlineLevel="0" collapsed="false">
      <c r="A2192" s="7" t="s">
        <v>7168</v>
      </c>
      <c r="B2192" s="7" t="s">
        <v>3862</v>
      </c>
      <c r="C2192" s="7" t="s">
        <v>3865</v>
      </c>
      <c r="D2192" s="7" t="n">
        <v>2020</v>
      </c>
      <c r="E2192" s="7" t="s">
        <v>50</v>
      </c>
      <c r="F2192" s="7" t="n">
        <v>-33.93365963</v>
      </c>
      <c r="G2192" s="7" t="n">
        <v>151.1807857</v>
      </c>
      <c r="H2192" s="7" t="s">
        <v>2786</v>
      </c>
    </row>
    <row r="2193" customFormat="false" ht="15" hidden="false" customHeight="false" outlineLevel="0" collapsed="false">
      <c r="A2193" s="7" t="s">
        <v>7168</v>
      </c>
      <c r="B2193" s="7" t="s">
        <v>3869</v>
      </c>
      <c r="C2193" s="7" t="s">
        <v>3872</v>
      </c>
      <c r="D2193" s="7" t="n">
        <v>2767</v>
      </c>
      <c r="E2193" s="7" t="s">
        <v>50</v>
      </c>
      <c r="F2193" s="7" t="n">
        <v>-33.76398502</v>
      </c>
      <c r="G2193" s="7" t="n">
        <v>150.8683521</v>
      </c>
      <c r="H2193" s="7" t="s">
        <v>2786</v>
      </c>
    </row>
    <row r="2194" customFormat="false" ht="15" hidden="false" customHeight="false" outlineLevel="0" collapsed="false">
      <c r="A2194" s="7" t="s">
        <v>7168</v>
      </c>
      <c r="B2194" s="7" t="s">
        <v>3875</v>
      </c>
      <c r="C2194" s="7" t="s">
        <v>3878</v>
      </c>
      <c r="D2194" s="7" t="n">
        <v>2264</v>
      </c>
      <c r="E2194" s="7" t="s">
        <v>50</v>
      </c>
      <c r="F2194" s="7" t="n">
        <v>-33.08318747</v>
      </c>
      <c r="G2194" s="7" t="n">
        <v>151.5011621</v>
      </c>
      <c r="H2194" s="7" t="s">
        <v>2710</v>
      </c>
    </row>
    <row r="2195" customFormat="false" ht="15" hidden="false" customHeight="false" outlineLevel="0" collapsed="false">
      <c r="A2195" s="7" t="s">
        <v>7168</v>
      </c>
      <c r="B2195" s="7" t="s">
        <v>3879</v>
      </c>
      <c r="C2195" s="7" t="s">
        <v>3882</v>
      </c>
      <c r="D2195" s="7" t="n">
        <v>2028</v>
      </c>
      <c r="E2195" s="7" t="s">
        <v>50</v>
      </c>
      <c r="F2195" s="7" t="n">
        <v>-33.87334922</v>
      </c>
      <c r="G2195" s="7" t="n">
        <v>151.2425813</v>
      </c>
      <c r="H2195" s="7" t="s">
        <v>2852</v>
      </c>
    </row>
    <row r="2196" customFormat="false" ht="15" hidden="false" customHeight="false" outlineLevel="0" collapsed="false">
      <c r="A2196" s="7" t="s">
        <v>7168</v>
      </c>
      <c r="B2196" s="7" t="s">
        <v>3884</v>
      </c>
      <c r="C2196" s="7" t="s">
        <v>3887</v>
      </c>
      <c r="D2196" s="7" t="n">
        <v>2569</v>
      </c>
      <c r="E2196" s="7" t="s">
        <v>50</v>
      </c>
      <c r="F2196" s="7" t="n">
        <v>-34.18322665</v>
      </c>
      <c r="G2196" s="7" t="n">
        <v>150.7099378</v>
      </c>
      <c r="H2196" s="7" t="s">
        <v>2806</v>
      </c>
    </row>
    <row r="2197" customFormat="false" ht="15" hidden="false" customHeight="false" outlineLevel="0" collapsed="false">
      <c r="A2197" s="7" t="s">
        <v>7168</v>
      </c>
      <c r="B2197" s="7" t="s">
        <v>3891</v>
      </c>
      <c r="C2197" s="7" t="s">
        <v>3894</v>
      </c>
      <c r="D2197" s="7" t="n">
        <v>2047</v>
      </c>
      <c r="E2197" s="7" t="s">
        <v>50</v>
      </c>
      <c r="F2197" s="7" t="n">
        <v>-33.84548995</v>
      </c>
      <c r="G2197" s="7" t="n">
        <v>151.1570955</v>
      </c>
      <c r="H2197" s="7" t="s">
        <v>2852</v>
      </c>
    </row>
    <row r="2198" customFormat="false" ht="15" hidden="false" customHeight="false" outlineLevel="0" collapsed="false">
      <c r="A2198" s="7" t="s">
        <v>7168</v>
      </c>
      <c r="B2198" s="7" t="s">
        <v>3896</v>
      </c>
      <c r="C2198" s="7" t="s">
        <v>3899</v>
      </c>
      <c r="D2198" s="7" t="n">
        <v>2830</v>
      </c>
      <c r="E2198" s="7" t="s">
        <v>50</v>
      </c>
      <c r="F2198" s="7" t="n">
        <v>-32.218925</v>
      </c>
      <c r="G2198" s="7" t="n">
        <v>148.569807</v>
      </c>
      <c r="H2198" s="7" t="s">
        <v>2718</v>
      </c>
    </row>
    <row r="2199" customFormat="false" ht="15" hidden="false" customHeight="false" outlineLevel="0" collapsed="false">
      <c r="A2199" s="7" t="s">
        <v>7168</v>
      </c>
      <c r="B2199" s="7" t="s">
        <v>3900</v>
      </c>
      <c r="C2199" s="7" t="s">
        <v>3903</v>
      </c>
      <c r="D2199" s="7" t="n">
        <v>2830</v>
      </c>
      <c r="E2199" s="7" t="s">
        <v>50</v>
      </c>
      <c r="F2199" s="7" t="n">
        <v>-32.245012</v>
      </c>
      <c r="G2199" s="7" t="n">
        <v>148.608182</v>
      </c>
      <c r="H2199" s="7" t="s">
        <v>2735</v>
      </c>
    </row>
    <row r="2200" customFormat="false" ht="15" hidden="false" customHeight="false" outlineLevel="0" collapsed="false">
      <c r="A2200" s="7" t="s">
        <v>7168</v>
      </c>
      <c r="B2200" s="7" t="s">
        <v>3906</v>
      </c>
      <c r="C2200" s="7" t="s">
        <v>3909</v>
      </c>
      <c r="D2200" s="7" t="n">
        <v>2203</v>
      </c>
      <c r="E2200" s="7" t="s">
        <v>50</v>
      </c>
      <c r="F2200" s="7" t="n">
        <v>-33.9050373</v>
      </c>
      <c r="G2200" s="7" t="n">
        <v>151.1390126</v>
      </c>
      <c r="H2200" s="7" t="s">
        <v>2769</v>
      </c>
    </row>
    <row r="2201" customFormat="false" ht="15" hidden="false" customHeight="false" outlineLevel="0" collapsed="false">
      <c r="A2201" s="7" t="s">
        <v>7168</v>
      </c>
      <c r="B2201" s="7" t="s">
        <v>3912</v>
      </c>
      <c r="C2201" s="7" t="s">
        <v>3915</v>
      </c>
      <c r="D2201" s="7" t="n">
        <v>2203</v>
      </c>
      <c r="E2201" s="7" t="s">
        <v>50</v>
      </c>
      <c r="F2201" s="7" t="n">
        <v>-33.91030497</v>
      </c>
      <c r="G2201" s="7" t="n">
        <v>151.1400854</v>
      </c>
      <c r="H2201" s="7" t="s">
        <v>3916</v>
      </c>
    </row>
    <row r="2202" customFormat="false" ht="15" hidden="false" customHeight="false" outlineLevel="0" collapsed="false">
      <c r="A2202" s="7" t="s">
        <v>7168</v>
      </c>
      <c r="B2202" s="7" t="s">
        <v>3918</v>
      </c>
      <c r="C2202" s="7" t="s">
        <v>3921</v>
      </c>
      <c r="D2202" s="7" t="n">
        <v>2203</v>
      </c>
      <c r="E2202" s="7" t="s">
        <v>50</v>
      </c>
      <c r="F2202" s="7" t="n">
        <v>-33.91110223</v>
      </c>
      <c r="G2202" s="7" t="n">
        <v>151.1409894</v>
      </c>
      <c r="H2202" s="7" t="s">
        <v>3922</v>
      </c>
    </row>
    <row r="2203" customFormat="false" ht="15" hidden="false" customHeight="false" outlineLevel="0" collapsed="false">
      <c r="A2203" s="7" t="s">
        <v>7168</v>
      </c>
      <c r="B2203" s="7" t="s">
        <v>3925</v>
      </c>
      <c r="C2203" s="7" t="s">
        <v>3928</v>
      </c>
      <c r="D2203" s="7" t="n">
        <v>2117</v>
      </c>
      <c r="E2203" s="7" t="s">
        <v>50</v>
      </c>
      <c r="F2203" s="7" t="n">
        <v>-33.803808</v>
      </c>
      <c r="G2203" s="7" t="n">
        <v>151.033222</v>
      </c>
      <c r="H2203" s="7" t="s">
        <v>2769</v>
      </c>
    </row>
    <row r="2204" customFormat="false" ht="15" hidden="false" customHeight="false" outlineLevel="0" collapsed="false">
      <c r="A2204" s="7" t="s">
        <v>7168</v>
      </c>
      <c r="B2204" s="7" t="s">
        <v>3930</v>
      </c>
      <c r="C2204" s="7" t="s">
        <v>3933</v>
      </c>
      <c r="D2204" s="7" t="n">
        <v>2370</v>
      </c>
      <c r="E2204" s="7" t="s">
        <v>50</v>
      </c>
      <c r="F2204" s="7" t="n">
        <v>-29.5696</v>
      </c>
      <c r="G2204" s="7" t="n">
        <v>151.8659</v>
      </c>
      <c r="H2204" s="7" t="s">
        <v>2718</v>
      </c>
    </row>
    <row r="2205" customFormat="false" ht="15" hidden="false" customHeight="false" outlineLevel="0" collapsed="false">
      <c r="A2205" s="7" t="s">
        <v>7168</v>
      </c>
      <c r="B2205" s="7" t="s">
        <v>3934</v>
      </c>
      <c r="C2205" s="7" t="s">
        <v>3937</v>
      </c>
      <c r="D2205" s="7" t="n">
        <v>2844</v>
      </c>
      <c r="E2205" s="7" t="s">
        <v>50</v>
      </c>
      <c r="F2205" s="7" t="n">
        <v>-32.015794</v>
      </c>
      <c r="G2205" s="7" t="n">
        <v>149.396238</v>
      </c>
      <c r="H2205" s="7" t="s">
        <v>2718</v>
      </c>
    </row>
    <row r="2206" customFormat="false" ht="15" hidden="false" customHeight="false" outlineLevel="0" collapsed="false">
      <c r="A2206" s="7" t="s">
        <v>7168</v>
      </c>
      <c r="B2206" s="7" t="s">
        <v>3938</v>
      </c>
      <c r="C2206" s="7" t="s">
        <v>3941</v>
      </c>
      <c r="D2206" s="7" t="n">
        <v>2420</v>
      </c>
      <c r="E2206" s="7" t="s">
        <v>50</v>
      </c>
      <c r="F2206" s="7" t="n">
        <v>-32.4022901</v>
      </c>
      <c r="G2206" s="7" t="n">
        <v>151.7595395</v>
      </c>
      <c r="H2206" s="7" t="s">
        <v>2710</v>
      </c>
    </row>
    <row r="2207" customFormat="false" ht="15" hidden="false" customHeight="false" outlineLevel="0" collapsed="false">
      <c r="A2207" s="7" t="s">
        <v>7168</v>
      </c>
      <c r="B2207" s="7" t="s">
        <v>3944</v>
      </c>
      <c r="C2207" s="7" t="s">
        <v>3947</v>
      </c>
      <c r="D2207" s="7" t="n">
        <v>2213</v>
      </c>
      <c r="E2207" s="7" t="s">
        <v>50</v>
      </c>
      <c r="F2207" s="7" t="n">
        <v>-33.96160677</v>
      </c>
      <c r="G2207" s="7" t="n">
        <v>150.9848973</v>
      </c>
      <c r="H2207" s="7" t="s">
        <v>2710</v>
      </c>
    </row>
    <row r="2208" customFormat="false" ht="15" hidden="false" customHeight="false" outlineLevel="0" collapsed="false">
      <c r="A2208" s="7" t="s">
        <v>7168</v>
      </c>
      <c r="B2208" s="7" t="s">
        <v>3950</v>
      </c>
      <c r="C2208" s="7" t="s">
        <v>3953</v>
      </c>
      <c r="D2208" s="7" t="n">
        <v>2323</v>
      </c>
      <c r="E2208" s="7" t="s">
        <v>50</v>
      </c>
      <c r="F2208" s="7" t="n">
        <v>-32.74487523</v>
      </c>
      <c r="G2208" s="7" t="n">
        <v>151.5874213</v>
      </c>
      <c r="H2208" s="7" t="s">
        <v>2806</v>
      </c>
    </row>
    <row r="2209" customFormat="false" ht="15" hidden="false" customHeight="false" outlineLevel="0" collapsed="false">
      <c r="A2209" s="7" t="s">
        <v>7168</v>
      </c>
      <c r="B2209" s="7" t="s">
        <v>3955</v>
      </c>
      <c r="C2209" s="7" t="s">
        <v>3958</v>
      </c>
      <c r="D2209" s="7" t="n">
        <v>2753</v>
      </c>
      <c r="E2209" s="7" t="s">
        <v>50</v>
      </c>
      <c r="F2209" s="7" t="n">
        <v>-33.60179614</v>
      </c>
      <c r="G2209" s="7" t="n">
        <v>150.759234</v>
      </c>
      <c r="H2209" s="7" t="s">
        <v>2710</v>
      </c>
    </row>
    <row r="2210" customFormat="false" ht="15" hidden="false" customHeight="false" outlineLevel="0" collapsed="false">
      <c r="A2210" s="7" t="s">
        <v>7168</v>
      </c>
      <c r="B2210" s="7" t="s">
        <v>3962</v>
      </c>
      <c r="C2210" s="7" t="s">
        <v>3965</v>
      </c>
      <c r="D2210" s="7" t="n">
        <v>2122</v>
      </c>
      <c r="E2210" s="7" t="s">
        <v>50</v>
      </c>
      <c r="F2210" s="7" t="n">
        <v>-33.7900214</v>
      </c>
      <c r="G2210" s="7" t="n">
        <v>151.0822335</v>
      </c>
      <c r="H2210" s="7" t="s">
        <v>2786</v>
      </c>
    </row>
    <row r="2211" customFormat="false" ht="15" hidden="false" customHeight="false" outlineLevel="0" collapsed="false">
      <c r="A2211" s="7" t="s">
        <v>7168</v>
      </c>
      <c r="B2211" s="7" t="s">
        <v>3968</v>
      </c>
      <c r="C2211" s="7" t="s">
        <v>3971</v>
      </c>
      <c r="D2211" s="7" t="n">
        <v>3564</v>
      </c>
      <c r="E2211" s="7" t="s">
        <v>50</v>
      </c>
      <c r="F2211" s="7" t="n">
        <v>-36.124102</v>
      </c>
      <c r="G2211" s="7" t="n">
        <v>144.751933</v>
      </c>
      <c r="H2211" s="7" t="s">
        <v>2718</v>
      </c>
    </row>
    <row r="2212" customFormat="false" ht="15" hidden="false" customHeight="false" outlineLevel="0" collapsed="false">
      <c r="A2212" s="7" t="s">
        <v>7168</v>
      </c>
      <c r="B2212" s="7" t="s">
        <v>3972</v>
      </c>
      <c r="C2212" s="7" t="s">
        <v>3975</v>
      </c>
      <c r="D2212" s="7" t="n">
        <v>2551</v>
      </c>
      <c r="E2212" s="7" t="s">
        <v>50</v>
      </c>
      <c r="F2212" s="7" t="n">
        <v>-37.065712</v>
      </c>
      <c r="G2212" s="7" t="n">
        <v>149.906725</v>
      </c>
      <c r="H2212" s="7" t="s">
        <v>2837</v>
      </c>
    </row>
    <row r="2213" customFormat="false" ht="15" hidden="false" customHeight="false" outlineLevel="0" collapsed="false">
      <c r="A2213" s="7" t="s">
        <v>7168</v>
      </c>
      <c r="B2213" s="7" t="s">
        <v>3976</v>
      </c>
      <c r="C2213" s="7" t="s">
        <v>3979</v>
      </c>
      <c r="D2213" s="7" t="n">
        <v>2027</v>
      </c>
      <c r="E2213" s="7" t="s">
        <v>50</v>
      </c>
      <c r="F2213" s="7" t="n">
        <v>-33.87925148</v>
      </c>
      <c r="G2213" s="7" t="n">
        <v>151.2361614</v>
      </c>
      <c r="H2213" s="7" t="s">
        <v>2786</v>
      </c>
    </row>
    <row r="2214" customFormat="false" ht="15" hidden="false" customHeight="false" outlineLevel="0" collapsed="false">
      <c r="A2214" s="7" t="s">
        <v>7168</v>
      </c>
      <c r="B2214" s="7" t="s">
        <v>3982</v>
      </c>
      <c r="C2214" s="7" t="s">
        <v>3985</v>
      </c>
      <c r="D2214" s="7" t="n">
        <v>2174</v>
      </c>
      <c r="E2214" s="7" t="s">
        <v>50</v>
      </c>
      <c r="F2214" s="7" t="n">
        <v>-33.9693</v>
      </c>
      <c r="G2214" s="7" t="n">
        <v>150.8587</v>
      </c>
      <c r="H2214" s="7" t="s">
        <v>2786</v>
      </c>
    </row>
    <row r="2215" customFormat="false" ht="15" hidden="false" customHeight="false" outlineLevel="0" collapsed="false">
      <c r="A2215" s="7" t="s">
        <v>7168</v>
      </c>
      <c r="B2215" s="7" t="s">
        <v>3987</v>
      </c>
      <c r="C2215" s="7" t="s">
        <v>3990</v>
      </c>
      <c r="D2215" s="7" t="n">
        <v>2480</v>
      </c>
      <c r="E2215" s="7" t="s">
        <v>50</v>
      </c>
      <c r="F2215" s="7" t="n">
        <v>-28.755837</v>
      </c>
      <c r="G2215" s="7" t="n">
        <v>153.394117</v>
      </c>
      <c r="H2215" s="7" t="s">
        <v>2718</v>
      </c>
    </row>
    <row r="2216" customFormat="false" ht="15" hidden="false" customHeight="false" outlineLevel="0" collapsed="false">
      <c r="A2216" s="7" t="s">
        <v>7168</v>
      </c>
      <c r="B2216" s="7" t="s">
        <v>3991</v>
      </c>
      <c r="C2216" s="7" t="s">
        <v>3994</v>
      </c>
      <c r="D2216" s="7" t="n">
        <v>2836</v>
      </c>
      <c r="E2216" s="7" t="s">
        <v>50</v>
      </c>
      <c r="F2216" s="7" t="n">
        <v>-31.653308</v>
      </c>
      <c r="G2216" s="7" t="n">
        <v>144.268255</v>
      </c>
      <c r="H2216" s="7" t="s">
        <v>2718</v>
      </c>
    </row>
    <row r="2217" customFormat="false" ht="15" hidden="false" customHeight="false" outlineLevel="0" collapsed="false">
      <c r="A2217" s="7" t="s">
        <v>7168</v>
      </c>
      <c r="B2217" s="7" t="s">
        <v>3995</v>
      </c>
      <c r="C2217" s="7" t="s">
        <v>3998</v>
      </c>
      <c r="D2217" s="7" t="n">
        <v>2750</v>
      </c>
      <c r="E2217" s="7" t="s">
        <v>50</v>
      </c>
      <c r="F2217" s="7" t="n">
        <v>-33.74556778</v>
      </c>
      <c r="G2217" s="7" t="n">
        <v>150.6722867</v>
      </c>
      <c r="H2217" s="7" t="s">
        <v>2710</v>
      </c>
    </row>
    <row r="2218" customFormat="false" ht="15" hidden="false" customHeight="false" outlineLevel="0" collapsed="false">
      <c r="A2218" s="7" t="s">
        <v>7168</v>
      </c>
      <c r="B2218" s="7" t="s">
        <v>4001</v>
      </c>
      <c r="C2218" s="7" t="s">
        <v>4004</v>
      </c>
      <c r="D2218" s="7" t="n">
        <v>2233</v>
      </c>
      <c r="E2218" s="7" t="s">
        <v>50</v>
      </c>
      <c r="F2218" s="7" t="n">
        <v>-34.06789901</v>
      </c>
      <c r="G2218" s="7" t="n">
        <v>151.0146529</v>
      </c>
      <c r="H2218" s="7" t="s">
        <v>2786</v>
      </c>
    </row>
    <row r="2219" customFormat="false" ht="15" hidden="false" customHeight="false" outlineLevel="0" collapsed="false">
      <c r="A2219" s="7" t="s">
        <v>7168</v>
      </c>
      <c r="B2219" s="7" t="s">
        <v>4007</v>
      </c>
      <c r="C2219" s="7" t="s">
        <v>4010</v>
      </c>
      <c r="D2219" s="7" t="n">
        <v>2121</v>
      </c>
      <c r="E2219" s="7" t="s">
        <v>50</v>
      </c>
      <c r="F2219" s="7" t="n">
        <v>-33.77284145</v>
      </c>
      <c r="G2219" s="7" t="n">
        <v>151.0821766</v>
      </c>
      <c r="H2219" s="7" t="s">
        <v>3524</v>
      </c>
    </row>
    <row r="2220" customFormat="false" ht="15" hidden="false" customHeight="false" outlineLevel="0" collapsed="false">
      <c r="A2220" s="7" t="s">
        <v>7168</v>
      </c>
      <c r="B2220" s="7" t="s">
        <v>4013</v>
      </c>
      <c r="C2220" s="7" t="s">
        <v>4016</v>
      </c>
      <c r="D2220" s="7" t="n">
        <v>2043</v>
      </c>
      <c r="E2220" s="7" t="s">
        <v>50</v>
      </c>
      <c r="F2220" s="7" t="n">
        <v>-33.9008581</v>
      </c>
      <c r="G2220" s="7" t="n">
        <v>151.1853076</v>
      </c>
      <c r="H2220" s="7" t="s">
        <v>2710</v>
      </c>
    </row>
    <row r="2221" customFormat="false" ht="15" hidden="false" customHeight="false" outlineLevel="0" collapsed="false">
      <c r="A2221" s="7" t="s">
        <v>7168</v>
      </c>
      <c r="B2221" s="7" t="s">
        <v>4019</v>
      </c>
      <c r="C2221" s="7" t="s">
        <v>4022</v>
      </c>
      <c r="D2221" s="7" t="n">
        <v>2021</v>
      </c>
      <c r="E2221" s="7" t="s">
        <v>50</v>
      </c>
      <c r="F2221" s="7" t="n">
        <v>-33.905813</v>
      </c>
      <c r="G2221" s="7" t="n">
        <v>151.223925</v>
      </c>
      <c r="H2221" s="7" t="s">
        <v>2769</v>
      </c>
    </row>
    <row r="2222" customFormat="false" ht="15" hidden="false" customHeight="false" outlineLevel="0" collapsed="false">
      <c r="A2222" s="7" t="s">
        <v>7168</v>
      </c>
      <c r="B2222" s="7" t="s">
        <v>4023</v>
      </c>
      <c r="C2222" s="7" t="s">
        <v>4026</v>
      </c>
      <c r="D2222" s="7" t="n">
        <v>2877</v>
      </c>
      <c r="E2222" s="7" t="s">
        <v>50</v>
      </c>
      <c r="F2222" s="7" t="n">
        <v>-33.108964</v>
      </c>
      <c r="G2222" s="7" t="n">
        <v>146.473193</v>
      </c>
      <c r="H2222" s="7" t="s">
        <v>2718</v>
      </c>
    </row>
    <row r="2223" customFormat="false" ht="15" hidden="false" customHeight="false" outlineLevel="0" collapsed="false">
      <c r="A2223" s="7" t="s">
        <v>7168</v>
      </c>
      <c r="B2223" s="7" t="s">
        <v>4027</v>
      </c>
      <c r="C2223" s="7" t="s">
        <v>4030</v>
      </c>
      <c r="D2223" s="7" t="n">
        <v>2877</v>
      </c>
      <c r="E2223" s="7" t="s">
        <v>50</v>
      </c>
      <c r="F2223" s="7" t="n">
        <v>-33.0548</v>
      </c>
      <c r="G2223" s="7" t="n">
        <v>146.3909</v>
      </c>
      <c r="H2223" s="7" t="s">
        <v>2806</v>
      </c>
    </row>
    <row r="2224" customFormat="false" ht="15" hidden="false" customHeight="false" outlineLevel="0" collapsed="false">
      <c r="A2224" s="7" t="s">
        <v>7168</v>
      </c>
      <c r="B2224" s="7" t="s">
        <v>4031</v>
      </c>
      <c r="C2224" s="7" t="s">
        <v>4034</v>
      </c>
      <c r="D2224" s="7" t="n">
        <v>2877</v>
      </c>
      <c r="E2224" s="7" t="s">
        <v>50</v>
      </c>
      <c r="F2224" s="7" t="n">
        <v>-33.055715</v>
      </c>
      <c r="G2224" s="7" t="n">
        <v>146.394249</v>
      </c>
      <c r="H2224" s="7" t="s">
        <v>2718</v>
      </c>
    </row>
    <row r="2225" customFormat="false" ht="15" hidden="false" customHeight="false" outlineLevel="0" collapsed="false">
      <c r="A2225" s="7" t="s">
        <v>7168</v>
      </c>
      <c r="B2225" s="7" t="s">
        <v>4035</v>
      </c>
      <c r="C2225" s="7" t="s">
        <v>4038</v>
      </c>
      <c r="D2225" s="7" t="n">
        <v>2806</v>
      </c>
      <c r="E2225" s="7" t="s">
        <v>50</v>
      </c>
      <c r="F2225" s="7" t="n">
        <v>-33.427064</v>
      </c>
      <c r="G2225" s="7" t="n">
        <v>148.369866</v>
      </c>
      <c r="H2225" s="7" t="s">
        <v>2718</v>
      </c>
    </row>
    <row r="2226" customFormat="false" ht="15" hidden="false" customHeight="false" outlineLevel="0" collapsed="false">
      <c r="A2226" s="7" t="s">
        <v>7168</v>
      </c>
      <c r="B2226" s="7" t="s">
        <v>4039</v>
      </c>
      <c r="C2226" s="7" t="s">
        <v>4042</v>
      </c>
      <c r="D2226" s="7" t="n">
        <v>2831</v>
      </c>
      <c r="E2226" s="7" t="s">
        <v>50</v>
      </c>
      <c r="F2226" s="7" t="n">
        <v>-31.949295</v>
      </c>
      <c r="G2226" s="7" t="n">
        <v>148.619853</v>
      </c>
      <c r="H2226" s="7" t="s">
        <v>2718</v>
      </c>
    </row>
    <row r="2227" customFormat="false" ht="15" hidden="false" customHeight="false" outlineLevel="0" collapsed="false">
      <c r="A2227" s="7" t="s">
        <v>7168</v>
      </c>
      <c r="B2227" s="7" t="s">
        <v>4043</v>
      </c>
      <c r="C2227" s="7" t="s">
        <v>4046</v>
      </c>
      <c r="D2227" s="7" t="n">
        <v>2441</v>
      </c>
      <c r="E2227" s="7" t="s">
        <v>50</v>
      </c>
      <c r="F2227" s="7" t="n">
        <v>-30.8497</v>
      </c>
      <c r="G2227" s="7" t="n">
        <v>152.9001</v>
      </c>
      <c r="H2227" s="7" t="s">
        <v>2806</v>
      </c>
    </row>
    <row r="2228" customFormat="false" ht="15" hidden="false" customHeight="false" outlineLevel="0" collapsed="false">
      <c r="A2228" s="7" t="s">
        <v>7168</v>
      </c>
      <c r="B2228" s="7" t="s">
        <v>4047</v>
      </c>
      <c r="C2228" s="7" t="s">
        <v>4050</v>
      </c>
      <c r="D2228" s="7" t="n">
        <v>2737</v>
      </c>
      <c r="E2228" s="7" t="s">
        <v>50</v>
      </c>
      <c r="F2228" s="7" t="n">
        <v>-34.577328</v>
      </c>
      <c r="G2228" s="7" t="n">
        <v>142.744641</v>
      </c>
      <c r="H2228" s="7" t="s">
        <v>2718</v>
      </c>
    </row>
    <row r="2229" customFormat="false" ht="15" hidden="false" customHeight="false" outlineLevel="0" collapsed="false">
      <c r="A2229" s="7" t="s">
        <v>7168</v>
      </c>
      <c r="B2229" s="7" t="s">
        <v>4051</v>
      </c>
      <c r="C2229" s="7" t="s">
        <v>4054</v>
      </c>
      <c r="D2229" s="7" t="n">
        <v>2473</v>
      </c>
      <c r="E2229" s="7" t="s">
        <v>50</v>
      </c>
      <c r="F2229" s="7" t="n">
        <v>-29.118619</v>
      </c>
      <c r="G2229" s="7" t="n">
        <v>153.431145</v>
      </c>
      <c r="H2229" s="7" t="s">
        <v>2837</v>
      </c>
    </row>
    <row r="2230" customFormat="false" ht="15" hidden="false" customHeight="false" outlineLevel="0" collapsed="false">
      <c r="A2230" s="7" t="s">
        <v>7168</v>
      </c>
      <c r="B2230" s="7" t="s">
        <v>4055</v>
      </c>
      <c r="C2230" s="7" t="s">
        <v>4058</v>
      </c>
      <c r="D2230" s="7" t="n">
        <v>2579</v>
      </c>
      <c r="E2230" s="7" t="s">
        <v>50</v>
      </c>
      <c r="F2230" s="7" t="n">
        <v>-34.61377487</v>
      </c>
      <c r="G2230" s="7" t="n">
        <v>150.3173447</v>
      </c>
      <c r="H2230" s="7" t="s">
        <v>2710</v>
      </c>
    </row>
    <row r="2231" customFormat="false" ht="15" hidden="false" customHeight="false" outlineLevel="0" collapsed="false">
      <c r="A2231" s="7" t="s">
        <v>7168</v>
      </c>
      <c r="B2231" s="7" t="s">
        <v>4060</v>
      </c>
      <c r="C2231" s="7" t="s">
        <v>3681</v>
      </c>
      <c r="D2231" s="7" t="n">
        <v>2000</v>
      </c>
      <c r="E2231" s="7" t="s">
        <v>50</v>
      </c>
      <c r="F2231" s="7" t="n">
        <v>-33.87719386</v>
      </c>
      <c r="G2231" s="7" t="n">
        <v>151.1997027</v>
      </c>
      <c r="H2231" s="7" t="s">
        <v>2769</v>
      </c>
    </row>
    <row r="2232" customFormat="false" ht="15" hidden="false" customHeight="false" outlineLevel="0" collapsed="false">
      <c r="A2232" s="7" t="s">
        <v>7168</v>
      </c>
      <c r="B2232" s="7" t="s">
        <v>4065</v>
      </c>
      <c r="C2232" s="7" t="s">
        <v>4068</v>
      </c>
      <c r="D2232" s="7" t="n">
        <v>2165</v>
      </c>
      <c r="E2232" s="7" t="s">
        <v>50</v>
      </c>
      <c r="F2232" s="7" t="n">
        <v>-33.87233065</v>
      </c>
      <c r="G2232" s="7" t="n">
        <v>150.9570711</v>
      </c>
      <c r="H2232" s="7" t="s">
        <v>2786</v>
      </c>
    </row>
    <row r="2233" customFormat="false" ht="15" hidden="false" customHeight="false" outlineLevel="0" collapsed="false">
      <c r="A2233" s="7" t="s">
        <v>7168</v>
      </c>
      <c r="B2233" s="7" t="s">
        <v>4070</v>
      </c>
      <c r="C2233" s="7" t="s">
        <v>4073</v>
      </c>
      <c r="D2233" s="7" t="n">
        <v>2519</v>
      </c>
      <c r="E2233" s="7" t="s">
        <v>50</v>
      </c>
      <c r="F2233" s="7" t="n">
        <v>-34.39583411</v>
      </c>
      <c r="G2233" s="7" t="n">
        <v>150.8961702</v>
      </c>
      <c r="H2233" s="7" t="s">
        <v>2793</v>
      </c>
    </row>
    <row r="2234" customFormat="false" ht="15" hidden="false" customHeight="false" outlineLevel="0" collapsed="false">
      <c r="A2234" s="7" t="s">
        <v>7168</v>
      </c>
      <c r="B2234" s="7" t="s">
        <v>4076</v>
      </c>
      <c r="C2234" s="7" t="s">
        <v>4079</v>
      </c>
      <c r="D2234" s="7" t="n">
        <v>2283</v>
      </c>
      <c r="E2234" s="7" t="s">
        <v>50</v>
      </c>
      <c r="F2234" s="7" t="n">
        <v>-32.9857882</v>
      </c>
      <c r="G2234" s="7" t="n">
        <v>151.5812509</v>
      </c>
      <c r="H2234" s="7" t="s">
        <v>2710</v>
      </c>
    </row>
    <row r="2235" customFormat="false" ht="15" hidden="false" customHeight="false" outlineLevel="0" collapsed="false">
      <c r="A2235" s="7" t="s">
        <v>7168</v>
      </c>
      <c r="B2235" s="7" t="s">
        <v>4082</v>
      </c>
      <c r="C2235" s="7" t="s">
        <v>4085</v>
      </c>
      <c r="D2235" s="7" t="n">
        <v>2776</v>
      </c>
      <c r="E2235" s="7" t="s">
        <v>50</v>
      </c>
      <c r="F2235" s="7" t="n">
        <v>-33.69648835</v>
      </c>
      <c r="G2235" s="7" t="n">
        <v>150.5350339</v>
      </c>
      <c r="H2235" s="7" t="s">
        <v>2710</v>
      </c>
    </row>
    <row r="2236" customFormat="false" ht="15" hidden="false" customHeight="false" outlineLevel="0" collapsed="false">
      <c r="A2236" s="7" t="s">
        <v>7168</v>
      </c>
      <c r="B2236" s="7" t="s">
        <v>4088</v>
      </c>
      <c r="C2236" s="7" t="s">
        <v>4091</v>
      </c>
      <c r="D2236" s="7" t="n">
        <v>2150</v>
      </c>
      <c r="E2236" s="7" t="s">
        <v>50</v>
      </c>
      <c r="F2236" s="7" t="n">
        <v>-33.805187</v>
      </c>
      <c r="G2236" s="7" t="n">
        <v>151.005833</v>
      </c>
      <c r="H2236" s="7" t="s">
        <v>2769</v>
      </c>
    </row>
    <row r="2237" customFormat="false" ht="15" hidden="false" customHeight="false" outlineLevel="0" collapsed="false">
      <c r="A2237" s="7" t="s">
        <v>7168</v>
      </c>
      <c r="B2237" s="7" t="s">
        <v>4092</v>
      </c>
      <c r="C2237" s="7" t="s">
        <v>4095</v>
      </c>
      <c r="D2237" s="7" t="n">
        <v>2713</v>
      </c>
      <c r="E2237" s="7" t="s">
        <v>50</v>
      </c>
      <c r="F2237" s="7" t="n">
        <v>-35.639939</v>
      </c>
      <c r="G2237" s="7" t="n">
        <v>145.579341</v>
      </c>
      <c r="H2237" s="7" t="s">
        <v>2718</v>
      </c>
    </row>
    <row r="2238" customFormat="false" ht="15" hidden="false" customHeight="false" outlineLevel="0" collapsed="false">
      <c r="A2238" s="7" t="s">
        <v>7168</v>
      </c>
      <c r="B2238" s="7" t="s">
        <v>4096</v>
      </c>
      <c r="C2238" s="7" t="s">
        <v>4099</v>
      </c>
      <c r="D2238" s="7" t="n">
        <v>2009</v>
      </c>
      <c r="E2238" s="7" t="s">
        <v>50</v>
      </c>
      <c r="F2238" s="7" t="n">
        <v>-33.873317</v>
      </c>
      <c r="G2238" s="7" t="n">
        <v>151.191755</v>
      </c>
      <c r="H2238" s="7" t="s">
        <v>2852</v>
      </c>
    </row>
    <row r="2239" customFormat="false" ht="15" hidden="false" customHeight="false" outlineLevel="0" collapsed="false">
      <c r="A2239" s="7" t="s">
        <v>7168</v>
      </c>
      <c r="B2239" s="7" t="s">
        <v>4100</v>
      </c>
      <c r="C2239" s="7" t="s">
        <v>4103</v>
      </c>
      <c r="D2239" s="7" t="n">
        <v>2140</v>
      </c>
      <c r="E2239" s="7" t="s">
        <v>50</v>
      </c>
      <c r="F2239" s="7" t="n">
        <v>-33.86482229</v>
      </c>
      <c r="G2239" s="7" t="n">
        <v>151.0697665</v>
      </c>
      <c r="H2239" s="7" t="s">
        <v>2786</v>
      </c>
    </row>
    <row r="2240" customFormat="false" ht="15" hidden="false" customHeight="false" outlineLevel="0" collapsed="false">
      <c r="A2240" s="7" t="s">
        <v>7168</v>
      </c>
      <c r="B2240" s="7" t="s">
        <v>4106</v>
      </c>
      <c r="C2240" s="7" t="s">
        <v>4109</v>
      </c>
      <c r="D2240" s="7" t="n">
        <v>2871</v>
      </c>
      <c r="E2240" s="7" t="s">
        <v>50</v>
      </c>
      <c r="F2240" s="7" t="n">
        <v>-33.379132</v>
      </c>
      <c r="G2240" s="7" t="n">
        <v>148.01189</v>
      </c>
      <c r="H2240" s="7" t="s">
        <v>2718</v>
      </c>
    </row>
    <row r="2241" customFormat="false" ht="15" hidden="false" customHeight="false" outlineLevel="0" collapsed="false">
      <c r="A2241" s="7" t="s">
        <v>7168</v>
      </c>
      <c r="B2241" s="7" t="s">
        <v>4110</v>
      </c>
      <c r="C2241" s="7" t="s">
        <v>4113</v>
      </c>
      <c r="D2241" s="7" t="n">
        <v>2000</v>
      </c>
      <c r="E2241" s="7" t="s">
        <v>50</v>
      </c>
      <c r="F2241" s="7" t="n">
        <v>-33.873882</v>
      </c>
      <c r="G2241" s="7" t="n">
        <v>151.208552</v>
      </c>
      <c r="H2241" s="7" t="s">
        <v>2982</v>
      </c>
    </row>
    <row r="2242" customFormat="false" ht="15" hidden="false" customHeight="false" outlineLevel="0" collapsed="false">
      <c r="A2242" s="7" t="s">
        <v>7168</v>
      </c>
      <c r="B2242" s="7" t="s">
        <v>4114</v>
      </c>
      <c r="C2242" s="7" t="s">
        <v>4117</v>
      </c>
      <c r="D2242" s="7" t="n">
        <v>2585</v>
      </c>
      <c r="E2242" s="7" t="s">
        <v>50</v>
      </c>
      <c r="F2242" s="7" t="n">
        <v>-34.601176</v>
      </c>
      <c r="G2242" s="7" t="n">
        <v>148.557725</v>
      </c>
      <c r="H2242" s="7" t="s">
        <v>2718</v>
      </c>
    </row>
    <row r="2243" customFormat="false" ht="15" hidden="false" customHeight="false" outlineLevel="0" collapsed="false">
      <c r="A2243" s="7" t="s">
        <v>7168</v>
      </c>
      <c r="B2243" s="7" t="s">
        <v>4118</v>
      </c>
      <c r="C2243" s="7" t="s">
        <v>4121</v>
      </c>
      <c r="D2243" s="7" t="n">
        <v>2702</v>
      </c>
      <c r="E2243" s="7" t="s">
        <v>50</v>
      </c>
      <c r="F2243" s="7" t="n">
        <v>-34.793782</v>
      </c>
      <c r="G2243" s="7" t="n">
        <v>147.03889</v>
      </c>
      <c r="H2243" s="7" t="s">
        <v>2718</v>
      </c>
    </row>
    <row r="2244" customFormat="false" ht="15" hidden="false" customHeight="false" outlineLevel="0" collapsed="false">
      <c r="A2244" s="7" t="s">
        <v>7168</v>
      </c>
      <c r="B2244" s="7" t="s">
        <v>4122</v>
      </c>
      <c r="C2244" s="7" t="s">
        <v>4125</v>
      </c>
      <c r="D2244" s="7" t="n">
        <v>2011</v>
      </c>
      <c r="E2244" s="7" t="s">
        <v>50</v>
      </c>
      <c r="F2244" s="7" t="n">
        <v>-33.85813587</v>
      </c>
      <c r="G2244" s="7" t="n">
        <v>151.2299226</v>
      </c>
      <c r="H2244" s="7" t="s">
        <v>2852</v>
      </c>
    </row>
    <row r="2245" customFormat="false" ht="15" hidden="false" customHeight="false" outlineLevel="0" collapsed="false">
      <c r="A2245" s="7" t="s">
        <v>7168</v>
      </c>
      <c r="B2245" s="7" t="s">
        <v>4128</v>
      </c>
      <c r="C2245" s="7" t="s">
        <v>4131</v>
      </c>
      <c r="D2245" s="7" t="n">
        <v>2534</v>
      </c>
      <c r="E2245" s="7" t="s">
        <v>50</v>
      </c>
      <c r="F2245" s="7" t="n">
        <v>-34.74488594</v>
      </c>
      <c r="G2245" s="7" t="n">
        <v>150.8175078</v>
      </c>
      <c r="H2245" s="7" t="s">
        <v>2793</v>
      </c>
    </row>
    <row r="2246" customFormat="false" ht="15" hidden="false" customHeight="false" outlineLevel="0" collapsed="false">
      <c r="A2246" s="7" t="s">
        <v>7168</v>
      </c>
      <c r="B2246" s="7" t="s">
        <v>4134</v>
      </c>
      <c r="C2246" s="7" t="s">
        <v>4137</v>
      </c>
      <c r="D2246" s="7" t="n">
        <v>2818</v>
      </c>
      <c r="E2246" s="7" t="s">
        <v>50</v>
      </c>
      <c r="F2246" s="7" t="n">
        <v>-32.398277</v>
      </c>
      <c r="G2246" s="7" t="n">
        <v>148.830581</v>
      </c>
      <c r="H2246" s="7" t="s">
        <v>2700</v>
      </c>
    </row>
    <row r="2247" customFormat="false" ht="15" hidden="false" customHeight="false" outlineLevel="0" collapsed="false">
      <c r="A2247" s="7" t="s">
        <v>7168</v>
      </c>
      <c r="B2247" s="7" t="s">
        <v>4140</v>
      </c>
      <c r="C2247" s="7" t="s">
        <v>4143</v>
      </c>
      <c r="D2247" s="7" t="n">
        <v>2370</v>
      </c>
      <c r="E2247" s="7" t="s">
        <v>50</v>
      </c>
      <c r="F2247" s="7" t="n">
        <v>-29.513902</v>
      </c>
      <c r="G2247" s="7" t="n">
        <v>152.312939</v>
      </c>
      <c r="H2247" s="7" t="s">
        <v>2718</v>
      </c>
    </row>
    <row r="2248" customFormat="false" ht="15" hidden="false" customHeight="false" outlineLevel="0" collapsed="false">
      <c r="A2248" s="7" t="s">
        <v>7168</v>
      </c>
      <c r="B2248" s="7" t="s">
        <v>4144</v>
      </c>
      <c r="C2248" s="7" t="s">
        <v>4147</v>
      </c>
      <c r="D2248" s="7" t="n">
        <v>2360</v>
      </c>
      <c r="E2248" s="7" t="s">
        <v>50</v>
      </c>
      <c r="F2248" s="7" t="n">
        <v>-29.853765</v>
      </c>
      <c r="G2248" s="7" t="n">
        <v>151.117179</v>
      </c>
      <c r="H2248" s="7" t="s">
        <v>2718</v>
      </c>
    </row>
    <row r="2249" customFormat="false" ht="15" hidden="false" customHeight="false" outlineLevel="0" collapsed="false">
      <c r="A2249" s="7" t="s">
        <v>7168</v>
      </c>
      <c r="B2249" s="7" t="s">
        <v>4148</v>
      </c>
      <c r="C2249" s="7" t="s">
        <v>4151</v>
      </c>
      <c r="D2249" s="7" t="n">
        <v>2827</v>
      </c>
      <c r="E2249" s="7" t="s">
        <v>50</v>
      </c>
      <c r="F2249" s="7" t="n">
        <v>-31.711945</v>
      </c>
      <c r="G2249" s="7" t="n">
        <v>148.665964</v>
      </c>
      <c r="H2249" s="7" t="s">
        <v>2718</v>
      </c>
    </row>
    <row r="2250" customFormat="false" ht="15" hidden="false" customHeight="false" outlineLevel="0" collapsed="false">
      <c r="A2250" s="7" t="s">
        <v>7168</v>
      </c>
      <c r="B2250" s="7" t="s">
        <v>4152</v>
      </c>
      <c r="C2250" s="7" t="s">
        <v>4155</v>
      </c>
      <c r="D2250" s="7" t="n">
        <v>2831</v>
      </c>
      <c r="E2250" s="7" t="s">
        <v>50</v>
      </c>
      <c r="F2250" s="7" t="n">
        <v>-31.711945</v>
      </c>
      <c r="G2250" s="7" t="n">
        <v>148.665964</v>
      </c>
      <c r="H2250" s="7" t="s">
        <v>2718</v>
      </c>
    </row>
    <row r="2251" customFormat="false" ht="15" hidden="false" customHeight="false" outlineLevel="0" collapsed="false">
      <c r="A2251" s="7" t="s">
        <v>7168</v>
      </c>
      <c r="B2251" s="7" t="s">
        <v>4156</v>
      </c>
      <c r="C2251" s="7" t="s">
        <v>4159</v>
      </c>
      <c r="D2251" s="7" t="n">
        <v>2037</v>
      </c>
      <c r="E2251" s="7" t="s">
        <v>50</v>
      </c>
      <c r="F2251" s="7" t="n">
        <v>-33.87715587</v>
      </c>
      <c r="G2251" s="7" t="n">
        <v>151.1873612</v>
      </c>
      <c r="H2251" s="7" t="s">
        <v>2769</v>
      </c>
    </row>
    <row r="2252" customFormat="false" ht="15" hidden="false" customHeight="false" outlineLevel="0" collapsed="false">
      <c r="A2252" s="7" t="s">
        <v>7168</v>
      </c>
      <c r="B2252" s="7" t="s">
        <v>4160</v>
      </c>
      <c r="C2252" s="7" t="s">
        <v>4163</v>
      </c>
      <c r="D2252" s="7" t="n">
        <v>2370</v>
      </c>
      <c r="E2252" s="7" t="s">
        <v>50</v>
      </c>
      <c r="F2252" s="7" t="n">
        <v>-29.7383</v>
      </c>
      <c r="G2252" s="7" t="n">
        <v>151.7377</v>
      </c>
      <c r="H2252" s="7" t="s">
        <v>2718</v>
      </c>
    </row>
    <row r="2253" customFormat="false" ht="15" hidden="false" customHeight="false" outlineLevel="0" collapsed="false">
      <c r="A2253" s="7" t="s">
        <v>7168</v>
      </c>
      <c r="B2253" s="7" t="s">
        <v>4164</v>
      </c>
      <c r="C2253" s="7" t="s">
        <v>4167</v>
      </c>
      <c r="D2253" s="7" t="n">
        <v>2773</v>
      </c>
      <c r="E2253" s="7" t="s">
        <v>50</v>
      </c>
      <c r="F2253" s="7" t="n">
        <v>-33.76900437</v>
      </c>
      <c r="G2253" s="7" t="n">
        <v>150.6208342</v>
      </c>
      <c r="H2253" s="7" t="s">
        <v>2710</v>
      </c>
    </row>
    <row r="2254" customFormat="false" ht="15" hidden="false" customHeight="false" outlineLevel="0" collapsed="false">
      <c r="A2254" s="7" t="s">
        <v>7168</v>
      </c>
      <c r="B2254" s="7" t="s">
        <v>4170</v>
      </c>
      <c r="C2254" s="7" t="s">
        <v>4173</v>
      </c>
      <c r="D2254" s="7" t="n">
        <v>2365</v>
      </c>
      <c r="E2254" s="7" t="s">
        <v>50</v>
      </c>
      <c r="F2254" s="7" t="n">
        <v>-29.925909</v>
      </c>
      <c r="G2254" s="7" t="n">
        <v>151.723766</v>
      </c>
      <c r="H2254" s="7" t="s">
        <v>2718</v>
      </c>
    </row>
    <row r="2255" customFormat="false" ht="15" hidden="false" customHeight="false" outlineLevel="0" collapsed="false">
      <c r="A2255" s="7" t="s">
        <v>7168</v>
      </c>
      <c r="B2255" s="7" t="s">
        <v>4174</v>
      </c>
      <c r="C2255" s="7" t="s">
        <v>4177</v>
      </c>
      <c r="D2255" s="7" t="n">
        <v>2167</v>
      </c>
      <c r="E2255" s="7" t="s">
        <v>50</v>
      </c>
      <c r="F2255" s="7" t="n">
        <v>-33.97236827</v>
      </c>
      <c r="G2255" s="7" t="n">
        <v>150.8928072</v>
      </c>
      <c r="H2255" s="7" t="s">
        <v>2786</v>
      </c>
    </row>
    <row r="2256" customFormat="false" ht="15" hidden="false" customHeight="false" outlineLevel="0" collapsed="false">
      <c r="A2256" s="7" t="s">
        <v>7168</v>
      </c>
      <c r="B2256" s="7" t="s">
        <v>4180</v>
      </c>
      <c r="C2256" s="7" t="s">
        <v>4183</v>
      </c>
      <c r="D2256" s="7" t="n">
        <v>2422</v>
      </c>
      <c r="E2256" s="7" t="s">
        <v>50</v>
      </c>
      <c r="F2256" s="7" t="n">
        <v>-32.004766</v>
      </c>
      <c r="G2256" s="7" t="n">
        <v>151.966735</v>
      </c>
      <c r="H2256" s="7" t="s">
        <v>2806</v>
      </c>
    </row>
    <row r="2257" customFormat="false" ht="15" hidden="false" customHeight="false" outlineLevel="0" collapsed="false">
      <c r="A2257" s="7" t="s">
        <v>7168</v>
      </c>
      <c r="B2257" s="7" t="s">
        <v>4184</v>
      </c>
      <c r="C2257" s="7" t="s">
        <v>4187</v>
      </c>
      <c r="D2257" s="7" t="n">
        <v>2422</v>
      </c>
      <c r="E2257" s="7" t="s">
        <v>50</v>
      </c>
      <c r="F2257" s="7" t="n">
        <v>-32.00678</v>
      </c>
      <c r="G2257" s="7" t="n">
        <v>151.95721</v>
      </c>
      <c r="H2257" s="7" t="s">
        <v>2718</v>
      </c>
    </row>
    <row r="2258" customFormat="false" ht="15" hidden="false" customHeight="false" outlineLevel="0" collapsed="false">
      <c r="A2258" s="7" t="s">
        <v>7168</v>
      </c>
      <c r="B2258" s="7" t="s">
        <v>4188</v>
      </c>
      <c r="C2258" s="7" t="s">
        <v>4191</v>
      </c>
      <c r="D2258" s="7" t="n">
        <v>2839</v>
      </c>
      <c r="E2258" s="7" t="s">
        <v>50</v>
      </c>
      <c r="F2258" s="7" t="n">
        <v>-30.349861</v>
      </c>
      <c r="G2258" s="7" t="n">
        <v>146.89596</v>
      </c>
      <c r="H2258" s="7" t="s">
        <v>2718</v>
      </c>
    </row>
    <row r="2259" customFormat="false" ht="15" hidden="false" customHeight="false" outlineLevel="0" collapsed="false">
      <c r="A2259" s="7" t="s">
        <v>7168</v>
      </c>
      <c r="B2259" s="7" t="s">
        <v>4192</v>
      </c>
      <c r="C2259" s="7" t="s">
        <v>4195</v>
      </c>
      <c r="D2259" s="7" t="n">
        <v>2480</v>
      </c>
      <c r="E2259" s="7" t="s">
        <v>50</v>
      </c>
      <c r="F2259" s="7" t="n">
        <v>-28.811465</v>
      </c>
      <c r="G2259" s="7" t="n">
        <v>153.344105</v>
      </c>
      <c r="H2259" s="7" t="s">
        <v>2718</v>
      </c>
    </row>
    <row r="2260" customFormat="false" ht="15" hidden="false" customHeight="false" outlineLevel="0" collapsed="false">
      <c r="A2260" s="7" t="s">
        <v>7168</v>
      </c>
      <c r="B2260" s="7" t="s">
        <v>4196</v>
      </c>
      <c r="C2260" s="7" t="s">
        <v>4199</v>
      </c>
      <c r="D2260" s="7" t="n">
        <v>2072</v>
      </c>
      <c r="E2260" s="7" t="s">
        <v>50</v>
      </c>
      <c r="F2260" s="7" t="n">
        <v>-33.75600864</v>
      </c>
      <c r="G2260" s="7" t="n">
        <v>151.154528</v>
      </c>
      <c r="H2260" s="7" t="s">
        <v>2786</v>
      </c>
    </row>
    <row r="2261" customFormat="false" ht="15" hidden="false" customHeight="false" outlineLevel="0" collapsed="false">
      <c r="A2261" s="7" t="s">
        <v>7168</v>
      </c>
      <c r="B2261" s="7" t="s">
        <v>4202</v>
      </c>
      <c r="C2261" s="7" t="s">
        <v>4205</v>
      </c>
      <c r="D2261" s="7" t="n">
        <v>2250</v>
      </c>
      <c r="E2261" s="7" t="s">
        <v>50</v>
      </c>
      <c r="F2261" s="7" t="n">
        <v>-33.42388261</v>
      </c>
      <c r="G2261" s="7" t="n">
        <v>151.3417109</v>
      </c>
      <c r="H2261" s="7" t="s">
        <v>2786</v>
      </c>
    </row>
    <row r="2262" customFormat="false" ht="15" hidden="false" customHeight="false" outlineLevel="0" collapsed="false">
      <c r="A2262" s="7" t="s">
        <v>7168</v>
      </c>
      <c r="B2262" s="7" t="s">
        <v>4208</v>
      </c>
      <c r="C2262" s="7" t="s">
        <v>4211</v>
      </c>
      <c r="D2262" s="7" t="n">
        <v>2580</v>
      </c>
      <c r="E2262" s="7" t="s">
        <v>50</v>
      </c>
      <c r="F2262" s="7" t="n">
        <v>-34.773038</v>
      </c>
      <c r="G2262" s="7" t="n">
        <v>149.692324</v>
      </c>
      <c r="H2262" s="7" t="s">
        <v>2718</v>
      </c>
    </row>
    <row r="2263" customFormat="false" ht="15" hidden="false" customHeight="false" outlineLevel="0" collapsed="false">
      <c r="A2263" s="7" t="s">
        <v>7168</v>
      </c>
      <c r="B2263" s="7" t="s">
        <v>4212</v>
      </c>
      <c r="C2263" s="7" t="s">
        <v>4215</v>
      </c>
      <c r="D2263" s="7" t="n">
        <v>2580</v>
      </c>
      <c r="E2263" s="7" t="s">
        <v>50</v>
      </c>
      <c r="F2263" s="7" t="n">
        <v>-34.75846191</v>
      </c>
      <c r="G2263" s="7" t="n">
        <v>149.7192744</v>
      </c>
      <c r="H2263" s="7" t="s">
        <v>2786</v>
      </c>
    </row>
    <row r="2264" customFormat="false" ht="15" hidden="false" customHeight="false" outlineLevel="0" collapsed="false">
      <c r="A2264" s="7" t="s">
        <v>7168</v>
      </c>
      <c r="B2264" s="7" t="s">
        <v>4217</v>
      </c>
      <c r="C2264" s="7" t="s">
        <v>4220</v>
      </c>
      <c r="D2264" s="7" t="n">
        <v>2460</v>
      </c>
      <c r="E2264" s="7" t="s">
        <v>50</v>
      </c>
      <c r="F2264" s="7" t="n">
        <v>-29.703905</v>
      </c>
      <c r="G2264" s="7" t="n">
        <v>152.941692</v>
      </c>
      <c r="H2264" s="7" t="s">
        <v>2937</v>
      </c>
    </row>
    <row r="2265" customFormat="false" ht="15" hidden="false" customHeight="false" outlineLevel="0" collapsed="false">
      <c r="A2265" s="7" t="s">
        <v>7168</v>
      </c>
      <c r="B2265" s="7" t="s">
        <v>4222</v>
      </c>
      <c r="C2265" s="7" t="s">
        <v>4225</v>
      </c>
      <c r="D2265" s="7" t="n">
        <v>2460</v>
      </c>
      <c r="E2265" s="7" t="s">
        <v>50</v>
      </c>
      <c r="F2265" s="7" t="n">
        <v>-29.689379</v>
      </c>
      <c r="G2265" s="7" t="n">
        <v>152.935069</v>
      </c>
      <c r="H2265" s="7" t="s">
        <v>2718</v>
      </c>
    </row>
    <row r="2266" customFormat="false" ht="15" hidden="false" customHeight="false" outlineLevel="0" collapsed="false">
      <c r="A2266" s="7" t="s">
        <v>7168</v>
      </c>
      <c r="B2266" s="7" t="s">
        <v>4226</v>
      </c>
      <c r="C2266" s="7" t="s">
        <v>4229</v>
      </c>
      <c r="D2266" s="7" t="n">
        <v>2142</v>
      </c>
      <c r="E2266" s="7" t="s">
        <v>50</v>
      </c>
      <c r="F2266" s="7" t="n">
        <v>-33.83317598</v>
      </c>
      <c r="G2266" s="7" t="n">
        <v>151.0124947</v>
      </c>
      <c r="H2266" s="7" t="s">
        <v>2786</v>
      </c>
    </row>
    <row r="2267" customFormat="false" ht="15" hidden="false" customHeight="false" outlineLevel="0" collapsed="false">
      <c r="A2267" s="7" t="s">
        <v>7168</v>
      </c>
      <c r="B2267" s="7" t="s">
        <v>4232</v>
      </c>
      <c r="C2267" s="7" t="s">
        <v>4235</v>
      </c>
      <c r="D2267" s="7" t="n">
        <v>2401</v>
      </c>
      <c r="E2267" s="7" t="s">
        <v>50</v>
      </c>
      <c r="F2267" s="7" t="n">
        <v>-29.58381</v>
      </c>
      <c r="G2267" s="7" t="n">
        <v>150.338048</v>
      </c>
      <c r="H2267" s="7" t="s">
        <v>2718</v>
      </c>
    </row>
    <row r="2268" customFormat="false" ht="15" hidden="false" customHeight="false" outlineLevel="0" collapsed="false">
      <c r="A2268" s="7" t="s">
        <v>7168</v>
      </c>
      <c r="B2268" s="7" t="s">
        <v>4236</v>
      </c>
      <c r="C2268" s="7" t="s">
        <v>4239</v>
      </c>
      <c r="D2268" s="7" t="n">
        <v>2015</v>
      </c>
      <c r="E2268" s="7" t="s">
        <v>50</v>
      </c>
      <c r="F2268" s="7" t="n">
        <v>-33.90606259</v>
      </c>
      <c r="G2268" s="7" t="n">
        <v>151.2024745</v>
      </c>
      <c r="H2268" s="7" t="s">
        <v>2710</v>
      </c>
    </row>
    <row r="2269" customFormat="false" ht="15" hidden="false" customHeight="false" outlineLevel="0" collapsed="false">
      <c r="A2269" s="7" t="s">
        <v>7168</v>
      </c>
      <c r="B2269" s="7" t="s">
        <v>4242</v>
      </c>
      <c r="C2269" s="7" t="s">
        <v>4245</v>
      </c>
      <c r="D2269" s="7" t="n">
        <v>2065</v>
      </c>
      <c r="E2269" s="7" t="s">
        <v>50</v>
      </c>
      <c r="F2269" s="7" t="n">
        <v>-33.84209993</v>
      </c>
      <c r="G2269" s="7" t="n">
        <v>151.1808023</v>
      </c>
      <c r="H2269" s="7" t="s">
        <v>2693</v>
      </c>
    </row>
    <row r="2270" customFormat="false" ht="15" hidden="false" customHeight="false" outlineLevel="0" collapsed="false">
      <c r="A2270" s="7" t="s">
        <v>7168</v>
      </c>
      <c r="B2270" s="7" t="s">
        <v>4248</v>
      </c>
      <c r="C2270" s="7" t="s">
        <v>4251</v>
      </c>
      <c r="D2270" s="7" t="n">
        <v>2065</v>
      </c>
      <c r="E2270" s="7" t="s">
        <v>50</v>
      </c>
      <c r="F2270" s="7" t="n">
        <v>-33.834036</v>
      </c>
      <c r="G2270" s="7" t="n">
        <v>151.182367</v>
      </c>
      <c r="H2270" s="7" t="s">
        <v>2852</v>
      </c>
    </row>
    <row r="2271" customFormat="false" ht="15" hidden="false" customHeight="false" outlineLevel="0" collapsed="false">
      <c r="A2271" s="7" t="s">
        <v>7168</v>
      </c>
      <c r="B2271" s="7" t="s">
        <v>4254</v>
      </c>
      <c r="C2271" s="7" t="s">
        <v>4257</v>
      </c>
      <c r="D2271" s="7" t="n">
        <v>2810</v>
      </c>
      <c r="E2271" s="7" t="s">
        <v>50</v>
      </c>
      <c r="F2271" s="7" t="n">
        <v>-33.893479</v>
      </c>
      <c r="G2271" s="7" t="n">
        <v>148.160537</v>
      </c>
      <c r="H2271" s="7" t="s">
        <v>2718</v>
      </c>
    </row>
    <row r="2272" customFormat="false" ht="15" hidden="false" customHeight="false" outlineLevel="0" collapsed="false">
      <c r="A2272" s="7" t="s">
        <v>7168</v>
      </c>
      <c r="B2272" s="7" t="s">
        <v>4258</v>
      </c>
      <c r="C2272" s="7" t="s">
        <v>4261</v>
      </c>
      <c r="D2272" s="7" t="n">
        <v>2334</v>
      </c>
      <c r="E2272" s="7" t="s">
        <v>50</v>
      </c>
      <c r="F2272" s="7" t="n">
        <v>-32.68662215</v>
      </c>
      <c r="G2272" s="7" t="n">
        <v>151.3840895</v>
      </c>
      <c r="H2272" s="7" t="s">
        <v>2806</v>
      </c>
    </row>
    <row r="2273" customFormat="false" ht="15" hidden="false" customHeight="false" outlineLevel="0" collapsed="false">
      <c r="A2273" s="7" t="s">
        <v>7168</v>
      </c>
      <c r="B2273" s="7" t="s">
        <v>4263</v>
      </c>
      <c r="C2273" s="7" t="s">
        <v>4266</v>
      </c>
      <c r="D2273" s="7" t="n">
        <v>2680</v>
      </c>
      <c r="E2273" s="7" t="s">
        <v>50</v>
      </c>
      <c r="F2273" s="7" t="n">
        <v>-34.28682</v>
      </c>
      <c r="G2273" s="7" t="n">
        <v>146.047734</v>
      </c>
      <c r="H2273" s="7" t="s">
        <v>2806</v>
      </c>
    </row>
    <row r="2274" customFormat="false" ht="15" hidden="false" customHeight="false" outlineLevel="0" collapsed="false">
      <c r="A2274" s="7" t="s">
        <v>7168</v>
      </c>
      <c r="B2274" s="7" t="s">
        <v>4268</v>
      </c>
      <c r="C2274" s="7" t="s">
        <v>4271</v>
      </c>
      <c r="D2274" s="7" t="n">
        <v>2652</v>
      </c>
      <c r="E2274" s="7" t="s">
        <v>50</v>
      </c>
      <c r="F2274" s="7" t="n">
        <v>-34.740092</v>
      </c>
      <c r="G2274" s="7" t="n">
        <v>146.782746</v>
      </c>
      <c r="H2274" s="7" t="s">
        <v>2718</v>
      </c>
    </row>
    <row r="2275" customFormat="false" ht="15" hidden="false" customHeight="false" outlineLevel="0" collapsed="false">
      <c r="A2275" s="7" t="s">
        <v>7168</v>
      </c>
      <c r="B2275" s="7" t="s">
        <v>4272</v>
      </c>
      <c r="C2275" s="7" t="s">
        <v>4275</v>
      </c>
      <c r="D2275" s="7" t="n">
        <v>2161</v>
      </c>
      <c r="E2275" s="7" t="s">
        <v>50</v>
      </c>
      <c r="F2275" s="7" t="n">
        <v>-33.8545057</v>
      </c>
      <c r="G2275" s="7" t="n">
        <v>150.984361</v>
      </c>
      <c r="H2275" s="7" t="s">
        <v>2786</v>
      </c>
    </row>
    <row r="2276" customFormat="false" ht="15" hidden="false" customHeight="false" outlineLevel="0" collapsed="false">
      <c r="A2276" s="7" t="s">
        <v>7168</v>
      </c>
      <c r="B2276" s="7" t="s">
        <v>4277</v>
      </c>
      <c r="C2276" s="7" t="s">
        <v>4280</v>
      </c>
      <c r="D2276" s="7" t="n">
        <v>2828</v>
      </c>
      <c r="E2276" s="7" t="s">
        <v>50</v>
      </c>
      <c r="F2276" s="7" t="n">
        <v>-31.331091</v>
      </c>
      <c r="G2276" s="7" t="n">
        <v>148.472993</v>
      </c>
      <c r="H2276" s="7" t="s">
        <v>2718</v>
      </c>
    </row>
    <row r="2277" customFormat="false" ht="15" hidden="false" customHeight="false" outlineLevel="0" collapsed="false">
      <c r="A2277" s="7" t="s">
        <v>7168</v>
      </c>
      <c r="B2277" s="7" t="s">
        <v>4281</v>
      </c>
      <c r="C2277" s="7" t="s">
        <v>4284</v>
      </c>
      <c r="D2277" s="7" t="n">
        <v>2852</v>
      </c>
      <c r="E2277" s="7" t="s">
        <v>50</v>
      </c>
      <c r="F2277" s="7" t="n">
        <v>-32.36437</v>
      </c>
      <c r="G2277" s="7" t="n">
        <v>149.533026</v>
      </c>
      <c r="H2277" s="7" t="s">
        <v>2718</v>
      </c>
    </row>
    <row r="2278" customFormat="false" ht="15" hidden="false" customHeight="false" outlineLevel="0" collapsed="false">
      <c r="A2278" s="7" t="s">
        <v>7168</v>
      </c>
      <c r="B2278" s="7" t="s">
        <v>4285</v>
      </c>
      <c r="C2278" s="7" t="s">
        <v>4288</v>
      </c>
      <c r="D2278" s="7" t="n">
        <v>2722</v>
      </c>
      <c r="E2278" s="7" t="s">
        <v>50</v>
      </c>
      <c r="F2278" s="7" t="n">
        <v>-35.06297</v>
      </c>
      <c r="G2278" s="7" t="n">
        <v>148.101696</v>
      </c>
      <c r="H2278" s="7" t="s">
        <v>2718</v>
      </c>
    </row>
    <row r="2279" customFormat="false" ht="15" hidden="false" customHeight="false" outlineLevel="0" collapsed="false">
      <c r="A2279" s="7" t="s">
        <v>7168</v>
      </c>
      <c r="B2279" s="7" t="s">
        <v>4289</v>
      </c>
      <c r="C2279" s="7" t="s">
        <v>4292</v>
      </c>
      <c r="D2279" s="7" t="n">
        <v>2380</v>
      </c>
      <c r="E2279" s="7" t="s">
        <v>50</v>
      </c>
      <c r="F2279" s="7" t="n">
        <v>-30.979376</v>
      </c>
      <c r="G2279" s="7" t="n">
        <v>150.247996</v>
      </c>
      <c r="H2279" s="7" t="s">
        <v>2793</v>
      </c>
    </row>
    <row r="2280" customFormat="false" ht="15" hidden="false" customHeight="false" outlineLevel="0" collapsed="false">
      <c r="A2280" s="7" t="s">
        <v>7168</v>
      </c>
      <c r="B2280" s="7" t="s">
        <v>4294</v>
      </c>
      <c r="C2280" s="7" t="s">
        <v>4297</v>
      </c>
      <c r="D2280" s="7" t="n">
        <v>2581</v>
      </c>
      <c r="E2280" s="7" t="s">
        <v>50</v>
      </c>
      <c r="F2280" s="7" t="n">
        <v>-34.779691</v>
      </c>
      <c r="G2280" s="7" t="n">
        <v>149.261031</v>
      </c>
      <c r="H2280" s="7" t="s">
        <v>2806</v>
      </c>
    </row>
    <row r="2281" customFormat="false" ht="15" hidden="false" customHeight="false" outlineLevel="0" collapsed="false">
      <c r="A2281" s="7" t="s">
        <v>7168</v>
      </c>
      <c r="B2281" s="7" t="s">
        <v>4300</v>
      </c>
      <c r="C2281" s="7" t="s">
        <v>4303</v>
      </c>
      <c r="D2281" s="7" t="n">
        <v>2365</v>
      </c>
      <c r="E2281" s="7" t="s">
        <v>50</v>
      </c>
      <c r="F2281" s="7" t="n">
        <v>-30.220216</v>
      </c>
      <c r="G2281" s="7" t="n">
        <v>151.67152</v>
      </c>
      <c r="H2281" s="7" t="s">
        <v>2718</v>
      </c>
    </row>
    <row r="2282" customFormat="false" ht="15" hidden="false" customHeight="false" outlineLevel="0" collapsed="false">
      <c r="A2282" s="7" t="s">
        <v>7168</v>
      </c>
      <c r="B2282" s="7" t="s">
        <v>4304</v>
      </c>
      <c r="C2282" s="7" t="s">
        <v>4307</v>
      </c>
      <c r="D2282" s="7" t="n">
        <v>2227</v>
      </c>
      <c r="E2282" s="7" t="s">
        <v>50</v>
      </c>
      <c r="F2282" s="7" t="n">
        <v>-34.03489294</v>
      </c>
      <c r="G2282" s="7" t="n">
        <v>151.0854766</v>
      </c>
      <c r="H2282" s="7" t="s">
        <v>2786</v>
      </c>
    </row>
    <row r="2283" customFormat="false" ht="15" hidden="false" customHeight="false" outlineLevel="0" collapsed="false">
      <c r="A2283" s="7" t="s">
        <v>7168</v>
      </c>
      <c r="B2283" s="7" t="s">
        <v>4310</v>
      </c>
      <c r="C2283" s="7" t="s">
        <v>4313</v>
      </c>
      <c r="D2283" s="7" t="n">
        <v>2303</v>
      </c>
      <c r="E2283" s="7" t="s">
        <v>50</v>
      </c>
      <c r="F2283" s="7" t="n">
        <v>-32.91871348</v>
      </c>
      <c r="G2283" s="7" t="n">
        <v>151.7488722</v>
      </c>
      <c r="H2283" s="7" t="s">
        <v>2786</v>
      </c>
    </row>
    <row r="2284" customFormat="false" ht="15" hidden="false" customHeight="false" outlineLevel="0" collapsed="false">
      <c r="A2284" s="7" t="s">
        <v>7168</v>
      </c>
      <c r="B2284" s="7" t="s">
        <v>4316</v>
      </c>
      <c r="C2284" s="7" t="s">
        <v>4319</v>
      </c>
      <c r="D2284" s="7" t="n">
        <v>2587</v>
      </c>
      <c r="E2284" s="7" t="s">
        <v>50</v>
      </c>
      <c r="F2284" s="7" t="n">
        <v>-34.553349</v>
      </c>
      <c r="G2284" s="7" t="n">
        <v>148.371322</v>
      </c>
      <c r="H2284" s="7" t="s">
        <v>2806</v>
      </c>
    </row>
    <row r="2285" customFormat="false" ht="15" hidden="false" customHeight="false" outlineLevel="0" collapsed="false">
      <c r="A2285" s="7" t="s">
        <v>7168</v>
      </c>
      <c r="B2285" s="7" t="s">
        <v>4321</v>
      </c>
      <c r="C2285" s="7" t="s">
        <v>4324</v>
      </c>
      <c r="D2285" s="7" t="n">
        <v>2587</v>
      </c>
      <c r="E2285" s="7" t="s">
        <v>50</v>
      </c>
      <c r="F2285" s="7" t="n">
        <v>-34.55424</v>
      </c>
      <c r="G2285" s="7" t="n">
        <v>148.367228</v>
      </c>
      <c r="H2285" s="7" t="s">
        <v>2718</v>
      </c>
    </row>
    <row r="2286" customFormat="false" ht="15" hidden="false" customHeight="false" outlineLevel="0" collapsed="false">
      <c r="A2286" s="7" t="s">
        <v>7168</v>
      </c>
      <c r="B2286" s="7" t="s">
        <v>4325</v>
      </c>
      <c r="C2286" s="7" t="s">
        <v>4328</v>
      </c>
      <c r="D2286" s="7" t="n">
        <v>2150</v>
      </c>
      <c r="E2286" s="7" t="s">
        <v>50</v>
      </c>
      <c r="F2286" s="7" t="n">
        <v>-33.82326002</v>
      </c>
      <c r="G2286" s="7" t="n">
        <v>151.0076387</v>
      </c>
      <c r="H2286" s="7" t="s">
        <v>2806</v>
      </c>
    </row>
    <row r="2287" customFormat="false" ht="15" hidden="false" customHeight="false" outlineLevel="0" collapsed="false">
      <c r="A2287" s="7" t="s">
        <v>7168</v>
      </c>
      <c r="B2287" s="7" t="s">
        <v>4331</v>
      </c>
      <c r="C2287" s="7" t="s">
        <v>4334</v>
      </c>
      <c r="D2287" s="7" t="n">
        <v>2489</v>
      </c>
      <c r="E2287" s="7" t="s">
        <v>50</v>
      </c>
      <c r="F2287" s="7" t="n">
        <v>-28.354774</v>
      </c>
      <c r="G2287" s="7" t="n">
        <v>153.572477</v>
      </c>
      <c r="H2287" s="7" t="s">
        <v>2718</v>
      </c>
    </row>
    <row r="2288" customFormat="false" ht="15" hidden="false" customHeight="false" outlineLevel="0" collapsed="false">
      <c r="A2288" s="7" t="s">
        <v>7168</v>
      </c>
      <c r="B2288" s="7" t="s">
        <v>4335</v>
      </c>
      <c r="C2288" s="7" t="s">
        <v>4338</v>
      </c>
      <c r="D2288" s="7" t="n">
        <v>2083</v>
      </c>
      <c r="E2288" s="7" t="s">
        <v>50</v>
      </c>
      <c r="F2288" s="7" t="n">
        <v>-33.54678835</v>
      </c>
      <c r="G2288" s="7" t="n">
        <v>151.2265104</v>
      </c>
      <c r="H2288" s="7" t="s">
        <v>4339</v>
      </c>
    </row>
    <row r="2289" customFormat="false" ht="15" hidden="false" customHeight="false" outlineLevel="0" collapsed="false">
      <c r="A2289" s="7" t="s">
        <v>7168</v>
      </c>
      <c r="B2289" s="7" t="s">
        <v>4340</v>
      </c>
      <c r="C2289" s="7" t="s">
        <v>4343</v>
      </c>
      <c r="D2289" s="7" t="n">
        <v>2040</v>
      </c>
      <c r="E2289" s="7" t="s">
        <v>50</v>
      </c>
      <c r="F2289" s="7" t="n">
        <v>-33.87972548</v>
      </c>
      <c r="G2289" s="7" t="n">
        <v>151.1471308</v>
      </c>
      <c r="H2289" s="7" t="s">
        <v>2769</v>
      </c>
    </row>
    <row r="2290" customFormat="false" ht="15" hidden="false" customHeight="false" outlineLevel="0" collapsed="false">
      <c r="A2290" s="7" t="s">
        <v>7168</v>
      </c>
      <c r="B2290" s="7" t="s">
        <v>4344</v>
      </c>
      <c r="C2290" s="7" t="s">
        <v>4347</v>
      </c>
      <c r="D2290" s="7" t="n">
        <v>2711</v>
      </c>
      <c r="E2290" s="7" t="s">
        <v>50</v>
      </c>
      <c r="F2290" s="7" t="n">
        <v>-34.5205</v>
      </c>
      <c r="G2290" s="7" t="n">
        <v>144.837548</v>
      </c>
      <c r="H2290" s="7" t="s">
        <v>2718</v>
      </c>
    </row>
    <row r="2291" customFormat="false" ht="15" hidden="false" customHeight="false" outlineLevel="0" collapsed="false">
      <c r="A2291" s="7" t="s">
        <v>7168</v>
      </c>
      <c r="B2291" s="7" t="s">
        <v>4348</v>
      </c>
      <c r="C2291" s="7" t="s">
        <v>3511</v>
      </c>
      <c r="D2291" s="7" t="n">
        <v>2000</v>
      </c>
      <c r="E2291" s="7" t="s">
        <v>50</v>
      </c>
      <c r="F2291" s="7" t="n">
        <v>-33.881447</v>
      </c>
      <c r="G2291" s="7" t="n">
        <v>151.205334</v>
      </c>
      <c r="H2291" s="7" t="s">
        <v>4351</v>
      </c>
    </row>
    <row r="2292" customFormat="false" ht="15" hidden="false" customHeight="false" outlineLevel="0" collapsed="false">
      <c r="A2292" s="7" t="s">
        <v>7168</v>
      </c>
      <c r="B2292" s="7" t="s">
        <v>4352</v>
      </c>
      <c r="C2292" s="7" t="s">
        <v>4355</v>
      </c>
      <c r="D2292" s="7" t="n">
        <v>2779</v>
      </c>
      <c r="E2292" s="7" t="s">
        <v>50</v>
      </c>
      <c r="F2292" s="7" t="n">
        <v>-33.72397351</v>
      </c>
      <c r="G2292" s="7" t="n">
        <v>150.4546038</v>
      </c>
      <c r="H2292" s="7" t="s">
        <v>2786</v>
      </c>
    </row>
    <row r="2293" customFormat="false" ht="15" hidden="false" customHeight="false" outlineLevel="0" collapsed="false">
      <c r="A2293" s="7" t="s">
        <v>7168</v>
      </c>
      <c r="B2293" s="7" t="s">
        <v>4358</v>
      </c>
      <c r="C2293" s="7" t="s">
        <v>4361</v>
      </c>
      <c r="D2293" s="7" t="n">
        <v>2233</v>
      </c>
      <c r="E2293" s="7" t="s">
        <v>50</v>
      </c>
      <c r="F2293" s="7" t="n">
        <v>-34.08823661</v>
      </c>
      <c r="G2293" s="7" t="n">
        <v>151.0080024</v>
      </c>
      <c r="H2293" s="7" t="s">
        <v>2793</v>
      </c>
    </row>
    <row r="2294" customFormat="false" ht="15" hidden="false" customHeight="false" outlineLevel="0" collapsed="false">
      <c r="A2294" s="7" t="s">
        <v>7168</v>
      </c>
      <c r="B2294" s="7" t="s">
        <v>4364</v>
      </c>
      <c r="C2294" s="7" t="s">
        <v>4367</v>
      </c>
      <c r="D2294" s="7" t="n">
        <v>2508</v>
      </c>
      <c r="E2294" s="7" t="s">
        <v>50</v>
      </c>
      <c r="F2294" s="7" t="n">
        <v>-34.17686988</v>
      </c>
      <c r="G2294" s="7" t="n">
        <v>150.9948249</v>
      </c>
      <c r="H2294" s="7" t="s">
        <v>2786</v>
      </c>
    </row>
    <row r="2295" customFormat="false" ht="15" hidden="false" customHeight="false" outlineLevel="0" collapsed="false">
      <c r="A2295" s="7" t="s">
        <v>7168</v>
      </c>
      <c r="B2295" s="7" t="s">
        <v>4370</v>
      </c>
      <c r="C2295" s="7" t="s">
        <v>4373</v>
      </c>
      <c r="D2295" s="7" t="n">
        <v>2658</v>
      </c>
      <c r="E2295" s="7" t="s">
        <v>50</v>
      </c>
      <c r="F2295" s="7" t="n">
        <v>-35.517886</v>
      </c>
      <c r="G2295" s="7" t="n">
        <v>147.035371</v>
      </c>
      <c r="H2295" s="7" t="s">
        <v>3269</v>
      </c>
    </row>
    <row r="2296" customFormat="false" ht="15" hidden="false" customHeight="false" outlineLevel="0" collapsed="false">
      <c r="A2296" s="7" t="s">
        <v>7168</v>
      </c>
      <c r="B2296" s="7" t="s">
        <v>4375</v>
      </c>
      <c r="C2296" s="7" t="s">
        <v>4378</v>
      </c>
      <c r="D2296" s="7" t="n">
        <v>2831</v>
      </c>
      <c r="E2296" s="7" t="s">
        <v>50</v>
      </c>
      <c r="F2296" s="7" t="n">
        <v>-31.546814</v>
      </c>
      <c r="G2296" s="7" t="n">
        <v>146.725963</v>
      </c>
      <c r="H2296" s="7" t="s">
        <v>2718</v>
      </c>
    </row>
    <row r="2297" customFormat="false" ht="15" hidden="false" customHeight="false" outlineLevel="0" collapsed="false">
      <c r="A2297" s="7" t="s">
        <v>7168</v>
      </c>
      <c r="B2297" s="7" t="s">
        <v>4379</v>
      </c>
      <c r="C2297" s="7" t="s">
        <v>4382</v>
      </c>
      <c r="D2297" s="7" t="n">
        <v>2322</v>
      </c>
      <c r="E2297" s="7" t="s">
        <v>50</v>
      </c>
      <c r="F2297" s="7" t="n">
        <v>-32.82947029</v>
      </c>
      <c r="G2297" s="7" t="n">
        <v>151.6844171</v>
      </c>
      <c r="H2297" s="7" t="s">
        <v>2806</v>
      </c>
    </row>
    <row r="2298" customFormat="false" ht="15" hidden="false" customHeight="false" outlineLevel="0" collapsed="false">
      <c r="A2298" s="7" t="s">
        <v>7168</v>
      </c>
      <c r="B2298" s="7" t="s">
        <v>4383</v>
      </c>
      <c r="C2298" s="7" t="s">
        <v>4386</v>
      </c>
      <c r="D2298" s="7" t="n">
        <v>2320</v>
      </c>
      <c r="E2298" s="7" t="s">
        <v>50</v>
      </c>
      <c r="F2298" s="7" t="n">
        <v>-32.741449</v>
      </c>
      <c r="G2298" s="7" t="n">
        <v>151.5636893</v>
      </c>
      <c r="H2298" s="7" t="s">
        <v>2710</v>
      </c>
    </row>
    <row r="2299" customFormat="false" ht="15" hidden="false" customHeight="false" outlineLevel="0" collapsed="false">
      <c r="A2299" s="7" t="s">
        <v>7168</v>
      </c>
      <c r="B2299" s="7" t="s">
        <v>4388</v>
      </c>
      <c r="C2299" s="7" t="s">
        <v>4391</v>
      </c>
      <c r="D2299" s="7" t="n">
        <v>2420</v>
      </c>
      <c r="E2299" s="7" t="s">
        <v>50</v>
      </c>
      <c r="F2299" s="7" t="n">
        <v>-32.50450378</v>
      </c>
      <c r="G2299" s="7" t="n">
        <v>151.6497678</v>
      </c>
      <c r="H2299" s="7" t="s">
        <v>2806</v>
      </c>
    </row>
    <row r="2300" customFormat="false" ht="15" hidden="false" customHeight="false" outlineLevel="0" collapsed="false">
      <c r="A2300" s="7" t="s">
        <v>7168</v>
      </c>
      <c r="B2300" s="7" t="s">
        <v>4392</v>
      </c>
      <c r="C2300" s="7" t="s">
        <v>4395</v>
      </c>
      <c r="D2300" s="7" t="n">
        <v>2154</v>
      </c>
      <c r="E2300" s="7" t="s">
        <v>50</v>
      </c>
      <c r="F2300" s="7" t="n">
        <v>-33.72782</v>
      </c>
      <c r="G2300" s="7" t="n">
        <v>150.987345</v>
      </c>
      <c r="H2300" s="7" t="s">
        <v>2982</v>
      </c>
    </row>
    <row r="2301" customFormat="false" ht="15" hidden="false" customHeight="false" outlineLevel="0" collapsed="false">
      <c r="A2301" s="7" t="s">
        <v>7168</v>
      </c>
      <c r="B2301" s="7" t="s">
        <v>4396</v>
      </c>
      <c r="C2301" s="7" t="s">
        <v>4399</v>
      </c>
      <c r="D2301" s="7" t="n">
        <v>2173</v>
      </c>
      <c r="E2301" s="7" t="s">
        <v>50</v>
      </c>
      <c r="F2301" s="7" t="n">
        <v>-33.96320957</v>
      </c>
      <c r="G2301" s="7" t="n">
        <v>150.9568946</v>
      </c>
      <c r="H2301" s="7" t="s">
        <v>2786</v>
      </c>
    </row>
    <row r="2302" customFormat="false" ht="15" hidden="false" customHeight="false" outlineLevel="0" collapsed="false">
      <c r="A2302" s="7" t="s">
        <v>7168</v>
      </c>
      <c r="B2302" s="7" t="s">
        <v>4402</v>
      </c>
      <c r="C2302" s="7" t="s">
        <v>4405</v>
      </c>
      <c r="D2302" s="7" t="n">
        <v>2140</v>
      </c>
      <c r="E2302" s="7" t="s">
        <v>50</v>
      </c>
      <c r="F2302" s="7" t="n">
        <v>-33.86673988</v>
      </c>
      <c r="G2302" s="7" t="n">
        <v>151.0864413</v>
      </c>
      <c r="H2302" s="7" t="s">
        <v>2786</v>
      </c>
    </row>
    <row r="2303" customFormat="false" ht="15" hidden="false" customHeight="false" outlineLevel="0" collapsed="false">
      <c r="A2303" s="7" t="s">
        <v>7168</v>
      </c>
      <c r="B2303" s="7" t="s">
        <v>4409</v>
      </c>
      <c r="C2303" s="7" t="s">
        <v>4412</v>
      </c>
      <c r="D2303" s="7" t="n">
        <v>2300</v>
      </c>
      <c r="E2303" s="7" t="s">
        <v>50</v>
      </c>
      <c r="F2303" s="7" t="n">
        <v>-32.92647</v>
      </c>
      <c r="G2303" s="7" t="n">
        <v>151.765765</v>
      </c>
      <c r="H2303" s="7" t="s">
        <v>2769</v>
      </c>
    </row>
    <row r="2304" customFormat="false" ht="15" hidden="false" customHeight="false" outlineLevel="0" collapsed="false">
      <c r="A2304" s="7" t="s">
        <v>7168</v>
      </c>
      <c r="B2304" s="7" t="s">
        <v>4413</v>
      </c>
      <c r="C2304" s="7" t="s">
        <v>4416</v>
      </c>
      <c r="D2304" s="7" t="n">
        <v>2077</v>
      </c>
      <c r="E2304" s="7" t="s">
        <v>50</v>
      </c>
      <c r="F2304" s="7" t="n">
        <v>-33.70280124</v>
      </c>
      <c r="G2304" s="7" t="n">
        <v>151.098494</v>
      </c>
      <c r="H2304" s="7" t="s">
        <v>2786</v>
      </c>
    </row>
    <row r="2305" customFormat="false" ht="15" hidden="false" customHeight="false" outlineLevel="0" collapsed="false">
      <c r="A2305" s="7" t="s">
        <v>7168</v>
      </c>
      <c r="B2305" s="7" t="s">
        <v>4419</v>
      </c>
      <c r="C2305" s="7" t="s">
        <v>4422</v>
      </c>
      <c r="D2305" s="7" t="n">
        <v>2643</v>
      </c>
      <c r="E2305" s="7" t="s">
        <v>50</v>
      </c>
      <c r="F2305" s="7" t="n">
        <v>-35.978756</v>
      </c>
      <c r="G2305" s="7" t="n">
        <v>146.625294</v>
      </c>
      <c r="H2305" s="7" t="s">
        <v>2718</v>
      </c>
    </row>
    <row r="2306" customFormat="false" ht="15" hidden="false" customHeight="false" outlineLevel="0" collapsed="false">
      <c r="A2306" s="7" t="s">
        <v>7168</v>
      </c>
      <c r="B2306" s="7" t="s">
        <v>4423</v>
      </c>
      <c r="C2306" s="7" t="s">
        <v>4426</v>
      </c>
      <c r="D2306" s="7" t="n">
        <v>2110</v>
      </c>
      <c r="E2306" s="7" t="s">
        <v>50</v>
      </c>
      <c r="F2306" s="7" t="n">
        <v>-33.835744</v>
      </c>
      <c r="G2306" s="7" t="n">
        <v>151.160663</v>
      </c>
      <c r="H2306" s="7" t="s">
        <v>2852</v>
      </c>
    </row>
    <row r="2307" customFormat="false" ht="15" hidden="false" customHeight="false" outlineLevel="0" collapsed="false">
      <c r="A2307" s="7" t="s">
        <v>7168</v>
      </c>
      <c r="B2307" s="7" t="s">
        <v>4428</v>
      </c>
      <c r="C2307" s="7" t="s">
        <v>4431</v>
      </c>
      <c r="D2307" s="7" t="n">
        <v>2111</v>
      </c>
      <c r="E2307" s="7" t="s">
        <v>50</v>
      </c>
      <c r="F2307" s="7" t="n">
        <v>-33.84192145</v>
      </c>
      <c r="G2307" s="7" t="n">
        <v>151.1422376</v>
      </c>
      <c r="H2307" s="7" t="s">
        <v>2852</v>
      </c>
    </row>
    <row r="2308" customFormat="false" ht="15" hidden="false" customHeight="false" outlineLevel="0" collapsed="false">
      <c r="A2308" s="7" t="s">
        <v>7168</v>
      </c>
      <c r="B2308" s="7" t="s">
        <v>4434</v>
      </c>
      <c r="C2308" s="7" t="s">
        <v>4437</v>
      </c>
      <c r="D2308" s="7" t="n">
        <v>2193</v>
      </c>
      <c r="E2308" s="7" t="s">
        <v>50</v>
      </c>
      <c r="F2308" s="7" t="n">
        <v>-33.91042225</v>
      </c>
      <c r="G2308" s="7" t="n">
        <v>151.1320925</v>
      </c>
      <c r="H2308" s="7" t="s">
        <v>3439</v>
      </c>
    </row>
    <row r="2309" customFormat="false" ht="15" hidden="false" customHeight="false" outlineLevel="0" collapsed="false">
      <c r="A2309" s="7" t="s">
        <v>7168</v>
      </c>
      <c r="B2309" s="7" t="s">
        <v>4441</v>
      </c>
      <c r="C2309" s="7" t="s">
        <v>4444</v>
      </c>
      <c r="D2309" s="7" t="n">
        <v>2220</v>
      </c>
      <c r="E2309" s="7" t="s">
        <v>50</v>
      </c>
      <c r="F2309" s="7" t="n">
        <v>-33.96745356</v>
      </c>
      <c r="G2309" s="7" t="n">
        <v>151.1027571</v>
      </c>
      <c r="H2309" s="7" t="s">
        <v>2786</v>
      </c>
    </row>
    <row r="2310" customFormat="false" ht="15" hidden="false" customHeight="false" outlineLevel="0" collapsed="false">
      <c r="A2310" s="7" t="s">
        <v>7168</v>
      </c>
      <c r="B2310" s="7" t="s">
        <v>4447</v>
      </c>
      <c r="C2310" s="7" t="s">
        <v>4450</v>
      </c>
      <c r="D2310" s="7" t="n">
        <v>2850</v>
      </c>
      <c r="E2310" s="7" t="s">
        <v>50</v>
      </c>
      <c r="F2310" s="7" t="n">
        <v>-32.958304</v>
      </c>
      <c r="G2310" s="7" t="n">
        <v>149.857936</v>
      </c>
      <c r="H2310" s="7" t="s">
        <v>2718</v>
      </c>
    </row>
    <row r="2311" customFormat="false" ht="15" hidden="false" customHeight="false" outlineLevel="0" collapsed="false">
      <c r="A2311" s="7" t="s">
        <v>7168</v>
      </c>
      <c r="B2311" s="7" t="s">
        <v>4451</v>
      </c>
      <c r="C2311" s="7" t="s">
        <v>4454</v>
      </c>
      <c r="D2311" s="7" t="n">
        <v>2466</v>
      </c>
      <c r="E2311" s="7" t="s">
        <v>50</v>
      </c>
      <c r="F2311" s="7" t="n">
        <v>-29.408259</v>
      </c>
      <c r="G2311" s="7" t="n">
        <v>153.351653</v>
      </c>
      <c r="H2311" s="7" t="s">
        <v>2718</v>
      </c>
    </row>
    <row r="2312" customFormat="false" ht="15" hidden="false" customHeight="false" outlineLevel="0" collapsed="false">
      <c r="A2312" s="7" t="s">
        <v>7168</v>
      </c>
      <c r="B2312" s="7" t="s">
        <v>4455</v>
      </c>
      <c r="C2312" s="7" t="s">
        <v>4458</v>
      </c>
      <c r="D2312" s="7" t="n">
        <v>2565</v>
      </c>
      <c r="E2312" s="7" t="s">
        <v>50</v>
      </c>
      <c r="F2312" s="7" t="n">
        <v>-33.9970797</v>
      </c>
      <c r="G2312" s="7" t="n">
        <v>150.8649205</v>
      </c>
      <c r="H2312" s="7" t="s">
        <v>2786</v>
      </c>
    </row>
    <row r="2313" customFormat="false" ht="15" hidden="false" customHeight="false" outlineLevel="0" collapsed="false">
      <c r="A2313" s="7" t="s">
        <v>7168</v>
      </c>
      <c r="B2313" s="7" t="s">
        <v>4461</v>
      </c>
      <c r="C2313" s="7" t="s">
        <v>4464</v>
      </c>
      <c r="D2313" s="7" t="n">
        <v>2020</v>
      </c>
      <c r="E2313" s="7" t="s">
        <v>50</v>
      </c>
      <c r="F2313" s="7" t="n">
        <v>-33.93498823</v>
      </c>
      <c r="G2313" s="7" t="n">
        <v>151.1658913</v>
      </c>
      <c r="H2313" s="7" t="s">
        <v>2786</v>
      </c>
    </row>
    <row r="2314" customFormat="false" ht="15" hidden="false" customHeight="false" outlineLevel="0" collapsed="false">
      <c r="A2314" s="7" t="s">
        <v>7168</v>
      </c>
      <c r="B2314" s="7" t="s">
        <v>4466</v>
      </c>
      <c r="C2314" s="7" t="s">
        <v>4469</v>
      </c>
      <c r="D2314" s="7" t="n">
        <v>2360</v>
      </c>
      <c r="E2314" s="7" t="s">
        <v>50</v>
      </c>
      <c r="F2314" s="7" t="n">
        <v>-29.775287</v>
      </c>
      <c r="G2314" s="7" t="n">
        <v>151.110168</v>
      </c>
      <c r="H2314" s="7" t="s">
        <v>2718</v>
      </c>
    </row>
    <row r="2315" customFormat="false" ht="15" hidden="false" customHeight="false" outlineLevel="0" collapsed="false">
      <c r="A2315" s="7" t="s">
        <v>7168</v>
      </c>
      <c r="B2315" s="7" t="s">
        <v>4470</v>
      </c>
      <c r="C2315" s="7" t="s">
        <v>4473</v>
      </c>
      <c r="D2315" s="7" t="n">
        <v>2878</v>
      </c>
      <c r="E2315" s="7" t="s">
        <v>50</v>
      </c>
      <c r="F2315" s="7" t="n">
        <v>-32.914304</v>
      </c>
      <c r="G2315" s="7" t="n">
        <v>144.311759</v>
      </c>
      <c r="H2315" s="7" t="s">
        <v>2806</v>
      </c>
    </row>
    <row r="2316" customFormat="false" ht="15" hidden="false" customHeight="false" outlineLevel="0" collapsed="false">
      <c r="A2316" s="7" t="s">
        <v>7168</v>
      </c>
      <c r="B2316" s="7" t="s">
        <v>4475</v>
      </c>
      <c r="C2316" s="7" t="s">
        <v>4478</v>
      </c>
      <c r="D2316" s="7" t="n">
        <v>2460</v>
      </c>
      <c r="E2316" s="7" t="s">
        <v>50</v>
      </c>
      <c r="F2316" s="7" t="n">
        <v>-29.576784</v>
      </c>
      <c r="G2316" s="7" t="n">
        <v>152.550471</v>
      </c>
      <c r="H2316" s="7" t="s">
        <v>2718</v>
      </c>
    </row>
    <row r="2317" customFormat="false" ht="15" hidden="false" customHeight="false" outlineLevel="0" collapsed="false">
      <c r="A2317" s="7" t="s">
        <v>7168</v>
      </c>
      <c r="B2317" s="7" t="s">
        <v>4479</v>
      </c>
      <c r="C2317" s="7" t="s">
        <v>4482</v>
      </c>
      <c r="D2317" s="7" t="n">
        <v>2226</v>
      </c>
      <c r="E2317" s="7" t="s">
        <v>50</v>
      </c>
      <c r="F2317" s="7" t="n">
        <v>-34.01612866</v>
      </c>
      <c r="G2317" s="7" t="n">
        <v>151.0646645</v>
      </c>
      <c r="H2317" s="7" t="s">
        <v>2786</v>
      </c>
    </row>
    <row r="2318" customFormat="false" ht="15" hidden="false" customHeight="false" outlineLevel="0" collapsed="false">
      <c r="A2318" s="7" t="s">
        <v>7168</v>
      </c>
      <c r="B2318" s="7" t="s">
        <v>4484</v>
      </c>
      <c r="C2318" s="7" t="s">
        <v>4487</v>
      </c>
      <c r="D2318" s="7" t="n">
        <v>2061</v>
      </c>
      <c r="E2318" s="7" t="s">
        <v>50</v>
      </c>
      <c r="F2318" s="7" t="n">
        <v>-33.849738</v>
      </c>
      <c r="G2318" s="7" t="n">
        <v>151.213967</v>
      </c>
      <c r="H2318" s="7" t="s">
        <v>2852</v>
      </c>
    </row>
    <row r="2319" customFormat="false" ht="15" hidden="false" customHeight="false" outlineLevel="0" collapsed="false">
      <c r="A2319" s="7" t="s">
        <v>7168</v>
      </c>
      <c r="B2319" s="7" t="s">
        <v>4489</v>
      </c>
      <c r="C2319" s="7" t="s">
        <v>4492</v>
      </c>
      <c r="D2319" s="7" t="n">
        <v>2716</v>
      </c>
      <c r="E2319" s="7" t="s">
        <v>50</v>
      </c>
      <c r="F2319" s="7" t="n">
        <v>-35.358876</v>
      </c>
      <c r="G2319" s="7" t="n">
        <v>145.739697</v>
      </c>
      <c r="H2319" s="7" t="s">
        <v>2718</v>
      </c>
    </row>
    <row r="2320" customFormat="false" ht="15" hidden="false" customHeight="false" outlineLevel="0" collapsed="false">
      <c r="A2320" s="7" t="s">
        <v>7168</v>
      </c>
      <c r="B2320" s="7" t="s">
        <v>4493</v>
      </c>
      <c r="C2320" s="7" t="s">
        <v>4496</v>
      </c>
      <c r="D2320" s="7" t="n">
        <v>2627</v>
      </c>
      <c r="E2320" s="7" t="s">
        <v>50</v>
      </c>
      <c r="F2320" s="7" t="n">
        <v>-36.41471</v>
      </c>
      <c r="G2320" s="7" t="n">
        <v>148.622126</v>
      </c>
      <c r="H2320" s="7" t="s">
        <v>2718</v>
      </c>
    </row>
    <row r="2321" customFormat="false" ht="15" hidden="false" customHeight="false" outlineLevel="0" collapsed="false">
      <c r="A2321" s="7" t="s">
        <v>7168</v>
      </c>
      <c r="B2321" s="7" t="s">
        <v>4497</v>
      </c>
      <c r="C2321" s="7" t="s">
        <v>4500</v>
      </c>
      <c r="D2321" s="7" t="n">
        <v>2009</v>
      </c>
      <c r="E2321" s="7" t="s">
        <v>50</v>
      </c>
      <c r="F2321" s="7" t="n">
        <v>-33.86722922</v>
      </c>
      <c r="G2321" s="7" t="n">
        <v>151.1918901</v>
      </c>
      <c r="H2321" s="7" t="s">
        <v>2769</v>
      </c>
    </row>
    <row r="2322" customFormat="false" ht="15" hidden="false" customHeight="false" outlineLevel="0" collapsed="false">
      <c r="A2322" s="7" t="s">
        <v>7168</v>
      </c>
      <c r="B2322" s="7" t="s">
        <v>4502</v>
      </c>
      <c r="C2322" s="7" t="s">
        <v>4505</v>
      </c>
      <c r="D2322" s="7" t="n">
        <v>2037</v>
      </c>
      <c r="E2322" s="7" t="s">
        <v>50</v>
      </c>
      <c r="F2322" s="7" t="n">
        <v>-33.87537487</v>
      </c>
      <c r="G2322" s="7" t="n">
        <v>151.1787626</v>
      </c>
      <c r="H2322" s="7" t="s">
        <v>2769</v>
      </c>
    </row>
    <row r="2323" customFormat="false" ht="15" hidden="false" customHeight="false" outlineLevel="0" collapsed="false">
      <c r="A2323" s="7" t="s">
        <v>7168</v>
      </c>
      <c r="B2323" s="7" t="s">
        <v>4506</v>
      </c>
      <c r="C2323" s="7" t="s">
        <v>4509</v>
      </c>
      <c r="D2323" s="7" t="n">
        <v>2663</v>
      </c>
      <c r="E2323" s="7" t="s">
        <v>50</v>
      </c>
      <c r="F2323" s="7" t="n">
        <v>-34.87026</v>
      </c>
      <c r="G2323" s="7" t="n">
        <v>147.583766</v>
      </c>
      <c r="H2323" s="7" t="s">
        <v>2786</v>
      </c>
    </row>
    <row r="2324" customFormat="false" ht="15" hidden="false" customHeight="false" outlineLevel="0" collapsed="false">
      <c r="A2324" s="7" t="s">
        <v>7168</v>
      </c>
      <c r="B2324" s="7" t="s">
        <v>4511</v>
      </c>
      <c r="C2324" s="7" t="s">
        <v>4514</v>
      </c>
      <c r="D2324" s="7" t="n">
        <v>2032</v>
      </c>
      <c r="E2324" s="7" t="s">
        <v>50</v>
      </c>
      <c r="F2324" s="7" t="n">
        <v>-33.925055</v>
      </c>
      <c r="G2324" s="7" t="n">
        <v>151.229181</v>
      </c>
      <c r="H2324" s="7" t="s">
        <v>2769</v>
      </c>
    </row>
    <row r="2325" customFormat="false" ht="15" hidden="false" customHeight="false" outlineLevel="0" collapsed="false">
      <c r="A2325" s="7" t="s">
        <v>7168</v>
      </c>
      <c r="B2325" s="7" t="s">
        <v>4516</v>
      </c>
      <c r="C2325" s="7" t="s">
        <v>4519</v>
      </c>
      <c r="D2325" s="7" t="n">
        <v>2848</v>
      </c>
      <c r="E2325" s="7" t="s">
        <v>50</v>
      </c>
      <c r="F2325" s="7" t="n">
        <v>-32.859014</v>
      </c>
      <c r="G2325" s="7" t="n">
        <v>149.969607</v>
      </c>
      <c r="H2325" s="7" t="s">
        <v>2718</v>
      </c>
    </row>
    <row r="2326" customFormat="false" ht="15" hidden="false" customHeight="false" outlineLevel="0" collapsed="false">
      <c r="A2326" s="7" t="s">
        <v>7168</v>
      </c>
      <c r="B2326" s="7" t="s">
        <v>4520</v>
      </c>
      <c r="C2326" s="7" t="s">
        <v>4523</v>
      </c>
      <c r="D2326" s="7" t="n">
        <v>2780</v>
      </c>
      <c r="E2326" s="7" t="s">
        <v>50</v>
      </c>
      <c r="F2326" s="7" t="n">
        <v>-33.71157344</v>
      </c>
      <c r="G2326" s="7" t="n">
        <v>150.3111602</v>
      </c>
      <c r="H2326" s="7" t="s">
        <v>2793</v>
      </c>
    </row>
    <row r="2327" customFormat="false" ht="15" hidden="false" customHeight="false" outlineLevel="0" collapsed="false">
      <c r="A2327" s="7" t="s">
        <v>7168</v>
      </c>
      <c r="B2327" s="7" t="s">
        <v>4526</v>
      </c>
      <c r="C2327" s="7" t="s">
        <v>4529</v>
      </c>
      <c r="D2327" s="7" t="n">
        <v>2155</v>
      </c>
      <c r="E2327" s="7" t="s">
        <v>50</v>
      </c>
      <c r="F2327" s="7" t="n">
        <v>-33.713514</v>
      </c>
      <c r="G2327" s="7" t="n">
        <v>150.935304</v>
      </c>
      <c r="H2327" s="7" t="s">
        <v>2982</v>
      </c>
    </row>
    <row r="2328" customFormat="false" ht="15" hidden="false" customHeight="false" outlineLevel="0" collapsed="false">
      <c r="A2328" s="7" t="s">
        <v>7168</v>
      </c>
      <c r="B2328" s="7" t="s">
        <v>4531</v>
      </c>
      <c r="C2328" s="7" t="s">
        <v>4534</v>
      </c>
      <c r="D2328" s="7" t="n">
        <v>2795</v>
      </c>
      <c r="E2328" s="7" t="s">
        <v>50</v>
      </c>
      <c r="F2328" s="7" t="n">
        <v>-33.418602</v>
      </c>
      <c r="G2328" s="7" t="n">
        <v>149.604502</v>
      </c>
      <c r="H2328" s="7" t="s">
        <v>2718</v>
      </c>
    </row>
    <row r="2329" customFormat="false" ht="15" hidden="false" customHeight="false" outlineLevel="0" collapsed="false">
      <c r="A2329" s="7" t="s">
        <v>7168</v>
      </c>
      <c r="B2329" s="7" t="s">
        <v>4535</v>
      </c>
      <c r="C2329" s="7" t="s">
        <v>4538</v>
      </c>
      <c r="D2329" s="7" t="n">
        <v>2526</v>
      </c>
      <c r="E2329" s="7" t="s">
        <v>50</v>
      </c>
      <c r="F2329" s="7" t="n">
        <v>-34.47021836</v>
      </c>
      <c r="G2329" s="7" t="n">
        <v>150.8173407</v>
      </c>
      <c r="H2329" s="7" t="s">
        <v>2806</v>
      </c>
    </row>
    <row r="2330" customFormat="false" ht="15" hidden="false" customHeight="false" outlineLevel="0" collapsed="false">
      <c r="A2330" s="7" t="s">
        <v>7168</v>
      </c>
      <c r="B2330" s="7" t="s">
        <v>4541</v>
      </c>
      <c r="C2330" s="7" t="s">
        <v>4544</v>
      </c>
      <c r="D2330" s="7" t="n">
        <v>2440</v>
      </c>
      <c r="E2330" s="7" t="s">
        <v>50</v>
      </c>
      <c r="F2330" s="7" t="n">
        <v>-31.076852</v>
      </c>
      <c r="G2330" s="7" t="n">
        <v>152.833041</v>
      </c>
      <c r="H2330" s="7" t="s">
        <v>2937</v>
      </c>
    </row>
    <row r="2331" customFormat="false" ht="15" hidden="false" customHeight="false" outlineLevel="0" collapsed="false">
      <c r="A2331" s="7" t="s">
        <v>7168</v>
      </c>
      <c r="B2331" s="7" t="s">
        <v>4546</v>
      </c>
      <c r="C2331" s="7" t="s">
        <v>4549</v>
      </c>
      <c r="D2331" s="7" t="n">
        <v>2439</v>
      </c>
      <c r="E2331" s="7" t="s">
        <v>50</v>
      </c>
      <c r="F2331" s="7" t="n">
        <v>-31.635404</v>
      </c>
      <c r="G2331" s="7" t="n">
        <v>152.706288</v>
      </c>
      <c r="H2331" s="7" t="s">
        <v>2806</v>
      </c>
    </row>
    <row r="2332" customFormat="false" ht="15" hidden="false" customHeight="false" outlineLevel="0" collapsed="false">
      <c r="A2332" s="7" t="s">
        <v>7168</v>
      </c>
      <c r="B2332" s="7" t="s">
        <v>4551</v>
      </c>
      <c r="C2332" s="7" t="s">
        <v>4554</v>
      </c>
      <c r="D2332" s="7" t="n">
        <v>2033</v>
      </c>
      <c r="E2332" s="7" t="s">
        <v>50</v>
      </c>
      <c r="F2332" s="7" t="n">
        <v>-33.909358</v>
      </c>
      <c r="G2332" s="7" t="n">
        <v>151.223357</v>
      </c>
      <c r="H2332" s="7" t="s">
        <v>2769</v>
      </c>
    </row>
    <row r="2333" customFormat="false" ht="15" hidden="false" customHeight="false" outlineLevel="0" collapsed="false">
      <c r="A2333" s="7" t="s">
        <v>7168</v>
      </c>
      <c r="B2333" s="7" t="s">
        <v>4555</v>
      </c>
      <c r="C2333" s="7" t="s">
        <v>4558</v>
      </c>
      <c r="D2333" s="7" t="n">
        <v>2533</v>
      </c>
      <c r="E2333" s="7" t="s">
        <v>50</v>
      </c>
      <c r="F2333" s="7" t="n">
        <v>-34.67251778</v>
      </c>
      <c r="G2333" s="7" t="n">
        <v>150.8546947</v>
      </c>
      <c r="H2333" s="7" t="s">
        <v>2786</v>
      </c>
    </row>
    <row r="2334" customFormat="false" ht="15" hidden="false" customHeight="false" outlineLevel="0" collapsed="false">
      <c r="A2334" s="7" t="s">
        <v>7168</v>
      </c>
      <c r="B2334" s="7" t="s">
        <v>4560</v>
      </c>
      <c r="C2334" s="7" t="s">
        <v>4563</v>
      </c>
      <c r="D2334" s="7" t="n">
        <v>2071</v>
      </c>
      <c r="E2334" s="7" t="s">
        <v>50</v>
      </c>
      <c r="F2334" s="7" t="n">
        <v>-33.76540899</v>
      </c>
      <c r="G2334" s="7" t="n">
        <v>151.1616474</v>
      </c>
      <c r="H2334" s="7" t="s">
        <v>2710</v>
      </c>
    </row>
    <row r="2335" customFormat="false" ht="15" hidden="false" customHeight="false" outlineLevel="0" collapsed="false">
      <c r="A2335" s="7" t="s">
        <v>7168</v>
      </c>
      <c r="B2335" s="7" t="s">
        <v>4566</v>
      </c>
      <c r="C2335" s="7" t="s">
        <v>4569</v>
      </c>
      <c r="D2335" s="7" t="n">
        <v>2011</v>
      </c>
      <c r="E2335" s="7" t="s">
        <v>50</v>
      </c>
      <c r="F2335" s="7" t="n">
        <v>-33.87454091</v>
      </c>
      <c r="G2335" s="7" t="n">
        <v>151.2223342</v>
      </c>
      <c r="H2335" s="7" t="s">
        <v>2786</v>
      </c>
    </row>
    <row r="2336" customFormat="false" ht="15" hidden="false" customHeight="false" outlineLevel="0" collapsed="false">
      <c r="A2336" s="7" t="s">
        <v>7168</v>
      </c>
      <c r="B2336" s="7" t="s">
        <v>4572</v>
      </c>
      <c r="C2336" s="7" t="s">
        <v>4575</v>
      </c>
      <c r="D2336" s="7" t="n">
        <v>2487</v>
      </c>
      <c r="E2336" s="7" t="s">
        <v>50</v>
      </c>
      <c r="F2336" s="7" t="n">
        <v>-28.255587</v>
      </c>
      <c r="G2336" s="7" t="n">
        <v>153.575369</v>
      </c>
      <c r="H2336" s="7" t="s">
        <v>2718</v>
      </c>
    </row>
    <row r="2337" customFormat="false" ht="15" hidden="false" customHeight="false" outlineLevel="0" collapsed="false">
      <c r="A2337" s="7" t="s">
        <v>7168</v>
      </c>
      <c r="B2337" s="7" t="s">
        <v>4576</v>
      </c>
      <c r="C2337" s="7" t="s">
        <v>4514</v>
      </c>
      <c r="D2337" s="7" t="n">
        <v>2032</v>
      </c>
      <c r="E2337" s="7" t="s">
        <v>50</v>
      </c>
      <c r="F2337" s="7" t="n">
        <v>-33.921856</v>
      </c>
      <c r="G2337" s="7" t="n">
        <v>151.226878</v>
      </c>
      <c r="H2337" s="7" t="s">
        <v>2769</v>
      </c>
    </row>
    <row r="2338" customFormat="false" ht="15" hidden="false" customHeight="false" outlineLevel="0" collapsed="false">
      <c r="A2338" s="7" t="s">
        <v>7168</v>
      </c>
      <c r="B2338" s="7" t="s">
        <v>4579</v>
      </c>
      <c r="C2338" s="7" t="s">
        <v>4582</v>
      </c>
      <c r="D2338" s="7" t="n">
        <v>2208</v>
      </c>
      <c r="E2338" s="7" t="s">
        <v>50</v>
      </c>
      <c r="F2338" s="7" t="n">
        <v>-33.94063602</v>
      </c>
      <c r="G2338" s="7" t="n">
        <v>151.1004839</v>
      </c>
      <c r="H2338" s="7" t="s">
        <v>2786</v>
      </c>
    </row>
    <row r="2339" customFormat="false" ht="15" hidden="false" customHeight="false" outlineLevel="0" collapsed="false">
      <c r="A2339" s="7" t="s">
        <v>7168</v>
      </c>
      <c r="B2339" s="7" t="s">
        <v>4585</v>
      </c>
      <c r="C2339" s="7" t="s">
        <v>4588</v>
      </c>
      <c r="D2339" s="7" t="n">
        <v>2747</v>
      </c>
      <c r="E2339" s="7" t="s">
        <v>50</v>
      </c>
      <c r="F2339" s="7" t="n">
        <v>-33.7582512</v>
      </c>
      <c r="G2339" s="7" t="n">
        <v>150.7198236</v>
      </c>
      <c r="H2339" s="7" t="s">
        <v>2786</v>
      </c>
    </row>
    <row r="2340" customFormat="false" ht="15" hidden="false" customHeight="false" outlineLevel="0" collapsed="false">
      <c r="A2340" s="7" t="s">
        <v>7168</v>
      </c>
      <c r="B2340" s="7" t="s">
        <v>4591</v>
      </c>
      <c r="C2340" s="7" t="s">
        <v>4594</v>
      </c>
      <c r="D2340" s="7" t="n">
        <v>2232</v>
      </c>
      <c r="E2340" s="7" t="s">
        <v>50</v>
      </c>
      <c r="F2340" s="7" t="n">
        <v>-34.03501535</v>
      </c>
      <c r="G2340" s="7" t="n">
        <v>151.0713153</v>
      </c>
      <c r="H2340" s="7" t="s">
        <v>2793</v>
      </c>
    </row>
    <row r="2341" customFormat="false" ht="15" hidden="false" customHeight="false" outlineLevel="0" collapsed="false">
      <c r="A2341" s="7" t="s">
        <v>7168</v>
      </c>
      <c r="B2341" s="7" t="s">
        <v>4596</v>
      </c>
      <c r="C2341" s="7" t="s">
        <v>4599</v>
      </c>
      <c r="D2341" s="7" t="n">
        <v>2061</v>
      </c>
      <c r="E2341" s="7" t="s">
        <v>50</v>
      </c>
      <c r="F2341" s="7" t="n">
        <v>-33.84936725</v>
      </c>
      <c r="G2341" s="7" t="n">
        <v>151.2202795</v>
      </c>
      <c r="H2341" s="7" t="s">
        <v>2852</v>
      </c>
    </row>
    <row r="2342" customFormat="false" ht="15" hidden="false" customHeight="false" outlineLevel="0" collapsed="false">
      <c r="A2342" s="7" t="s">
        <v>7168</v>
      </c>
      <c r="B2342" s="7" t="s">
        <v>4601</v>
      </c>
      <c r="C2342" s="7" t="s">
        <v>4604</v>
      </c>
      <c r="D2342" s="7" t="n">
        <v>2112</v>
      </c>
      <c r="E2342" s="7" t="s">
        <v>50</v>
      </c>
      <c r="F2342" s="7" t="n">
        <v>-33.8316867</v>
      </c>
      <c r="G2342" s="7" t="n">
        <v>151.1019831</v>
      </c>
      <c r="H2342" s="7" t="s">
        <v>2852</v>
      </c>
    </row>
    <row r="2343" customFormat="false" ht="15" hidden="false" customHeight="false" outlineLevel="0" collapsed="false">
      <c r="A2343" s="7" t="s">
        <v>7168</v>
      </c>
      <c r="B2343" s="7" t="s">
        <v>4606</v>
      </c>
      <c r="C2343" s="7" t="s">
        <v>4609</v>
      </c>
      <c r="D2343" s="7" t="n">
        <v>2217</v>
      </c>
      <c r="E2343" s="7" t="s">
        <v>50</v>
      </c>
      <c r="F2343" s="7" t="n">
        <v>-33.96214931</v>
      </c>
      <c r="G2343" s="7" t="n">
        <v>151.1326415</v>
      </c>
      <c r="H2343" s="7" t="s">
        <v>2786</v>
      </c>
    </row>
    <row r="2344" customFormat="false" ht="15" hidden="false" customHeight="false" outlineLevel="0" collapsed="false">
      <c r="A2344" s="7" t="s">
        <v>7168</v>
      </c>
      <c r="B2344" s="7" t="s">
        <v>4612</v>
      </c>
      <c r="C2344" s="7" t="s">
        <v>4615</v>
      </c>
      <c r="D2344" s="7" t="n">
        <v>2256</v>
      </c>
      <c r="E2344" s="7" t="s">
        <v>50</v>
      </c>
      <c r="F2344" s="7" t="n">
        <v>-33.46697442</v>
      </c>
      <c r="G2344" s="7" t="n">
        <v>151.318655</v>
      </c>
      <c r="H2344" s="7" t="s">
        <v>2710</v>
      </c>
    </row>
    <row r="2345" customFormat="false" ht="15" hidden="false" customHeight="false" outlineLevel="0" collapsed="false">
      <c r="A2345" s="7" t="s">
        <v>7168</v>
      </c>
      <c r="B2345" s="7" t="s">
        <v>4618</v>
      </c>
      <c r="C2345" s="7" t="s">
        <v>4621</v>
      </c>
      <c r="D2345" s="7" t="n">
        <v>2807</v>
      </c>
      <c r="E2345" s="7" t="s">
        <v>50</v>
      </c>
      <c r="F2345" s="7" t="n">
        <v>-34.038985</v>
      </c>
      <c r="G2345" s="7" t="n">
        <v>148.554832</v>
      </c>
      <c r="H2345" s="7" t="s">
        <v>2718</v>
      </c>
    </row>
    <row r="2346" customFormat="false" ht="15" hidden="false" customHeight="false" outlineLevel="0" collapsed="false">
      <c r="A2346" s="7" t="s">
        <v>7168</v>
      </c>
      <c r="B2346" s="7" t="s">
        <v>4622</v>
      </c>
      <c r="C2346" s="7" t="s">
        <v>4625</v>
      </c>
      <c r="D2346" s="7" t="n">
        <v>2352</v>
      </c>
      <c r="E2346" s="7" t="s">
        <v>50</v>
      </c>
      <c r="F2346" s="7" t="n">
        <v>-31.058731</v>
      </c>
      <c r="G2346" s="7" t="n">
        <v>151.056154</v>
      </c>
      <c r="H2346" s="7" t="s">
        <v>2806</v>
      </c>
    </row>
    <row r="2347" customFormat="false" ht="15" hidden="false" customHeight="false" outlineLevel="0" collapsed="false">
      <c r="A2347" s="7" t="s">
        <v>7168</v>
      </c>
      <c r="B2347" s="7" t="s">
        <v>4626</v>
      </c>
      <c r="C2347" s="7" t="s">
        <v>4629</v>
      </c>
      <c r="D2347" s="7" t="n">
        <v>2352</v>
      </c>
      <c r="E2347" s="7" t="s">
        <v>50</v>
      </c>
      <c r="F2347" s="7" t="n">
        <v>-31.056292</v>
      </c>
      <c r="G2347" s="7" t="n">
        <v>151.054274</v>
      </c>
      <c r="H2347" s="7" t="s">
        <v>2718</v>
      </c>
    </row>
    <row r="2348" customFormat="false" ht="15" hidden="false" customHeight="false" outlineLevel="0" collapsed="false">
      <c r="A2348" s="7" t="s">
        <v>7168</v>
      </c>
      <c r="B2348" s="7" t="s">
        <v>4630</v>
      </c>
      <c r="C2348" s="7" t="s">
        <v>4633</v>
      </c>
      <c r="D2348" s="7" t="n">
        <v>2289</v>
      </c>
      <c r="E2348" s="7" t="s">
        <v>50</v>
      </c>
      <c r="F2348" s="7" t="n">
        <v>-32.94139627</v>
      </c>
      <c r="G2348" s="7" t="n">
        <v>151.6984933</v>
      </c>
      <c r="H2348" s="7" t="s">
        <v>2710</v>
      </c>
    </row>
    <row r="2349" customFormat="false" ht="15" hidden="false" customHeight="false" outlineLevel="0" collapsed="false">
      <c r="A2349" s="7" t="s">
        <v>7168</v>
      </c>
      <c r="B2349" s="7" t="s">
        <v>4634</v>
      </c>
      <c r="C2349" s="7" t="s">
        <v>4637</v>
      </c>
      <c r="D2349" s="7" t="n">
        <v>2429</v>
      </c>
      <c r="E2349" s="7" t="s">
        <v>50</v>
      </c>
      <c r="F2349" s="7" t="n">
        <v>-32.051628</v>
      </c>
      <c r="G2349" s="7" t="n">
        <v>152.260192</v>
      </c>
      <c r="H2349" s="7" t="s">
        <v>2718</v>
      </c>
    </row>
    <row r="2350" customFormat="false" ht="15" hidden="false" customHeight="false" outlineLevel="0" collapsed="false">
      <c r="A2350" s="7" t="s">
        <v>7168</v>
      </c>
      <c r="B2350" s="7" t="s">
        <v>4638</v>
      </c>
      <c r="C2350" s="7" t="s">
        <v>4641</v>
      </c>
      <c r="D2350" s="7" t="n">
        <v>2089</v>
      </c>
      <c r="E2350" s="7" t="s">
        <v>50</v>
      </c>
      <c r="F2350" s="7" t="n">
        <v>-33.84342906</v>
      </c>
      <c r="G2350" s="7" t="n">
        <v>151.2218291</v>
      </c>
      <c r="H2350" s="7" t="s">
        <v>2852</v>
      </c>
    </row>
    <row r="2351" customFormat="false" ht="15" hidden="false" customHeight="false" outlineLevel="0" collapsed="false">
      <c r="A2351" s="7" t="s">
        <v>7168</v>
      </c>
      <c r="B2351" s="7" t="s">
        <v>4643</v>
      </c>
      <c r="C2351" s="7" t="s">
        <v>4646</v>
      </c>
      <c r="D2351" s="7" t="n">
        <v>2474</v>
      </c>
      <c r="E2351" s="7" t="s">
        <v>50</v>
      </c>
      <c r="F2351" s="7" t="n">
        <v>-28.620185</v>
      </c>
      <c r="G2351" s="7" t="n">
        <v>153.001284</v>
      </c>
      <c r="H2351" s="7" t="s">
        <v>2806</v>
      </c>
    </row>
    <row r="2352" customFormat="false" ht="15" hidden="false" customHeight="false" outlineLevel="0" collapsed="false">
      <c r="A2352" s="7" t="s">
        <v>7168</v>
      </c>
      <c r="B2352" s="7" t="s">
        <v>4647</v>
      </c>
      <c r="C2352" s="7" t="s">
        <v>4650</v>
      </c>
      <c r="D2352" s="7" t="n">
        <v>2672</v>
      </c>
      <c r="E2352" s="7" t="s">
        <v>50</v>
      </c>
      <c r="F2352" s="7" t="n">
        <v>-33.299081</v>
      </c>
      <c r="G2352" s="7" t="n">
        <v>146.374193</v>
      </c>
      <c r="H2352" s="7" t="s">
        <v>2718</v>
      </c>
    </row>
    <row r="2353" customFormat="false" ht="15" hidden="false" customHeight="false" outlineLevel="0" collapsed="false">
      <c r="A2353" s="7" t="s">
        <v>7168</v>
      </c>
      <c r="B2353" s="7" t="s">
        <v>4651</v>
      </c>
      <c r="C2353" s="7" t="s">
        <v>4654</v>
      </c>
      <c r="D2353" s="7" t="n">
        <v>2195</v>
      </c>
      <c r="E2353" s="7" t="s">
        <v>50</v>
      </c>
      <c r="F2353" s="7" t="n">
        <v>-33.92012699</v>
      </c>
      <c r="G2353" s="7" t="n">
        <v>151.0759555</v>
      </c>
      <c r="H2353" s="7" t="s">
        <v>3003</v>
      </c>
    </row>
    <row r="2354" customFormat="false" ht="15" hidden="false" customHeight="false" outlineLevel="0" collapsed="false">
      <c r="A2354" s="7" t="s">
        <v>7168</v>
      </c>
      <c r="B2354" s="7" t="s">
        <v>4657</v>
      </c>
      <c r="C2354" s="7" t="s">
        <v>4660</v>
      </c>
      <c r="D2354" s="7" t="n">
        <v>2066</v>
      </c>
      <c r="E2354" s="7" t="s">
        <v>50</v>
      </c>
      <c r="F2354" s="7" t="n">
        <v>-33.81234789</v>
      </c>
      <c r="G2354" s="7" t="n">
        <v>151.1712926</v>
      </c>
      <c r="H2354" s="7" t="s">
        <v>3439</v>
      </c>
    </row>
    <row r="2355" customFormat="false" ht="15" hidden="false" customHeight="false" outlineLevel="0" collapsed="false">
      <c r="A2355" s="7" t="s">
        <v>7168</v>
      </c>
      <c r="B2355" s="7" t="s">
        <v>4663</v>
      </c>
      <c r="C2355" s="7" t="s">
        <v>4666</v>
      </c>
      <c r="D2355" s="7" t="n">
        <v>2773</v>
      </c>
      <c r="E2355" s="7" t="s">
        <v>50</v>
      </c>
      <c r="F2355" s="7" t="n">
        <v>-33.77369788</v>
      </c>
      <c r="G2355" s="7" t="n">
        <v>150.6427966</v>
      </c>
      <c r="H2355" s="7" t="s">
        <v>2806</v>
      </c>
    </row>
    <row r="2356" customFormat="false" ht="15" hidden="false" customHeight="false" outlineLevel="0" collapsed="false">
      <c r="A2356" s="7" t="s">
        <v>7168</v>
      </c>
      <c r="B2356" s="7" t="s">
        <v>4669</v>
      </c>
      <c r="C2356" s="7" t="s">
        <v>4672</v>
      </c>
      <c r="D2356" s="7" t="n">
        <v>2649</v>
      </c>
      <c r="E2356" s="7" t="s">
        <v>50</v>
      </c>
      <c r="F2356" s="7" t="n">
        <v>-35.604175</v>
      </c>
      <c r="G2356" s="7" t="n">
        <v>148.093556</v>
      </c>
      <c r="H2356" s="7" t="s">
        <v>2718</v>
      </c>
    </row>
    <row r="2357" customFormat="false" ht="15" hidden="false" customHeight="false" outlineLevel="0" collapsed="false">
      <c r="A2357" s="7" t="s">
        <v>7168</v>
      </c>
      <c r="B2357" s="7" t="s">
        <v>4673</v>
      </c>
      <c r="C2357" s="7" t="s">
        <v>4676</v>
      </c>
      <c r="D2357" s="7" t="n">
        <v>2783</v>
      </c>
      <c r="E2357" s="7" t="s">
        <v>50</v>
      </c>
      <c r="F2357" s="7" t="n">
        <v>-33.71914485</v>
      </c>
      <c r="G2357" s="7" t="n">
        <v>150.4298244</v>
      </c>
      <c r="H2357" s="7" t="s">
        <v>2786</v>
      </c>
    </row>
    <row r="2358" customFormat="false" ht="15" hidden="false" customHeight="false" outlineLevel="0" collapsed="false">
      <c r="A2358" s="7" t="s">
        <v>7168</v>
      </c>
      <c r="B2358" s="7" t="s">
        <v>4679</v>
      </c>
      <c r="C2358" s="7" t="s">
        <v>4682</v>
      </c>
      <c r="D2358" s="7" t="n">
        <v>2705</v>
      </c>
      <c r="E2358" s="7" t="s">
        <v>50</v>
      </c>
      <c r="F2358" s="7" t="n">
        <v>-34.554328</v>
      </c>
      <c r="G2358" s="7" t="n">
        <v>146.397659</v>
      </c>
      <c r="H2358" s="7" t="s">
        <v>2806</v>
      </c>
    </row>
    <row r="2359" customFormat="false" ht="15" hidden="false" customHeight="false" outlineLevel="0" collapsed="false">
      <c r="A2359" s="7" t="s">
        <v>7168</v>
      </c>
      <c r="B2359" s="7" t="s">
        <v>4683</v>
      </c>
      <c r="C2359" s="7" t="s">
        <v>4686</v>
      </c>
      <c r="D2359" s="7" t="n">
        <v>2705</v>
      </c>
      <c r="E2359" s="7" t="s">
        <v>50</v>
      </c>
      <c r="F2359" s="7" t="n">
        <v>-34.557147</v>
      </c>
      <c r="G2359" s="7" t="n">
        <v>146.41094</v>
      </c>
      <c r="H2359" s="7" t="s">
        <v>2718</v>
      </c>
    </row>
    <row r="2360" customFormat="false" ht="15" hidden="false" customHeight="false" outlineLevel="0" collapsed="false">
      <c r="A2360" s="7" t="s">
        <v>7168</v>
      </c>
      <c r="B2360" s="7" t="s">
        <v>4687</v>
      </c>
      <c r="C2360" s="7" t="s">
        <v>4690</v>
      </c>
      <c r="D2360" s="7" t="n">
        <v>2040</v>
      </c>
      <c r="E2360" s="7" t="s">
        <v>50</v>
      </c>
      <c r="F2360" s="7" t="n">
        <v>-33.87498209</v>
      </c>
      <c r="G2360" s="7" t="n">
        <v>151.1538683</v>
      </c>
      <c r="H2360" s="7" t="s">
        <v>2769</v>
      </c>
    </row>
    <row r="2361" customFormat="false" ht="15" hidden="false" customHeight="false" outlineLevel="0" collapsed="false">
      <c r="A2361" s="7" t="s">
        <v>7168</v>
      </c>
      <c r="B2361" s="7" t="s">
        <v>4692</v>
      </c>
      <c r="C2361" s="7" t="s">
        <v>4695</v>
      </c>
      <c r="D2361" s="7" t="n">
        <v>2163</v>
      </c>
      <c r="E2361" s="7" t="s">
        <v>50</v>
      </c>
      <c r="F2361" s="7" t="n">
        <v>-33.8815017</v>
      </c>
      <c r="G2361" s="7" t="n">
        <v>150.9849671</v>
      </c>
      <c r="H2361" s="7" t="s">
        <v>2710</v>
      </c>
    </row>
    <row r="2362" customFormat="false" ht="15" hidden="false" customHeight="false" outlineLevel="0" collapsed="false">
      <c r="A2362" s="7" t="s">
        <v>7168</v>
      </c>
      <c r="B2362" s="7" t="s">
        <v>4698</v>
      </c>
      <c r="C2362" s="7" t="s">
        <v>4701</v>
      </c>
      <c r="D2362" s="7" t="n">
        <v>2478</v>
      </c>
      <c r="E2362" s="7" t="s">
        <v>50</v>
      </c>
      <c r="F2362" s="7" t="n">
        <v>-28.797639</v>
      </c>
      <c r="G2362" s="7" t="n">
        <v>153.593009</v>
      </c>
      <c r="H2362" s="7" t="s">
        <v>2837</v>
      </c>
    </row>
    <row r="2363" customFormat="false" ht="15" hidden="false" customHeight="false" outlineLevel="0" collapsed="false">
      <c r="A2363" s="7" t="s">
        <v>7168</v>
      </c>
      <c r="B2363" s="7" t="s">
        <v>4702</v>
      </c>
      <c r="C2363" s="7" t="s">
        <v>4705</v>
      </c>
      <c r="D2363" s="7" t="n">
        <v>2179</v>
      </c>
      <c r="E2363" s="7" t="s">
        <v>50</v>
      </c>
      <c r="F2363" s="7" t="n">
        <v>-33.9544</v>
      </c>
      <c r="G2363" s="7" t="n">
        <v>150.8081</v>
      </c>
      <c r="H2363" s="7" t="s">
        <v>2786</v>
      </c>
    </row>
    <row r="2364" customFormat="false" ht="15" hidden="false" customHeight="false" outlineLevel="0" collapsed="false">
      <c r="A2364" s="7" t="s">
        <v>7168</v>
      </c>
      <c r="B2364" s="7" t="s">
        <v>4708</v>
      </c>
      <c r="C2364" s="7" t="s">
        <v>4711</v>
      </c>
      <c r="D2364" s="7" t="n">
        <v>2560</v>
      </c>
      <c r="E2364" s="7" t="s">
        <v>50</v>
      </c>
      <c r="F2364" s="7" t="n">
        <v>-34.0511705</v>
      </c>
      <c r="G2364" s="7" t="n">
        <v>150.8300507</v>
      </c>
      <c r="H2364" s="7" t="s">
        <v>2786</v>
      </c>
    </row>
    <row r="2365" customFormat="false" ht="15" hidden="false" customHeight="false" outlineLevel="0" collapsed="false">
      <c r="A2365" s="7" t="s">
        <v>7168</v>
      </c>
      <c r="B2365" s="7" t="s">
        <v>4714</v>
      </c>
      <c r="C2365" s="7" t="s">
        <v>4717</v>
      </c>
      <c r="D2365" s="7" t="n">
        <v>2780</v>
      </c>
      <c r="E2365" s="7" t="s">
        <v>50</v>
      </c>
      <c r="F2365" s="7" t="n">
        <v>-33.71172185</v>
      </c>
      <c r="G2365" s="7" t="n">
        <v>150.3302704</v>
      </c>
      <c r="H2365" s="7" t="s">
        <v>2786</v>
      </c>
    </row>
    <row r="2366" customFormat="false" ht="15" hidden="false" customHeight="false" outlineLevel="0" collapsed="false">
      <c r="A2366" s="7" t="s">
        <v>7168</v>
      </c>
      <c r="B2366" s="7" t="s">
        <v>4720</v>
      </c>
      <c r="C2366" s="7" t="s">
        <v>4723</v>
      </c>
      <c r="D2366" s="7" t="n">
        <v>2049</v>
      </c>
      <c r="E2366" s="7" t="s">
        <v>50</v>
      </c>
      <c r="F2366" s="7" t="n">
        <v>-33.89327853</v>
      </c>
      <c r="G2366" s="7" t="n">
        <v>151.1472725</v>
      </c>
      <c r="H2366" s="7" t="s">
        <v>2710</v>
      </c>
    </row>
    <row r="2367" customFormat="false" ht="15" hidden="false" customHeight="false" outlineLevel="0" collapsed="false">
      <c r="A2367" s="7" t="s">
        <v>7168</v>
      </c>
      <c r="B2367" s="7" t="s">
        <v>4726</v>
      </c>
      <c r="C2367" s="7" t="s">
        <v>4729</v>
      </c>
      <c r="D2367" s="7" t="n">
        <v>2049</v>
      </c>
      <c r="E2367" s="7" t="s">
        <v>50</v>
      </c>
      <c r="F2367" s="7" t="n">
        <v>-33.89398857</v>
      </c>
      <c r="G2367" s="7" t="n">
        <v>151.1432381</v>
      </c>
      <c r="H2367" s="7" t="s">
        <v>2769</v>
      </c>
    </row>
    <row r="2368" customFormat="false" ht="15" hidden="false" customHeight="false" outlineLevel="0" collapsed="false">
      <c r="A2368" s="7" t="s">
        <v>7168</v>
      </c>
      <c r="B2368" s="7" t="s">
        <v>4731</v>
      </c>
      <c r="C2368" s="7" t="s">
        <v>4734</v>
      </c>
      <c r="D2368" s="7" t="n">
        <v>2141</v>
      </c>
      <c r="E2368" s="7" t="s">
        <v>50</v>
      </c>
      <c r="F2368" s="7" t="n">
        <v>-33.86388935</v>
      </c>
      <c r="G2368" s="7" t="n">
        <v>151.0453895</v>
      </c>
      <c r="H2368" s="7" t="s">
        <v>2786</v>
      </c>
    </row>
    <row r="2369" customFormat="false" ht="15" hidden="false" customHeight="false" outlineLevel="0" collapsed="false">
      <c r="A2369" s="7" t="s">
        <v>7168</v>
      </c>
      <c r="B2369" s="7" t="s">
        <v>4737</v>
      </c>
      <c r="C2369" s="7" t="s">
        <v>4740</v>
      </c>
      <c r="D2369" s="7" t="n">
        <v>2834</v>
      </c>
      <c r="E2369" s="7" t="s">
        <v>50</v>
      </c>
      <c r="F2369" s="7" t="n">
        <v>-29.427061</v>
      </c>
      <c r="G2369" s="7" t="n">
        <v>147.98034</v>
      </c>
      <c r="H2369" s="7" t="s">
        <v>2718</v>
      </c>
    </row>
    <row r="2370" customFormat="false" ht="15" hidden="false" customHeight="false" outlineLevel="0" collapsed="false">
      <c r="A2370" s="7" t="s">
        <v>7168</v>
      </c>
      <c r="B2370" s="7" t="s">
        <v>4741</v>
      </c>
      <c r="C2370" s="7" t="s">
        <v>4744</v>
      </c>
      <c r="D2370" s="7" t="n">
        <v>2040</v>
      </c>
      <c r="E2370" s="7" t="s">
        <v>50</v>
      </c>
      <c r="F2370" s="7" t="n">
        <v>-33.87408114</v>
      </c>
      <c r="G2370" s="7" t="n">
        <v>151.1651053</v>
      </c>
      <c r="H2370" s="7" t="s">
        <v>2769</v>
      </c>
    </row>
    <row r="2371" customFormat="false" ht="15" hidden="false" customHeight="false" outlineLevel="0" collapsed="false">
      <c r="A2371" s="7" t="s">
        <v>7168</v>
      </c>
      <c r="B2371" s="7" t="s">
        <v>4745</v>
      </c>
      <c r="C2371" s="7" t="s">
        <v>4748</v>
      </c>
      <c r="D2371" s="7" t="n">
        <v>2324</v>
      </c>
      <c r="E2371" s="7" t="s">
        <v>50</v>
      </c>
      <c r="F2371" s="7" t="n">
        <v>-32.605693</v>
      </c>
      <c r="G2371" s="7" t="n">
        <v>151.895849</v>
      </c>
      <c r="H2371" s="7" t="s">
        <v>2718</v>
      </c>
    </row>
    <row r="2372" customFormat="false" ht="15" hidden="false" customHeight="false" outlineLevel="0" collapsed="false">
      <c r="A2372" s="7" t="s">
        <v>7168</v>
      </c>
      <c r="B2372" s="7" t="s">
        <v>4749</v>
      </c>
      <c r="C2372" s="7" t="s">
        <v>4752</v>
      </c>
      <c r="D2372" s="7" t="n">
        <v>2778</v>
      </c>
      <c r="E2372" s="7" t="s">
        <v>50</v>
      </c>
      <c r="F2372" s="7" t="n">
        <v>-33.71500231</v>
      </c>
      <c r="G2372" s="7" t="n">
        <v>150.5052641</v>
      </c>
      <c r="H2372" s="7" t="s">
        <v>2710</v>
      </c>
    </row>
    <row r="2373" customFormat="false" ht="15" hidden="false" customHeight="false" outlineLevel="0" collapsed="false">
      <c r="A2373" s="7" t="s">
        <v>7168</v>
      </c>
      <c r="B2373" s="7" t="s">
        <v>4756</v>
      </c>
      <c r="C2373" s="7" t="s">
        <v>4759</v>
      </c>
      <c r="D2373" s="7" t="n">
        <v>2070</v>
      </c>
      <c r="E2373" s="7" t="s">
        <v>50</v>
      </c>
      <c r="F2373" s="7" t="n">
        <v>-33.77518546</v>
      </c>
      <c r="G2373" s="7" t="n">
        <v>151.1691106</v>
      </c>
      <c r="H2373" s="7" t="s">
        <v>2786</v>
      </c>
    </row>
    <row r="2374" customFormat="false" ht="15" hidden="false" customHeight="false" outlineLevel="0" collapsed="false">
      <c r="A2374" s="7" t="s">
        <v>7168</v>
      </c>
      <c r="B2374" s="7" t="s">
        <v>4762</v>
      </c>
      <c r="C2374" s="7" t="s">
        <v>4765</v>
      </c>
      <c r="D2374" s="7" t="n">
        <v>2250</v>
      </c>
      <c r="E2374" s="7" t="s">
        <v>50</v>
      </c>
      <c r="F2374" s="7" t="n">
        <v>-33.38231099</v>
      </c>
      <c r="G2374" s="7" t="n">
        <v>151.3698171</v>
      </c>
      <c r="H2374" s="7" t="s">
        <v>2710</v>
      </c>
    </row>
    <row r="2375" customFormat="false" ht="15" hidden="false" customHeight="false" outlineLevel="0" collapsed="false">
      <c r="A2375" s="7" t="s">
        <v>7168</v>
      </c>
      <c r="B2375" s="7" t="s">
        <v>4768</v>
      </c>
      <c r="C2375" s="7" t="s">
        <v>4771</v>
      </c>
      <c r="D2375" s="7" t="n">
        <v>2480</v>
      </c>
      <c r="E2375" s="7" t="s">
        <v>50</v>
      </c>
      <c r="F2375" s="7" t="n">
        <v>-28.810107</v>
      </c>
      <c r="G2375" s="7" t="n">
        <v>153.268957</v>
      </c>
      <c r="H2375" s="7" t="s">
        <v>2718</v>
      </c>
    </row>
    <row r="2376" customFormat="false" ht="15" hidden="false" customHeight="false" outlineLevel="0" collapsed="false">
      <c r="A2376" s="7" t="s">
        <v>7168</v>
      </c>
      <c r="B2376" s="7" t="s">
        <v>4772</v>
      </c>
      <c r="C2376" s="7" t="s">
        <v>4775</v>
      </c>
      <c r="D2376" s="7" t="n">
        <v>2480</v>
      </c>
      <c r="E2376" s="7" t="s">
        <v>50</v>
      </c>
      <c r="F2376" s="7" t="n">
        <v>-28.811176</v>
      </c>
      <c r="G2376" s="7" t="n">
        <v>153.275955</v>
      </c>
      <c r="H2376" s="7" t="s">
        <v>2718</v>
      </c>
    </row>
    <row r="2377" customFormat="false" ht="15" hidden="false" customHeight="false" outlineLevel="0" collapsed="false">
      <c r="A2377" s="7" t="s">
        <v>7168</v>
      </c>
      <c r="B2377" s="7" t="s">
        <v>4776</v>
      </c>
      <c r="C2377" s="7" t="s">
        <v>4779</v>
      </c>
      <c r="D2377" s="7" t="n">
        <v>2790</v>
      </c>
      <c r="E2377" s="7" t="s">
        <v>50</v>
      </c>
      <c r="F2377" s="7" t="n">
        <v>-33.48050099</v>
      </c>
      <c r="G2377" s="7" t="n">
        <v>150.1574494</v>
      </c>
      <c r="H2377" s="7" t="s">
        <v>2937</v>
      </c>
    </row>
    <row r="2378" customFormat="false" ht="15" hidden="false" customHeight="false" outlineLevel="0" collapsed="false">
      <c r="A2378" s="7" t="s">
        <v>7168</v>
      </c>
      <c r="B2378" s="7" t="s">
        <v>4782</v>
      </c>
      <c r="C2378" s="7" t="s">
        <v>4785</v>
      </c>
      <c r="D2378" s="7" t="n">
        <v>2170</v>
      </c>
      <c r="E2378" s="7" t="s">
        <v>50</v>
      </c>
      <c r="F2378" s="7" t="n">
        <v>-33.92510969</v>
      </c>
      <c r="G2378" s="7" t="n">
        <v>150.9270542</v>
      </c>
      <c r="H2378" s="7" t="s">
        <v>2786</v>
      </c>
    </row>
    <row r="2379" customFormat="false" ht="15" hidden="false" customHeight="false" outlineLevel="0" collapsed="false">
      <c r="A2379" s="7" t="s">
        <v>7168</v>
      </c>
      <c r="B2379" s="7" t="s">
        <v>4787</v>
      </c>
      <c r="C2379" s="7" t="s">
        <v>4790</v>
      </c>
      <c r="D2379" s="7" t="n">
        <v>2365</v>
      </c>
      <c r="E2379" s="7" t="s">
        <v>50</v>
      </c>
      <c r="F2379" s="7" t="n">
        <v>-30.128813</v>
      </c>
      <c r="G2379" s="7" t="n">
        <v>151.684701</v>
      </c>
      <c r="H2379" s="7" t="s">
        <v>2718</v>
      </c>
    </row>
    <row r="2380" customFormat="false" ht="15" hidden="false" customHeight="false" outlineLevel="0" collapsed="false">
      <c r="A2380" s="7" t="s">
        <v>7168</v>
      </c>
      <c r="B2380" s="7" t="s">
        <v>4791</v>
      </c>
      <c r="C2380" s="7" t="s">
        <v>4794</v>
      </c>
      <c r="D2380" s="7" t="n">
        <v>2321</v>
      </c>
      <c r="E2380" s="7" t="s">
        <v>50</v>
      </c>
      <c r="F2380" s="7" t="n">
        <v>-32.72072004</v>
      </c>
      <c r="G2380" s="7" t="n">
        <v>151.4490865</v>
      </c>
      <c r="H2380" s="7" t="s">
        <v>2806</v>
      </c>
    </row>
    <row r="2381" customFormat="false" ht="15" hidden="false" customHeight="false" outlineLevel="0" collapsed="false">
      <c r="A2381" s="7" t="s">
        <v>7168</v>
      </c>
      <c r="B2381" s="7" t="s">
        <v>4797</v>
      </c>
      <c r="C2381" s="7" t="s">
        <v>4800</v>
      </c>
      <c r="D2381" s="7" t="n">
        <v>2656</v>
      </c>
      <c r="E2381" s="7" t="s">
        <v>50</v>
      </c>
      <c r="F2381" s="7" t="n">
        <v>-35.220835</v>
      </c>
      <c r="G2381" s="7" t="n">
        <v>146.716392</v>
      </c>
      <c r="H2381" s="7" t="s">
        <v>2718</v>
      </c>
    </row>
    <row r="2382" customFormat="false" ht="15" hidden="false" customHeight="false" outlineLevel="0" collapsed="false">
      <c r="A2382" s="7" t="s">
        <v>7168</v>
      </c>
      <c r="B2382" s="7" t="s">
        <v>4801</v>
      </c>
      <c r="C2382" s="7" t="s">
        <v>4804</v>
      </c>
      <c r="D2382" s="7" t="n">
        <v>2232</v>
      </c>
      <c r="E2382" s="7" t="s">
        <v>50</v>
      </c>
      <c r="F2382" s="7" t="n">
        <v>-34.04513834</v>
      </c>
      <c r="G2382" s="7" t="n">
        <v>151.05132</v>
      </c>
      <c r="H2382" s="7" t="s">
        <v>2710</v>
      </c>
    </row>
    <row r="2383" customFormat="false" ht="15" hidden="false" customHeight="false" outlineLevel="0" collapsed="false">
      <c r="A2383" s="7" t="s">
        <v>7168</v>
      </c>
      <c r="B2383" s="7" t="s">
        <v>4808</v>
      </c>
      <c r="C2383" s="7" t="s">
        <v>4811</v>
      </c>
      <c r="D2383" s="7" t="n">
        <v>2446</v>
      </c>
      <c r="E2383" s="7" t="s">
        <v>50</v>
      </c>
      <c r="F2383" s="7" t="n">
        <v>-31.436226</v>
      </c>
      <c r="G2383" s="7" t="n">
        <v>152.492721</v>
      </c>
      <c r="H2383" s="7" t="s">
        <v>2718</v>
      </c>
    </row>
    <row r="2384" customFormat="false" ht="15" hidden="false" customHeight="false" outlineLevel="0" collapsed="false">
      <c r="A2384" s="7" t="s">
        <v>7168</v>
      </c>
      <c r="B2384" s="7" t="s">
        <v>4812</v>
      </c>
      <c r="C2384" s="7" t="s">
        <v>4815</v>
      </c>
      <c r="D2384" s="7" t="n">
        <v>2066</v>
      </c>
      <c r="E2384" s="7" t="s">
        <v>50</v>
      </c>
      <c r="F2384" s="7" t="n">
        <v>-33.836059</v>
      </c>
      <c r="G2384" s="7" t="n">
        <v>151.169351</v>
      </c>
      <c r="H2384" s="7" t="s">
        <v>2852</v>
      </c>
    </row>
    <row r="2385" customFormat="false" ht="15" hidden="false" customHeight="false" outlineLevel="0" collapsed="false">
      <c r="A2385" s="7" t="s">
        <v>7168</v>
      </c>
      <c r="B2385" s="7" t="s">
        <v>4816</v>
      </c>
      <c r="C2385" s="7" t="s">
        <v>4819</v>
      </c>
      <c r="D2385" s="7" t="n">
        <v>2800</v>
      </c>
      <c r="E2385" s="7" t="s">
        <v>50</v>
      </c>
      <c r="F2385" s="7" t="n">
        <v>-33.347345</v>
      </c>
      <c r="G2385" s="7" t="n">
        <v>149.163449</v>
      </c>
      <c r="H2385" s="7" t="s">
        <v>2718</v>
      </c>
    </row>
    <row r="2386" customFormat="false" ht="15" hidden="false" customHeight="false" outlineLevel="0" collapsed="false">
      <c r="A2386" s="7" t="s">
        <v>7168</v>
      </c>
      <c r="B2386" s="7" t="s">
        <v>4820</v>
      </c>
      <c r="C2386" s="7" t="s">
        <v>4823</v>
      </c>
      <c r="D2386" s="7" t="n">
        <v>2850</v>
      </c>
      <c r="E2386" s="7" t="s">
        <v>50</v>
      </c>
      <c r="F2386" s="7" t="n">
        <v>-32.6563</v>
      </c>
      <c r="G2386" s="7" t="n">
        <v>149.846119</v>
      </c>
      <c r="H2386" s="7" t="s">
        <v>2718</v>
      </c>
    </row>
    <row r="2387" customFormat="false" ht="15" hidden="false" customHeight="false" outlineLevel="0" collapsed="false">
      <c r="A2387" s="7" t="s">
        <v>7168</v>
      </c>
      <c r="B2387" s="7" t="s">
        <v>4824</v>
      </c>
      <c r="C2387" s="7" t="s">
        <v>4827</v>
      </c>
      <c r="D2387" s="7" t="n">
        <v>2797</v>
      </c>
      <c r="E2387" s="7" t="s">
        <v>50</v>
      </c>
      <c r="F2387" s="7" t="n">
        <v>-33.673314</v>
      </c>
      <c r="G2387" s="7" t="n">
        <v>149.047645</v>
      </c>
      <c r="H2387" s="7" t="s">
        <v>2718</v>
      </c>
    </row>
    <row r="2388" customFormat="false" ht="15" hidden="false" customHeight="false" outlineLevel="0" collapsed="false">
      <c r="A2388" s="7" t="s">
        <v>7168</v>
      </c>
      <c r="B2388" s="7" t="s">
        <v>4828</v>
      </c>
      <c r="C2388" s="7" t="s">
        <v>4831</v>
      </c>
      <c r="D2388" s="7" t="n">
        <v>2500</v>
      </c>
      <c r="E2388" s="7" t="s">
        <v>50</v>
      </c>
      <c r="F2388" s="7" t="n">
        <v>-34.45484317</v>
      </c>
      <c r="G2388" s="7" t="n">
        <v>150.8760944</v>
      </c>
      <c r="H2388" s="7" t="s">
        <v>2806</v>
      </c>
    </row>
    <row r="2389" customFormat="false" ht="15" hidden="false" customHeight="false" outlineLevel="0" collapsed="false">
      <c r="A2389" s="7" t="s">
        <v>7168</v>
      </c>
      <c r="B2389" s="7" t="s">
        <v>4833</v>
      </c>
      <c r="C2389" s="7" t="s">
        <v>4836</v>
      </c>
      <c r="D2389" s="7" t="n">
        <v>2560</v>
      </c>
      <c r="E2389" s="7" t="s">
        <v>50</v>
      </c>
      <c r="F2389" s="7" t="n">
        <v>-34.07207332</v>
      </c>
      <c r="G2389" s="7" t="n">
        <v>150.7967371</v>
      </c>
      <c r="H2389" s="7" t="s">
        <v>2786</v>
      </c>
    </row>
    <row r="2390" customFormat="false" ht="15" hidden="false" customHeight="false" outlineLevel="0" collapsed="false">
      <c r="A2390" s="7" t="s">
        <v>7168</v>
      </c>
      <c r="B2390" s="7" t="s">
        <v>4838</v>
      </c>
      <c r="C2390" s="7" t="s">
        <v>4841</v>
      </c>
      <c r="D2390" s="7" t="n">
        <v>2015</v>
      </c>
      <c r="E2390" s="7" t="s">
        <v>50</v>
      </c>
      <c r="F2390" s="7" t="n">
        <v>-33.89666002</v>
      </c>
      <c r="G2390" s="7" t="n">
        <v>151.1862916</v>
      </c>
      <c r="H2390" s="7" t="s">
        <v>2806</v>
      </c>
    </row>
    <row r="2391" customFormat="false" ht="15" hidden="false" customHeight="false" outlineLevel="0" collapsed="false">
      <c r="A2391" s="7" t="s">
        <v>7168</v>
      </c>
      <c r="B2391" s="7" t="s">
        <v>4844</v>
      </c>
      <c r="C2391" s="7" t="s">
        <v>4847</v>
      </c>
      <c r="D2391" s="7" t="n">
        <v>2447</v>
      </c>
      <c r="E2391" s="7" t="s">
        <v>50</v>
      </c>
      <c r="F2391" s="7" t="n">
        <v>-30.709283</v>
      </c>
      <c r="G2391" s="7" t="n">
        <v>152.913135</v>
      </c>
      <c r="H2391" s="7" t="s">
        <v>2735</v>
      </c>
    </row>
    <row r="2392" customFormat="false" ht="15" hidden="false" customHeight="false" outlineLevel="0" collapsed="false">
      <c r="A2392" s="7" t="s">
        <v>7168</v>
      </c>
      <c r="B2392" s="7" t="s">
        <v>4850</v>
      </c>
      <c r="C2392" s="7" t="s">
        <v>4853</v>
      </c>
      <c r="D2392" s="7" t="n">
        <v>2463</v>
      </c>
      <c r="E2392" s="7" t="s">
        <v>50</v>
      </c>
      <c r="F2392" s="7" t="n">
        <v>-29.454593</v>
      </c>
      <c r="G2392" s="7" t="n">
        <v>153.197082</v>
      </c>
      <c r="H2392" s="7" t="s">
        <v>2718</v>
      </c>
    </row>
    <row r="2393" customFormat="false" ht="15" hidden="false" customHeight="false" outlineLevel="0" collapsed="false">
      <c r="A2393" s="7" t="s">
        <v>7168</v>
      </c>
      <c r="B2393" s="7" t="s">
        <v>4854</v>
      </c>
      <c r="C2393" s="7" t="s">
        <v>4857</v>
      </c>
      <c r="D2393" s="7" t="n">
        <v>2564</v>
      </c>
      <c r="E2393" s="7" t="s">
        <v>50</v>
      </c>
      <c r="F2393" s="7" t="n">
        <v>-33.98480719</v>
      </c>
      <c r="G2393" s="7" t="n">
        <v>150.8788965</v>
      </c>
      <c r="H2393" s="7" t="s">
        <v>2710</v>
      </c>
    </row>
    <row r="2394" customFormat="false" ht="15" hidden="false" customHeight="false" outlineLevel="0" collapsed="false">
      <c r="A2394" s="7" t="s">
        <v>7168</v>
      </c>
      <c r="B2394" s="7" t="s">
        <v>4859</v>
      </c>
      <c r="C2394" s="7" t="s">
        <v>4862</v>
      </c>
      <c r="D2394" s="7" t="n">
        <v>2113</v>
      </c>
      <c r="E2394" s="7" t="s">
        <v>50</v>
      </c>
      <c r="F2394" s="7" t="n">
        <v>-33.78501276</v>
      </c>
      <c r="G2394" s="7" t="n">
        <v>151.1286414</v>
      </c>
      <c r="H2394" s="7" t="s">
        <v>4863</v>
      </c>
    </row>
    <row r="2395" customFormat="false" ht="15" hidden="false" customHeight="false" outlineLevel="0" collapsed="false">
      <c r="A2395" s="7" t="s">
        <v>7168</v>
      </c>
      <c r="B2395" s="7" t="s">
        <v>4867</v>
      </c>
      <c r="C2395" s="7" t="s">
        <v>4870</v>
      </c>
      <c r="D2395" s="7" t="n">
        <v>2113</v>
      </c>
      <c r="E2395" s="7" t="s">
        <v>50</v>
      </c>
      <c r="F2395" s="7" t="n">
        <v>-33.77741329</v>
      </c>
      <c r="G2395" s="7" t="n">
        <v>151.1181871</v>
      </c>
      <c r="H2395" s="7" t="s">
        <v>2982</v>
      </c>
    </row>
    <row r="2396" customFormat="false" ht="15" hidden="false" customHeight="false" outlineLevel="0" collapsed="false">
      <c r="A2396" s="7" t="s">
        <v>7168</v>
      </c>
      <c r="B2396" s="7" t="s">
        <v>4874</v>
      </c>
      <c r="C2396" s="7" t="s">
        <v>4877</v>
      </c>
      <c r="D2396" s="7" t="n">
        <v>2320</v>
      </c>
      <c r="E2396" s="7" t="s">
        <v>50</v>
      </c>
      <c r="F2396" s="7" t="n">
        <v>-32.73803543</v>
      </c>
      <c r="G2396" s="7" t="n">
        <v>151.5520999</v>
      </c>
      <c r="H2396" s="7" t="s">
        <v>2786</v>
      </c>
    </row>
    <row r="2397" customFormat="false" ht="15" hidden="false" customHeight="false" outlineLevel="0" collapsed="false">
      <c r="A2397" s="7" t="s">
        <v>7168</v>
      </c>
      <c r="B2397" s="7" t="s">
        <v>4878</v>
      </c>
      <c r="C2397" s="7" t="s">
        <v>4881</v>
      </c>
      <c r="D2397" s="7" t="n">
        <v>2792</v>
      </c>
      <c r="E2397" s="7" t="s">
        <v>50</v>
      </c>
      <c r="F2397" s="7" t="n">
        <v>-33.648559</v>
      </c>
      <c r="G2397" s="7" t="n">
        <v>149.075348</v>
      </c>
      <c r="H2397" s="7" t="s">
        <v>2718</v>
      </c>
    </row>
    <row r="2398" customFormat="false" ht="15" hidden="false" customHeight="false" outlineLevel="0" collapsed="false">
      <c r="A2398" s="7" t="s">
        <v>7168</v>
      </c>
      <c r="B2398" s="7" t="s">
        <v>4882</v>
      </c>
      <c r="C2398" s="7" t="s">
        <v>4885</v>
      </c>
      <c r="D2398" s="7" t="n">
        <v>2865</v>
      </c>
      <c r="E2398" s="7" t="s">
        <v>50</v>
      </c>
      <c r="F2398" s="7" t="n">
        <v>-33.186049</v>
      </c>
      <c r="G2398" s="7" t="n">
        <v>148.69459</v>
      </c>
      <c r="H2398" s="7" t="s">
        <v>2718</v>
      </c>
    </row>
    <row r="2399" customFormat="false" ht="15" hidden="false" customHeight="false" outlineLevel="0" collapsed="false">
      <c r="A2399" s="7" t="s">
        <v>7168</v>
      </c>
      <c r="B2399" s="7" t="s">
        <v>4886</v>
      </c>
      <c r="C2399" s="7" t="s">
        <v>4889</v>
      </c>
      <c r="D2399" s="7" t="n">
        <v>2346</v>
      </c>
      <c r="E2399" s="7" t="s">
        <v>50</v>
      </c>
      <c r="F2399" s="7" t="n">
        <v>-30.749694</v>
      </c>
      <c r="G2399" s="7" t="n">
        <v>150.720829</v>
      </c>
      <c r="H2399" s="7" t="s">
        <v>2718</v>
      </c>
    </row>
    <row r="2400" customFormat="false" ht="15" hidden="false" customHeight="false" outlineLevel="0" collapsed="false">
      <c r="A2400" s="7" t="s">
        <v>7168</v>
      </c>
      <c r="B2400" s="7" t="s">
        <v>4890</v>
      </c>
      <c r="C2400" s="7" t="s">
        <v>4893</v>
      </c>
      <c r="D2400" s="7" t="n">
        <v>2093</v>
      </c>
      <c r="E2400" s="7" t="s">
        <v>50</v>
      </c>
      <c r="F2400" s="7" t="n">
        <v>-33.787011</v>
      </c>
      <c r="G2400" s="7" t="n">
        <v>151.266626</v>
      </c>
      <c r="H2400" s="7" t="s">
        <v>3439</v>
      </c>
    </row>
    <row r="2401" customFormat="false" ht="15" hidden="false" customHeight="false" outlineLevel="0" collapsed="false">
      <c r="A2401" s="7" t="s">
        <v>7168</v>
      </c>
      <c r="B2401" s="7" t="s">
        <v>4895</v>
      </c>
      <c r="C2401" s="7" t="s">
        <v>4898</v>
      </c>
      <c r="D2401" s="7" t="n">
        <v>2095</v>
      </c>
      <c r="E2401" s="7" t="s">
        <v>50</v>
      </c>
      <c r="F2401" s="7" t="n">
        <v>-33.80048291</v>
      </c>
      <c r="G2401" s="7" t="n">
        <v>151.2838762</v>
      </c>
      <c r="H2401" s="7" t="s">
        <v>3806</v>
      </c>
    </row>
    <row r="2402" customFormat="false" ht="15" hidden="false" customHeight="false" outlineLevel="0" collapsed="false">
      <c r="A2402" s="7" t="s">
        <v>7168</v>
      </c>
      <c r="B2402" s="7" t="s">
        <v>4900</v>
      </c>
      <c r="C2402" s="7" t="s">
        <v>4903</v>
      </c>
      <c r="D2402" s="7" t="n">
        <v>2148</v>
      </c>
      <c r="E2402" s="7" t="s">
        <v>50</v>
      </c>
      <c r="F2402" s="7" t="n">
        <v>-33.74645111</v>
      </c>
      <c r="G2402" s="7" t="n">
        <v>150.9001991</v>
      </c>
      <c r="H2402" s="7" t="s">
        <v>2806</v>
      </c>
    </row>
    <row r="2403" customFormat="false" ht="15" hidden="false" customHeight="false" outlineLevel="0" collapsed="false">
      <c r="A2403" s="7" t="s">
        <v>7168</v>
      </c>
      <c r="B2403" s="7" t="s">
        <v>4906</v>
      </c>
      <c r="C2403" s="7" t="s">
        <v>4909</v>
      </c>
      <c r="D2403" s="7" t="n">
        <v>2040</v>
      </c>
      <c r="E2403" s="7" t="s">
        <v>50</v>
      </c>
      <c r="F2403" s="7" t="n">
        <v>-33.88384696</v>
      </c>
      <c r="G2403" s="7" t="n">
        <v>151.1450903</v>
      </c>
      <c r="H2403" s="7" t="s">
        <v>2769</v>
      </c>
    </row>
    <row r="2404" customFormat="false" ht="15" hidden="false" customHeight="false" outlineLevel="0" collapsed="false">
      <c r="A2404" s="7" t="s">
        <v>7168</v>
      </c>
      <c r="B2404" s="7" t="s">
        <v>4910</v>
      </c>
      <c r="C2404" s="7" t="s">
        <v>4913</v>
      </c>
      <c r="D2404" s="7" t="n">
        <v>2204</v>
      </c>
      <c r="E2404" s="7" t="s">
        <v>50</v>
      </c>
      <c r="F2404" s="7" t="n">
        <v>-33.91409037</v>
      </c>
      <c r="G2404" s="7" t="n">
        <v>151.1540328</v>
      </c>
      <c r="H2404" s="7" t="s">
        <v>3003</v>
      </c>
    </row>
    <row r="2405" customFormat="false" ht="15" hidden="false" customHeight="false" outlineLevel="0" collapsed="false">
      <c r="A2405" s="7" t="s">
        <v>7168</v>
      </c>
      <c r="B2405" s="7" t="s">
        <v>4916</v>
      </c>
      <c r="C2405" s="7" t="s">
        <v>4919</v>
      </c>
      <c r="D2405" s="7" t="n">
        <v>2000</v>
      </c>
      <c r="E2405" s="7" t="s">
        <v>50</v>
      </c>
      <c r="F2405" s="7" t="n">
        <v>-33.867728</v>
      </c>
      <c r="G2405" s="7" t="n">
        <v>151.210556</v>
      </c>
      <c r="H2405" s="7" t="s">
        <v>4920</v>
      </c>
    </row>
    <row r="2406" customFormat="false" ht="15" hidden="false" customHeight="false" outlineLevel="0" collapsed="false">
      <c r="A2406" s="7" t="s">
        <v>7168</v>
      </c>
      <c r="B2406" s="7" t="s">
        <v>4923</v>
      </c>
      <c r="C2406" s="7" t="s">
        <v>4926</v>
      </c>
      <c r="D2406" s="7" t="n">
        <v>2420</v>
      </c>
      <c r="E2406" s="7" t="s">
        <v>50</v>
      </c>
      <c r="F2406" s="7" t="n">
        <v>-32.55868695</v>
      </c>
      <c r="G2406" s="7" t="n">
        <v>151.618509</v>
      </c>
      <c r="H2406" s="7" t="s">
        <v>2806</v>
      </c>
    </row>
    <row r="2407" customFormat="false" ht="15" hidden="false" customHeight="false" outlineLevel="0" collapsed="false">
      <c r="A2407" s="7" t="s">
        <v>7168</v>
      </c>
      <c r="B2407" s="7" t="s">
        <v>4928</v>
      </c>
      <c r="C2407" s="7" t="s">
        <v>4931</v>
      </c>
      <c r="D2407" s="7" t="n">
        <v>2579</v>
      </c>
      <c r="E2407" s="7" t="s">
        <v>50</v>
      </c>
      <c r="F2407" s="7" t="n">
        <v>-34.70950062</v>
      </c>
      <c r="G2407" s="7" t="n">
        <v>150.0064192</v>
      </c>
      <c r="H2407" s="7" t="s">
        <v>2806</v>
      </c>
    </row>
    <row r="2408" customFormat="false" ht="15" hidden="false" customHeight="false" outlineLevel="0" collapsed="false">
      <c r="A2408" s="7" t="s">
        <v>7168</v>
      </c>
      <c r="B2408" s="7" t="s">
        <v>4933</v>
      </c>
      <c r="C2408" s="7" t="s">
        <v>4936</v>
      </c>
      <c r="D2408" s="7" t="n">
        <v>2020</v>
      </c>
      <c r="E2408" s="7" t="s">
        <v>50</v>
      </c>
      <c r="F2408" s="7" t="n">
        <v>-33.92318797</v>
      </c>
      <c r="G2408" s="7" t="n">
        <v>151.1872531</v>
      </c>
      <c r="H2408" s="7" t="s">
        <v>2793</v>
      </c>
    </row>
    <row r="2409" customFormat="false" ht="15" hidden="false" customHeight="false" outlineLevel="0" collapsed="false">
      <c r="A2409" s="7" t="s">
        <v>7168</v>
      </c>
      <c r="B2409" s="7" t="s">
        <v>4939</v>
      </c>
      <c r="C2409" s="7" t="s">
        <v>4942</v>
      </c>
      <c r="D2409" s="7" t="n">
        <v>2710</v>
      </c>
      <c r="E2409" s="7" t="s">
        <v>50</v>
      </c>
      <c r="F2409" s="7" t="n">
        <v>-35.812936</v>
      </c>
      <c r="G2409" s="7" t="n">
        <v>144.90272</v>
      </c>
      <c r="H2409" s="7" t="s">
        <v>2718</v>
      </c>
    </row>
    <row r="2410" customFormat="false" ht="15" hidden="false" customHeight="false" outlineLevel="0" collapsed="false">
      <c r="A2410" s="7" t="s">
        <v>7168</v>
      </c>
      <c r="B2410" s="7" t="s">
        <v>4943</v>
      </c>
      <c r="C2410" s="7" t="s">
        <v>4946</v>
      </c>
      <c r="D2410" s="7" t="n">
        <v>2652</v>
      </c>
      <c r="E2410" s="7" t="s">
        <v>50</v>
      </c>
      <c r="F2410" s="7" t="n">
        <v>-34.767801</v>
      </c>
      <c r="G2410" s="7" t="n">
        <v>146.918673</v>
      </c>
      <c r="H2410" s="7" t="s">
        <v>2718</v>
      </c>
    </row>
    <row r="2411" customFormat="false" ht="15" hidden="false" customHeight="false" outlineLevel="0" collapsed="false">
      <c r="A2411" s="7" t="s">
        <v>7168</v>
      </c>
      <c r="B2411" s="7" t="s">
        <v>4947</v>
      </c>
      <c r="C2411" s="7" t="s">
        <v>4950</v>
      </c>
      <c r="D2411" s="7" t="n">
        <v>2060</v>
      </c>
      <c r="E2411" s="7" t="s">
        <v>50</v>
      </c>
      <c r="F2411" s="7" t="n">
        <v>-33.84865057</v>
      </c>
      <c r="G2411" s="7" t="n">
        <v>151.2062986</v>
      </c>
      <c r="H2411" s="7" t="s">
        <v>2693</v>
      </c>
    </row>
    <row r="2412" customFormat="false" ht="15" hidden="false" customHeight="false" outlineLevel="0" collapsed="false">
      <c r="A2412" s="7" t="s">
        <v>7168</v>
      </c>
      <c r="B2412" s="7" t="s">
        <v>4951</v>
      </c>
      <c r="C2412" s="7" t="s">
        <v>4954</v>
      </c>
      <c r="D2412" s="7" t="n">
        <v>2795</v>
      </c>
      <c r="E2412" s="7" t="s">
        <v>50</v>
      </c>
      <c r="F2412" s="7" t="n">
        <v>-33.434702</v>
      </c>
      <c r="G2412" s="7" t="n">
        <v>149.92069</v>
      </c>
      <c r="H2412" s="7" t="s">
        <v>2718</v>
      </c>
    </row>
    <row r="2413" customFormat="false" ht="15" hidden="false" customHeight="false" outlineLevel="0" collapsed="false">
      <c r="A2413" s="7" t="s">
        <v>7168</v>
      </c>
      <c r="B2413" s="7" t="s">
        <v>4955</v>
      </c>
      <c r="C2413" s="7" t="s">
        <v>4958</v>
      </c>
      <c r="D2413" s="7" t="n">
        <v>2114</v>
      </c>
      <c r="E2413" s="7" t="s">
        <v>50</v>
      </c>
      <c r="F2413" s="7" t="n">
        <v>-33.81623815</v>
      </c>
      <c r="G2413" s="7" t="n">
        <v>151.0900609</v>
      </c>
      <c r="H2413" s="7" t="s">
        <v>3764</v>
      </c>
    </row>
    <row r="2414" customFormat="false" ht="15" hidden="false" customHeight="false" outlineLevel="0" collapsed="false">
      <c r="A2414" s="7" t="s">
        <v>7168</v>
      </c>
      <c r="B2414" s="7" t="s">
        <v>4960</v>
      </c>
      <c r="C2414" s="7" t="s">
        <v>4963</v>
      </c>
      <c r="D2414" s="7" t="n">
        <v>2114</v>
      </c>
      <c r="E2414" s="7" t="s">
        <v>50</v>
      </c>
      <c r="F2414" s="7" t="n">
        <v>-33.82114791</v>
      </c>
      <c r="G2414" s="7" t="n">
        <v>151.0898782</v>
      </c>
      <c r="H2414" s="7" t="s">
        <v>4964</v>
      </c>
    </row>
    <row r="2415" customFormat="false" ht="15" hidden="false" customHeight="false" outlineLevel="0" collapsed="false">
      <c r="A2415" s="7" t="s">
        <v>7168</v>
      </c>
      <c r="B2415" s="7" t="s">
        <v>4966</v>
      </c>
      <c r="C2415" s="7" t="s">
        <v>4969</v>
      </c>
      <c r="D2415" s="7" t="n">
        <v>2780</v>
      </c>
      <c r="E2415" s="7" t="s">
        <v>50</v>
      </c>
      <c r="F2415" s="7" t="n">
        <v>-33.67387612</v>
      </c>
      <c r="G2415" s="7" t="n">
        <v>150.2807859</v>
      </c>
      <c r="H2415" s="7" t="s">
        <v>2806</v>
      </c>
    </row>
    <row r="2416" customFormat="false" ht="15" hidden="false" customHeight="false" outlineLevel="0" collapsed="false">
      <c r="A2416" s="7" t="s">
        <v>7168</v>
      </c>
      <c r="B2416" s="7" t="s">
        <v>4971</v>
      </c>
      <c r="C2416" s="7" t="s">
        <v>4974</v>
      </c>
      <c r="D2416" s="7" t="n">
        <v>3008</v>
      </c>
      <c r="E2416" s="7" t="s">
        <v>50</v>
      </c>
      <c r="F2416" s="7" t="n">
        <v>-37.818426</v>
      </c>
      <c r="G2416" s="7" t="n">
        <v>144.952472</v>
      </c>
      <c r="H2416" s="7" t="s">
        <v>2806</v>
      </c>
    </row>
    <row r="2417" customFormat="false" ht="15" hidden="false" customHeight="false" outlineLevel="0" collapsed="false">
      <c r="A2417" s="7" t="s">
        <v>7168</v>
      </c>
      <c r="B2417" s="7" t="s">
        <v>4977</v>
      </c>
      <c r="C2417" s="7" t="s">
        <v>4980</v>
      </c>
      <c r="D2417" s="7" t="n">
        <v>2563</v>
      </c>
      <c r="E2417" s="7" t="s">
        <v>50</v>
      </c>
      <c r="F2417" s="7" t="n">
        <v>-34.1037012</v>
      </c>
      <c r="G2417" s="7" t="n">
        <v>150.7449558</v>
      </c>
      <c r="H2417" s="7" t="s">
        <v>2806</v>
      </c>
    </row>
    <row r="2418" customFormat="false" ht="15" hidden="false" customHeight="false" outlineLevel="0" collapsed="false">
      <c r="A2418" s="7" t="s">
        <v>7168</v>
      </c>
      <c r="B2418" s="7" t="s">
        <v>4981</v>
      </c>
      <c r="C2418" s="7" t="s">
        <v>4984</v>
      </c>
      <c r="D2418" s="7" t="n">
        <v>2568</v>
      </c>
      <c r="E2418" s="7" t="s">
        <v>50</v>
      </c>
      <c r="F2418" s="7" t="n">
        <v>-34.12520137</v>
      </c>
      <c r="G2418" s="7" t="n">
        <v>150.7444307</v>
      </c>
      <c r="H2418" s="7" t="s">
        <v>2806</v>
      </c>
    </row>
    <row r="2419" customFormat="false" ht="15" hidden="false" customHeight="false" outlineLevel="0" collapsed="false">
      <c r="A2419" s="7" t="s">
        <v>7168</v>
      </c>
      <c r="B2419" s="7" t="s">
        <v>4986</v>
      </c>
      <c r="C2419" s="7" t="s">
        <v>4989</v>
      </c>
      <c r="D2419" s="7" t="n">
        <v>2842</v>
      </c>
      <c r="E2419" s="7" t="s">
        <v>50</v>
      </c>
      <c r="F2419" s="7" t="n">
        <v>-31.823036</v>
      </c>
      <c r="G2419" s="7" t="n">
        <v>149.122301</v>
      </c>
      <c r="H2419" s="7" t="s">
        <v>2718</v>
      </c>
    </row>
    <row r="2420" customFormat="false" ht="15" hidden="false" customHeight="false" outlineLevel="0" collapsed="false">
      <c r="A2420" s="7" t="s">
        <v>7168</v>
      </c>
      <c r="B2420" s="7" t="s">
        <v>4990</v>
      </c>
      <c r="C2420" s="7" t="s">
        <v>4993</v>
      </c>
      <c r="D2420" s="7" t="n">
        <v>2879</v>
      </c>
      <c r="E2420" s="7" t="s">
        <v>50</v>
      </c>
      <c r="F2420" s="7" t="n">
        <v>-32.389345</v>
      </c>
      <c r="G2420" s="7" t="n">
        <v>142.424697</v>
      </c>
      <c r="H2420" s="7" t="s">
        <v>2806</v>
      </c>
    </row>
    <row r="2421" customFormat="false" ht="15" hidden="false" customHeight="false" outlineLevel="0" collapsed="false">
      <c r="A2421" s="7" t="s">
        <v>7168</v>
      </c>
      <c r="B2421" s="7" t="s">
        <v>4994</v>
      </c>
      <c r="C2421" s="7" t="s">
        <v>4997</v>
      </c>
      <c r="D2421" s="7" t="n">
        <v>2879</v>
      </c>
      <c r="E2421" s="7" t="s">
        <v>50</v>
      </c>
      <c r="F2421" s="7" t="n">
        <v>-32.38858</v>
      </c>
      <c r="G2421" s="7" t="n">
        <v>142.413705</v>
      </c>
      <c r="H2421" s="7" t="s">
        <v>2718</v>
      </c>
    </row>
    <row r="2422" customFormat="false" ht="15" hidden="false" customHeight="false" outlineLevel="0" collapsed="false">
      <c r="A2422" s="7" t="s">
        <v>7168</v>
      </c>
      <c r="B2422" s="7" t="s">
        <v>4998</v>
      </c>
      <c r="C2422" s="7" t="s">
        <v>5001</v>
      </c>
      <c r="D2422" s="7" t="n">
        <v>2548</v>
      </c>
      <c r="E2422" s="7" t="s">
        <v>50</v>
      </c>
      <c r="F2422" s="7" t="n">
        <v>-36.888775</v>
      </c>
      <c r="G2422" s="7" t="n">
        <v>149.908959</v>
      </c>
      <c r="H2422" s="7" t="s">
        <v>2718</v>
      </c>
    </row>
    <row r="2423" customFormat="false" ht="15" hidden="false" customHeight="false" outlineLevel="0" collapsed="false">
      <c r="A2423" s="7" t="s">
        <v>7168</v>
      </c>
      <c r="B2423" s="7" t="s">
        <v>5002</v>
      </c>
      <c r="C2423" s="7" t="s">
        <v>5005</v>
      </c>
      <c r="D2423" s="7" t="n">
        <v>2160</v>
      </c>
      <c r="E2423" s="7" t="s">
        <v>50</v>
      </c>
      <c r="F2423" s="7" t="n">
        <v>-33.8363502</v>
      </c>
      <c r="G2423" s="7" t="n">
        <v>150.9928633</v>
      </c>
      <c r="H2423" s="7" t="s">
        <v>2786</v>
      </c>
    </row>
    <row r="2424" customFormat="false" ht="15" hidden="false" customHeight="false" outlineLevel="0" collapsed="false">
      <c r="A2424" s="7" t="s">
        <v>7168</v>
      </c>
      <c r="B2424" s="7" t="s">
        <v>5008</v>
      </c>
      <c r="C2424" s="7" t="s">
        <v>5011</v>
      </c>
      <c r="D2424" s="7" t="n">
        <v>2323</v>
      </c>
      <c r="E2424" s="7" t="s">
        <v>50</v>
      </c>
      <c r="F2424" s="7" t="n">
        <v>-32.76487575</v>
      </c>
      <c r="G2424" s="7" t="n">
        <v>151.6178682</v>
      </c>
      <c r="H2424" s="7" t="s">
        <v>2710</v>
      </c>
    </row>
    <row r="2425" customFormat="false" ht="15" hidden="false" customHeight="false" outlineLevel="0" collapsed="false">
      <c r="A2425" s="7" t="s">
        <v>7168</v>
      </c>
      <c r="B2425" s="7" t="s">
        <v>5013</v>
      </c>
      <c r="C2425" s="7" t="s">
        <v>5016</v>
      </c>
      <c r="D2425" s="7" t="n">
        <v>2620</v>
      </c>
      <c r="E2425" s="7" t="s">
        <v>50</v>
      </c>
      <c r="F2425" s="7" t="n">
        <v>-35.70383</v>
      </c>
      <c r="G2425" s="7" t="n">
        <v>149.158302</v>
      </c>
      <c r="H2425" s="7" t="s">
        <v>2718</v>
      </c>
    </row>
    <row r="2426" customFormat="false" ht="15" hidden="false" customHeight="false" outlineLevel="0" collapsed="false">
      <c r="A2426" s="7" t="s">
        <v>7168</v>
      </c>
      <c r="B2426" s="7" t="s">
        <v>5017</v>
      </c>
      <c r="C2426" s="7" t="s">
        <v>5020</v>
      </c>
      <c r="D2426" s="7" t="n">
        <v>3500</v>
      </c>
      <c r="E2426" s="7" t="s">
        <v>50</v>
      </c>
      <c r="F2426" s="7" t="n">
        <v>-34.23092</v>
      </c>
      <c r="G2426" s="7" t="n">
        <v>142.084174</v>
      </c>
      <c r="H2426" s="7" t="s">
        <v>2718</v>
      </c>
    </row>
    <row r="2427" customFormat="false" ht="15" hidden="false" customHeight="false" outlineLevel="0" collapsed="false">
      <c r="A2427" s="7" t="s">
        <v>7168</v>
      </c>
      <c r="B2427" s="7" t="s">
        <v>5021</v>
      </c>
      <c r="C2427" s="7" t="s">
        <v>5024</v>
      </c>
      <c r="D2427" s="7" t="n">
        <v>3500</v>
      </c>
      <c r="E2427" s="7" t="s">
        <v>50</v>
      </c>
      <c r="F2427" s="7" t="n">
        <v>-34.183476</v>
      </c>
      <c r="G2427" s="7" t="n">
        <v>142.144556</v>
      </c>
      <c r="H2427" s="7" t="s">
        <v>2718</v>
      </c>
    </row>
    <row r="2428" customFormat="false" ht="15" hidden="false" customHeight="false" outlineLevel="0" collapsed="false">
      <c r="A2428" s="7" t="s">
        <v>7168</v>
      </c>
      <c r="B2428" s="7" t="s">
        <v>5025</v>
      </c>
      <c r="C2428" s="7" t="s">
        <v>5028</v>
      </c>
      <c r="D2428" s="7" t="n">
        <v>3500</v>
      </c>
      <c r="E2428" s="7" t="s">
        <v>50</v>
      </c>
      <c r="F2428" s="7" t="n">
        <v>-34.205752</v>
      </c>
      <c r="G2428" s="7" t="n">
        <v>142.137985</v>
      </c>
      <c r="H2428" s="7" t="s">
        <v>2718</v>
      </c>
    </row>
    <row r="2429" customFormat="false" ht="15" hidden="false" customHeight="false" outlineLevel="0" collapsed="false">
      <c r="A2429" s="7" t="s">
        <v>7168</v>
      </c>
      <c r="B2429" s="7" t="s">
        <v>5029</v>
      </c>
      <c r="C2429" s="7" t="s">
        <v>5032</v>
      </c>
      <c r="D2429" s="7" t="n">
        <v>3500</v>
      </c>
      <c r="E2429" s="7" t="s">
        <v>50</v>
      </c>
      <c r="F2429" s="7" t="n">
        <v>-34.182081</v>
      </c>
      <c r="G2429" s="7" t="n">
        <v>142.163229</v>
      </c>
      <c r="H2429" s="7" t="s">
        <v>2837</v>
      </c>
    </row>
    <row r="2430" customFormat="false" ht="15" hidden="false" customHeight="false" outlineLevel="0" collapsed="false">
      <c r="A2430" s="7" t="s">
        <v>7168</v>
      </c>
      <c r="B2430" s="7" t="s">
        <v>5033</v>
      </c>
      <c r="C2430" s="7" t="s">
        <v>5036</v>
      </c>
      <c r="D2430" s="7" t="n">
        <v>2798</v>
      </c>
      <c r="E2430" s="7" t="s">
        <v>50</v>
      </c>
      <c r="F2430" s="7" t="n">
        <v>-33.448714</v>
      </c>
      <c r="G2430" s="7" t="n">
        <v>149.182802</v>
      </c>
      <c r="H2430" s="7" t="s">
        <v>2806</v>
      </c>
    </row>
    <row r="2431" customFormat="false" ht="15" hidden="false" customHeight="false" outlineLevel="0" collapsed="false">
      <c r="A2431" s="7" t="s">
        <v>7168</v>
      </c>
      <c r="B2431" s="7" t="s">
        <v>5038</v>
      </c>
      <c r="C2431" s="7" t="s">
        <v>5041</v>
      </c>
      <c r="D2431" s="7" t="n">
        <v>2798</v>
      </c>
      <c r="E2431" s="7" t="s">
        <v>50</v>
      </c>
      <c r="F2431" s="7" t="n">
        <v>-33.445663</v>
      </c>
      <c r="G2431" s="7" t="n">
        <v>149.185235</v>
      </c>
      <c r="H2431" s="7" t="s">
        <v>2718</v>
      </c>
    </row>
    <row r="2432" customFormat="false" ht="15" hidden="false" customHeight="false" outlineLevel="0" collapsed="false">
      <c r="A2432" s="7" t="s">
        <v>7168</v>
      </c>
      <c r="B2432" s="7" t="s">
        <v>5042</v>
      </c>
      <c r="C2432" s="7" t="s">
        <v>5045</v>
      </c>
      <c r="D2432" s="7" t="n">
        <v>2061</v>
      </c>
      <c r="E2432" s="7" t="s">
        <v>50</v>
      </c>
      <c r="F2432" s="7" t="n">
        <v>-33.84589277</v>
      </c>
      <c r="G2432" s="7" t="n">
        <v>151.211825</v>
      </c>
      <c r="H2432" s="7" t="s">
        <v>3764</v>
      </c>
    </row>
    <row r="2433" customFormat="false" ht="15" hidden="false" customHeight="false" outlineLevel="0" collapsed="false">
      <c r="A2433" s="7" t="s">
        <v>7168</v>
      </c>
      <c r="B2433" s="7" t="s">
        <v>5048</v>
      </c>
      <c r="C2433" s="7" t="s">
        <v>5051</v>
      </c>
      <c r="D2433" s="7" t="n">
        <v>2061</v>
      </c>
      <c r="E2433" s="7" t="s">
        <v>50</v>
      </c>
      <c r="F2433" s="7" t="n">
        <v>-33.84939899</v>
      </c>
      <c r="G2433" s="7" t="n">
        <v>151.2106384</v>
      </c>
      <c r="H2433" s="7" t="s">
        <v>3764</v>
      </c>
    </row>
    <row r="2434" customFormat="false" ht="15" hidden="false" customHeight="false" outlineLevel="0" collapsed="false">
      <c r="A2434" s="7" t="s">
        <v>7168</v>
      </c>
      <c r="B2434" s="7" t="s">
        <v>5053</v>
      </c>
      <c r="C2434" s="7" t="s">
        <v>5056</v>
      </c>
      <c r="D2434" s="7" t="n">
        <v>2320</v>
      </c>
      <c r="E2434" s="7" t="s">
        <v>50</v>
      </c>
      <c r="F2434" s="7" t="n">
        <v>-32.66932312</v>
      </c>
      <c r="G2434" s="7" t="n">
        <v>151.5843137</v>
      </c>
      <c r="H2434" s="7" t="s">
        <v>2806</v>
      </c>
    </row>
    <row r="2435" customFormat="false" ht="15" hidden="false" customHeight="false" outlineLevel="0" collapsed="false">
      <c r="A2435" s="7" t="s">
        <v>7168</v>
      </c>
      <c r="B2435" s="7" t="s">
        <v>5057</v>
      </c>
      <c r="C2435" s="7" t="s">
        <v>5060</v>
      </c>
      <c r="D2435" s="7" t="n">
        <v>2533</v>
      </c>
      <c r="E2435" s="7" t="s">
        <v>50</v>
      </c>
      <c r="F2435" s="7" t="n">
        <v>-34.62569976</v>
      </c>
      <c r="G2435" s="7" t="n">
        <v>150.8522575</v>
      </c>
      <c r="H2435" s="7" t="s">
        <v>2710</v>
      </c>
    </row>
    <row r="2436" customFormat="false" ht="15" hidden="false" customHeight="false" outlineLevel="0" collapsed="false">
      <c r="A2436" s="7" t="s">
        <v>7168</v>
      </c>
      <c r="B2436" s="7" t="s">
        <v>5062</v>
      </c>
      <c r="C2436" s="7" t="s">
        <v>5065</v>
      </c>
      <c r="D2436" s="7" t="n">
        <v>2566</v>
      </c>
      <c r="E2436" s="7" t="s">
        <v>50</v>
      </c>
      <c r="F2436" s="7" t="n">
        <v>-34.02714972</v>
      </c>
      <c r="G2436" s="7" t="n">
        <v>150.8425967</v>
      </c>
      <c r="H2436" s="7" t="s">
        <v>2786</v>
      </c>
    </row>
    <row r="2437" customFormat="false" ht="15" hidden="false" customHeight="false" outlineLevel="0" collapsed="false">
      <c r="A2437" s="7" t="s">
        <v>7168</v>
      </c>
      <c r="B2437" s="7" t="s">
        <v>5067</v>
      </c>
      <c r="C2437" s="7" t="s">
        <v>5070</v>
      </c>
      <c r="D2437" s="7" t="n">
        <v>2228</v>
      </c>
      <c r="E2437" s="7" t="s">
        <v>50</v>
      </c>
      <c r="F2437" s="7" t="n">
        <v>-34.03635478</v>
      </c>
      <c r="G2437" s="7" t="n">
        <v>151.1028535</v>
      </c>
      <c r="H2437" s="7" t="s">
        <v>2786</v>
      </c>
    </row>
    <row r="2438" customFormat="false" ht="15" hidden="false" customHeight="false" outlineLevel="0" collapsed="false">
      <c r="A2438" s="7" t="s">
        <v>7168</v>
      </c>
      <c r="B2438" s="7" t="s">
        <v>5073</v>
      </c>
      <c r="C2438" s="7" t="s">
        <v>5076</v>
      </c>
      <c r="D2438" s="7" t="n">
        <v>2575</v>
      </c>
      <c r="E2438" s="7" t="s">
        <v>50</v>
      </c>
      <c r="F2438" s="7" t="n">
        <v>-34.45270638</v>
      </c>
      <c r="G2438" s="7" t="n">
        <v>150.4476899</v>
      </c>
      <c r="H2438" s="7" t="s">
        <v>2710</v>
      </c>
    </row>
    <row r="2439" customFormat="false" ht="15" hidden="false" customHeight="false" outlineLevel="0" collapsed="false">
      <c r="A2439" s="7" t="s">
        <v>7168</v>
      </c>
      <c r="B2439" s="7" t="s">
        <v>5079</v>
      </c>
      <c r="C2439" s="7" t="s">
        <v>5082</v>
      </c>
      <c r="D2439" s="7" t="n">
        <v>2731</v>
      </c>
      <c r="E2439" s="7" t="s">
        <v>50</v>
      </c>
      <c r="F2439" s="7" t="n">
        <v>-36.114325</v>
      </c>
      <c r="G2439" s="7" t="n">
        <v>144.756149</v>
      </c>
      <c r="H2439" s="7" t="s">
        <v>2718</v>
      </c>
    </row>
    <row r="2440" customFormat="false" ht="15" hidden="false" customHeight="false" outlineLevel="0" collapsed="false">
      <c r="A2440" s="7" t="s">
        <v>7168</v>
      </c>
      <c r="B2440" s="7" t="s">
        <v>5083</v>
      </c>
      <c r="C2440" s="7" t="s">
        <v>5086</v>
      </c>
      <c r="D2440" s="7" t="n">
        <v>2866</v>
      </c>
      <c r="E2440" s="7" t="s">
        <v>50</v>
      </c>
      <c r="F2440" s="7" t="n">
        <v>-33.092607</v>
      </c>
      <c r="G2440" s="7" t="n">
        <v>148.871452</v>
      </c>
      <c r="H2440" s="7" t="s">
        <v>2718</v>
      </c>
    </row>
    <row r="2441" customFormat="false" ht="15" hidden="false" customHeight="false" outlineLevel="0" collapsed="false">
      <c r="A2441" s="7" t="s">
        <v>7168</v>
      </c>
      <c r="B2441" s="7" t="s">
        <v>5087</v>
      </c>
      <c r="C2441" s="7" t="s">
        <v>5090</v>
      </c>
      <c r="D2441" s="7" t="n">
        <v>2103</v>
      </c>
      <c r="E2441" s="7" t="s">
        <v>50</v>
      </c>
      <c r="F2441" s="7" t="n">
        <v>-33.677752</v>
      </c>
      <c r="G2441" s="7" t="n">
        <v>151.304356</v>
      </c>
      <c r="H2441" s="7" t="s">
        <v>3003</v>
      </c>
    </row>
    <row r="2442" customFormat="false" ht="15" hidden="false" customHeight="false" outlineLevel="0" collapsed="false">
      <c r="A2442" s="7" t="s">
        <v>7168</v>
      </c>
      <c r="B2442" s="7" t="s">
        <v>5092</v>
      </c>
      <c r="C2442" s="7" t="s">
        <v>5095</v>
      </c>
      <c r="D2442" s="7" t="n">
        <v>2483</v>
      </c>
      <c r="E2442" s="7" t="s">
        <v>50</v>
      </c>
      <c r="F2442" s="7" t="n">
        <v>-28.441619</v>
      </c>
      <c r="G2442" s="7" t="n">
        <v>153.491795</v>
      </c>
      <c r="H2442" s="7" t="s">
        <v>2718</v>
      </c>
    </row>
    <row r="2443" customFormat="false" ht="15" hidden="false" customHeight="false" outlineLevel="0" collapsed="false">
      <c r="A2443" s="7" t="s">
        <v>7168</v>
      </c>
      <c r="B2443" s="7" t="s">
        <v>5096</v>
      </c>
      <c r="C2443" s="7" t="s">
        <v>5099</v>
      </c>
      <c r="D2443" s="7" t="n">
        <v>2353</v>
      </c>
      <c r="E2443" s="7" t="s">
        <v>50</v>
      </c>
      <c r="F2443" s="7" t="n">
        <v>-31.021885</v>
      </c>
      <c r="G2443" s="7" t="n">
        <v>151.06988</v>
      </c>
      <c r="H2443" s="7" t="s">
        <v>2718</v>
      </c>
    </row>
    <row r="2444" customFormat="false" ht="15" hidden="false" customHeight="false" outlineLevel="0" collapsed="false">
      <c r="A2444" s="7" t="s">
        <v>7168</v>
      </c>
      <c r="B2444" s="7" t="s">
        <v>5100</v>
      </c>
      <c r="C2444" s="7" t="s">
        <v>5103</v>
      </c>
      <c r="D2444" s="7" t="n">
        <v>2021</v>
      </c>
      <c r="E2444" s="7" t="s">
        <v>50</v>
      </c>
      <c r="F2444" s="7" t="n">
        <v>-33.89376</v>
      </c>
      <c r="G2444" s="7" t="n">
        <v>151.22178</v>
      </c>
      <c r="H2444" s="7" t="s">
        <v>3262</v>
      </c>
    </row>
    <row r="2445" customFormat="false" ht="15" hidden="false" customHeight="false" outlineLevel="0" collapsed="false">
      <c r="A2445" s="7" t="s">
        <v>7168</v>
      </c>
      <c r="B2445" s="7" t="s">
        <v>5104</v>
      </c>
      <c r="C2445" s="7" t="s">
        <v>5107</v>
      </c>
      <c r="D2445" s="7" t="n">
        <v>2400</v>
      </c>
      <c r="E2445" s="7" t="s">
        <v>50</v>
      </c>
      <c r="F2445" s="7" t="n">
        <v>-29.473849</v>
      </c>
      <c r="G2445" s="7" t="n">
        <v>149.848164</v>
      </c>
      <c r="H2445" s="7" t="s">
        <v>2735</v>
      </c>
    </row>
    <row r="2446" customFormat="false" ht="15" hidden="false" customHeight="false" outlineLevel="0" collapsed="false">
      <c r="A2446" s="7" t="s">
        <v>7168</v>
      </c>
      <c r="B2446" s="7" t="s">
        <v>5109</v>
      </c>
      <c r="C2446" s="7" t="s">
        <v>5112</v>
      </c>
      <c r="D2446" s="7" t="n">
        <v>2400</v>
      </c>
      <c r="E2446" s="7" t="s">
        <v>50</v>
      </c>
      <c r="F2446" s="7" t="n">
        <v>-29.461275</v>
      </c>
      <c r="G2446" s="7" t="n">
        <v>149.840305</v>
      </c>
      <c r="H2446" s="7" t="s">
        <v>2837</v>
      </c>
    </row>
    <row r="2447" customFormat="false" ht="15" hidden="false" customHeight="false" outlineLevel="0" collapsed="false">
      <c r="A2447" s="7" t="s">
        <v>7168</v>
      </c>
      <c r="B2447" s="7" t="s">
        <v>5113</v>
      </c>
      <c r="C2447" s="7" t="s">
        <v>5116</v>
      </c>
      <c r="D2447" s="7" t="n">
        <v>2264</v>
      </c>
      <c r="E2447" s="7" t="s">
        <v>50</v>
      </c>
      <c r="F2447" s="7" t="n">
        <v>-33.10924629</v>
      </c>
      <c r="G2447" s="7" t="n">
        <v>151.4877339</v>
      </c>
      <c r="H2447" s="7" t="s">
        <v>2786</v>
      </c>
    </row>
    <row r="2448" customFormat="false" ht="15" hidden="false" customHeight="false" outlineLevel="0" collapsed="false">
      <c r="A2448" s="7" t="s">
        <v>7168</v>
      </c>
      <c r="B2448" s="7" t="s">
        <v>5118</v>
      </c>
      <c r="C2448" s="7" t="s">
        <v>5121</v>
      </c>
      <c r="D2448" s="7" t="n">
        <v>2223</v>
      </c>
      <c r="E2448" s="7" t="s">
        <v>50</v>
      </c>
      <c r="F2448" s="7" t="n">
        <v>-33.97058667</v>
      </c>
      <c r="G2448" s="7" t="n">
        <v>151.0812881</v>
      </c>
      <c r="H2448" s="7" t="s">
        <v>2786</v>
      </c>
    </row>
    <row r="2449" customFormat="false" ht="15" hidden="false" customHeight="false" outlineLevel="0" collapsed="false">
      <c r="A2449" s="7" t="s">
        <v>7168</v>
      </c>
      <c r="B2449" s="7" t="s">
        <v>5124</v>
      </c>
      <c r="C2449" s="7" t="s">
        <v>5127</v>
      </c>
      <c r="D2449" s="7" t="n">
        <v>2088</v>
      </c>
      <c r="E2449" s="7" t="s">
        <v>50</v>
      </c>
      <c r="F2449" s="7" t="n">
        <v>-33.83847631</v>
      </c>
      <c r="G2449" s="7" t="n">
        <v>151.2323381</v>
      </c>
      <c r="H2449" s="7" t="s">
        <v>2693</v>
      </c>
    </row>
    <row r="2450" customFormat="false" ht="15" hidden="false" customHeight="false" outlineLevel="0" collapsed="false">
      <c r="A2450" s="7" t="s">
        <v>7168</v>
      </c>
      <c r="B2450" s="7" t="s">
        <v>5128</v>
      </c>
      <c r="C2450" s="7" t="s">
        <v>5131</v>
      </c>
      <c r="D2450" s="7" t="n">
        <v>2577</v>
      </c>
      <c r="E2450" s="7" t="s">
        <v>50</v>
      </c>
      <c r="F2450" s="7" t="n">
        <v>-34.54795977</v>
      </c>
      <c r="G2450" s="7" t="n">
        <v>150.3719897</v>
      </c>
      <c r="H2450" s="7" t="s">
        <v>2937</v>
      </c>
    </row>
    <row r="2451" customFormat="false" ht="15" hidden="false" customHeight="false" outlineLevel="0" collapsed="false">
      <c r="A2451" s="7" t="s">
        <v>7168</v>
      </c>
      <c r="B2451" s="7" t="s">
        <v>5134</v>
      </c>
      <c r="C2451" s="7" t="s">
        <v>5137</v>
      </c>
      <c r="D2451" s="7" t="n">
        <v>2079</v>
      </c>
      <c r="E2451" s="7" t="s">
        <v>50</v>
      </c>
      <c r="F2451" s="7" t="n">
        <v>-33.67202205</v>
      </c>
      <c r="G2451" s="7" t="n">
        <v>151.1144926</v>
      </c>
      <c r="H2451" s="7" t="s">
        <v>2710</v>
      </c>
    </row>
    <row r="2452" customFormat="false" ht="15" hidden="false" customHeight="false" outlineLevel="0" collapsed="false">
      <c r="A2452" s="7" t="s">
        <v>7168</v>
      </c>
      <c r="B2452" s="7" t="s">
        <v>5140</v>
      </c>
      <c r="C2452" s="7" t="s">
        <v>5143</v>
      </c>
      <c r="D2452" s="7" t="n">
        <v>2770</v>
      </c>
      <c r="E2452" s="7" t="s">
        <v>50</v>
      </c>
      <c r="F2452" s="7" t="n">
        <v>-33.76954233</v>
      </c>
      <c r="G2452" s="7" t="n">
        <v>150.8197988</v>
      </c>
      <c r="H2452" s="7" t="s">
        <v>2786</v>
      </c>
    </row>
    <row r="2453" customFormat="false" ht="15" hidden="false" customHeight="false" outlineLevel="0" collapsed="false">
      <c r="A2453" s="7" t="s">
        <v>7168</v>
      </c>
      <c r="B2453" s="7" t="s">
        <v>5146</v>
      </c>
      <c r="C2453" s="7" t="s">
        <v>5149</v>
      </c>
      <c r="D2453" s="7" t="n">
        <v>2429</v>
      </c>
      <c r="E2453" s="7" t="s">
        <v>50</v>
      </c>
      <c r="F2453" s="7" t="n">
        <v>-31.897769</v>
      </c>
      <c r="G2453" s="7" t="n">
        <v>152.314858</v>
      </c>
      <c r="H2453" s="7" t="s">
        <v>2718</v>
      </c>
    </row>
    <row r="2454" customFormat="false" ht="15" hidden="false" customHeight="false" outlineLevel="0" collapsed="false">
      <c r="A2454" s="7" t="s">
        <v>7168</v>
      </c>
      <c r="B2454" s="7" t="s">
        <v>5150</v>
      </c>
      <c r="C2454" s="7" t="s">
        <v>5153</v>
      </c>
      <c r="D2454" s="7" t="n">
        <v>2080</v>
      </c>
      <c r="E2454" s="7" t="s">
        <v>50</v>
      </c>
      <c r="F2454" s="7" t="n">
        <v>-33.65300164</v>
      </c>
      <c r="G2454" s="7" t="n">
        <v>151.1368223</v>
      </c>
      <c r="H2454" s="7" t="s">
        <v>2786</v>
      </c>
    </row>
    <row r="2455" customFormat="false" ht="15" hidden="false" customHeight="false" outlineLevel="0" collapsed="false">
      <c r="A2455" s="7" t="s">
        <v>7168</v>
      </c>
      <c r="B2455" s="7" t="s">
        <v>5156</v>
      </c>
      <c r="C2455" s="7" t="s">
        <v>5159</v>
      </c>
      <c r="D2455" s="7" t="n">
        <v>2790</v>
      </c>
      <c r="E2455" s="7" t="s">
        <v>50</v>
      </c>
      <c r="F2455" s="7" t="n">
        <v>-33.454095</v>
      </c>
      <c r="G2455" s="7" t="n">
        <v>149.987554</v>
      </c>
      <c r="H2455" s="7" t="s">
        <v>2718</v>
      </c>
    </row>
    <row r="2456" customFormat="false" ht="15" hidden="false" customHeight="false" outlineLevel="0" collapsed="false">
      <c r="A2456" s="7" t="s">
        <v>7168</v>
      </c>
      <c r="B2456" s="7" t="s">
        <v>5160</v>
      </c>
      <c r="C2456" s="7" t="s">
        <v>5163</v>
      </c>
      <c r="D2456" s="7" t="n">
        <v>2360</v>
      </c>
      <c r="E2456" s="7" t="s">
        <v>50</v>
      </c>
      <c r="F2456" s="7" t="n">
        <v>-29.72633</v>
      </c>
      <c r="G2456" s="7" t="n">
        <v>150.937034</v>
      </c>
      <c r="H2456" s="7" t="s">
        <v>2718</v>
      </c>
    </row>
    <row r="2457" customFormat="false" ht="15" hidden="false" customHeight="false" outlineLevel="0" collapsed="false">
      <c r="A2457" s="7" t="s">
        <v>7168</v>
      </c>
      <c r="B2457" s="7" t="s">
        <v>5164</v>
      </c>
      <c r="C2457" s="7" t="s">
        <v>5167</v>
      </c>
      <c r="D2457" s="7" t="n">
        <v>2786</v>
      </c>
      <c r="E2457" s="7" t="s">
        <v>50</v>
      </c>
      <c r="F2457" s="7" t="n">
        <v>-33.5881116</v>
      </c>
      <c r="G2457" s="7" t="n">
        <v>150.2569734</v>
      </c>
      <c r="H2457" s="7" t="s">
        <v>2937</v>
      </c>
    </row>
    <row r="2458" customFormat="false" ht="15" hidden="false" customHeight="false" outlineLevel="0" collapsed="false">
      <c r="A2458" s="7" t="s">
        <v>7168</v>
      </c>
      <c r="B2458" s="7" t="s">
        <v>5170</v>
      </c>
      <c r="C2458" s="7" t="s">
        <v>5173</v>
      </c>
      <c r="D2458" s="7" t="n">
        <v>2850</v>
      </c>
      <c r="E2458" s="7" t="s">
        <v>50</v>
      </c>
      <c r="F2458" s="7" t="n">
        <v>-32.601146</v>
      </c>
      <c r="G2458" s="7" t="n">
        <v>149.587392</v>
      </c>
      <c r="H2458" s="7" t="s">
        <v>2718</v>
      </c>
    </row>
    <row r="2459" customFormat="false" ht="15" hidden="false" customHeight="false" outlineLevel="0" collapsed="false">
      <c r="A2459" s="7" t="s">
        <v>7168</v>
      </c>
      <c r="B2459" s="7" t="s">
        <v>5174</v>
      </c>
      <c r="C2459" s="7" t="s">
        <v>5177</v>
      </c>
      <c r="D2459" s="7" t="n">
        <v>2850</v>
      </c>
      <c r="E2459" s="7" t="s">
        <v>50</v>
      </c>
      <c r="F2459" s="7" t="n">
        <v>-32.590463</v>
      </c>
      <c r="G2459" s="7" t="n">
        <v>149.585036</v>
      </c>
      <c r="H2459" s="7" t="s">
        <v>2718</v>
      </c>
    </row>
    <row r="2460" customFormat="false" ht="15" hidden="false" customHeight="false" outlineLevel="0" collapsed="false">
      <c r="A2460" s="7" t="s">
        <v>7168</v>
      </c>
      <c r="B2460" s="7" t="s">
        <v>5178</v>
      </c>
      <c r="C2460" s="7" t="s">
        <v>5181</v>
      </c>
      <c r="D2460" s="7" t="n">
        <v>2756</v>
      </c>
      <c r="E2460" s="7" t="s">
        <v>50</v>
      </c>
      <c r="F2460" s="7" t="n">
        <v>-33.62668367</v>
      </c>
      <c r="G2460" s="7" t="n">
        <v>150.830637</v>
      </c>
      <c r="H2460" s="7" t="s">
        <v>2806</v>
      </c>
    </row>
    <row r="2461" customFormat="false" ht="15" hidden="false" customHeight="false" outlineLevel="0" collapsed="false">
      <c r="A2461" s="7" t="s">
        <v>7168</v>
      </c>
      <c r="B2461" s="7" t="s">
        <v>5184</v>
      </c>
      <c r="C2461" s="7" t="s">
        <v>5187</v>
      </c>
      <c r="D2461" s="7" t="n">
        <v>2379</v>
      </c>
      <c r="E2461" s="7" t="s">
        <v>50</v>
      </c>
      <c r="F2461" s="7" t="n">
        <v>-31.097917</v>
      </c>
      <c r="G2461" s="7" t="n">
        <v>149.910359</v>
      </c>
      <c r="H2461" s="7" t="s">
        <v>2718</v>
      </c>
    </row>
    <row r="2462" customFormat="false" ht="15" hidden="false" customHeight="false" outlineLevel="0" collapsed="false">
      <c r="A2462" s="7" t="s">
        <v>7168</v>
      </c>
      <c r="B2462" s="7" t="s">
        <v>5188</v>
      </c>
      <c r="C2462" s="7" t="s">
        <v>5191</v>
      </c>
      <c r="D2462" s="7" t="n">
        <v>2482</v>
      </c>
      <c r="E2462" s="7" t="s">
        <v>50</v>
      </c>
      <c r="F2462" s="7" t="n">
        <v>-28.554009</v>
      </c>
      <c r="G2462" s="7" t="n">
        <v>153.503098</v>
      </c>
      <c r="H2462" s="7" t="s">
        <v>2718</v>
      </c>
    </row>
    <row r="2463" customFormat="false" ht="15" hidden="false" customHeight="false" outlineLevel="0" collapsed="false">
      <c r="A2463" s="7" t="s">
        <v>7168</v>
      </c>
      <c r="B2463" s="7" t="s">
        <v>5192</v>
      </c>
      <c r="C2463" s="7" t="s">
        <v>5195</v>
      </c>
      <c r="D2463" s="7" t="n">
        <v>2647</v>
      </c>
      <c r="E2463" s="7" t="s">
        <v>50</v>
      </c>
      <c r="F2463" s="7" t="n">
        <v>-35.989306</v>
      </c>
      <c r="G2463" s="7" t="n">
        <v>146.005061</v>
      </c>
      <c r="H2463" s="7" t="s">
        <v>2718</v>
      </c>
    </row>
    <row r="2464" customFormat="false" ht="15" hidden="false" customHeight="false" outlineLevel="0" collapsed="false">
      <c r="A2464" s="7" t="s">
        <v>7168</v>
      </c>
      <c r="B2464" s="7" t="s">
        <v>5196</v>
      </c>
      <c r="C2464" s="7" t="s">
        <v>5199</v>
      </c>
      <c r="D2464" s="7" t="n">
        <v>2582</v>
      </c>
      <c r="E2464" s="7" t="s">
        <v>50</v>
      </c>
      <c r="F2464" s="7" t="n">
        <v>-34.968544</v>
      </c>
      <c r="G2464" s="7" t="n">
        <v>149.030382</v>
      </c>
      <c r="H2464" s="7" t="s">
        <v>2718</v>
      </c>
    </row>
    <row r="2465" customFormat="false" ht="15" hidden="false" customHeight="false" outlineLevel="0" collapsed="false">
      <c r="A2465" s="7" t="s">
        <v>7168</v>
      </c>
      <c r="B2465" s="7" t="s">
        <v>5200</v>
      </c>
      <c r="C2465" s="7" t="s">
        <v>5203</v>
      </c>
      <c r="D2465" s="7" t="n">
        <v>2338</v>
      </c>
      <c r="E2465" s="7" t="s">
        <v>50</v>
      </c>
      <c r="F2465" s="7" t="n">
        <v>-31.768429</v>
      </c>
      <c r="G2465" s="7" t="n">
        <v>150.839451</v>
      </c>
      <c r="H2465" s="7" t="s">
        <v>2806</v>
      </c>
    </row>
    <row r="2466" customFormat="false" ht="15" hidden="false" customHeight="false" outlineLevel="0" collapsed="false">
      <c r="A2466" s="7" t="s">
        <v>7168</v>
      </c>
      <c r="B2466" s="7" t="s">
        <v>5204</v>
      </c>
      <c r="C2466" s="7" t="s">
        <v>5207</v>
      </c>
      <c r="D2466" s="7" t="n">
        <v>2338</v>
      </c>
      <c r="E2466" s="7" t="s">
        <v>50</v>
      </c>
      <c r="F2466" s="7" t="n">
        <v>-31.764996</v>
      </c>
      <c r="G2466" s="7" t="n">
        <v>150.3839321</v>
      </c>
      <c r="H2466" s="7" t="s">
        <v>2718</v>
      </c>
    </row>
    <row r="2467" customFormat="false" ht="15" hidden="false" customHeight="false" outlineLevel="0" collapsed="false">
      <c r="A2467" s="7" t="s">
        <v>7168</v>
      </c>
      <c r="B2467" s="7" t="s">
        <v>5208</v>
      </c>
      <c r="C2467" s="7" t="s">
        <v>5211</v>
      </c>
      <c r="D2467" s="7" t="n">
        <v>2484</v>
      </c>
      <c r="E2467" s="7" t="s">
        <v>50</v>
      </c>
      <c r="F2467" s="7" t="n">
        <v>-28.329887</v>
      </c>
      <c r="G2467" s="7" t="n">
        <v>153.402432</v>
      </c>
      <c r="H2467" s="7" t="s">
        <v>2718</v>
      </c>
    </row>
    <row r="2468" customFormat="false" ht="15" hidden="false" customHeight="false" outlineLevel="0" collapsed="false">
      <c r="A2468" s="7" t="s">
        <v>7168</v>
      </c>
      <c r="B2468" s="7" t="s">
        <v>5212</v>
      </c>
      <c r="C2468" s="7" t="s">
        <v>5215</v>
      </c>
      <c r="D2468" s="7" t="n">
        <v>2000</v>
      </c>
      <c r="E2468" s="7" t="s">
        <v>50</v>
      </c>
      <c r="F2468" s="7" t="n">
        <v>-33.87569985</v>
      </c>
      <c r="G2468" s="7" t="n">
        <v>151.2101064</v>
      </c>
      <c r="H2468" s="7" t="s">
        <v>2786</v>
      </c>
    </row>
    <row r="2469" customFormat="false" ht="15" hidden="false" customHeight="false" outlineLevel="0" collapsed="false">
      <c r="A2469" s="7" t="s">
        <v>7168</v>
      </c>
      <c r="B2469" s="7" t="s">
        <v>5218</v>
      </c>
      <c r="C2469" s="7" t="s">
        <v>5221</v>
      </c>
      <c r="D2469" s="7" t="n">
        <v>2333</v>
      </c>
      <c r="E2469" s="7" t="s">
        <v>50</v>
      </c>
      <c r="F2469" s="7" t="n">
        <v>-32.26749261</v>
      </c>
      <c r="G2469" s="7" t="n">
        <v>150.8903202</v>
      </c>
      <c r="H2469" s="7" t="s">
        <v>2700</v>
      </c>
    </row>
    <row r="2470" customFormat="false" ht="15" hidden="false" customHeight="false" outlineLevel="0" collapsed="false">
      <c r="A2470" s="7" t="s">
        <v>7168</v>
      </c>
      <c r="B2470" s="7" t="s">
        <v>5223</v>
      </c>
      <c r="C2470" s="7" t="s">
        <v>5226</v>
      </c>
      <c r="D2470" s="7" t="n">
        <v>2722</v>
      </c>
      <c r="E2470" s="7" t="s">
        <v>50</v>
      </c>
      <c r="F2470" s="7" t="n">
        <v>-34.803942</v>
      </c>
      <c r="G2470" s="7" t="n">
        <v>148.117531</v>
      </c>
      <c r="H2470" s="7" t="s">
        <v>2718</v>
      </c>
    </row>
    <row r="2471" customFormat="false" ht="15" hidden="false" customHeight="false" outlineLevel="0" collapsed="false">
      <c r="A2471" s="7" t="s">
        <v>7168</v>
      </c>
      <c r="B2471" s="7" t="s">
        <v>5227</v>
      </c>
      <c r="C2471" s="7" t="s">
        <v>5230</v>
      </c>
      <c r="D2471" s="7" t="n">
        <v>2448</v>
      </c>
      <c r="E2471" s="7" t="s">
        <v>50</v>
      </c>
      <c r="F2471" s="7" t="n">
        <v>-30.652521</v>
      </c>
      <c r="G2471" s="7" t="n">
        <v>152.990909</v>
      </c>
      <c r="H2471" s="7" t="s">
        <v>2718</v>
      </c>
    </row>
    <row r="2472" customFormat="false" ht="15" hidden="false" customHeight="false" outlineLevel="0" collapsed="false">
      <c r="A2472" s="7" t="s">
        <v>7168</v>
      </c>
      <c r="B2472" s="7" t="s">
        <v>5231</v>
      </c>
      <c r="C2472" s="7" t="s">
        <v>5234</v>
      </c>
      <c r="D2472" s="7" t="n">
        <v>2448</v>
      </c>
      <c r="E2472" s="7" t="s">
        <v>50</v>
      </c>
      <c r="F2472" s="7" t="n">
        <v>-30.629129</v>
      </c>
      <c r="G2472" s="7" t="n">
        <v>152.977472</v>
      </c>
      <c r="H2472" s="7" t="s">
        <v>2735</v>
      </c>
    </row>
    <row r="2473" customFormat="false" ht="15" hidden="false" customHeight="false" outlineLevel="0" collapsed="false">
      <c r="A2473" s="7" t="s">
        <v>7168</v>
      </c>
      <c r="B2473" s="7" t="s">
        <v>5236</v>
      </c>
      <c r="C2473" s="7" t="s">
        <v>5239</v>
      </c>
      <c r="D2473" s="7" t="n">
        <v>2250</v>
      </c>
      <c r="E2473" s="7" t="s">
        <v>50</v>
      </c>
      <c r="F2473" s="7" t="n">
        <v>-33.39478578</v>
      </c>
      <c r="G2473" s="7" t="n">
        <v>151.3443079</v>
      </c>
      <c r="H2473" s="7" t="s">
        <v>2710</v>
      </c>
    </row>
    <row r="2474" customFormat="false" ht="15" hidden="false" customHeight="false" outlineLevel="0" collapsed="false">
      <c r="A2474" s="7" t="s">
        <v>7168</v>
      </c>
      <c r="B2474" s="7" t="s">
        <v>5241</v>
      </c>
      <c r="C2474" s="7" t="s">
        <v>5244</v>
      </c>
      <c r="D2474" s="7" t="n">
        <v>2101</v>
      </c>
      <c r="E2474" s="7" t="s">
        <v>50</v>
      </c>
      <c r="F2474" s="7" t="n">
        <v>-33.713467</v>
      </c>
      <c r="G2474" s="7" t="n">
        <v>151.297416</v>
      </c>
      <c r="H2474" s="7" t="s">
        <v>3003</v>
      </c>
    </row>
    <row r="2475" customFormat="false" ht="15" hidden="false" customHeight="false" outlineLevel="0" collapsed="false">
      <c r="A2475" s="7" t="s">
        <v>7168</v>
      </c>
      <c r="B2475" s="7" t="s">
        <v>5246</v>
      </c>
      <c r="C2475" s="7" t="s">
        <v>5249</v>
      </c>
      <c r="D2475" s="7" t="n">
        <v>2390</v>
      </c>
      <c r="E2475" s="7" t="s">
        <v>50</v>
      </c>
      <c r="F2475" s="7" t="n">
        <v>-30.325322</v>
      </c>
      <c r="G2475" s="7" t="n">
        <v>149.79202</v>
      </c>
      <c r="H2475" s="7" t="s">
        <v>2735</v>
      </c>
    </row>
    <row r="2476" customFormat="false" ht="15" hidden="false" customHeight="false" outlineLevel="0" collapsed="false">
      <c r="A2476" s="7" t="s">
        <v>7168</v>
      </c>
      <c r="B2476" s="7" t="s">
        <v>5250</v>
      </c>
      <c r="C2476" s="7" t="s">
        <v>5253</v>
      </c>
      <c r="D2476" s="7" t="n">
        <v>2700</v>
      </c>
      <c r="E2476" s="7" t="s">
        <v>50</v>
      </c>
      <c r="F2476" s="7" t="n">
        <v>-34.740516</v>
      </c>
      <c r="G2476" s="7" t="n">
        <v>146.556999</v>
      </c>
      <c r="H2476" s="7" t="s">
        <v>3269</v>
      </c>
    </row>
    <row r="2477" customFormat="false" ht="15" hidden="false" customHeight="false" outlineLevel="0" collapsed="false">
      <c r="A2477" s="7" t="s">
        <v>7168</v>
      </c>
      <c r="B2477" s="7" t="s">
        <v>5254</v>
      </c>
      <c r="C2477" s="7" t="s">
        <v>5257</v>
      </c>
      <c r="D2477" s="7" t="n">
        <v>2821</v>
      </c>
      <c r="E2477" s="7" t="s">
        <v>50</v>
      </c>
      <c r="F2477" s="7" t="n">
        <v>-32.234112</v>
      </c>
      <c r="G2477" s="7" t="n">
        <v>148.240167</v>
      </c>
      <c r="H2477" s="7" t="s">
        <v>2718</v>
      </c>
    </row>
    <row r="2478" customFormat="false" ht="15" hidden="false" customHeight="false" outlineLevel="0" collapsed="false">
      <c r="A2478" s="7" t="s">
        <v>7168</v>
      </c>
      <c r="B2478" s="7" t="s">
        <v>5258</v>
      </c>
      <c r="C2478" s="7" t="s">
        <v>5261</v>
      </c>
      <c r="D2478" s="7" t="n">
        <v>2209</v>
      </c>
      <c r="E2478" s="7" t="s">
        <v>50</v>
      </c>
      <c r="F2478" s="7" t="n">
        <v>-33.94751814</v>
      </c>
      <c r="G2478" s="7" t="n">
        <v>151.0697482</v>
      </c>
      <c r="H2478" s="7" t="s">
        <v>2786</v>
      </c>
    </row>
    <row r="2479" customFormat="false" ht="15" hidden="false" customHeight="false" outlineLevel="0" collapsed="false">
      <c r="A2479" s="7" t="s">
        <v>7168</v>
      </c>
      <c r="B2479" s="7" t="s">
        <v>5263</v>
      </c>
      <c r="C2479" s="7" t="s">
        <v>5266</v>
      </c>
      <c r="D2479" s="7" t="n">
        <v>2089</v>
      </c>
      <c r="E2479" s="7" t="s">
        <v>50</v>
      </c>
      <c r="F2479" s="7" t="n">
        <v>-33.831653</v>
      </c>
      <c r="G2479" s="7" t="n">
        <v>151.22274</v>
      </c>
      <c r="H2479" s="7" t="s">
        <v>3439</v>
      </c>
    </row>
    <row r="2480" customFormat="false" ht="15" hidden="false" customHeight="false" outlineLevel="0" collapsed="false">
      <c r="A2480" s="7" t="s">
        <v>7168</v>
      </c>
      <c r="B2480" s="7" t="s">
        <v>5267</v>
      </c>
      <c r="C2480" s="7" t="s">
        <v>5270</v>
      </c>
      <c r="D2480" s="7" t="n">
        <v>2089</v>
      </c>
      <c r="E2480" s="7" t="s">
        <v>50</v>
      </c>
      <c r="F2480" s="7" t="n">
        <v>-33.84231965</v>
      </c>
      <c r="G2480" s="7" t="n">
        <v>151.2193125</v>
      </c>
      <c r="H2480" s="7" t="s">
        <v>2693</v>
      </c>
    </row>
    <row r="2481" customFormat="false" ht="15" hidden="false" customHeight="false" outlineLevel="0" collapsed="false">
      <c r="A2481" s="7" t="s">
        <v>7168</v>
      </c>
      <c r="B2481" s="7" t="s">
        <v>5271</v>
      </c>
      <c r="C2481" s="7" t="s">
        <v>5274</v>
      </c>
      <c r="D2481" s="7" t="n">
        <v>2826</v>
      </c>
      <c r="E2481" s="7" t="s">
        <v>50</v>
      </c>
      <c r="F2481" s="7" t="n">
        <v>-31.8375</v>
      </c>
      <c r="G2481" s="7" t="n">
        <v>147.717</v>
      </c>
      <c r="H2481" s="7" t="s">
        <v>2718</v>
      </c>
    </row>
    <row r="2482" customFormat="false" ht="15" hidden="false" customHeight="false" outlineLevel="0" collapsed="false">
      <c r="A2482" s="7" t="s">
        <v>7168</v>
      </c>
      <c r="B2482" s="7" t="s">
        <v>5275</v>
      </c>
      <c r="C2482" s="7" t="s">
        <v>5278</v>
      </c>
      <c r="D2482" s="7" t="n">
        <v>2300</v>
      </c>
      <c r="E2482" s="7" t="s">
        <v>50</v>
      </c>
      <c r="F2482" s="7" t="n">
        <v>-32.927465</v>
      </c>
      <c r="G2482" s="7" t="n">
        <v>151.786195</v>
      </c>
      <c r="H2482" s="7" t="s">
        <v>2769</v>
      </c>
    </row>
    <row r="2483" customFormat="false" ht="15" hidden="false" customHeight="false" outlineLevel="0" collapsed="false">
      <c r="A2483" s="7" t="s">
        <v>7168</v>
      </c>
      <c r="B2483" s="7" t="s">
        <v>5279</v>
      </c>
      <c r="C2483" s="7" t="s">
        <v>5282</v>
      </c>
      <c r="D2483" s="7" t="n">
        <v>2293</v>
      </c>
      <c r="E2483" s="7" t="s">
        <v>50</v>
      </c>
      <c r="F2483" s="7" t="n">
        <v>-32.924308</v>
      </c>
      <c r="G2483" s="7" t="n">
        <v>151.75965</v>
      </c>
      <c r="H2483" s="7" t="s">
        <v>5283</v>
      </c>
    </row>
    <row r="2484" customFormat="false" ht="15" hidden="false" customHeight="false" outlineLevel="0" collapsed="false">
      <c r="A2484" s="7" t="s">
        <v>7168</v>
      </c>
      <c r="B2484" s="7" t="s">
        <v>5284</v>
      </c>
      <c r="C2484" s="7" t="s">
        <v>5287</v>
      </c>
      <c r="D2484" s="7" t="n">
        <v>2042</v>
      </c>
      <c r="E2484" s="7" t="s">
        <v>50</v>
      </c>
      <c r="F2484" s="7" t="n">
        <v>-33.89788301</v>
      </c>
      <c r="G2484" s="7" t="n">
        <v>151.1799247</v>
      </c>
      <c r="H2484" s="7" t="s">
        <v>2710</v>
      </c>
    </row>
    <row r="2485" customFormat="false" ht="15" hidden="false" customHeight="false" outlineLevel="0" collapsed="false">
      <c r="A2485" s="7" t="s">
        <v>7168</v>
      </c>
      <c r="B2485" s="7" t="s">
        <v>5290</v>
      </c>
      <c r="C2485" s="7" t="s">
        <v>5293</v>
      </c>
      <c r="D2485" s="7" t="n">
        <v>2151</v>
      </c>
      <c r="E2485" s="7" t="s">
        <v>50</v>
      </c>
      <c r="F2485" s="7" t="n">
        <v>-33.801459</v>
      </c>
      <c r="G2485" s="7" t="n">
        <v>151.001383</v>
      </c>
      <c r="H2485" s="7" t="s">
        <v>2769</v>
      </c>
    </row>
    <row r="2486" customFormat="false" ht="15" hidden="false" customHeight="false" outlineLevel="0" collapsed="false">
      <c r="A2486" s="7" t="s">
        <v>7168</v>
      </c>
      <c r="B2486" s="7" t="s">
        <v>5295</v>
      </c>
      <c r="C2486" s="7" t="s">
        <v>5298</v>
      </c>
      <c r="D2486" s="7" t="n">
        <v>2250</v>
      </c>
      <c r="E2486" s="7" t="s">
        <v>50</v>
      </c>
      <c r="F2486" s="7" t="n">
        <v>-33.38333131</v>
      </c>
      <c r="G2486" s="7" t="n">
        <v>151.3542821</v>
      </c>
      <c r="H2486" s="7" t="s">
        <v>2710</v>
      </c>
    </row>
    <row r="2487" customFormat="false" ht="15" hidden="false" customHeight="false" outlineLevel="0" collapsed="false">
      <c r="A2487" s="7" t="s">
        <v>7168</v>
      </c>
      <c r="B2487" s="7" t="s">
        <v>5300</v>
      </c>
      <c r="C2487" s="7" t="s">
        <v>5303</v>
      </c>
      <c r="D2487" s="7" t="n">
        <v>2631</v>
      </c>
      <c r="E2487" s="7" t="s">
        <v>50</v>
      </c>
      <c r="F2487" s="7" t="n">
        <v>-36.513522</v>
      </c>
      <c r="G2487" s="7" t="n">
        <v>149.283734</v>
      </c>
      <c r="H2487" s="7" t="s">
        <v>2718</v>
      </c>
    </row>
    <row r="2488" customFormat="false" ht="15" hidden="false" customHeight="false" outlineLevel="0" collapsed="false">
      <c r="A2488" s="7" t="s">
        <v>7168</v>
      </c>
      <c r="B2488" s="7" t="s">
        <v>5304</v>
      </c>
      <c r="C2488" s="7" t="s">
        <v>5307</v>
      </c>
      <c r="D2488" s="7" t="n">
        <v>2076</v>
      </c>
      <c r="E2488" s="7" t="s">
        <v>50</v>
      </c>
      <c r="F2488" s="7" t="n">
        <v>-33.72075274</v>
      </c>
      <c r="G2488" s="7" t="n">
        <v>151.0972405</v>
      </c>
      <c r="H2488" s="7" t="s">
        <v>2786</v>
      </c>
    </row>
    <row r="2489" customFormat="false" ht="15" hidden="false" customHeight="false" outlineLevel="0" collapsed="false">
      <c r="A2489" s="7" t="s">
        <v>7168</v>
      </c>
      <c r="B2489" s="7" t="s">
        <v>5310</v>
      </c>
      <c r="C2489" s="7" t="s">
        <v>5313</v>
      </c>
      <c r="D2489" s="7" t="n">
        <v>2113</v>
      </c>
      <c r="E2489" s="7" t="s">
        <v>50</v>
      </c>
      <c r="F2489" s="7" t="n">
        <v>-33.7944217</v>
      </c>
      <c r="G2489" s="7" t="n">
        <v>151.1379398</v>
      </c>
      <c r="H2489" s="7" t="s">
        <v>4863</v>
      </c>
    </row>
    <row r="2490" customFormat="false" ht="15" hidden="false" customHeight="false" outlineLevel="0" collapsed="false">
      <c r="A2490" s="7" t="s">
        <v>7168</v>
      </c>
      <c r="B2490" s="7" t="s">
        <v>5315</v>
      </c>
      <c r="C2490" s="7" t="s">
        <v>5318</v>
      </c>
      <c r="D2490" s="7" t="n">
        <v>2137</v>
      </c>
      <c r="E2490" s="7" t="s">
        <v>50</v>
      </c>
      <c r="F2490" s="7" t="n">
        <v>-33.85868801</v>
      </c>
      <c r="G2490" s="7" t="n">
        <v>151.0879861</v>
      </c>
      <c r="H2490" s="7" t="s">
        <v>2710</v>
      </c>
    </row>
    <row r="2491" customFormat="false" ht="15" hidden="false" customHeight="false" outlineLevel="0" collapsed="false">
      <c r="A2491" s="7" t="s">
        <v>7168</v>
      </c>
      <c r="B2491" s="7" t="s">
        <v>5321</v>
      </c>
      <c r="C2491" s="7" t="s">
        <v>5324</v>
      </c>
      <c r="D2491" s="7" t="n">
        <v>2060</v>
      </c>
      <c r="E2491" s="7" t="s">
        <v>50</v>
      </c>
      <c r="F2491" s="7" t="n">
        <v>-33.84120853</v>
      </c>
      <c r="G2491" s="7" t="n">
        <v>151.2074102</v>
      </c>
      <c r="H2491" s="7" t="s">
        <v>2786</v>
      </c>
    </row>
    <row r="2492" customFormat="false" ht="15" hidden="false" customHeight="false" outlineLevel="0" collapsed="false">
      <c r="A2492" s="7" t="s">
        <v>7168</v>
      </c>
      <c r="B2492" s="7" t="s">
        <v>5326</v>
      </c>
      <c r="C2492" s="7" t="s">
        <v>5329</v>
      </c>
      <c r="D2492" s="7" t="n">
        <v>2060</v>
      </c>
      <c r="E2492" s="7" t="s">
        <v>50</v>
      </c>
      <c r="F2492" s="7" t="n">
        <v>-33.84496235</v>
      </c>
      <c r="G2492" s="7" t="n">
        <v>151.2187282</v>
      </c>
      <c r="H2492" s="7" t="s">
        <v>2852</v>
      </c>
    </row>
    <row r="2493" customFormat="false" ht="15" hidden="false" customHeight="false" outlineLevel="0" collapsed="false">
      <c r="A2493" s="7" t="s">
        <v>7168</v>
      </c>
      <c r="B2493" s="7" t="s">
        <v>5331</v>
      </c>
      <c r="C2493" s="7" t="s">
        <v>5334</v>
      </c>
      <c r="D2493" s="7" t="n">
        <v>2500</v>
      </c>
      <c r="E2493" s="7" t="s">
        <v>50</v>
      </c>
      <c r="F2493" s="7" t="n">
        <v>-34.41259326</v>
      </c>
      <c r="G2493" s="7" t="n">
        <v>150.8913492</v>
      </c>
      <c r="H2493" s="7" t="s">
        <v>2786</v>
      </c>
    </row>
    <row r="2494" customFormat="false" ht="15" hidden="false" customHeight="false" outlineLevel="0" collapsed="false">
      <c r="A2494" s="7" t="s">
        <v>7168</v>
      </c>
      <c r="B2494" s="7" t="s">
        <v>5337</v>
      </c>
      <c r="C2494" s="7" t="s">
        <v>5340</v>
      </c>
      <c r="D2494" s="7" t="n">
        <v>2066</v>
      </c>
      <c r="E2494" s="7" t="s">
        <v>50</v>
      </c>
      <c r="F2494" s="7" t="n">
        <v>-33.832464</v>
      </c>
      <c r="G2494" s="7" t="n">
        <v>151.178664</v>
      </c>
      <c r="H2494" s="7" t="s">
        <v>2852</v>
      </c>
    </row>
    <row r="2495" customFormat="false" ht="15" hidden="false" customHeight="false" outlineLevel="0" collapsed="false">
      <c r="A2495" s="7" t="s">
        <v>7168</v>
      </c>
      <c r="B2495" s="7" t="s">
        <v>5341</v>
      </c>
      <c r="C2495" s="7" t="s">
        <v>5344</v>
      </c>
      <c r="D2495" s="7" t="n">
        <v>2153</v>
      </c>
      <c r="E2495" s="7" t="s">
        <v>50</v>
      </c>
      <c r="F2495" s="7" t="n">
        <v>-33.734348</v>
      </c>
      <c r="G2495" s="7" t="n">
        <v>150.963846</v>
      </c>
      <c r="H2495" s="7" t="s">
        <v>2982</v>
      </c>
    </row>
    <row r="2496" customFormat="false" ht="15" hidden="false" customHeight="false" outlineLevel="0" collapsed="false">
      <c r="A2496" s="7" t="s">
        <v>7168</v>
      </c>
      <c r="B2496" s="7" t="s">
        <v>5346</v>
      </c>
      <c r="C2496" s="7" t="s">
        <v>5349</v>
      </c>
      <c r="D2496" s="7" t="n">
        <v>2825</v>
      </c>
      <c r="E2496" s="7" t="s">
        <v>50</v>
      </c>
      <c r="F2496" s="7" t="n">
        <v>-31.562975</v>
      </c>
      <c r="G2496" s="7" t="n">
        <v>147.196784</v>
      </c>
      <c r="H2496" s="7" t="s">
        <v>2718</v>
      </c>
    </row>
    <row r="2497" customFormat="false" ht="15" hidden="false" customHeight="false" outlineLevel="0" collapsed="false">
      <c r="A2497" s="7" t="s">
        <v>7168</v>
      </c>
      <c r="B2497" s="7" t="s">
        <v>5350</v>
      </c>
      <c r="C2497" s="7" t="s">
        <v>5353</v>
      </c>
      <c r="D2497" s="7" t="n">
        <v>2529</v>
      </c>
      <c r="E2497" s="7" t="s">
        <v>50</v>
      </c>
      <c r="F2497" s="7" t="n">
        <v>-34.57223075</v>
      </c>
      <c r="G2497" s="7" t="n">
        <v>150.8209079</v>
      </c>
      <c r="H2497" s="7" t="s">
        <v>2786</v>
      </c>
    </row>
    <row r="2498" customFormat="false" ht="15" hidden="false" customHeight="false" outlineLevel="0" collapsed="false">
      <c r="A2498" s="7" t="s">
        <v>7168</v>
      </c>
      <c r="B2498" s="7" t="s">
        <v>5356</v>
      </c>
      <c r="C2498" s="7" t="s">
        <v>5359</v>
      </c>
      <c r="D2498" s="7" t="n">
        <v>2223</v>
      </c>
      <c r="E2498" s="7" t="s">
        <v>50</v>
      </c>
      <c r="F2498" s="7" t="n">
        <v>-33.98084516</v>
      </c>
      <c r="G2498" s="7" t="n">
        <v>151.0789651</v>
      </c>
      <c r="H2498" s="7" t="s">
        <v>2786</v>
      </c>
    </row>
    <row r="2499" customFormat="false" ht="15" hidden="false" customHeight="false" outlineLevel="0" collapsed="false">
      <c r="A2499" s="7" t="s">
        <v>7168</v>
      </c>
      <c r="B2499" s="7" t="s">
        <v>5361</v>
      </c>
      <c r="C2499" s="7" t="s">
        <v>5364</v>
      </c>
      <c r="D2499" s="7" t="n">
        <v>2483</v>
      </c>
      <c r="E2499" s="7" t="s">
        <v>50</v>
      </c>
      <c r="F2499" s="7" t="n">
        <v>-28.524816</v>
      </c>
      <c r="G2499" s="7" t="n">
        <v>153.545954</v>
      </c>
      <c r="H2499" s="7" t="s">
        <v>2718</v>
      </c>
    </row>
    <row r="2500" customFormat="false" ht="15" hidden="false" customHeight="false" outlineLevel="0" collapsed="false">
      <c r="A2500" s="7" t="s">
        <v>7168</v>
      </c>
      <c r="B2500" s="7" t="s">
        <v>5365</v>
      </c>
      <c r="C2500" s="7" t="s">
        <v>5368</v>
      </c>
      <c r="D2500" s="7" t="n">
        <v>2090</v>
      </c>
      <c r="E2500" s="7" t="s">
        <v>50</v>
      </c>
      <c r="F2500" s="7" t="n">
        <v>-33.84092232</v>
      </c>
      <c r="G2500" s="7" t="n">
        <v>151.2305011</v>
      </c>
      <c r="H2500" s="7" t="s">
        <v>2852</v>
      </c>
    </row>
    <row r="2501" customFormat="false" ht="15" hidden="false" customHeight="false" outlineLevel="0" collapsed="false">
      <c r="A2501" s="7" t="s">
        <v>7168</v>
      </c>
      <c r="B2501" s="7" t="s">
        <v>5370</v>
      </c>
      <c r="C2501" s="7" t="s">
        <v>5373</v>
      </c>
      <c r="D2501" s="7" t="n">
        <v>2127</v>
      </c>
      <c r="E2501" s="7" t="s">
        <v>50</v>
      </c>
      <c r="F2501" s="7" t="n">
        <v>-33.84652013</v>
      </c>
      <c r="G2501" s="7" t="n">
        <v>151.0695472</v>
      </c>
      <c r="H2501" s="7" t="s">
        <v>2786</v>
      </c>
    </row>
    <row r="2502" customFormat="false" ht="15" hidden="false" customHeight="false" outlineLevel="0" collapsed="false">
      <c r="A2502" s="7" t="s">
        <v>7168</v>
      </c>
      <c r="B2502" s="7" t="s">
        <v>5376</v>
      </c>
      <c r="C2502" s="7" t="s">
        <v>5379</v>
      </c>
      <c r="D2502" s="7" t="n">
        <v>2875</v>
      </c>
      <c r="E2502" s="7" t="s">
        <v>50</v>
      </c>
      <c r="F2502" s="7" t="n">
        <v>-33.121352</v>
      </c>
      <c r="G2502" s="7" t="n">
        <v>147.448015</v>
      </c>
      <c r="H2502" s="7" t="s">
        <v>2718</v>
      </c>
    </row>
    <row r="2503" customFormat="false" ht="15" hidden="false" customHeight="false" outlineLevel="0" collapsed="false">
      <c r="A2503" s="7" t="s">
        <v>7168</v>
      </c>
      <c r="B2503" s="7" t="s">
        <v>5380</v>
      </c>
      <c r="C2503" s="7" t="s">
        <v>5383</v>
      </c>
      <c r="D2503" s="7" t="n">
        <v>2800</v>
      </c>
      <c r="E2503" s="7" t="s">
        <v>50</v>
      </c>
      <c r="F2503" s="7" t="n">
        <v>-33.286992</v>
      </c>
      <c r="G2503" s="7" t="n">
        <v>149.103703</v>
      </c>
      <c r="H2503" s="7" t="s">
        <v>2735</v>
      </c>
    </row>
    <row r="2504" customFormat="false" ht="15" hidden="false" customHeight="false" outlineLevel="0" collapsed="false">
      <c r="A2504" s="7" t="s">
        <v>7168</v>
      </c>
      <c r="B2504" s="7" t="s">
        <v>5385</v>
      </c>
      <c r="C2504" s="7" t="s">
        <v>5388</v>
      </c>
      <c r="D2504" s="7" t="n">
        <v>2508</v>
      </c>
      <c r="E2504" s="7" t="s">
        <v>50</v>
      </c>
      <c r="F2504" s="7" t="n">
        <v>-34.21020004</v>
      </c>
      <c r="G2504" s="7" t="n">
        <v>151.0060039</v>
      </c>
      <c r="H2504" s="7" t="s">
        <v>2806</v>
      </c>
    </row>
    <row r="2505" customFormat="false" ht="15" hidden="false" customHeight="false" outlineLevel="0" collapsed="false">
      <c r="A2505" s="7" t="s">
        <v>7168</v>
      </c>
      <c r="B2505" s="7" t="s">
        <v>5390</v>
      </c>
      <c r="C2505" s="7" t="s">
        <v>5393</v>
      </c>
      <c r="D2505" s="7" t="n">
        <v>2258</v>
      </c>
      <c r="E2505" s="7" t="s">
        <v>50</v>
      </c>
      <c r="F2505" s="7" t="n">
        <v>-33.35960353</v>
      </c>
      <c r="G2505" s="7" t="n">
        <v>151.3699892</v>
      </c>
      <c r="H2505" s="7" t="s">
        <v>2710</v>
      </c>
    </row>
    <row r="2506" customFormat="false" ht="15" hidden="false" customHeight="false" outlineLevel="0" collapsed="false">
      <c r="A2506" s="7" t="s">
        <v>7168</v>
      </c>
      <c r="B2506" s="7" t="s">
        <v>5395</v>
      </c>
      <c r="C2506" s="7" t="s">
        <v>5398</v>
      </c>
      <c r="D2506" s="7" t="n">
        <v>2000</v>
      </c>
      <c r="E2506" s="7" t="s">
        <v>50</v>
      </c>
      <c r="F2506" s="7" t="n">
        <v>-33.87925321</v>
      </c>
      <c r="G2506" s="7" t="n">
        <v>151.2027409</v>
      </c>
      <c r="H2506" s="7" t="s">
        <v>2769</v>
      </c>
    </row>
    <row r="2507" customFormat="false" ht="15" hidden="false" customHeight="false" outlineLevel="0" collapsed="false">
      <c r="A2507" s="7" t="s">
        <v>7168</v>
      </c>
      <c r="B2507" s="7" t="s">
        <v>5399</v>
      </c>
      <c r="C2507" s="7" t="s">
        <v>5402</v>
      </c>
      <c r="D2507" s="7" t="n">
        <v>2211</v>
      </c>
      <c r="E2507" s="7" t="s">
        <v>50</v>
      </c>
      <c r="F2507" s="7" t="n">
        <v>-33.95189202</v>
      </c>
      <c r="G2507" s="7" t="n">
        <v>151.0325572</v>
      </c>
      <c r="H2507" s="7" t="s">
        <v>2786</v>
      </c>
    </row>
    <row r="2508" customFormat="false" ht="15" hidden="false" customHeight="false" outlineLevel="0" collapsed="false">
      <c r="A2508" s="7" t="s">
        <v>7168</v>
      </c>
      <c r="B2508" s="7" t="s">
        <v>5404</v>
      </c>
      <c r="C2508" s="7" t="s">
        <v>5407</v>
      </c>
      <c r="D2508" s="7" t="n">
        <v>4221</v>
      </c>
      <c r="E2508" s="7" t="s">
        <v>50</v>
      </c>
      <c r="F2508" s="7" t="n">
        <v>-28.120533</v>
      </c>
      <c r="G2508" s="7" t="n">
        <v>153.472207</v>
      </c>
      <c r="H2508" s="7" t="s">
        <v>2718</v>
      </c>
    </row>
    <row r="2509" customFormat="false" ht="15" hidden="false" customHeight="false" outlineLevel="0" collapsed="false">
      <c r="A2509" s="7" t="s">
        <v>7168</v>
      </c>
      <c r="B2509" s="7" t="s">
        <v>5408</v>
      </c>
      <c r="C2509" s="7" t="s">
        <v>5411</v>
      </c>
      <c r="D2509" s="7" t="n">
        <v>2463</v>
      </c>
      <c r="E2509" s="7" t="s">
        <v>50</v>
      </c>
      <c r="F2509" s="7" t="n">
        <v>-29.420222</v>
      </c>
      <c r="G2509" s="7" t="n">
        <v>153.288966</v>
      </c>
      <c r="H2509" s="7" t="s">
        <v>2718</v>
      </c>
    </row>
    <row r="2510" customFormat="false" ht="15" hidden="false" customHeight="false" outlineLevel="0" collapsed="false">
      <c r="A2510" s="7" t="s">
        <v>7168</v>
      </c>
      <c r="B2510" s="7" t="s">
        <v>5412</v>
      </c>
      <c r="C2510" s="7" t="s">
        <v>5415</v>
      </c>
      <c r="D2510" s="7" t="n">
        <v>2549</v>
      </c>
      <c r="E2510" s="7" t="s">
        <v>50</v>
      </c>
      <c r="F2510" s="7" t="n">
        <v>-36.930474</v>
      </c>
      <c r="G2510" s="7" t="n">
        <v>149.875171</v>
      </c>
      <c r="H2510" s="7" t="s">
        <v>2837</v>
      </c>
    </row>
    <row r="2511" customFormat="false" ht="15" hidden="false" customHeight="false" outlineLevel="0" collapsed="false">
      <c r="A2511" s="7" t="s">
        <v>7168</v>
      </c>
      <c r="B2511" s="7" t="s">
        <v>5416</v>
      </c>
      <c r="C2511" s="7" t="s">
        <v>5419</v>
      </c>
      <c r="D2511" s="7" t="n">
        <v>2213</v>
      </c>
      <c r="E2511" s="7" t="s">
        <v>50</v>
      </c>
      <c r="F2511" s="7" t="n">
        <v>-33.95431112</v>
      </c>
      <c r="G2511" s="7" t="n">
        <v>150.9978261</v>
      </c>
      <c r="H2511" s="7" t="s">
        <v>2786</v>
      </c>
    </row>
    <row r="2512" customFormat="false" ht="15" hidden="false" customHeight="false" outlineLevel="0" collapsed="false">
      <c r="A2512" s="7" t="s">
        <v>7168</v>
      </c>
      <c r="B2512" s="7" t="s">
        <v>5421</v>
      </c>
      <c r="C2512" s="7" t="s">
        <v>5424</v>
      </c>
      <c r="D2512" s="7" t="n">
        <v>2870</v>
      </c>
      <c r="E2512" s="7" t="s">
        <v>50</v>
      </c>
      <c r="F2512" s="7" t="n">
        <v>-33.142132</v>
      </c>
      <c r="G2512" s="7" t="n">
        <v>148.173185</v>
      </c>
      <c r="H2512" s="7" t="s">
        <v>3269</v>
      </c>
    </row>
    <row r="2513" customFormat="false" ht="15" hidden="false" customHeight="false" outlineLevel="0" collapsed="false">
      <c r="A2513" s="7" t="s">
        <v>7168</v>
      </c>
      <c r="B2513" s="7" t="s">
        <v>5426</v>
      </c>
      <c r="C2513" s="7" t="s">
        <v>5429</v>
      </c>
      <c r="D2513" s="7" t="n">
        <v>2150</v>
      </c>
      <c r="E2513" s="7" t="s">
        <v>50</v>
      </c>
      <c r="F2513" s="7" t="n">
        <v>-33.815554</v>
      </c>
      <c r="G2513" s="7" t="n">
        <v>151.005132</v>
      </c>
      <c r="H2513" s="7" t="s">
        <v>2769</v>
      </c>
    </row>
    <row r="2514" customFormat="false" ht="15" hidden="false" customHeight="false" outlineLevel="0" collapsed="false">
      <c r="A2514" s="7" t="s">
        <v>7168</v>
      </c>
      <c r="B2514" s="7" t="s">
        <v>5431</v>
      </c>
      <c r="C2514" s="7" t="s">
        <v>5434</v>
      </c>
      <c r="D2514" s="7" t="n">
        <v>2150</v>
      </c>
      <c r="E2514" s="7" t="s">
        <v>50</v>
      </c>
      <c r="F2514" s="7" t="n">
        <v>-33.81757926</v>
      </c>
      <c r="G2514" s="7" t="n">
        <v>151.0055351</v>
      </c>
      <c r="H2514" s="7" t="s">
        <v>2786</v>
      </c>
    </row>
    <row r="2515" customFormat="false" ht="15" hidden="false" customHeight="false" outlineLevel="0" collapsed="false">
      <c r="A2515" s="7" t="s">
        <v>7168</v>
      </c>
      <c r="B2515" s="7" t="s">
        <v>5437</v>
      </c>
      <c r="C2515" s="7" t="s">
        <v>5440</v>
      </c>
      <c r="D2515" s="7" t="n">
        <v>2150</v>
      </c>
      <c r="E2515" s="7" t="s">
        <v>50</v>
      </c>
      <c r="F2515" s="7" t="n">
        <v>-33.81391554</v>
      </c>
      <c r="G2515" s="7" t="n">
        <v>151.010585</v>
      </c>
      <c r="H2515" s="7" t="s">
        <v>5441</v>
      </c>
    </row>
    <row r="2516" customFormat="false" ht="15" hidden="false" customHeight="false" outlineLevel="0" collapsed="false">
      <c r="A2516" s="7" t="s">
        <v>7168</v>
      </c>
      <c r="B2516" s="7" t="s">
        <v>5443</v>
      </c>
      <c r="C2516" s="7" t="s">
        <v>5446</v>
      </c>
      <c r="D2516" s="7" t="n">
        <v>2421</v>
      </c>
      <c r="E2516" s="7" t="s">
        <v>50</v>
      </c>
      <c r="F2516" s="7" t="n">
        <v>-32.60240094</v>
      </c>
      <c r="G2516" s="7" t="n">
        <v>151.6146372</v>
      </c>
      <c r="H2516" s="7" t="s">
        <v>2806</v>
      </c>
    </row>
    <row r="2517" customFormat="false" ht="15" hidden="false" customHeight="false" outlineLevel="0" collapsed="false">
      <c r="A2517" s="7" t="s">
        <v>7168</v>
      </c>
      <c r="B2517" s="7" t="s">
        <v>5447</v>
      </c>
      <c r="C2517" s="7" t="s">
        <v>5450</v>
      </c>
      <c r="D2517" s="7" t="n">
        <v>2869</v>
      </c>
      <c r="E2517" s="7" t="s">
        <v>50</v>
      </c>
      <c r="F2517" s="7" t="n">
        <v>-32.725638</v>
      </c>
      <c r="G2517" s="7" t="n">
        <v>148.191042</v>
      </c>
      <c r="H2517" s="7" t="s">
        <v>2718</v>
      </c>
    </row>
    <row r="2518" customFormat="false" ht="15" hidden="false" customHeight="false" outlineLevel="0" collapsed="false">
      <c r="A2518" s="7" t="s">
        <v>7168</v>
      </c>
      <c r="B2518" s="7" t="s">
        <v>5451</v>
      </c>
      <c r="C2518" s="7" t="s">
        <v>5454</v>
      </c>
      <c r="D2518" s="7" t="n">
        <v>2145</v>
      </c>
      <c r="E2518" s="7" t="s">
        <v>50</v>
      </c>
      <c r="F2518" s="7" t="n">
        <v>-33.8013479</v>
      </c>
      <c r="G2518" s="7" t="n">
        <v>150.9563427</v>
      </c>
      <c r="H2518" s="7" t="s">
        <v>2786</v>
      </c>
    </row>
    <row r="2519" customFormat="false" ht="15" hidden="false" customHeight="false" outlineLevel="0" collapsed="false">
      <c r="A2519" s="7" t="s">
        <v>7168</v>
      </c>
      <c r="B2519" s="7" t="s">
        <v>5457</v>
      </c>
      <c r="C2519" s="7" t="s">
        <v>5460</v>
      </c>
      <c r="D2519" s="7" t="n">
        <v>2120</v>
      </c>
      <c r="E2519" s="7" t="s">
        <v>50</v>
      </c>
      <c r="F2519" s="7" t="n">
        <v>-33.73793863</v>
      </c>
      <c r="G2519" s="7" t="n">
        <v>151.0725297</v>
      </c>
      <c r="H2519" s="7" t="s">
        <v>2786</v>
      </c>
    </row>
    <row r="2520" customFormat="false" ht="15" hidden="false" customHeight="false" outlineLevel="0" collapsed="false">
      <c r="A2520" s="7" t="s">
        <v>7168</v>
      </c>
      <c r="B2520" s="7" t="s">
        <v>5462</v>
      </c>
      <c r="C2520" s="7" t="s">
        <v>5465</v>
      </c>
      <c r="D2520" s="7" t="n">
        <v>2750</v>
      </c>
      <c r="E2520" s="7" t="s">
        <v>50</v>
      </c>
      <c r="F2520" s="7" t="n">
        <v>-33.75005529</v>
      </c>
      <c r="G2520" s="7" t="n">
        <v>150.6961348</v>
      </c>
      <c r="H2520" s="7" t="s">
        <v>2786</v>
      </c>
    </row>
    <row r="2521" customFormat="false" ht="15" hidden="false" customHeight="false" outlineLevel="0" collapsed="false">
      <c r="A2521" s="7" t="s">
        <v>7168</v>
      </c>
      <c r="B2521" s="7" t="s">
        <v>5468</v>
      </c>
      <c r="C2521" s="7" t="s">
        <v>5471</v>
      </c>
      <c r="D2521" s="7" t="n">
        <v>2579</v>
      </c>
      <c r="E2521" s="7" t="s">
        <v>50</v>
      </c>
      <c r="F2521" s="7" t="n">
        <v>-34.67255107</v>
      </c>
      <c r="G2521" s="7" t="n">
        <v>150.2117555</v>
      </c>
      <c r="H2521" s="7" t="s">
        <v>2806</v>
      </c>
    </row>
    <row r="2522" customFormat="false" ht="15" hidden="false" customHeight="false" outlineLevel="0" collapsed="false">
      <c r="A2522" s="7" t="s">
        <v>7168</v>
      </c>
      <c r="B2522" s="7" t="s">
        <v>5472</v>
      </c>
      <c r="C2522" s="7" t="s">
        <v>5475</v>
      </c>
      <c r="D2522" s="7" t="n">
        <v>2222</v>
      </c>
      <c r="E2522" s="7" t="s">
        <v>50</v>
      </c>
      <c r="F2522" s="7" t="n">
        <v>-33.96612954</v>
      </c>
      <c r="G2522" s="7" t="n">
        <v>151.0893865</v>
      </c>
      <c r="H2522" s="7" t="s">
        <v>2786</v>
      </c>
    </row>
    <row r="2523" customFormat="false" ht="15" hidden="false" customHeight="false" outlineLevel="0" collapsed="false">
      <c r="A2523" s="7" t="s">
        <v>7168</v>
      </c>
      <c r="B2523" s="7" t="s">
        <v>5477</v>
      </c>
      <c r="C2523" s="7" t="s">
        <v>5480</v>
      </c>
      <c r="D2523" s="7" t="n">
        <v>2049</v>
      </c>
      <c r="E2523" s="7" t="s">
        <v>50</v>
      </c>
      <c r="F2523" s="7" t="n">
        <v>-33.8938594</v>
      </c>
      <c r="G2523" s="7" t="n">
        <v>151.1551562</v>
      </c>
      <c r="H2523" s="7" t="s">
        <v>2786</v>
      </c>
    </row>
    <row r="2524" customFormat="false" ht="15" hidden="false" customHeight="false" outlineLevel="0" collapsed="false">
      <c r="A2524" s="7" t="s">
        <v>7168</v>
      </c>
      <c r="B2524" s="7" t="s">
        <v>5482</v>
      </c>
      <c r="C2524" s="7" t="s">
        <v>5485</v>
      </c>
      <c r="D2524" s="7" t="n">
        <v>2571</v>
      </c>
      <c r="E2524" s="7" t="s">
        <v>50</v>
      </c>
      <c r="F2524" s="7" t="n">
        <v>-34.17914657</v>
      </c>
      <c r="G2524" s="7" t="n">
        <v>150.6126016</v>
      </c>
      <c r="H2524" s="7" t="s">
        <v>2710</v>
      </c>
    </row>
    <row r="2525" customFormat="false" ht="15" hidden="false" customHeight="false" outlineLevel="0" collapsed="false">
      <c r="A2525" s="7" t="s">
        <v>7168</v>
      </c>
      <c r="B2525" s="7" t="s">
        <v>5487</v>
      </c>
      <c r="C2525" s="7" t="s">
        <v>5490</v>
      </c>
      <c r="D2525" s="7" t="n">
        <v>2009</v>
      </c>
      <c r="E2525" s="7" t="s">
        <v>50</v>
      </c>
      <c r="F2525" s="7" t="n">
        <v>-33.864614</v>
      </c>
      <c r="G2525" s="7" t="n">
        <v>151.191035</v>
      </c>
      <c r="H2525" s="7" t="s">
        <v>2852</v>
      </c>
    </row>
    <row r="2526" customFormat="false" ht="15" hidden="false" customHeight="false" outlineLevel="0" collapsed="false">
      <c r="A2526" s="7" t="s">
        <v>7168</v>
      </c>
      <c r="B2526" s="7" t="s">
        <v>5492</v>
      </c>
      <c r="C2526" s="7" t="s">
        <v>5495</v>
      </c>
      <c r="D2526" s="7" t="n">
        <v>2250</v>
      </c>
      <c r="E2526" s="7" t="s">
        <v>50</v>
      </c>
      <c r="F2526" s="7" t="n">
        <v>-33.44577008</v>
      </c>
      <c r="G2526" s="7" t="n">
        <v>151.328556</v>
      </c>
      <c r="H2526" s="7" t="s">
        <v>2710</v>
      </c>
    </row>
    <row r="2527" customFormat="false" ht="15" hidden="false" customHeight="false" outlineLevel="0" collapsed="false">
      <c r="A2527" s="7" t="s">
        <v>7168</v>
      </c>
      <c r="B2527" s="7" t="s">
        <v>5498</v>
      </c>
      <c r="C2527" s="7" t="s">
        <v>5501</v>
      </c>
      <c r="D2527" s="7" t="n">
        <v>2648</v>
      </c>
      <c r="E2527" s="7" t="s">
        <v>50</v>
      </c>
      <c r="F2527" s="7" t="n">
        <v>-33.386677</v>
      </c>
      <c r="G2527" s="7" t="n">
        <v>142.570524</v>
      </c>
      <c r="H2527" s="7" t="s">
        <v>2718</v>
      </c>
    </row>
    <row r="2528" customFormat="false" ht="15" hidden="false" customHeight="false" outlineLevel="0" collapsed="false">
      <c r="A2528" s="7" t="s">
        <v>7168</v>
      </c>
      <c r="B2528" s="7" t="s">
        <v>5502</v>
      </c>
      <c r="C2528" s="7" t="s">
        <v>5505</v>
      </c>
      <c r="D2528" s="7" t="n">
        <v>2505</v>
      </c>
      <c r="E2528" s="7" t="s">
        <v>50</v>
      </c>
      <c r="F2528" s="7" t="n">
        <v>-34.47276667</v>
      </c>
      <c r="G2528" s="7" t="n">
        <v>150.8880483</v>
      </c>
      <c r="H2528" s="7" t="s">
        <v>2806</v>
      </c>
    </row>
    <row r="2529" customFormat="false" ht="15" hidden="false" customHeight="false" outlineLevel="0" collapsed="false">
      <c r="A2529" s="7" t="s">
        <v>7168</v>
      </c>
      <c r="B2529" s="7" t="s">
        <v>5506</v>
      </c>
      <c r="C2529" s="7" t="s">
        <v>5509</v>
      </c>
      <c r="D2529" s="7" t="n">
        <v>2505</v>
      </c>
      <c r="E2529" s="7" t="s">
        <v>50</v>
      </c>
      <c r="F2529" s="7" t="n">
        <v>-34.47724493</v>
      </c>
      <c r="G2529" s="7" t="n">
        <v>150.9019223</v>
      </c>
      <c r="H2529" s="7" t="s">
        <v>2710</v>
      </c>
    </row>
    <row r="2530" customFormat="false" ht="15" hidden="false" customHeight="false" outlineLevel="0" collapsed="false">
      <c r="A2530" s="7" t="s">
        <v>7168</v>
      </c>
      <c r="B2530" s="7" t="s">
        <v>5511</v>
      </c>
      <c r="C2530" s="7" t="s">
        <v>5514</v>
      </c>
      <c r="D2530" s="7" t="n">
        <v>2444</v>
      </c>
      <c r="E2530" s="7" t="s">
        <v>50</v>
      </c>
      <c r="F2530" s="7" t="n">
        <v>-31.43435</v>
      </c>
      <c r="G2530" s="7" t="n">
        <v>152.907169</v>
      </c>
      <c r="H2530" s="7" t="s">
        <v>2718</v>
      </c>
    </row>
    <row r="2531" customFormat="false" ht="15" hidden="false" customHeight="false" outlineLevel="0" collapsed="false">
      <c r="A2531" s="7" t="s">
        <v>7168</v>
      </c>
      <c r="B2531" s="7" t="s">
        <v>5515</v>
      </c>
      <c r="C2531" s="7" t="s">
        <v>5518</v>
      </c>
      <c r="D2531" s="7" t="n">
        <v>2847</v>
      </c>
      <c r="E2531" s="7" t="s">
        <v>50</v>
      </c>
      <c r="F2531" s="7" t="n">
        <v>-33.352862</v>
      </c>
      <c r="G2531" s="7" t="n">
        <v>149.979461</v>
      </c>
      <c r="H2531" s="7" t="s">
        <v>2718</v>
      </c>
    </row>
    <row r="2532" customFormat="false" ht="15" hidden="false" customHeight="false" outlineLevel="0" collapsed="false">
      <c r="A2532" s="7" t="s">
        <v>7168</v>
      </c>
      <c r="B2532" s="7" t="s">
        <v>5519</v>
      </c>
      <c r="C2532" s="7" t="s">
        <v>5522</v>
      </c>
      <c r="D2532" s="7" t="n">
        <v>2847</v>
      </c>
      <c r="E2532" s="7" t="s">
        <v>50</v>
      </c>
      <c r="F2532" s="7" t="n">
        <v>-33.356065</v>
      </c>
      <c r="G2532" s="7" t="n">
        <v>149.994868</v>
      </c>
      <c r="H2532" s="7" t="s">
        <v>2718</v>
      </c>
    </row>
    <row r="2533" customFormat="false" ht="15" hidden="false" customHeight="false" outlineLevel="0" collapsed="false">
      <c r="A2533" s="7" t="s">
        <v>7168</v>
      </c>
      <c r="B2533" s="7" t="s">
        <v>5523</v>
      </c>
      <c r="C2533" s="7" t="s">
        <v>5526</v>
      </c>
      <c r="D2533" s="7" t="n">
        <v>2489</v>
      </c>
      <c r="E2533" s="7" t="s">
        <v>50</v>
      </c>
      <c r="F2533" s="7" t="n">
        <v>-28.384369</v>
      </c>
      <c r="G2533" s="7" t="n">
        <v>153.566986</v>
      </c>
      <c r="H2533" s="7" t="s">
        <v>2718</v>
      </c>
    </row>
    <row r="2534" customFormat="false" ht="15" hidden="false" customHeight="false" outlineLevel="0" collapsed="false">
      <c r="A2534" s="7" t="s">
        <v>7168</v>
      </c>
      <c r="B2534" s="7" t="s">
        <v>5527</v>
      </c>
      <c r="C2534" s="7" t="s">
        <v>5530</v>
      </c>
      <c r="D2534" s="7" t="n">
        <v>2176</v>
      </c>
      <c r="E2534" s="7" t="s">
        <v>50</v>
      </c>
      <c r="F2534" s="7" t="n">
        <v>-33.85861799</v>
      </c>
      <c r="G2534" s="7" t="n">
        <v>150.8968524</v>
      </c>
      <c r="H2534" s="7" t="s">
        <v>3439</v>
      </c>
    </row>
    <row r="2535" customFormat="false" ht="15" hidden="false" customHeight="false" outlineLevel="0" collapsed="false">
      <c r="A2535" s="7" t="s">
        <v>7168</v>
      </c>
      <c r="B2535" s="7" t="s">
        <v>5532</v>
      </c>
      <c r="C2535" s="7" t="s">
        <v>5535</v>
      </c>
      <c r="D2535" s="7" t="n">
        <v>2150</v>
      </c>
      <c r="E2535" s="7" t="s">
        <v>50</v>
      </c>
      <c r="F2535" s="7" t="n">
        <v>-33.809071</v>
      </c>
      <c r="G2535" s="7" t="n">
        <v>151.005257</v>
      </c>
      <c r="H2535" s="7" t="s">
        <v>2769</v>
      </c>
    </row>
    <row r="2536" customFormat="false" ht="15" hidden="false" customHeight="false" outlineLevel="0" collapsed="false">
      <c r="A2536" s="7" t="s">
        <v>7168</v>
      </c>
      <c r="B2536" s="7" t="s">
        <v>5536</v>
      </c>
      <c r="C2536" s="7" t="s">
        <v>5539</v>
      </c>
      <c r="D2536" s="7" t="n">
        <v>2196</v>
      </c>
      <c r="E2536" s="7" t="s">
        <v>50</v>
      </c>
      <c r="F2536" s="7" t="n">
        <v>-33.92537752</v>
      </c>
      <c r="G2536" s="7" t="n">
        <v>151.055867</v>
      </c>
      <c r="H2536" s="7" t="s">
        <v>3003</v>
      </c>
    </row>
    <row r="2537" customFormat="false" ht="15" hidden="false" customHeight="false" outlineLevel="0" collapsed="false">
      <c r="A2537" s="7" t="s">
        <v>7168</v>
      </c>
      <c r="B2537" s="7" t="s">
        <v>5541</v>
      </c>
      <c r="C2537" s="7" t="s">
        <v>5544</v>
      </c>
      <c r="D2537" s="7" t="n">
        <v>2073</v>
      </c>
      <c r="E2537" s="7" t="s">
        <v>50</v>
      </c>
      <c r="F2537" s="7" t="n">
        <v>-33.74472888</v>
      </c>
      <c r="G2537" s="7" t="n">
        <v>151.142138</v>
      </c>
      <c r="H2537" s="7" t="s">
        <v>2786</v>
      </c>
    </row>
    <row r="2538" customFormat="false" ht="15" hidden="false" customHeight="false" outlineLevel="0" collapsed="false">
      <c r="A2538" s="7" t="s">
        <v>7168</v>
      </c>
      <c r="B2538" s="7" t="s">
        <v>5547</v>
      </c>
      <c r="C2538" s="7" t="s">
        <v>5550</v>
      </c>
      <c r="D2538" s="7" t="n">
        <v>2009</v>
      </c>
      <c r="E2538" s="7" t="s">
        <v>50</v>
      </c>
      <c r="F2538" s="7" t="n">
        <v>-33.86920237</v>
      </c>
      <c r="G2538" s="7" t="n">
        <v>151.19755</v>
      </c>
      <c r="H2538" s="7" t="s">
        <v>2769</v>
      </c>
    </row>
    <row r="2539" customFormat="false" ht="15" hidden="false" customHeight="false" outlineLevel="0" collapsed="false">
      <c r="A2539" s="7" t="s">
        <v>7168</v>
      </c>
      <c r="B2539" s="7" t="s">
        <v>5551</v>
      </c>
      <c r="C2539" s="7" t="s">
        <v>5550</v>
      </c>
      <c r="D2539" s="7" t="n">
        <v>2009</v>
      </c>
      <c r="E2539" s="7" t="s">
        <v>50</v>
      </c>
      <c r="F2539" s="7" t="n">
        <v>-33.86844161</v>
      </c>
      <c r="G2539" s="7" t="n">
        <v>151.1987285</v>
      </c>
      <c r="H2539" s="7" t="s">
        <v>2852</v>
      </c>
    </row>
    <row r="2540" customFormat="false" ht="15" hidden="false" customHeight="false" outlineLevel="0" collapsed="false">
      <c r="A2540" s="7" t="s">
        <v>7168</v>
      </c>
      <c r="B2540" s="7" t="s">
        <v>5555</v>
      </c>
      <c r="C2540" s="7" t="s">
        <v>5558</v>
      </c>
      <c r="D2540" s="7" t="n">
        <v>2763</v>
      </c>
      <c r="E2540" s="7" t="s">
        <v>50</v>
      </c>
      <c r="F2540" s="7" t="n">
        <v>-33.72802483</v>
      </c>
      <c r="G2540" s="7" t="n">
        <v>150.886725</v>
      </c>
      <c r="H2540" s="7" t="s">
        <v>2786</v>
      </c>
    </row>
    <row r="2541" customFormat="false" ht="15" hidden="false" customHeight="false" outlineLevel="0" collapsed="false">
      <c r="A2541" s="7" t="s">
        <v>7168</v>
      </c>
      <c r="B2541" s="7" t="s">
        <v>5561</v>
      </c>
      <c r="C2541" s="7" t="s">
        <v>5564</v>
      </c>
      <c r="D2541" s="7" t="n">
        <v>2620</v>
      </c>
      <c r="E2541" s="7" t="s">
        <v>50</v>
      </c>
      <c r="F2541" s="7" t="n">
        <v>-35.34973</v>
      </c>
      <c r="G2541" s="7" t="n">
        <v>149.235289</v>
      </c>
      <c r="H2541" s="7" t="s">
        <v>2837</v>
      </c>
    </row>
    <row r="2542" customFormat="false" ht="15" hidden="false" customHeight="false" outlineLevel="0" collapsed="false">
      <c r="A2542" s="7" t="s">
        <v>7168</v>
      </c>
      <c r="B2542" s="7" t="s">
        <v>5565</v>
      </c>
      <c r="C2542" s="7" t="s">
        <v>5568</v>
      </c>
      <c r="D2542" s="7" t="n">
        <v>2620</v>
      </c>
      <c r="E2542" s="7" t="s">
        <v>50</v>
      </c>
      <c r="F2542" s="7" t="n">
        <v>-35.34289</v>
      </c>
      <c r="G2542" s="7" t="n">
        <v>149.227651</v>
      </c>
      <c r="H2542" s="7" t="s">
        <v>3269</v>
      </c>
    </row>
    <row r="2543" customFormat="false" ht="15" hidden="false" customHeight="false" outlineLevel="0" collapsed="false">
      <c r="A2543" s="7" t="s">
        <v>7168</v>
      </c>
      <c r="B2543" s="7" t="s">
        <v>5570</v>
      </c>
      <c r="C2543" s="7" t="s">
        <v>5573</v>
      </c>
      <c r="D2543" s="7" t="n">
        <v>2300</v>
      </c>
      <c r="E2543" s="7" t="s">
        <v>50</v>
      </c>
      <c r="F2543" s="7" t="n">
        <v>-32.92542</v>
      </c>
      <c r="G2543" s="7" t="n">
        <v>151.780789</v>
      </c>
      <c r="H2543" s="7" t="s">
        <v>5574</v>
      </c>
    </row>
    <row r="2544" customFormat="false" ht="15" hidden="false" customHeight="false" outlineLevel="0" collapsed="false">
      <c r="A2544" s="7" t="s">
        <v>7168</v>
      </c>
      <c r="B2544" s="7" t="s">
        <v>5577</v>
      </c>
      <c r="C2544" s="7" t="s">
        <v>5278</v>
      </c>
      <c r="D2544" s="7" t="n">
        <v>2300</v>
      </c>
      <c r="E2544" s="7" t="s">
        <v>50</v>
      </c>
      <c r="F2544" s="7" t="n">
        <v>-32.926347</v>
      </c>
      <c r="G2544" s="7" t="n">
        <v>151.781564</v>
      </c>
      <c r="H2544" s="7" t="s">
        <v>2769</v>
      </c>
    </row>
    <row r="2545" customFormat="false" ht="15" hidden="false" customHeight="false" outlineLevel="0" collapsed="false">
      <c r="A2545" s="7" t="s">
        <v>7168</v>
      </c>
      <c r="B2545" s="7" t="s">
        <v>5580</v>
      </c>
      <c r="C2545" s="7" t="s">
        <v>5583</v>
      </c>
      <c r="D2545" s="7" t="n">
        <v>2343</v>
      </c>
      <c r="E2545" s="7" t="s">
        <v>50</v>
      </c>
      <c r="F2545" s="7" t="n">
        <v>-31.505399</v>
      </c>
      <c r="G2545" s="7" t="n">
        <v>150.681098</v>
      </c>
      <c r="H2545" s="7" t="s">
        <v>2735</v>
      </c>
    </row>
    <row r="2546" customFormat="false" ht="15" hidden="false" customHeight="false" outlineLevel="0" collapsed="false">
      <c r="A2546" s="7" t="s">
        <v>7168</v>
      </c>
      <c r="B2546" s="7" t="s">
        <v>5585</v>
      </c>
      <c r="C2546" s="7" t="s">
        <v>5588</v>
      </c>
      <c r="D2546" s="7" t="n">
        <v>2000</v>
      </c>
      <c r="E2546" s="7" t="s">
        <v>50</v>
      </c>
      <c r="F2546" s="7" t="n">
        <v>-33.871579</v>
      </c>
      <c r="G2546" s="7" t="n">
        <v>151.206961</v>
      </c>
      <c r="H2546" s="7" t="s">
        <v>4351</v>
      </c>
    </row>
    <row r="2547" customFormat="false" ht="15" hidden="false" customHeight="false" outlineLevel="0" collapsed="false">
      <c r="A2547" s="7" t="s">
        <v>7168</v>
      </c>
      <c r="B2547" s="7" t="s">
        <v>5589</v>
      </c>
      <c r="C2547" s="7" t="s">
        <v>5592</v>
      </c>
      <c r="D2547" s="7" t="n">
        <v>2795</v>
      </c>
      <c r="E2547" s="7" t="s">
        <v>50</v>
      </c>
      <c r="F2547" s="7" t="n">
        <v>-33.422388</v>
      </c>
      <c r="G2547" s="7" t="n">
        <v>149.647266</v>
      </c>
      <c r="H2547" s="7" t="s">
        <v>2718</v>
      </c>
    </row>
    <row r="2548" customFormat="false" ht="15" hidden="false" customHeight="false" outlineLevel="0" collapsed="false">
      <c r="A2548" s="7" t="s">
        <v>7168</v>
      </c>
      <c r="B2548" s="7" t="s">
        <v>5593</v>
      </c>
      <c r="C2548" s="7" t="s">
        <v>5596</v>
      </c>
      <c r="D2548" s="7" t="n">
        <v>2008</v>
      </c>
      <c r="E2548" s="7" t="s">
        <v>50</v>
      </c>
      <c r="F2548" s="7" t="n">
        <v>-33.88362346</v>
      </c>
      <c r="G2548" s="7" t="n">
        <v>151.2034191</v>
      </c>
      <c r="H2548" s="7" t="s">
        <v>5283</v>
      </c>
    </row>
    <row r="2549" customFormat="false" ht="15" hidden="false" customHeight="false" outlineLevel="0" collapsed="false">
      <c r="A2549" s="7" t="s">
        <v>7168</v>
      </c>
      <c r="B2549" s="7" t="s">
        <v>5599</v>
      </c>
      <c r="C2549" s="7" t="s">
        <v>5602</v>
      </c>
      <c r="D2549" s="7" t="n">
        <v>2031</v>
      </c>
      <c r="E2549" s="7" t="s">
        <v>50</v>
      </c>
      <c r="F2549" s="7" t="n">
        <v>-33.917128</v>
      </c>
      <c r="G2549" s="7" t="n">
        <v>151.240527</v>
      </c>
      <c r="H2549" s="7" t="s">
        <v>3262</v>
      </c>
    </row>
    <row r="2550" customFormat="false" ht="15" hidden="false" customHeight="false" outlineLevel="0" collapsed="false">
      <c r="A2550" s="7" t="s">
        <v>7168</v>
      </c>
      <c r="B2550" s="7" t="s">
        <v>5603</v>
      </c>
      <c r="C2550" s="7" t="s">
        <v>5606</v>
      </c>
      <c r="D2550" s="7" t="n">
        <v>2324</v>
      </c>
      <c r="E2550" s="7" t="s">
        <v>50</v>
      </c>
      <c r="F2550" s="7" t="n">
        <v>-32.764244</v>
      </c>
      <c r="G2550" s="7" t="n">
        <v>151.744386</v>
      </c>
      <c r="H2550" s="7" t="s">
        <v>2718</v>
      </c>
    </row>
    <row r="2551" customFormat="false" ht="15" hidden="false" customHeight="false" outlineLevel="0" collapsed="false">
      <c r="A2551" s="7" t="s">
        <v>7168</v>
      </c>
      <c r="B2551" s="7" t="s">
        <v>5607</v>
      </c>
      <c r="C2551" s="7" t="s">
        <v>5610</v>
      </c>
      <c r="D2551" s="7" t="n">
        <v>2015</v>
      </c>
      <c r="E2551" s="7" t="s">
        <v>50</v>
      </c>
      <c r="F2551" s="7" t="n">
        <v>-33.8923699</v>
      </c>
      <c r="G2551" s="7" t="n">
        <v>151.1984847</v>
      </c>
      <c r="H2551" s="7" t="s">
        <v>2786</v>
      </c>
    </row>
    <row r="2552" customFormat="false" ht="15" hidden="false" customHeight="false" outlineLevel="0" collapsed="false">
      <c r="A2552" s="7" t="s">
        <v>7168</v>
      </c>
      <c r="B2552" s="7" t="s">
        <v>5614</v>
      </c>
      <c r="C2552" s="7" t="s">
        <v>5617</v>
      </c>
      <c r="D2552" s="7" t="n">
        <v>2143</v>
      </c>
      <c r="E2552" s="7" t="s">
        <v>50</v>
      </c>
      <c r="F2552" s="7" t="n">
        <v>-33.88298889</v>
      </c>
      <c r="G2552" s="7" t="n">
        <v>151.0241875</v>
      </c>
      <c r="H2552" s="7" t="s">
        <v>2786</v>
      </c>
    </row>
    <row r="2553" customFormat="false" ht="15" hidden="false" customHeight="false" outlineLevel="0" collapsed="false">
      <c r="A2553" s="7" t="s">
        <v>7168</v>
      </c>
      <c r="B2553" s="7" t="s">
        <v>5619</v>
      </c>
      <c r="C2553" s="7" t="s">
        <v>5622</v>
      </c>
      <c r="D2553" s="7" t="n">
        <v>2212</v>
      </c>
      <c r="E2553" s="7" t="s">
        <v>50</v>
      </c>
      <c r="F2553" s="7" t="n">
        <v>-33.95246003</v>
      </c>
      <c r="G2553" s="7" t="n">
        <v>151.0148384</v>
      </c>
      <c r="H2553" s="7" t="s">
        <v>2786</v>
      </c>
    </row>
    <row r="2554" customFormat="false" ht="15" hidden="false" customHeight="false" outlineLevel="0" collapsed="false">
      <c r="A2554" s="7" t="s">
        <v>7168</v>
      </c>
      <c r="B2554" s="7" t="s">
        <v>5625</v>
      </c>
      <c r="C2554" s="7" t="s">
        <v>5628</v>
      </c>
      <c r="D2554" s="7" t="n">
        <v>2138</v>
      </c>
      <c r="E2554" s="7" t="s">
        <v>50</v>
      </c>
      <c r="F2554" s="7" t="n">
        <v>-33.83053036</v>
      </c>
      <c r="G2554" s="7" t="n">
        <v>151.0870323</v>
      </c>
      <c r="H2554" s="7" t="s">
        <v>2710</v>
      </c>
    </row>
    <row r="2555" customFormat="false" ht="15" hidden="false" customHeight="false" outlineLevel="0" collapsed="false">
      <c r="A2555" s="7" t="s">
        <v>7168</v>
      </c>
      <c r="B2555" s="7" t="s">
        <v>5631</v>
      </c>
      <c r="C2555" s="7" t="s">
        <v>5634</v>
      </c>
      <c r="D2555" s="7" t="n">
        <v>2753</v>
      </c>
      <c r="E2555" s="7" t="s">
        <v>50</v>
      </c>
      <c r="F2555" s="7" t="n">
        <v>-33.59911164</v>
      </c>
      <c r="G2555" s="7" t="n">
        <v>150.753211</v>
      </c>
      <c r="H2555" s="7" t="s">
        <v>2786</v>
      </c>
    </row>
    <row r="2556" customFormat="false" ht="15" hidden="false" customHeight="false" outlineLevel="0" collapsed="false">
      <c r="A2556" s="7" t="s">
        <v>7168</v>
      </c>
      <c r="B2556" s="7" t="s">
        <v>5637</v>
      </c>
      <c r="C2556" s="7" t="s">
        <v>5640</v>
      </c>
      <c r="D2556" s="7" t="n">
        <v>2765</v>
      </c>
      <c r="E2556" s="7" t="s">
        <v>50</v>
      </c>
      <c r="F2556" s="7" t="n">
        <v>-33.67904337</v>
      </c>
      <c r="G2556" s="7" t="n">
        <v>150.8602679</v>
      </c>
      <c r="H2556" s="7" t="s">
        <v>2786</v>
      </c>
    </row>
    <row r="2557" customFormat="false" ht="15" hidden="false" customHeight="false" outlineLevel="0" collapsed="false">
      <c r="A2557" s="7" t="s">
        <v>7168</v>
      </c>
      <c r="B2557" s="7" t="s">
        <v>5643</v>
      </c>
      <c r="C2557" s="7" t="s">
        <v>5646</v>
      </c>
      <c r="D2557" s="7" t="n">
        <v>2210</v>
      </c>
      <c r="E2557" s="7" t="s">
        <v>50</v>
      </c>
      <c r="F2557" s="7" t="n">
        <v>-33.95153541</v>
      </c>
      <c r="G2557" s="7" t="n">
        <v>151.0520353</v>
      </c>
      <c r="H2557" s="7" t="s">
        <v>2786</v>
      </c>
    </row>
    <row r="2558" customFormat="false" ht="15" hidden="false" customHeight="false" outlineLevel="0" collapsed="false">
      <c r="A2558" s="7" t="s">
        <v>7168</v>
      </c>
      <c r="B2558" s="7" t="s">
        <v>5648</v>
      </c>
      <c r="C2558" s="7" t="s">
        <v>5651</v>
      </c>
      <c r="D2558" s="7" t="n">
        <v>2577</v>
      </c>
      <c r="E2558" s="7" t="s">
        <v>50</v>
      </c>
      <c r="F2558" s="7" t="n">
        <v>-34.589383</v>
      </c>
      <c r="G2558" s="7" t="n">
        <v>150.598353</v>
      </c>
      <c r="H2558" s="7" t="s">
        <v>2837</v>
      </c>
    </row>
    <row r="2559" customFormat="false" ht="15" hidden="false" customHeight="false" outlineLevel="0" collapsed="false">
      <c r="A2559" s="7" t="s">
        <v>7168</v>
      </c>
      <c r="B2559" s="7" t="s">
        <v>5652</v>
      </c>
      <c r="C2559" s="7" t="s">
        <v>5655</v>
      </c>
      <c r="D2559" s="7" t="n">
        <v>2150</v>
      </c>
      <c r="E2559" s="7" t="s">
        <v>50</v>
      </c>
      <c r="F2559" s="7" t="n">
        <v>-33.816922</v>
      </c>
      <c r="G2559" s="7" t="n">
        <v>151.011207</v>
      </c>
      <c r="H2559" s="7" t="s">
        <v>2769</v>
      </c>
    </row>
    <row r="2560" customFormat="false" ht="15" hidden="false" customHeight="false" outlineLevel="0" collapsed="false">
      <c r="A2560" s="7" t="s">
        <v>7168</v>
      </c>
      <c r="B2560" s="7" t="s">
        <v>5656</v>
      </c>
      <c r="C2560" s="7" t="s">
        <v>5659</v>
      </c>
      <c r="D2560" s="7" t="n">
        <v>4226</v>
      </c>
      <c r="E2560" s="7" t="s">
        <v>50</v>
      </c>
      <c r="F2560" s="7" t="n">
        <v>-28.071</v>
      </c>
      <c r="G2560" s="7" t="n">
        <v>153.378187</v>
      </c>
      <c r="H2560" s="7" t="s">
        <v>2718</v>
      </c>
    </row>
    <row r="2561" customFormat="false" ht="15" hidden="false" customHeight="false" outlineLevel="0" collapsed="false">
      <c r="A2561" s="7" t="s">
        <v>7168</v>
      </c>
      <c r="B2561" s="7" t="s">
        <v>5660</v>
      </c>
      <c r="C2561" s="7" t="s">
        <v>5663</v>
      </c>
      <c r="D2561" s="7" t="n">
        <v>3549</v>
      </c>
      <c r="E2561" s="7" t="s">
        <v>50</v>
      </c>
      <c r="F2561" s="7" t="n">
        <v>-34.584858</v>
      </c>
      <c r="G2561" s="7" t="n">
        <v>142.77043</v>
      </c>
      <c r="H2561" s="7" t="s">
        <v>2718</v>
      </c>
    </row>
    <row r="2562" customFormat="false" ht="15" hidden="false" customHeight="false" outlineLevel="0" collapsed="false">
      <c r="A2562" s="7" t="s">
        <v>7168</v>
      </c>
      <c r="B2562" s="7" t="s">
        <v>5664</v>
      </c>
      <c r="C2562" s="7" t="s">
        <v>5667</v>
      </c>
      <c r="D2562" s="7" t="n">
        <v>2216</v>
      </c>
      <c r="E2562" s="7" t="s">
        <v>50</v>
      </c>
      <c r="F2562" s="7" t="n">
        <v>-33.95188027</v>
      </c>
      <c r="G2562" s="7" t="n">
        <v>151.1368616</v>
      </c>
      <c r="H2562" s="7" t="s">
        <v>2786</v>
      </c>
    </row>
    <row r="2563" customFormat="false" ht="15" hidden="false" customHeight="false" outlineLevel="0" collapsed="false">
      <c r="A2563" s="7" t="s">
        <v>7168</v>
      </c>
      <c r="B2563" s="7" t="s">
        <v>5670</v>
      </c>
      <c r="C2563" s="7" t="s">
        <v>5673</v>
      </c>
      <c r="D2563" s="7" t="n">
        <v>2766</v>
      </c>
      <c r="E2563" s="7" t="s">
        <v>50</v>
      </c>
      <c r="F2563" s="7" t="n">
        <v>-33.77151173</v>
      </c>
      <c r="G2563" s="7" t="n">
        <v>150.8450187</v>
      </c>
      <c r="H2563" s="7" t="s">
        <v>2786</v>
      </c>
    </row>
    <row r="2564" customFormat="false" ht="15" hidden="false" customHeight="false" outlineLevel="0" collapsed="false">
      <c r="A2564" s="7" t="s">
        <v>7168</v>
      </c>
      <c r="B2564" s="7" t="s">
        <v>5675</v>
      </c>
      <c r="C2564" s="7" t="s">
        <v>5678</v>
      </c>
      <c r="D2564" s="7" t="n">
        <v>2029</v>
      </c>
      <c r="E2564" s="7" t="s">
        <v>50</v>
      </c>
      <c r="F2564" s="7" t="n">
        <v>-33.87094819</v>
      </c>
      <c r="G2564" s="7" t="n">
        <v>151.2621217</v>
      </c>
      <c r="H2564" s="7" t="s">
        <v>2852</v>
      </c>
    </row>
    <row r="2565" customFormat="false" ht="15" hidden="false" customHeight="false" outlineLevel="0" collapsed="false">
      <c r="A2565" s="7" t="s">
        <v>7168</v>
      </c>
      <c r="B2565" s="7" t="s">
        <v>5680</v>
      </c>
      <c r="C2565" s="7" t="s">
        <v>5683</v>
      </c>
      <c r="D2565" s="7" t="n">
        <v>2142</v>
      </c>
      <c r="E2565" s="7" t="s">
        <v>50</v>
      </c>
      <c r="F2565" s="7" t="n">
        <v>-33.818143</v>
      </c>
      <c r="G2565" s="7" t="n">
        <v>151.024491</v>
      </c>
      <c r="H2565" s="7" t="s">
        <v>2769</v>
      </c>
    </row>
    <row r="2566" customFormat="false" ht="15" hidden="false" customHeight="false" outlineLevel="0" collapsed="false">
      <c r="A2566" s="7" t="s">
        <v>7168</v>
      </c>
      <c r="B2566" s="7" t="s">
        <v>5686</v>
      </c>
      <c r="C2566" s="7" t="s">
        <v>5689</v>
      </c>
      <c r="D2566" s="7" t="n">
        <v>2069</v>
      </c>
      <c r="E2566" s="7" t="s">
        <v>50</v>
      </c>
      <c r="F2566" s="7" t="n">
        <v>-33.78422026</v>
      </c>
      <c r="G2566" s="7" t="n">
        <v>151.177266</v>
      </c>
      <c r="H2566" s="7" t="s">
        <v>2786</v>
      </c>
    </row>
    <row r="2567" customFormat="false" ht="15" hidden="false" customHeight="false" outlineLevel="0" collapsed="false">
      <c r="A2567" s="7" t="s">
        <v>7168</v>
      </c>
      <c r="B2567" s="7" t="s">
        <v>5692</v>
      </c>
      <c r="C2567" s="7" t="s">
        <v>5695</v>
      </c>
      <c r="D2567" s="7" t="n">
        <v>2155</v>
      </c>
      <c r="E2567" s="7" t="s">
        <v>50</v>
      </c>
      <c r="F2567" s="7" t="n">
        <v>-33.691986</v>
      </c>
      <c r="G2567" s="7" t="n">
        <v>150.924306</v>
      </c>
      <c r="H2567" s="7" t="s">
        <v>2982</v>
      </c>
    </row>
    <row r="2568" customFormat="false" ht="15" hidden="false" customHeight="false" outlineLevel="0" collapsed="false">
      <c r="A2568" s="7" t="s">
        <v>7168</v>
      </c>
      <c r="B2568" s="7" t="s">
        <v>5698</v>
      </c>
      <c r="C2568" s="7" t="s">
        <v>5701</v>
      </c>
      <c r="D2568" s="7" t="n">
        <v>5000</v>
      </c>
      <c r="E2568" s="7" t="s">
        <v>50</v>
      </c>
      <c r="F2568" s="7" t="n">
        <v>-34.92185</v>
      </c>
      <c r="G2568" s="7" t="n">
        <v>138.588369</v>
      </c>
      <c r="H2568" s="7" t="s">
        <v>2718</v>
      </c>
    </row>
    <row r="2569" customFormat="false" ht="15" hidden="false" customHeight="false" outlineLevel="0" collapsed="false">
      <c r="A2569" s="7" t="s">
        <v>7168</v>
      </c>
      <c r="B2569" s="7" t="s">
        <v>5702</v>
      </c>
      <c r="C2569" s="7" t="s">
        <v>5705</v>
      </c>
      <c r="D2569" s="7" t="n">
        <v>2031</v>
      </c>
      <c r="E2569" s="7" t="s">
        <v>50</v>
      </c>
      <c r="F2569" s="7" t="n">
        <v>-33.905183</v>
      </c>
      <c r="G2569" s="7" t="n">
        <v>151.22883</v>
      </c>
      <c r="H2569" s="7" t="s">
        <v>3262</v>
      </c>
    </row>
    <row r="2570" customFormat="false" ht="15" hidden="false" customHeight="false" outlineLevel="0" collapsed="false">
      <c r="A2570" s="7" t="s">
        <v>7168</v>
      </c>
      <c r="B2570" s="7" t="s">
        <v>5706</v>
      </c>
      <c r="C2570" s="7" t="s">
        <v>5709</v>
      </c>
      <c r="D2570" s="7" t="n">
        <v>2038</v>
      </c>
      <c r="E2570" s="7" t="s">
        <v>50</v>
      </c>
      <c r="F2570" s="7" t="n">
        <v>-33.87181104</v>
      </c>
      <c r="G2570" s="7" t="n">
        <v>151.1727016</v>
      </c>
      <c r="H2570" s="7" t="s">
        <v>2769</v>
      </c>
    </row>
    <row r="2571" customFormat="false" ht="15" hidden="false" customHeight="false" outlineLevel="0" collapsed="false">
      <c r="A2571" s="7" t="s">
        <v>7168</v>
      </c>
      <c r="B2571" s="7" t="s">
        <v>5710</v>
      </c>
      <c r="C2571" s="7" t="s">
        <v>5713</v>
      </c>
      <c r="D2571" s="7" t="n">
        <v>2850</v>
      </c>
      <c r="E2571" s="7" t="s">
        <v>50</v>
      </c>
      <c r="F2571" s="7" t="n">
        <v>-33.031302</v>
      </c>
      <c r="G2571" s="7" t="n">
        <v>149.900508</v>
      </c>
      <c r="H2571" s="7" t="s">
        <v>2718</v>
      </c>
    </row>
    <row r="2572" customFormat="false" ht="15" hidden="false" customHeight="false" outlineLevel="0" collapsed="false">
      <c r="A2572" s="7" t="s">
        <v>7168</v>
      </c>
      <c r="B2572" s="7" t="s">
        <v>5714</v>
      </c>
      <c r="C2572" s="7" t="s">
        <v>5717</v>
      </c>
      <c r="D2572" s="7" t="n">
        <v>2790</v>
      </c>
      <c r="E2572" s="7" t="s">
        <v>50</v>
      </c>
      <c r="F2572" s="7" t="n">
        <v>-33.483565</v>
      </c>
      <c r="G2572" s="7" t="n">
        <v>150.031812</v>
      </c>
      <c r="H2572" s="7" t="s">
        <v>2806</v>
      </c>
    </row>
    <row r="2573" customFormat="false" ht="15" hidden="false" customHeight="false" outlineLevel="0" collapsed="false">
      <c r="A2573" s="7" t="s">
        <v>7168</v>
      </c>
      <c r="B2573" s="7" t="s">
        <v>5718</v>
      </c>
      <c r="C2573" s="7" t="s">
        <v>5721</v>
      </c>
      <c r="D2573" s="7" t="n">
        <v>2116</v>
      </c>
      <c r="E2573" s="7" t="s">
        <v>50</v>
      </c>
      <c r="F2573" s="7" t="n">
        <v>-33.81799002</v>
      </c>
      <c r="G2573" s="7" t="n">
        <v>151.0437536</v>
      </c>
      <c r="H2573" s="7" t="s">
        <v>2852</v>
      </c>
    </row>
    <row r="2574" customFormat="false" ht="15" hidden="false" customHeight="false" outlineLevel="0" collapsed="false">
      <c r="A2574" s="7" t="s">
        <v>7168</v>
      </c>
      <c r="B2574" s="7" t="s">
        <v>5723</v>
      </c>
      <c r="C2574" s="7" t="s">
        <v>5726</v>
      </c>
      <c r="D2574" s="7" t="n">
        <v>2849</v>
      </c>
      <c r="E2574" s="7" t="s">
        <v>50</v>
      </c>
      <c r="F2574" s="7" t="n">
        <v>-32.798463</v>
      </c>
      <c r="G2574" s="7" t="n">
        <v>149.970508</v>
      </c>
      <c r="H2574" s="7" t="s">
        <v>2718</v>
      </c>
    </row>
    <row r="2575" customFormat="false" ht="15" hidden="false" customHeight="false" outlineLevel="0" collapsed="false">
      <c r="A2575" s="7" t="s">
        <v>7168</v>
      </c>
      <c r="B2575" s="7" t="s">
        <v>5727</v>
      </c>
      <c r="C2575" s="7" t="s">
        <v>5730</v>
      </c>
      <c r="D2575" s="7" t="n">
        <v>2849</v>
      </c>
      <c r="E2575" s="7" t="s">
        <v>50</v>
      </c>
      <c r="F2575" s="7" t="n">
        <v>-32.803779</v>
      </c>
      <c r="G2575" s="7" t="n">
        <v>149.974521</v>
      </c>
      <c r="H2575" s="7" t="s">
        <v>2718</v>
      </c>
    </row>
    <row r="2576" customFormat="false" ht="15" hidden="false" customHeight="false" outlineLevel="0" collapsed="false">
      <c r="A2576" s="7" t="s">
        <v>7168</v>
      </c>
      <c r="B2576" s="7" t="s">
        <v>5731</v>
      </c>
      <c r="C2576" s="7" t="s">
        <v>5734</v>
      </c>
      <c r="D2576" s="7" t="n">
        <v>2304</v>
      </c>
      <c r="E2576" s="7" t="s">
        <v>50</v>
      </c>
      <c r="F2576" s="7" t="n">
        <v>-32.87189652</v>
      </c>
      <c r="G2576" s="7" t="n">
        <v>151.7026047</v>
      </c>
      <c r="H2576" s="7" t="s">
        <v>2806</v>
      </c>
    </row>
    <row r="2577" customFormat="false" ht="15" hidden="false" customHeight="false" outlineLevel="0" collapsed="false">
      <c r="A2577" s="7" t="s">
        <v>7168</v>
      </c>
      <c r="B2577" s="7" t="s">
        <v>5736</v>
      </c>
      <c r="C2577" s="7" t="s">
        <v>5739</v>
      </c>
      <c r="D2577" s="7" t="n">
        <v>2452</v>
      </c>
      <c r="E2577" s="7" t="s">
        <v>50</v>
      </c>
      <c r="F2577" s="7" t="n">
        <v>-30.359429</v>
      </c>
      <c r="G2577" s="7" t="n">
        <v>153.097419</v>
      </c>
      <c r="H2577" s="7" t="s">
        <v>2806</v>
      </c>
    </row>
    <row r="2578" customFormat="false" ht="15" hidden="false" customHeight="false" outlineLevel="0" collapsed="false">
      <c r="A2578" s="7" t="s">
        <v>7168</v>
      </c>
      <c r="B2578" s="7" t="s">
        <v>5741</v>
      </c>
      <c r="C2578" s="7" t="s">
        <v>5744</v>
      </c>
      <c r="D2578" s="7" t="n">
        <v>2515</v>
      </c>
      <c r="E2578" s="7" t="s">
        <v>50</v>
      </c>
      <c r="F2578" s="7" t="n">
        <v>-34.26498655</v>
      </c>
      <c r="G2578" s="7" t="n">
        <v>150.9657909</v>
      </c>
      <c r="H2578" s="7" t="s">
        <v>2710</v>
      </c>
    </row>
    <row r="2579" customFormat="false" ht="15" hidden="false" customHeight="false" outlineLevel="0" collapsed="false">
      <c r="A2579" s="7" t="s">
        <v>7168</v>
      </c>
      <c r="B2579" s="7" t="s">
        <v>5746</v>
      </c>
      <c r="C2579" s="7" t="s">
        <v>5749</v>
      </c>
      <c r="D2579" s="7" t="n">
        <v>2762</v>
      </c>
      <c r="E2579" s="7" t="s">
        <v>50</v>
      </c>
      <c r="F2579" s="7" t="n">
        <v>-33.70447724</v>
      </c>
      <c r="G2579" s="7" t="n">
        <v>150.8738169</v>
      </c>
      <c r="H2579" s="7" t="s">
        <v>2710</v>
      </c>
    </row>
    <row r="2580" customFormat="false" ht="15" hidden="false" customHeight="false" outlineLevel="0" collapsed="false">
      <c r="A2580" s="7" t="s">
        <v>7168</v>
      </c>
      <c r="B2580" s="7" t="s">
        <v>5752</v>
      </c>
      <c r="C2580" s="7" t="s">
        <v>5755</v>
      </c>
      <c r="D2580" s="7" t="n">
        <v>2337</v>
      </c>
      <c r="E2580" s="7" t="s">
        <v>50</v>
      </c>
      <c r="F2580" s="7" t="n">
        <v>-32.04694089</v>
      </c>
      <c r="G2580" s="7" t="n">
        <v>150.8669023</v>
      </c>
      <c r="H2580" s="7" t="s">
        <v>2700</v>
      </c>
    </row>
    <row r="2581" customFormat="false" ht="15" hidden="false" customHeight="false" outlineLevel="0" collapsed="false">
      <c r="A2581" s="7" t="s">
        <v>7168</v>
      </c>
      <c r="B2581" s="7" t="s">
        <v>5757</v>
      </c>
      <c r="C2581" s="7" t="s">
        <v>5760</v>
      </c>
      <c r="D2581" s="7" t="n">
        <v>2162</v>
      </c>
      <c r="E2581" s="7" t="s">
        <v>50</v>
      </c>
      <c r="F2581" s="7" t="n">
        <v>-33.88523616</v>
      </c>
      <c r="G2581" s="7" t="n">
        <v>151.0112833</v>
      </c>
      <c r="H2581" s="7" t="s">
        <v>2806</v>
      </c>
    </row>
    <row r="2582" customFormat="false" ht="15" hidden="false" customHeight="false" outlineLevel="0" collapsed="false">
      <c r="A2582" s="7" t="s">
        <v>7168</v>
      </c>
      <c r="B2582" s="7" t="s">
        <v>5763</v>
      </c>
      <c r="C2582" s="7" t="s">
        <v>5766</v>
      </c>
      <c r="D2582" s="7" t="n">
        <v>2147</v>
      </c>
      <c r="E2582" s="7" t="s">
        <v>50</v>
      </c>
      <c r="F2582" s="7" t="n">
        <v>-33.77443043</v>
      </c>
      <c r="G2582" s="7" t="n">
        <v>150.9365134</v>
      </c>
      <c r="H2582" s="7" t="s">
        <v>2786</v>
      </c>
    </row>
    <row r="2583" customFormat="false" ht="15" hidden="false" customHeight="false" outlineLevel="0" collapsed="false">
      <c r="A2583" s="7" t="s">
        <v>7168</v>
      </c>
      <c r="B2583" s="7" t="s">
        <v>5769</v>
      </c>
      <c r="C2583" s="7" t="s">
        <v>5772</v>
      </c>
      <c r="D2583" s="7" t="n">
        <v>2529</v>
      </c>
      <c r="E2583" s="7" t="s">
        <v>50</v>
      </c>
      <c r="F2583" s="7" t="n">
        <v>-34.59128255</v>
      </c>
      <c r="G2583" s="7" t="n">
        <v>150.8447273</v>
      </c>
      <c r="H2583" s="7" t="s">
        <v>2786</v>
      </c>
    </row>
    <row r="2584" customFormat="false" ht="15" hidden="false" customHeight="false" outlineLevel="0" collapsed="false">
      <c r="A2584" s="7" t="s">
        <v>7168</v>
      </c>
      <c r="B2584" s="7" t="s">
        <v>5774</v>
      </c>
      <c r="C2584" s="7" t="s">
        <v>5777</v>
      </c>
      <c r="D2584" s="7" t="n">
        <v>2330</v>
      </c>
      <c r="E2584" s="7" t="s">
        <v>50</v>
      </c>
      <c r="F2584" s="7" t="n">
        <v>-32.57177047</v>
      </c>
      <c r="G2584" s="7" t="n">
        <v>151.1651707</v>
      </c>
      <c r="H2584" s="7" t="s">
        <v>2710</v>
      </c>
    </row>
    <row r="2585" customFormat="false" ht="15" hidden="false" customHeight="false" outlineLevel="0" collapsed="false">
      <c r="A2585" s="7" t="s">
        <v>7168</v>
      </c>
      <c r="B2585" s="7" t="s">
        <v>5779</v>
      </c>
      <c r="C2585" s="7" t="s">
        <v>5782</v>
      </c>
      <c r="D2585" s="7" t="n">
        <v>2340</v>
      </c>
      <c r="E2585" s="7" t="s">
        <v>50</v>
      </c>
      <c r="F2585" s="7" t="n">
        <v>-30.93779</v>
      </c>
      <c r="G2585" s="7" t="n">
        <v>150.63499</v>
      </c>
      <c r="H2585" s="7" t="s">
        <v>2718</v>
      </c>
    </row>
    <row r="2586" customFormat="false" ht="15" hidden="false" customHeight="false" outlineLevel="0" collapsed="false">
      <c r="A2586" s="7" t="s">
        <v>7168</v>
      </c>
      <c r="B2586" s="7" t="s">
        <v>5783</v>
      </c>
      <c r="C2586" s="7" t="s">
        <v>5786</v>
      </c>
      <c r="D2586" s="7" t="n">
        <v>2088</v>
      </c>
      <c r="E2586" s="7" t="s">
        <v>50</v>
      </c>
      <c r="F2586" s="7" t="n">
        <v>-33.84326831</v>
      </c>
      <c r="G2586" s="7" t="n">
        <v>151.2325961</v>
      </c>
      <c r="H2586" s="7" t="s">
        <v>2693</v>
      </c>
    </row>
    <row r="2587" customFormat="false" ht="15" hidden="false" customHeight="false" outlineLevel="0" collapsed="false">
      <c r="A2587" s="7" t="s">
        <v>7168</v>
      </c>
      <c r="B2587" s="7" t="s">
        <v>5789</v>
      </c>
      <c r="C2587" s="7" t="s">
        <v>5792</v>
      </c>
      <c r="D2587" s="7" t="n">
        <v>2486</v>
      </c>
      <c r="E2587" s="7" t="s">
        <v>50</v>
      </c>
      <c r="F2587" s="7" t="n">
        <v>-28.195182</v>
      </c>
      <c r="G2587" s="7" t="n">
        <v>153.543007</v>
      </c>
      <c r="H2587" s="7" t="s">
        <v>2837</v>
      </c>
    </row>
    <row r="2588" customFormat="false" ht="15" hidden="false" customHeight="false" outlineLevel="0" collapsed="false">
      <c r="A2588" s="7" t="s">
        <v>7168</v>
      </c>
      <c r="B2588" s="7" t="s">
        <v>5793</v>
      </c>
      <c r="C2588" s="7" t="s">
        <v>5796</v>
      </c>
      <c r="D2588" s="7" t="n">
        <v>2088</v>
      </c>
      <c r="E2588" s="7" t="s">
        <v>50</v>
      </c>
      <c r="F2588" s="7" t="n">
        <v>-33.824148</v>
      </c>
      <c r="G2588" s="7" t="n">
        <v>151.241656</v>
      </c>
      <c r="H2588" s="7" t="s">
        <v>3439</v>
      </c>
    </row>
    <row r="2589" customFormat="false" ht="15" hidden="false" customHeight="false" outlineLevel="0" collapsed="false">
      <c r="A2589" s="7" t="s">
        <v>7168</v>
      </c>
      <c r="B2589" s="7" t="s">
        <v>5797</v>
      </c>
      <c r="C2589" s="7" t="s">
        <v>5800</v>
      </c>
      <c r="D2589" s="7" t="n">
        <v>2800</v>
      </c>
      <c r="E2589" s="7" t="s">
        <v>50</v>
      </c>
      <c r="F2589" s="7" t="n">
        <v>-33.398855</v>
      </c>
      <c r="G2589" s="7" t="n">
        <v>149.152388</v>
      </c>
      <c r="H2589" s="7" t="s">
        <v>2718</v>
      </c>
    </row>
    <row r="2590" customFormat="false" ht="15" hidden="false" customHeight="false" outlineLevel="0" collapsed="false">
      <c r="A2590" s="7" t="s">
        <v>7168</v>
      </c>
      <c r="B2590" s="7" t="s">
        <v>5801</v>
      </c>
      <c r="C2590" s="7" t="s">
        <v>5804</v>
      </c>
      <c r="D2590" s="7" t="n">
        <v>2777</v>
      </c>
      <c r="E2590" s="7" t="s">
        <v>50</v>
      </c>
      <c r="F2590" s="7" t="n">
        <v>-33.6988416</v>
      </c>
      <c r="G2590" s="7" t="n">
        <v>150.5639799</v>
      </c>
      <c r="H2590" s="7" t="s">
        <v>2786</v>
      </c>
    </row>
    <row r="2591" customFormat="false" ht="15" hidden="false" customHeight="false" outlineLevel="0" collapsed="false">
      <c r="A2591" s="7" t="s">
        <v>7168</v>
      </c>
      <c r="B2591" s="7" t="s">
        <v>5806</v>
      </c>
      <c r="C2591" s="7" t="s">
        <v>5215</v>
      </c>
      <c r="D2591" s="7" t="n">
        <v>2000</v>
      </c>
      <c r="E2591" s="7" t="s">
        <v>50</v>
      </c>
      <c r="F2591" s="7" t="n">
        <v>-33.87069742</v>
      </c>
      <c r="G2591" s="7" t="n">
        <v>151.2118374</v>
      </c>
      <c r="H2591" s="7" t="s">
        <v>2710</v>
      </c>
    </row>
    <row r="2592" customFormat="false" ht="15" hidden="false" customHeight="false" outlineLevel="0" collapsed="false">
      <c r="A2592" s="7" t="s">
        <v>7168</v>
      </c>
      <c r="B2592" s="7" t="s">
        <v>5811</v>
      </c>
      <c r="C2592" s="7" t="s">
        <v>5814</v>
      </c>
      <c r="D2592" s="7" t="n">
        <v>2065</v>
      </c>
      <c r="E2592" s="7" t="s">
        <v>50</v>
      </c>
      <c r="F2592" s="7" t="n">
        <v>-33.82238888</v>
      </c>
      <c r="G2592" s="7" t="n">
        <v>151.1941268</v>
      </c>
      <c r="H2592" s="7" t="s">
        <v>2786</v>
      </c>
    </row>
    <row r="2593" customFormat="false" ht="15" hidden="false" customHeight="false" outlineLevel="0" collapsed="false">
      <c r="A2593" s="7" t="s">
        <v>7168</v>
      </c>
      <c r="B2593" s="7" t="s">
        <v>5817</v>
      </c>
      <c r="C2593" s="7" t="s">
        <v>5820</v>
      </c>
      <c r="D2593" s="7" t="n">
        <v>2760</v>
      </c>
      <c r="E2593" s="7" t="s">
        <v>50</v>
      </c>
      <c r="F2593" s="7" t="n">
        <v>-33.76225585</v>
      </c>
      <c r="G2593" s="7" t="n">
        <v>150.776029</v>
      </c>
      <c r="H2593" s="7" t="s">
        <v>2786</v>
      </c>
    </row>
    <row r="2594" customFormat="false" ht="15" hidden="false" customHeight="false" outlineLevel="0" collapsed="false">
      <c r="A2594" s="7" t="s">
        <v>7168</v>
      </c>
      <c r="B2594" s="7" t="s">
        <v>5822</v>
      </c>
      <c r="C2594" s="7" t="s">
        <v>5825</v>
      </c>
      <c r="D2594" s="7" t="n">
        <v>2044</v>
      </c>
      <c r="E2594" s="7" t="s">
        <v>50</v>
      </c>
      <c r="F2594" s="7" t="n">
        <v>-33.9073952</v>
      </c>
      <c r="G2594" s="7" t="n">
        <v>151.1802675</v>
      </c>
      <c r="H2594" s="7" t="s">
        <v>2710</v>
      </c>
    </row>
    <row r="2595" customFormat="false" ht="15" hidden="false" customHeight="false" outlineLevel="0" collapsed="false">
      <c r="A2595" s="7" t="s">
        <v>7168</v>
      </c>
      <c r="B2595" s="7" t="s">
        <v>5828</v>
      </c>
      <c r="C2595" s="7" t="s">
        <v>5831</v>
      </c>
      <c r="D2595" s="7" t="n">
        <v>2048</v>
      </c>
      <c r="E2595" s="7" t="s">
        <v>50</v>
      </c>
      <c r="F2595" s="7" t="n">
        <v>-33.89454885</v>
      </c>
      <c r="G2595" s="7" t="n">
        <v>151.1640093</v>
      </c>
      <c r="H2595" s="7" t="s">
        <v>2710</v>
      </c>
    </row>
    <row r="2596" customFormat="false" ht="15" hidden="false" customHeight="false" outlineLevel="0" collapsed="false">
      <c r="A2596" s="7" t="s">
        <v>7168</v>
      </c>
      <c r="B2596" s="7" t="s">
        <v>5834</v>
      </c>
      <c r="C2596" s="7" t="s">
        <v>5837</v>
      </c>
      <c r="D2596" s="7" t="n">
        <v>2508</v>
      </c>
      <c r="E2596" s="7" t="s">
        <v>50</v>
      </c>
      <c r="F2596" s="7" t="n">
        <v>-34.22658642</v>
      </c>
      <c r="G2596" s="7" t="n">
        <v>150.980938</v>
      </c>
      <c r="H2596" s="7" t="s">
        <v>2806</v>
      </c>
    </row>
    <row r="2597" customFormat="false" ht="15" hidden="false" customHeight="false" outlineLevel="0" collapsed="false">
      <c r="A2597" s="7" t="s">
        <v>7168</v>
      </c>
      <c r="B2597" s="7" t="s">
        <v>5840</v>
      </c>
      <c r="C2597" s="7" t="s">
        <v>5843</v>
      </c>
      <c r="D2597" s="7" t="n">
        <v>2725</v>
      </c>
      <c r="E2597" s="7" t="s">
        <v>50</v>
      </c>
      <c r="F2597" s="7" t="n">
        <v>-34.500339</v>
      </c>
      <c r="G2597" s="7" t="n">
        <v>147.880771</v>
      </c>
      <c r="H2597" s="7" t="s">
        <v>2718</v>
      </c>
    </row>
    <row r="2598" customFormat="false" ht="15" hidden="false" customHeight="false" outlineLevel="0" collapsed="false">
      <c r="A2598" s="7" t="s">
        <v>7168</v>
      </c>
      <c r="B2598" s="7" t="s">
        <v>5844</v>
      </c>
      <c r="C2598" s="7" t="s">
        <v>5847</v>
      </c>
      <c r="D2598" s="7" t="n">
        <v>2295</v>
      </c>
      <c r="E2598" s="7" t="s">
        <v>50</v>
      </c>
      <c r="F2598" s="7" t="n">
        <v>-32.919641</v>
      </c>
      <c r="G2598" s="7" t="n">
        <v>151.782514</v>
      </c>
      <c r="H2598" s="7" t="s">
        <v>2852</v>
      </c>
    </row>
    <row r="2599" customFormat="false" ht="15" hidden="false" customHeight="false" outlineLevel="0" collapsed="false">
      <c r="A2599" s="7" t="s">
        <v>7168</v>
      </c>
      <c r="B2599" s="7" t="s">
        <v>5849</v>
      </c>
      <c r="C2599" s="7" t="s">
        <v>5852</v>
      </c>
      <c r="D2599" s="7" t="n">
        <v>2422</v>
      </c>
      <c r="E2599" s="7" t="s">
        <v>50</v>
      </c>
      <c r="F2599" s="7" t="n">
        <v>-32.11757</v>
      </c>
      <c r="G2599" s="7" t="n">
        <v>151.937879</v>
      </c>
      <c r="H2599" s="7" t="s">
        <v>2718</v>
      </c>
    </row>
    <row r="2600" customFormat="false" ht="15" hidden="false" customHeight="false" outlineLevel="0" collapsed="false">
      <c r="A2600" s="7" t="s">
        <v>7168</v>
      </c>
      <c r="B2600" s="7" t="s">
        <v>5853</v>
      </c>
      <c r="C2600" s="7" t="s">
        <v>5856</v>
      </c>
      <c r="D2600" s="7" t="n">
        <v>2135</v>
      </c>
      <c r="E2600" s="7" t="s">
        <v>50</v>
      </c>
      <c r="F2600" s="7" t="n">
        <v>-33.8718105</v>
      </c>
      <c r="G2600" s="7" t="n">
        <v>151.0944271</v>
      </c>
      <c r="H2600" s="7" t="s">
        <v>2786</v>
      </c>
    </row>
    <row r="2601" customFormat="false" ht="15" hidden="false" customHeight="false" outlineLevel="0" collapsed="false">
      <c r="A2601" s="7" t="s">
        <v>7168</v>
      </c>
      <c r="B2601" s="7" t="s">
        <v>5859</v>
      </c>
      <c r="C2601" s="7" t="s">
        <v>5862</v>
      </c>
      <c r="D2601" s="7" t="n">
        <v>2425</v>
      </c>
      <c r="E2601" s="7" t="s">
        <v>50</v>
      </c>
      <c r="F2601" s="7" t="n">
        <v>-32.403962</v>
      </c>
      <c r="G2601" s="7" t="n">
        <v>151.967514</v>
      </c>
      <c r="H2601" s="7" t="s">
        <v>2718</v>
      </c>
    </row>
    <row r="2602" customFormat="false" ht="15" hidden="false" customHeight="false" outlineLevel="0" collapsed="false">
      <c r="A2602" s="7" t="s">
        <v>7168</v>
      </c>
      <c r="B2602" s="7" t="s">
        <v>5863</v>
      </c>
      <c r="C2602" s="7" t="s">
        <v>5866</v>
      </c>
      <c r="D2602" s="7" t="n">
        <v>2415</v>
      </c>
      <c r="E2602" s="7" t="s">
        <v>50</v>
      </c>
      <c r="F2602" s="7" t="n">
        <v>-32.345307</v>
      </c>
      <c r="G2602" s="7" t="n">
        <v>151.930093</v>
      </c>
      <c r="H2602" s="7" t="s">
        <v>2718</v>
      </c>
    </row>
    <row r="2603" customFormat="false" ht="15" hidden="false" customHeight="false" outlineLevel="0" collapsed="false">
      <c r="A2603" s="7" t="s">
        <v>7168</v>
      </c>
      <c r="B2603" s="7" t="s">
        <v>5867</v>
      </c>
      <c r="C2603" s="7" t="s">
        <v>5870</v>
      </c>
      <c r="D2603" s="7" t="n">
        <v>2820</v>
      </c>
      <c r="E2603" s="7" t="s">
        <v>50</v>
      </c>
      <c r="F2603" s="7" t="n">
        <v>-32.801192</v>
      </c>
      <c r="G2603" s="7" t="n">
        <v>149.07832</v>
      </c>
      <c r="H2603" s="7" t="s">
        <v>2806</v>
      </c>
    </row>
    <row r="2604" customFormat="false" ht="15" hidden="false" customHeight="false" outlineLevel="0" collapsed="false">
      <c r="A2604" s="7" t="s">
        <v>7168</v>
      </c>
      <c r="B2604" s="7" t="s">
        <v>5872</v>
      </c>
      <c r="C2604" s="7" t="s">
        <v>5875</v>
      </c>
      <c r="D2604" s="7" t="n">
        <v>2481</v>
      </c>
      <c r="E2604" s="7" t="s">
        <v>50</v>
      </c>
      <c r="F2604" s="7" t="n">
        <v>-28.686927</v>
      </c>
      <c r="G2604" s="7" t="n">
        <v>153.607927</v>
      </c>
      <c r="H2604" s="7" t="s">
        <v>2718</v>
      </c>
    </row>
    <row r="2605" customFormat="false" ht="15" hidden="false" customHeight="false" outlineLevel="0" collapsed="false">
      <c r="A2605" s="7" t="s">
        <v>7168</v>
      </c>
      <c r="B2605" s="7" t="s">
        <v>5876</v>
      </c>
      <c r="C2605" s="7" t="s">
        <v>5879</v>
      </c>
      <c r="D2605" s="7" t="n">
        <v>2130</v>
      </c>
      <c r="E2605" s="7" t="s">
        <v>50</v>
      </c>
      <c r="F2605" s="7" t="n">
        <v>-33.89056077</v>
      </c>
      <c r="G2605" s="7" t="n">
        <v>151.1394451</v>
      </c>
      <c r="H2605" s="7" t="s">
        <v>2786</v>
      </c>
    </row>
    <row r="2606" customFormat="false" ht="15" hidden="false" customHeight="false" outlineLevel="0" collapsed="false">
      <c r="A2606" s="7" t="s">
        <v>7168</v>
      </c>
      <c r="B2606" s="7" t="s">
        <v>5881</v>
      </c>
      <c r="C2606" s="7" t="s">
        <v>5884</v>
      </c>
      <c r="D2606" s="7" t="n">
        <v>2879</v>
      </c>
      <c r="E2606" s="7" t="s">
        <v>50</v>
      </c>
      <c r="F2606" s="7" t="n">
        <v>-32.274668</v>
      </c>
      <c r="G2606" s="7" t="n">
        <v>142.322608</v>
      </c>
      <c r="H2606" s="7" t="s">
        <v>2718</v>
      </c>
    </row>
    <row r="2607" customFormat="false" ht="15" hidden="false" customHeight="false" outlineLevel="0" collapsed="false">
      <c r="A2607" s="7" t="s">
        <v>7168</v>
      </c>
      <c r="B2607" s="7" t="s">
        <v>5885</v>
      </c>
      <c r="C2607" s="7" t="s">
        <v>5888</v>
      </c>
      <c r="D2607" s="7" t="n">
        <v>4217</v>
      </c>
      <c r="E2607" s="7" t="s">
        <v>50</v>
      </c>
      <c r="F2607" s="7" t="n">
        <v>-28.002535</v>
      </c>
      <c r="G2607" s="7" t="n">
        <v>153.427978</v>
      </c>
      <c r="H2607" s="7" t="s">
        <v>2718</v>
      </c>
    </row>
    <row r="2608" customFormat="false" ht="15" hidden="false" customHeight="false" outlineLevel="0" collapsed="false">
      <c r="A2608" s="7" t="s">
        <v>7168</v>
      </c>
      <c r="B2608" s="7" t="s">
        <v>5889</v>
      </c>
      <c r="C2608" s="7" t="s">
        <v>5892</v>
      </c>
      <c r="D2608" s="7" t="n">
        <v>2010</v>
      </c>
      <c r="E2608" s="7" t="s">
        <v>50</v>
      </c>
      <c r="F2608" s="7" t="n">
        <v>-33.888102</v>
      </c>
      <c r="G2608" s="7" t="n">
        <v>151.211879</v>
      </c>
      <c r="H2608" s="7" t="s">
        <v>3262</v>
      </c>
    </row>
    <row r="2609" customFormat="false" ht="15" hidden="false" customHeight="false" outlineLevel="0" collapsed="false">
      <c r="A2609" s="7" t="s">
        <v>7168</v>
      </c>
      <c r="B2609" s="7" t="s">
        <v>5894</v>
      </c>
      <c r="C2609" s="7" t="s">
        <v>5897</v>
      </c>
      <c r="D2609" s="7" t="n">
        <v>2232</v>
      </c>
      <c r="E2609" s="7" t="s">
        <v>50</v>
      </c>
      <c r="F2609" s="7" t="n">
        <v>-34.03178692</v>
      </c>
      <c r="G2609" s="7" t="n">
        <v>151.0571901</v>
      </c>
      <c r="H2609" s="7" t="s">
        <v>2786</v>
      </c>
    </row>
    <row r="2610" customFormat="false" ht="15" hidden="false" customHeight="false" outlineLevel="0" collapsed="false">
      <c r="A2610" s="7" t="s">
        <v>7168</v>
      </c>
      <c r="B2610" s="7" t="s">
        <v>5900</v>
      </c>
      <c r="C2610" s="7" t="s">
        <v>5903</v>
      </c>
      <c r="D2610" s="7" t="n">
        <v>2044</v>
      </c>
      <c r="E2610" s="7" t="s">
        <v>50</v>
      </c>
      <c r="F2610" s="7" t="n">
        <v>-33.9143732</v>
      </c>
      <c r="G2610" s="7" t="n">
        <v>151.1666456</v>
      </c>
      <c r="H2610" s="7" t="s">
        <v>3524</v>
      </c>
    </row>
    <row r="2611" customFormat="false" ht="15" hidden="false" customHeight="false" outlineLevel="0" collapsed="false">
      <c r="A2611" s="7" t="s">
        <v>7168</v>
      </c>
      <c r="B2611" s="7" t="s">
        <v>5906</v>
      </c>
      <c r="C2611" s="7" t="s">
        <v>5909</v>
      </c>
      <c r="D2611" s="7" t="n">
        <v>2127</v>
      </c>
      <c r="E2611" s="7" t="s">
        <v>50</v>
      </c>
      <c r="F2611" s="7" t="n">
        <v>-33.82220671</v>
      </c>
      <c r="G2611" s="7" t="n">
        <v>151.079094</v>
      </c>
      <c r="H2611" s="7" t="s">
        <v>2693</v>
      </c>
    </row>
    <row r="2612" customFormat="false" ht="15" hidden="false" customHeight="false" outlineLevel="0" collapsed="false">
      <c r="A2612" s="7" t="s">
        <v>7168</v>
      </c>
      <c r="B2612" s="7" t="s">
        <v>5911</v>
      </c>
      <c r="C2612" s="7" t="s">
        <v>5914</v>
      </c>
      <c r="D2612" s="7" t="n">
        <v>2573</v>
      </c>
      <c r="E2612" s="7" t="s">
        <v>50</v>
      </c>
      <c r="F2612" s="7" t="n">
        <v>-34.22367667</v>
      </c>
      <c r="G2612" s="7" t="n">
        <v>150.5899106</v>
      </c>
      <c r="H2612" s="7" t="s">
        <v>2793</v>
      </c>
    </row>
    <row r="2613" customFormat="false" ht="15" hidden="false" customHeight="false" outlineLevel="0" collapsed="false">
      <c r="A2613" s="7" t="s">
        <v>7168</v>
      </c>
      <c r="B2613" s="7" t="s">
        <v>5916</v>
      </c>
      <c r="C2613" s="7" t="s">
        <v>5919</v>
      </c>
      <c r="D2613" s="7" t="n">
        <v>2155</v>
      </c>
      <c r="E2613" s="7" t="s">
        <v>50</v>
      </c>
      <c r="F2613" s="7" t="n">
        <v>-33.69163</v>
      </c>
      <c r="G2613" s="7" t="n">
        <v>150.906022</v>
      </c>
      <c r="H2613" s="7" t="s">
        <v>2982</v>
      </c>
    </row>
    <row r="2614" customFormat="false" ht="15" hidden="false" customHeight="false" outlineLevel="0" collapsed="false">
      <c r="A2614" s="7" t="s">
        <v>7168</v>
      </c>
      <c r="B2614" s="7" t="s">
        <v>5922</v>
      </c>
      <c r="C2614" s="7" t="s">
        <v>5925</v>
      </c>
      <c r="D2614" s="7" t="n">
        <v>2579</v>
      </c>
      <c r="E2614" s="7" t="s">
        <v>50</v>
      </c>
      <c r="F2614" s="7" t="n">
        <v>-34.7183306</v>
      </c>
      <c r="G2614" s="7" t="n">
        <v>150.0865057</v>
      </c>
      <c r="H2614" s="7" t="s">
        <v>2806</v>
      </c>
    </row>
    <row r="2615" customFormat="false" ht="15" hidden="false" customHeight="false" outlineLevel="0" collapsed="false">
      <c r="A2615" s="7" t="s">
        <v>7168</v>
      </c>
      <c r="B2615" s="7" t="s">
        <v>5927</v>
      </c>
      <c r="C2615" s="7" t="s">
        <v>5930</v>
      </c>
      <c r="D2615" s="7" t="n">
        <v>2340</v>
      </c>
      <c r="E2615" s="7" t="s">
        <v>50</v>
      </c>
      <c r="F2615" s="7" t="n">
        <v>-31.087262</v>
      </c>
      <c r="G2615" s="7" t="n">
        <v>150.930848</v>
      </c>
      <c r="H2615" s="7" t="s">
        <v>2735</v>
      </c>
    </row>
    <row r="2616" customFormat="false" ht="15" hidden="false" customHeight="false" outlineLevel="0" collapsed="false">
      <c r="A2616" s="7" t="s">
        <v>7168</v>
      </c>
      <c r="B2616" s="7" t="s">
        <v>5931</v>
      </c>
      <c r="C2616" s="7" t="s">
        <v>5934</v>
      </c>
      <c r="D2616" s="7" t="n">
        <v>2580</v>
      </c>
      <c r="E2616" s="7" t="s">
        <v>50</v>
      </c>
      <c r="F2616" s="7" t="n">
        <v>-35.069961</v>
      </c>
      <c r="G2616" s="7" t="n">
        <v>149.651365</v>
      </c>
      <c r="H2616" s="7" t="s">
        <v>2806</v>
      </c>
    </row>
    <row r="2617" customFormat="false" ht="15" hidden="false" customHeight="false" outlineLevel="0" collapsed="false">
      <c r="A2617" s="7" t="s">
        <v>7168</v>
      </c>
      <c r="B2617" s="7" t="s">
        <v>5935</v>
      </c>
      <c r="C2617" s="7" t="s">
        <v>5938</v>
      </c>
      <c r="D2617" s="7" t="n">
        <v>2787</v>
      </c>
      <c r="E2617" s="7" t="s">
        <v>50</v>
      </c>
      <c r="F2617" s="7" t="n">
        <v>-33.524107</v>
      </c>
      <c r="G2617" s="7" t="n">
        <v>149.907594</v>
      </c>
      <c r="H2617" s="7" t="s">
        <v>2806</v>
      </c>
    </row>
    <row r="2618" customFormat="false" ht="15" hidden="false" customHeight="false" outlineLevel="0" collapsed="false">
      <c r="A2618" s="7" t="s">
        <v>7168</v>
      </c>
      <c r="B2618" s="7" t="s">
        <v>5940</v>
      </c>
      <c r="C2618" s="7" t="s">
        <v>5943</v>
      </c>
      <c r="D2618" s="7" t="n">
        <v>2430</v>
      </c>
      <c r="E2618" s="7" t="s">
        <v>50</v>
      </c>
      <c r="F2618" s="7" t="n">
        <v>-31.906437</v>
      </c>
      <c r="G2618" s="7" t="n">
        <v>152.456963</v>
      </c>
      <c r="H2618" s="7" t="s">
        <v>2937</v>
      </c>
    </row>
    <row r="2619" customFormat="false" ht="15" hidden="false" customHeight="false" outlineLevel="0" collapsed="false">
      <c r="A2619" s="7" t="s">
        <v>7168</v>
      </c>
      <c r="B2619" s="7" t="s">
        <v>5944</v>
      </c>
      <c r="C2619" s="7" t="s">
        <v>5947</v>
      </c>
      <c r="D2619" s="7" t="n">
        <v>2430</v>
      </c>
      <c r="E2619" s="7" t="s">
        <v>50</v>
      </c>
      <c r="F2619" s="7" t="n">
        <v>-31.910429</v>
      </c>
      <c r="G2619" s="7" t="n">
        <v>152.459923</v>
      </c>
      <c r="H2619" s="7" t="s">
        <v>2718</v>
      </c>
    </row>
    <row r="2620" customFormat="false" ht="15" hidden="false" customHeight="false" outlineLevel="0" collapsed="false">
      <c r="A2620" s="7" t="s">
        <v>7168</v>
      </c>
      <c r="B2620" s="7" t="s">
        <v>5948</v>
      </c>
      <c r="C2620" s="7" t="s">
        <v>5951</v>
      </c>
      <c r="D2620" s="7" t="n">
        <v>2088</v>
      </c>
      <c r="E2620" s="7" t="s">
        <v>50</v>
      </c>
      <c r="F2620" s="7" t="n">
        <v>-33.8463431</v>
      </c>
      <c r="G2620" s="7" t="n">
        <v>151.2395142</v>
      </c>
      <c r="H2620" s="7" t="s">
        <v>2693</v>
      </c>
    </row>
    <row r="2621" customFormat="false" ht="15" hidden="false" customHeight="false" outlineLevel="0" collapsed="false">
      <c r="A2621" s="7" t="s">
        <v>7168</v>
      </c>
      <c r="B2621" s="7" t="s">
        <v>5953</v>
      </c>
      <c r="C2621" s="7" t="s">
        <v>5956</v>
      </c>
      <c r="D2621" s="7" t="n">
        <v>2322</v>
      </c>
      <c r="E2621" s="7" t="s">
        <v>50</v>
      </c>
      <c r="F2621" s="7" t="n">
        <v>-32.80930922</v>
      </c>
      <c r="G2621" s="7" t="n">
        <v>151.6699415</v>
      </c>
      <c r="H2621" s="7" t="s">
        <v>2806</v>
      </c>
    </row>
    <row r="2622" customFormat="false" ht="15" hidden="false" customHeight="false" outlineLevel="0" collapsed="false">
      <c r="A2622" s="7" t="s">
        <v>7168</v>
      </c>
      <c r="B2622" s="7" t="s">
        <v>5957</v>
      </c>
      <c r="C2622" s="7" t="s">
        <v>5960</v>
      </c>
      <c r="D2622" s="7" t="n">
        <v>2250</v>
      </c>
      <c r="E2622" s="7" t="s">
        <v>50</v>
      </c>
      <c r="F2622" s="7" t="n">
        <v>-33.45135695</v>
      </c>
      <c r="G2622" s="7" t="n">
        <v>151.318056</v>
      </c>
      <c r="H2622" s="7" t="s">
        <v>2710</v>
      </c>
    </row>
    <row r="2623" customFormat="false" ht="15" hidden="false" customHeight="false" outlineLevel="0" collapsed="false">
      <c r="A2623" s="7" t="s">
        <v>7168</v>
      </c>
      <c r="B2623" s="7" t="s">
        <v>5961</v>
      </c>
      <c r="C2623" s="7" t="s">
        <v>5964</v>
      </c>
      <c r="D2623" s="7" t="n">
        <v>2040</v>
      </c>
      <c r="E2623" s="7" t="s">
        <v>50</v>
      </c>
      <c r="F2623" s="7" t="n">
        <v>-33.88930105</v>
      </c>
      <c r="G2623" s="7" t="n">
        <v>151.1452209</v>
      </c>
      <c r="H2623" s="7" t="s">
        <v>2769</v>
      </c>
    </row>
    <row r="2624" customFormat="false" ht="15" hidden="false" customHeight="false" outlineLevel="0" collapsed="false">
      <c r="A2624" s="7" t="s">
        <v>7168</v>
      </c>
      <c r="B2624" s="7" t="s">
        <v>5965</v>
      </c>
      <c r="C2624" s="7" t="s">
        <v>5968</v>
      </c>
      <c r="D2624" s="7" t="n">
        <v>2320</v>
      </c>
      <c r="E2624" s="7" t="s">
        <v>50</v>
      </c>
      <c r="F2624" s="7" t="n">
        <v>-32.72391026</v>
      </c>
      <c r="G2624" s="7" t="n">
        <v>151.5396348</v>
      </c>
      <c r="H2624" s="7" t="s">
        <v>2710</v>
      </c>
    </row>
    <row r="2625" customFormat="false" ht="15" hidden="false" customHeight="false" outlineLevel="0" collapsed="false">
      <c r="A2625" s="7" t="s">
        <v>7168</v>
      </c>
      <c r="B2625" s="7" t="s">
        <v>5970</v>
      </c>
      <c r="C2625" s="7" t="s">
        <v>5973</v>
      </c>
      <c r="D2625" s="7" t="n">
        <v>2117</v>
      </c>
      <c r="E2625" s="7" t="s">
        <v>50</v>
      </c>
      <c r="F2625" s="7" t="n">
        <v>-33.794405</v>
      </c>
      <c r="G2625" s="7" t="n">
        <v>151.04113</v>
      </c>
      <c r="H2625" s="7" t="s">
        <v>3922</v>
      </c>
    </row>
    <row r="2626" customFormat="false" ht="15" hidden="false" customHeight="false" outlineLevel="0" collapsed="false">
      <c r="A2626" s="7" t="s">
        <v>7168</v>
      </c>
      <c r="B2626" s="7" t="s">
        <v>5976</v>
      </c>
      <c r="C2626" s="7" t="s">
        <v>5979</v>
      </c>
      <c r="D2626" s="7" t="n">
        <v>2666</v>
      </c>
      <c r="E2626" s="7" t="s">
        <v>50</v>
      </c>
      <c r="F2626" s="7" t="n">
        <v>-34.446853</v>
      </c>
      <c r="G2626" s="7" t="n">
        <v>147.534099</v>
      </c>
      <c r="H2626" s="7" t="s">
        <v>2718</v>
      </c>
    </row>
    <row r="2627" customFormat="false" ht="15" hidden="false" customHeight="false" outlineLevel="0" collapsed="false">
      <c r="A2627" s="7" t="s">
        <v>7168</v>
      </c>
      <c r="B2627" s="7" t="s">
        <v>5980</v>
      </c>
      <c r="C2627" s="7" t="s">
        <v>5983</v>
      </c>
      <c r="D2627" s="7" t="n">
        <v>2044</v>
      </c>
      <c r="E2627" s="7" t="s">
        <v>50</v>
      </c>
      <c r="F2627" s="7" t="n">
        <v>-33.92450473</v>
      </c>
      <c r="G2627" s="7" t="n">
        <v>151.1565073</v>
      </c>
      <c r="H2627" s="7" t="s">
        <v>2806</v>
      </c>
    </row>
    <row r="2628" customFormat="false" ht="15" hidden="false" customHeight="false" outlineLevel="0" collapsed="false">
      <c r="A2628" s="7" t="s">
        <v>7168</v>
      </c>
      <c r="B2628" s="7" t="s">
        <v>5986</v>
      </c>
      <c r="C2628" s="7" t="s">
        <v>5989</v>
      </c>
      <c r="D2628" s="7" t="n">
        <v>2372</v>
      </c>
      <c r="E2628" s="7" t="s">
        <v>50</v>
      </c>
      <c r="F2628" s="7" t="n">
        <v>-29.05551</v>
      </c>
      <c r="G2628" s="7" t="n">
        <v>152.019563</v>
      </c>
      <c r="H2628" s="7" t="s">
        <v>2718</v>
      </c>
    </row>
    <row r="2629" customFormat="false" ht="15" hidden="false" customHeight="false" outlineLevel="0" collapsed="false">
      <c r="A2629" s="7" t="s">
        <v>7168</v>
      </c>
      <c r="B2629" s="7" t="s">
        <v>5990</v>
      </c>
      <c r="C2629" s="7" t="s">
        <v>5993</v>
      </c>
      <c r="D2629" s="7" t="n">
        <v>2284</v>
      </c>
      <c r="E2629" s="7" t="s">
        <v>50</v>
      </c>
      <c r="F2629" s="7" t="n">
        <v>-32.96271245</v>
      </c>
      <c r="G2629" s="7" t="n">
        <v>151.6034578</v>
      </c>
      <c r="H2629" s="7" t="s">
        <v>2710</v>
      </c>
    </row>
    <row r="2630" customFormat="false" ht="15" hidden="false" customHeight="false" outlineLevel="0" collapsed="false">
      <c r="A2630" s="7" t="s">
        <v>7168</v>
      </c>
      <c r="B2630" s="7" t="s">
        <v>5994</v>
      </c>
      <c r="C2630" s="7" t="s">
        <v>5997</v>
      </c>
      <c r="D2630" s="7" t="n">
        <v>2655</v>
      </c>
      <c r="E2630" s="7" t="s">
        <v>50</v>
      </c>
      <c r="F2630" s="7" t="n">
        <v>-35.271764</v>
      </c>
      <c r="G2630" s="7" t="n">
        <v>147.118301</v>
      </c>
      <c r="H2630" s="7" t="s">
        <v>3269</v>
      </c>
    </row>
    <row r="2631" customFormat="false" ht="15" hidden="false" customHeight="false" outlineLevel="0" collapsed="false">
      <c r="A2631" s="7" t="s">
        <v>7168</v>
      </c>
      <c r="B2631" s="7" t="s">
        <v>5998</v>
      </c>
      <c r="C2631" s="7" t="s">
        <v>6001</v>
      </c>
      <c r="D2631" s="7" t="n">
        <v>2009</v>
      </c>
      <c r="E2631" s="7" t="s">
        <v>50</v>
      </c>
      <c r="F2631" s="7" t="n">
        <v>-33.8673489</v>
      </c>
      <c r="G2631" s="7" t="n">
        <v>151.1952012</v>
      </c>
      <c r="H2631" s="7" t="s">
        <v>2769</v>
      </c>
    </row>
    <row r="2632" customFormat="false" ht="15" hidden="false" customHeight="false" outlineLevel="0" collapsed="false">
      <c r="A2632" s="7" t="s">
        <v>7168</v>
      </c>
      <c r="B2632" s="7" t="s">
        <v>6003</v>
      </c>
      <c r="C2632" s="7" t="s">
        <v>6006</v>
      </c>
      <c r="D2632" s="7" t="n">
        <v>2515</v>
      </c>
      <c r="E2632" s="7" t="s">
        <v>50</v>
      </c>
      <c r="F2632" s="7" t="n">
        <v>-34.3184244</v>
      </c>
      <c r="G2632" s="7" t="n">
        <v>150.9186524</v>
      </c>
      <c r="H2632" s="7" t="s">
        <v>2786</v>
      </c>
    </row>
    <row r="2633" customFormat="false" ht="15" hidden="false" customHeight="false" outlineLevel="0" collapsed="false">
      <c r="A2633" s="7" t="s">
        <v>7168</v>
      </c>
      <c r="B2633" s="7" t="s">
        <v>6008</v>
      </c>
      <c r="C2633" s="7" t="s">
        <v>6011</v>
      </c>
      <c r="D2633" s="7" t="n">
        <v>2120</v>
      </c>
      <c r="E2633" s="7" t="s">
        <v>50</v>
      </c>
      <c r="F2633" s="7" t="n">
        <v>-33.7318712</v>
      </c>
      <c r="G2633" s="7" t="n">
        <v>151.078281</v>
      </c>
      <c r="H2633" s="7" t="s">
        <v>2710</v>
      </c>
    </row>
    <row r="2634" customFormat="false" ht="15" hidden="false" customHeight="false" outlineLevel="0" collapsed="false">
      <c r="A2634" s="7" t="s">
        <v>7168</v>
      </c>
      <c r="B2634" s="7" t="s">
        <v>6014</v>
      </c>
      <c r="C2634" s="7" t="s">
        <v>6017</v>
      </c>
      <c r="D2634" s="7" t="n">
        <v>2322</v>
      </c>
      <c r="E2634" s="7" t="s">
        <v>50</v>
      </c>
      <c r="F2634" s="7" t="n">
        <v>-32.78359464</v>
      </c>
      <c r="G2634" s="7" t="n">
        <v>151.6398308</v>
      </c>
      <c r="H2634" s="7" t="s">
        <v>2710</v>
      </c>
    </row>
    <row r="2635" customFormat="false" ht="15" hidden="false" customHeight="false" outlineLevel="0" collapsed="false">
      <c r="A2635" s="7" t="s">
        <v>7168</v>
      </c>
      <c r="B2635" s="7" t="s">
        <v>6020</v>
      </c>
      <c r="C2635" s="7" t="s">
        <v>6023</v>
      </c>
      <c r="D2635" s="7" t="n">
        <v>2369</v>
      </c>
      <c r="E2635" s="7" t="s">
        <v>50</v>
      </c>
      <c r="F2635" s="7" t="n">
        <v>-29.955875</v>
      </c>
      <c r="G2635" s="7" t="n">
        <v>151.21195</v>
      </c>
      <c r="H2635" s="7" t="s">
        <v>2718</v>
      </c>
    </row>
    <row r="2636" customFormat="false" ht="15" hidden="false" customHeight="false" outlineLevel="0" collapsed="false">
      <c r="A2636" s="7" t="s">
        <v>7168</v>
      </c>
      <c r="B2636" s="7" t="s">
        <v>6024</v>
      </c>
      <c r="C2636" s="7" t="s">
        <v>6027</v>
      </c>
      <c r="D2636" s="7" t="n">
        <v>2714</v>
      </c>
      <c r="E2636" s="7" t="s">
        <v>50</v>
      </c>
      <c r="F2636" s="7" t="n">
        <v>-35.811915</v>
      </c>
      <c r="G2636" s="7" t="n">
        <v>145.567461</v>
      </c>
      <c r="H2636" s="7" t="s">
        <v>2718</v>
      </c>
    </row>
    <row r="2637" customFormat="false" ht="15" hidden="false" customHeight="false" outlineLevel="0" collapsed="false">
      <c r="A2637" s="7" t="s">
        <v>7168</v>
      </c>
      <c r="B2637" s="7" t="s">
        <v>6028</v>
      </c>
      <c r="C2637" s="7" t="s">
        <v>6031</v>
      </c>
      <c r="D2637" s="7" t="n">
        <v>2869</v>
      </c>
      <c r="E2637" s="7" t="s">
        <v>50</v>
      </c>
      <c r="F2637" s="7" t="n">
        <v>-32.571325</v>
      </c>
      <c r="G2637" s="7" t="n">
        <v>148.221938</v>
      </c>
      <c r="H2637" s="7" t="s">
        <v>2718</v>
      </c>
    </row>
    <row r="2638" customFormat="false" ht="15" hidden="false" customHeight="false" outlineLevel="0" collapsed="false">
      <c r="A2638" s="7" t="s">
        <v>7168</v>
      </c>
      <c r="B2638" s="7" t="s">
        <v>6032</v>
      </c>
      <c r="C2638" s="7" t="s">
        <v>6035</v>
      </c>
      <c r="D2638" s="7" t="n">
        <v>2146</v>
      </c>
      <c r="E2638" s="7" t="s">
        <v>50</v>
      </c>
      <c r="F2638" s="7" t="n">
        <v>-33.787263</v>
      </c>
      <c r="G2638" s="7" t="n">
        <v>150.9514373</v>
      </c>
      <c r="H2638" s="7" t="s">
        <v>2786</v>
      </c>
    </row>
    <row r="2639" customFormat="false" ht="15" hidden="false" customHeight="false" outlineLevel="0" collapsed="false">
      <c r="A2639" s="7" t="s">
        <v>7168</v>
      </c>
      <c r="B2639" s="7" t="s">
        <v>6037</v>
      </c>
      <c r="C2639" s="7" t="s">
        <v>3261</v>
      </c>
      <c r="D2639" s="7" t="n">
        <v>2000</v>
      </c>
      <c r="E2639" s="7" t="s">
        <v>50</v>
      </c>
      <c r="F2639" s="7" t="n">
        <v>-33.87359633</v>
      </c>
      <c r="G2639" s="7" t="n">
        <v>151.2068993</v>
      </c>
      <c r="H2639" s="7" t="s">
        <v>5283</v>
      </c>
    </row>
    <row r="2640" customFormat="false" ht="15" hidden="false" customHeight="false" outlineLevel="0" collapsed="false">
      <c r="A2640" s="7" t="s">
        <v>7168</v>
      </c>
      <c r="B2640" s="7" t="s">
        <v>6042</v>
      </c>
      <c r="C2640" s="7" t="s">
        <v>6045</v>
      </c>
      <c r="D2640" s="7" t="n">
        <v>2518</v>
      </c>
      <c r="E2640" s="7" t="s">
        <v>50</v>
      </c>
      <c r="F2640" s="7" t="n">
        <v>-34.38468632</v>
      </c>
      <c r="G2640" s="7" t="n">
        <v>150.9012389</v>
      </c>
      <c r="H2640" s="7" t="s">
        <v>2710</v>
      </c>
    </row>
    <row r="2641" customFormat="false" ht="15" hidden="false" customHeight="false" outlineLevel="0" collapsed="false">
      <c r="A2641" s="7" t="s">
        <v>7168</v>
      </c>
      <c r="B2641" s="7" t="s">
        <v>6048</v>
      </c>
      <c r="C2641" s="7" t="s">
        <v>6051</v>
      </c>
      <c r="D2641" s="7" t="n">
        <v>2150</v>
      </c>
      <c r="E2641" s="7" t="s">
        <v>50</v>
      </c>
      <c r="F2641" s="7" t="n">
        <v>-33.817206</v>
      </c>
      <c r="G2641" s="7" t="n">
        <v>151.018511</v>
      </c>
      <c r="H2641" s="7" t="s">
        <v>2769</v>
      </c>
    </row>
    <row r="2642" customFormat="false" ht="15" hidden="false" customHeight="false" outlineLevel="0" collapsed="false">
      <c r="A2642" s="7" t="s">
        <v>7168</v>
      </c>
      <c r="B2642" s="7" t="s">
        <v>6052</v>
      </c>
      <c r="C2642" s="7" t="s">
        <v>6055</v>
      </c>
      <c r="D2642" s="7" t="n">
        <v>2823</v>
      </c>
      <c r="E2642" s="7" t="s">
        <v>50</v>
      </c>
      <c r="F2642" s="7" t="n">
        <v>-32.031474</v>
      </c>
      <c r="G2642" s="7" t="n">
        <v>147.984789</v>
      </c>
      <c r="H2642" s="7" t="s">
        <v>2718</v>
      </c>
    </row>
    <row r="2643" customFormat="false" ht="15" hidden="false" customHeight="false" outlineLevel="0" collapsed="false">
      <c r="A2643" s="7" t="s">
        <v>7168</v>
      </c>
      <c r="B2643" s="7" t="s">
        <v>6056</v>
      </c>
      <c r="C2643" s="7" t="s">
        <v>6059</v>
      </c>
      <c r="D2643" s="7" t="n">
        <v>2259</v>
      </c>
      <c r="E2643" s="7" t="s">
        <v>50</v>
      </c>
      <c r="F2643" s="7" t="n">
        <v>-33.30808648</v>
      </c>
      <c r="G2643" s="7" t="n">
        <v>151.4201526</v>
      </c>
      <c r="H2643" s="7" t="s">
        <v>2786</v>
      </c>
    </row>
    <row r="2644" customFormat="false" ht="15" hidden="false" customHeight="false" outlineLevel="0" collapsed="false">
      <c r="A2644" s="7" t="s">
        <v>7168</v>
      </c>
      <c r="B2644" s="7" t="s">
        <v>6061</v>
      </c>
      <c r="C2644" s="7" t="s">
        <v>6064</v>
      </c>
      <c r="D2644" s="7" t="n">
        <v>2669</v>
      </c>
      <c r="E2644" s="7" t="s">
        <v>50</v>
      </c>
      <c r="F2644" s="7" t="n">
        <v>-33.421526</v>
      </c>
      <c r="G2644" s="7" t="n">
        <v>146.72815</v>
      </c>
      <c r="H2644" s="7" t="s">
        <v>2718</v>
      </c>
    </row>
    <row r="2645" customFormat="false" ht="15" hidden="false" customHeight="false" outlineLevel="0" collapsed="false">
      <c r="A2645" s="7" t="s">
        <v>7168</v>
      </c>
      <c r="B2645" s="7" t="s">
        <v>6065</v>
      </c>
      <c r="C2645" s="7" t="s">
        <v>6068</v>
      </c>
      <c r="D2645" s="7" t="n">
        <v>2653</v>
      </c>
      <c r="E2645" s="7" t="s">
        <v>50</v>
      </c>
      <c r="F2645" s="7" t="n">
        <v>-35.775782</v>
      </c>
      <c r="G2645" s="7" t="n">
        <v>148.009214</v>
      </c>
      <c r="H2645" s="7" t="s">
        <v>2718</v>
      </c>
    </row>
    <row r="2646" customFormat="false" ht="15" hidden="false" customHeight="false" outlineLevel="0" collapsed="false">
      <c r="A2646" s="7" t="s">
        <v>7168</v>
      </c>
      <c r="B2646" s="7" t="s">
        <v>6069</v>
      </c>
      <c r="C2646" s="7" t="s">
        <v>6072</v>
      </c>
      <c r="D2646" s="7" t="n">
        <v>2729</v>
      </c>
      <c r="E2646" s="7" t="s">
        <v>50</v>
      </c>
      <c r="F2646" s="7" t="n">
        <v>-35.136066</v>
      </c>
      <c r="G2646" s="7" t="n">
        <v>148.009754</v>
      </c>
      <c r="H2646" s="7" t="s">
        <v>2718</v>
      </c>
    </row>
    <row r="2647" customFormat="false" ht="15" hidden="false" customHeight="false" outlineLevel="0" collapsed="false">
      <c r="A2647" s="7" t="s">
        <v>7168</v>
      </c>
      <c r="B2647" s="7" t="s">
        <v>6073</v>
      </c>
      <c r="C2647" s="7" t="s">
        <v>6076</v>
      </c>
      <c r="D2647" s="7" t="n">
        <v>2720</v>
      </c>
      <c r="E2647" s="7" t="s">
        <v>50</v>
      </c>
      <c r="F2647" s="7" t="n">
        <v>-35.301369</v>
      </c>
      <c r="G2647" s="7" t="n">
        <v>148.222665</v>
      </c>
      <c r="H2647" s="7" t="s">
        <v>2718</v>
      </c>
    </row>
    <row r="2648" customFormat="false" ht="15" hidden="false" customHeight="false" outlineLevel="0" collapsed="false">
      <c r="A2648" s="7" t="s">
        <v>7168</v>
      </c>
      <c r="B2648" s="7" t="s">
        <v>6077</v>
      </c>
      <c r="C2648" s="7" t="s">
        <v>6080</v>
      </c>
      <c r="D2648" s="7" t="n">
        <v>2074</v>
      </c>
      <c r="E2648" s="7" t="s">
        <v>50</v>
      </c>
      <c r="F2648" s="7" t="n">
        <v>-33.73218221</v>
      </c>
      <c r="G2648" s="7" t="n">
        <v>151.1282818</v>
      </c>
      <c r="H2648" s="7" t="s">
        <v>2786</v>
      </c>
    </row>
    <row r="2649" customFormat="false" ht="15" hidden="false" customHeight="false" outlineLevel="0" collapsed="false">
      <c r="A2649" s="7" t="s">
        <v>7168</v>
      </c>
      <c r="B2649" s="7" t="s">
        <v>6082</v>
      </c>
      <c r="C2649" s="7" t="s">
        <v>6085</v>
      </c>
      <c r="D2649" s="7" t="n">
        <v>2205</v>
      </c>
      <c r="E2649" s="7" t="s">
        <v>50</v>
      </c>
      <c r="F2649" s="7" t="n">
        <v>-33.92995296</v>
      </c>
      <c r="G2649" s="7" t="n">
        <v>151.139909</v>
      </c>
      <c r="H2649" s="7" t="s">
        <v>2710</v>
      </c>
    </row>
    <row r="2650" customFormat="false" ht="15" hidden="false" customHeight="false" outlineLevel="0" collapsed="false">
      <c r="A2650" s="7" t="s">
        <v>7168</v>
      </c>
      <c r="B2650" s="7" t="s">
        <v>6088</v>
      </c>
      <c r="C2650" s="7" t="s">
        <v>6091</v>
      </c>
      <c r="D2650" s="7" t="n">
        <v>2486</v>
      </c>
      <c r="E2650" s="7" t="s">
        <v>50</v>
      </c>
      <c r="F2650" s="7" t="n">
        <v>-28.200727</v>
      </c>
      <c r="G2650" s="7" t="n">
        <v>153.543988</v>
      </c>
      <c r="H2650" s="7" t="s">
        <v>2837</v>
      </c>
    </row>
    <row r="2651" customFormat="false" ht="15" hidden="false" customHeight="false" outlineLevel="0" collapsed="false">
      <c r="A2651" s="7" t="s">
        <v>7168</v>
      </c>
      <c r="B2651" s="7" t="s">
        <v>6092</v>
      </c>
      <c r="C2651" s="7" t="s">
        <v>6095</v>
      </c>
      <c r="D2651" s="7" t="n">
        <v>2485</v>
      </c>
      <c r="E2651" s="7" t="s">
        <v>50</v>
      </c>
      <c r="F2651" s="7" t="n">
        <v>-28.17216</v>
      </c>
      <c r="G2651" s="7" t="n">
        <v>153.543383</v>
      </c>
      <c r="H2651" s="7" t="s">
        <v>2837</v>
      </c>
    </row>
    <row r="2652" customFormat="false" ht="15" hidden="false" customHeight="false" outlineLevel="0" collapsed="false">
      <c r="A2652" s="7" t="s">
        <v>7168</v>
      </c>
      <c r="B2652" s="7" t="s">
        <v>6096</v>
      </c>
      <c r="C2652" s="7" t="s">
        <v>6099</v>
      </c>
      <c r="D2652" s="7" t="n">
        <v>2460</v>
      </c>
      <c r="E2652" s="7" t="s">
        <v>50</v>
      </c>
      <c r="F2652" s="7" t="n">
        <v>-29.564928</v>
      </c>
      <c r="G2652" s="7" t="n">
        <v>153.143181</v>
      </c>
      <c r="H2652" s="7" t="s">
        <v>2718</v>
      </c>
    </row>
    <row r="2653" customFormat="false" ht="15" hidden="false" customHeight="false" outlineLevel="0" collapsed="false">
      <c r="A2653" s="7" t="s">
        <v>7168</v>
      </c>
      <c r="B2653" s="7" t="s">
        <v>6100</v>
      </c>
      <c r="C2653" s="7" t="s">
        <v>6103</v>
      </c>
      <c r="D2653" s="7" t="n">
        <v>2462</v>
      </c>
      <c r="E2653" s="7" t="s">
        <v>50</v>
      </c>
      <c r="F2653" s="7" t="n">
        <v>-29.631215</v>
      </c>
      <c r="G2653" s="7" t="n">
        <v>153.027982</v>
      </c>
      <c r="H2653" s="7" t="s">
        <v>2718</v>
      </c>
    </row>
    <row r="2654" customFormat="false" ht="15" hidden="false" customHeight="false" outlineLevel="0" collapsed="false">
      <c r="A2654" s="7" t="s">
        <v>7168</v>
      </c>
      <c r="B2654" s="7" t="s">
        <v>6104</v>
      </c>
      <c r="C2654" s="7" t="s">
        <v>6107</v>
      </c>
      <c r="D2654" s="7" t="n">
        <v>2526</v>
      </c>
      <c r="E2654" s="7" t="s">
        <v>50</v>
      </c>
      <c r="F2654" s="7" t="n">
        <v>-34.45442878</v>
      </c>
      <c r="G2654" s="7" t="n">
        <v>150.8462629</v>
      </c>
      <c r="H2654" s="7" t="s">
        <v>2786</v>
      </c>
    </row>
    <row r="2655" customFormat="false" ht="15" hidden="false" customHeight="false" outlineLevel="0" collapsed="false">
      <c r="A2655" s="7" t="s">
        <v>7168</v>
      </c>
      <c r="B2655" s="7" t="s">
        <v>6110</v>
      </c>
      <c r="C2655" s="7" t="s">
        <v>6113</v>
      </c>
      <c r="D2655" s="7" t="n">
        <v>2669</v>
      </c>
      <c r="E2655" s="7" t="s">
        <v>50</v>
      </c>
      <c r="F2655" s="7" t="n">
        <v>-33.639366</v>
      </c>
      <c r="G2655" s="7" t="n">
        <v>146.973846</v>
      </c>
      <c r="H2655" s="7" t="s">
        <v>2718</v>
      </c>
    </row>
    <row r="2656" customFormat="false" ht="15" hidden="false" customHeight="false" outlineLevel="0" collapsed="false">
      <c r="A2656" s="7" t="s">
        <v>7168</v>
      </c>
      <c r="B2656" s="7" t="s">
        <v>6114</v>
      </c>
      <c r="C2656" s="7" t="s">
        <v>4554</v>
      </c>
      <c r="D2656" s="7" t="n">
        <v>2033</v>
      </c>
      <c r="E2656" s="7" t="s">
        <v>50</v>
      </c>
      <c r="F2656" s="7" t="n">
        <v>-33.916652</v>
      </c>
      <c r="G2656" s="7" t="n">
        <v>151.225903</v>
      </c>
      <c r="H2656" s="7" t="s">
        <v>2769</v>
      </c>
    </row>
    <row r="2657" customFormat="false" ht="15" hidden="false" customHeight="false" outlineLevel="0" collapsed="false">
      <c r="A2657" s="7" t="s">
        <v>7168</v>
      </c>
      <c r="B2657" s="7" t="s">
        <v>6117</v>
      </c>
      <c r="C2657" s="7" t="s">
        <v>6120</v>
      </c>
      <c r="D2657" s="7" t="n">
        <v>2052</v>
      </c>
      <c r="E2657" s="7" t="s">
        <v>50</v>
      </c>
      <c r="F2657" s="7" t="n">
        <v>-33.91637</v>
      </c>
      <c r="G2657" s="7" t="n">
        <v>151.235534</v>
      </c>
      <c r="H2657" s="7" t="s">
        <v>3262</v>
      </c>
    </row>
    <row r="2658" customFormat="false" ht="15" hidden="false" customHeight="false" outlineLevel="0" collapsed="false">
      <c r="A2658" s="7" t="s">
        <v>7168</v>
      </c>
      <c r="B2658" s="7" t="s">
        <v>6121</v>
      </c>
      <c r="C2658" s="7" t="s">
        <v>6124</v>
      </c>
      <c r="D2658" s="7" t="n">
        <v>2346</v>
      </c>
      <c r="E2658" s="7" t="s">
        <v>50</v>
      </c>
      <c r="F2658" s="7" t="n">
        <v>-30.63252</v>
      </c>
      <c r="G2658" s="7" t="n">
        <v>150.671911</v>
      </c>
      <c r="H2658" s="7" t="s">
        <v>2718</v>
      </c>
    </row>
    <row r="2659" customFormat="false" ht="15" hidden="false" customHeight="false" outlineLevel="0" collapsed="false">
      <c r="A2659" s="7" t="s">
        <v>7168</v>
      </c>
      <c r="B2659" s="7" t="s">
        <v>6125</v>
      </c>
      <c r="C2659" s="7" t="s">
        <v>6128</v>
      </c>
      <c r="D2659" s="7" t="n">
        <v>2358</v>
      </c>
      <c r="E2659" s="7" t="s">
        <v>50</v>
      </c>
      <c r="F2659" s="7" t="n">
        <v>-30.644076</v>
      </c>
      <c r="G2659" s="7" t="n">
        <v>151.505202</v>
      </c>
      <c r="H2659" s="7" t="s">
        <v>3269</v>
      </c>
    </row>
    <row r="2660" customFormat="false" ht="15" hidden="false" customHeight="false" outlineLevel="0" collapsed="false">
      <c r="A2660" s="7" t="s">
        <v>7168</v>
      </c>
      <c r="B2660" s="7" t="s">
        <v>6130</v>
      </c>
      <c r="C2660" s="7" t="s">
        <v>6133</v>
      </c>
      <c r="D2660" s="7" t="n">
        <v>2358</v>
      </c>
      <c r="E2660" s="7" t="s">
        <v>50</v>
      </c>
      <c r="F2660" s="7" t="n">
        <v>-30.642602</v>
      </c>
      <c r="G2660" s="7" t="n">
        <v>151.498976</v>
      </c>
      <c r="H2660" s="7" t="s">
        <v>2718</v>
      </c>
    </row>
    <row r="2661" customFormat="false" ht="15" hidden="false" customHeight="false" outlineLevel="0" collapsed="false">
      <c r="A2661" s="7" t="s">
        <v>7168</v>
      </c>
      <c r="B2661" s="7" t="s">
        <v>6134</v>
      </c>
      <c r="C2661" s="7" t="s">
        <v>6137</v>
      </c>
      <c r="D2661" s="7" t="n">
        <v>2645</v>
      </c>
      <c r="E2661" s="7" t="s">
        <v>50</v>
      </c>
      <c r="F2661" s="7" t="n">
        <v>-35.330458</v>
      </c>
      <c r="G2661" s="7" t="n">
        <v>146.265767</v>
      </c>
      <c r="H2661" s="7" t="s">
        <v>2718</v>
      </c>
    </row>
    <row r="2662" customFormat="false" ht="15" hidden="false" customHeight="false" outlineLevel="0" collapsed="false">
      <c r="A2662" s="7" t="s">
        <v>7168</v>
      </c>
      <c r="B2662" s="7" t="s">
        <v>6138</v>
      </c>
      <c r="C2662" s="7" t="s">
        <v>6141</v>
      </c>
      <c r="D2662" s="7" t="n">
        <v>2455</v>
      </c>
      <c r="E2662" s="7" t="s">
        <v>50</v>
      </c>
      <c r="F2662" s="7" t="n">
        <v>-30.499656</v>
      </c>
      <c r="G2662" s="7" t="n">
        <v>153.018678</v>
      </c>
      <c r="H2662" s="7" t="s">
        <v>2806</v>
      </c>
    </row>
    <row r="2663" customFormat="false" ht="15" hidden="false" customHeight="false" outlineLevel="0" collapsed="false">
      <c r="A2663" s="7" t="s">
        <v>7168</v>
      </c>
      <c r="B2663" s="7" t="s">
        <v>6143</v>
      </c>
      <c r="C2663" s="7" t="s">
        <v>6146</v>
      </c>
      <c r="D2663" s="7" t="n">
        <v>2777</v>
      </c>
      <c r="E2663" s="7" t="s">
        <v>50</v>
      </c>
      <c r="F2663" s="7" t="n">
        <v>-33.70446573</v>
      </c>
      <c r="G2663" s="7" t="n">
        <v>150.583813</v>
      </c>
      <c r="H2663" s="7" t="s">
        <v>2710</v>
      </c>
    </row>
    <row r="2664" customFormat="false" ht="15" hidden="false" customHeight="false" outlineLevel="0" collapsed="false">
      <c r="A2664" s="7" t="s">
        <v>7168</v>
      </c>
      <c r="B2664" s="7" t="s">
        <v>6148</v>
      </c>
      <c r="C2664" s="7" t="s">
        <v>6151</v>
      </c>
      <c r="D2664" s="7" t="n">
        <v>2060</v>
      </c>
      <c r="E2664" s="7" t="s">
        <v>50</v>
      </c>
      <c r="F2664" s="7" t="n">
        <v>-33.836431</v>
      </c>
      <c r="G2664" s="7" t="n">
        <v>151.207364</v>
      </c>
      <c r="H2664" s="7" t="s">
        <v>2982</v>
      </c>
    </row>
    <row r="2665" customFormat="false" ht="15" hidden="false" customHeight="false" outlineLevel="0" collapsed="false">
      <c r="A2665" s="7" t="s">
        <v>7168</v>
      </c>
      <c r="B2665" s="7" t="s">
        <v>6152</v>
      </c>
      <c r="C2665" s="7" t="s">
        <v>6155</v>
      </c>
      <c r="D2665" s="7" t="n">
        <v>2323</v>
      </c>
      <c r="E2665" s="7" t="s">
        <v>50</v>
      </c>
      <c r="F2665" s="7" t="n">
        <v>-32.75095775</v>
      </c>
      <c r="G2665" s="7" t="n">
        <v>151.5938259</v>
      </c>
      <c r="H2665" s="7" t="s">
        <v>2786</v>
      </c>
    </row>
    <row r="2666" customFormat="false" ht="15" hidden="false" customHeight="false" outlineLevel="0" collapsed="false">
      <c r="A2666" s="7" t="s">
        <v>7168</v>
      </c>
      <c r="B2666" s="7" t="s">
        <v>6156</v>
      </c>
      <c r="C2666" s="7" t="s">
        <v>6159</v>
      </c>
      <c r="D2666" s="7" t="n">
        <v>2163</v>
      </c>
      <c r="E2666" s="7" t="s">
        <v>50</v>
      </c>
      <c r="F2666" s="7" t="n">
        <v>-33.88090168</v>
      </c>
      <c r="G2666" s="7" t="n">
        <v>150.9760479</v>
      </c>
      <c r="H2666" s="7" t="s">
        <v>2806</v>
      </c>
    </row>
    <row r="2667" customFormat="false" ht="15" hidden="false" customHeight="false" outlineLevel="0" collapsed="false">
      <c r="A2667" s="7" t="s">
        <v>7168</v>
      </c>
      <c r="B2667" s="7" t="s">
        <v>6161</v>
      </c>
      <c r="C2667" s="7" t="s">
        <v>6164</v>
      </c>
      <c r="D2667" s="7" t="n">
        <v>2765</v>
      </c>
      <c r="E2667" s="7" t="s">
        <v>50</v>
      </c>
      <c r="F2667" s="7" t="n">
        <v>-33.65050415</v>
      </c>
      <c r="G2667" s="7" t="n">
        <v>150.8512458</v>
      </c>
      <c r="H2667" s="7" t="s">
        <v>2806</v>
      </c>
    </row>
    <row r="2668" customFormat="false" ht="15" hidden="false" customHeight="false" outlineLevel="0" collapsed="false">
      <c r="A2668" s="7" t="s">
        <v>7168</v>
      </c>
      <c r="B2668" s="7" t="s">
        <v>6166</v>
      </c>
      <c r="C2668" s="7" t="s">
        <v>6169</v>
      </c>
      <c r="D2668" s="7" t="n">
        <v>2650</v>
      </c>
      <c r="E2668" s="7" t="s">
        <v>50</v>
      </c>
      <c r="F2668" s="7" t="n">
        <v>-35.120418</v>
      </c>
      <c r="G2668" s="7" t="n">
        <v>147.36845</v>
      </c>
      <c r="H2668" s="7" t="s">
        <v>2735</v>
      </c>
    </row>
    <row r="2669" customFormat="false" ht="15" hidden="false" customHeight="false" outlineLevel="0" collapsed="false">
      <c r="A2669" s="7" t="s">
        <v>7168</v>
      </c>
      <c r="B2669" s="7" t="s">
        <v>6170</v>
      </c>
      <c r="C2669" s="7" t="s">
        <v>6173</v>
      </c>
      <c r="D2669" s="7" t="n">
        <v>2076</v>
      </c>
      <c r="E2669" s="7" t="s">
        <v>50</v>
      </c>
      <c r="F2669" s="7" t="n">
        <v>-33.7174292</v>
      </c>
      <c r="G2669" s="7" t="n">
        <v>151.1168923</v>
      </c>
      <c r="H2669" s="7" t="s">
        <v>2786</v>
      </c>
    </row>
    <row r="2670" customFormat="false" ht="15" hidden="false" customHeight="false" outlineLevel="0" collapsed="false">
      <c r="A2670" s="7" t="s">
        <v>7168</v>
      </c>
      <c r="B2670" s="7" t="s">
        <v>6175</v>
      </c>
      <c r="C2670" s="7" t="s">
        <v>6178</v>
      </c>
      <c r="D2670" s="7" t="n">
        <v>2077</v>
      </c>
      <c r="E2670" s="7" t="s">
        <v>50</v>
      </c>
      <c r="F2670" s="7" t="n">
        <v>-33.70999326</v>
      </c>
      <c r="G2670" s="7" t="n">
        <v>151.1043411</v>
      </c>
      <c r="H2670" s="7" t="s">
        <v>2710</v>
      </c>
    </row>
    <row r="2671" customFormat="false" ht="15" hidden="false" customHeight="false" outlineLevel="0" collapsed="false">
      <c r="A2671" s="7" t="s">
        <v>7168</v>
      </c>
      <c r="B2671" s="7" t="s">
        <v>6182</v>
      </c>
      <c r="C2671" s="7" t="s">
        <v>6185</v>
      </c>
      <c r="D2671" s="7" t="n">
        <v>2354</v>
      </c>
      <c r="E2671" s="7" t="s">
        <v>50</v>
      </c>
      <c r="F2671" s="7" t="n">
        <v>-30.98538</v>
      </c>
      <c r="G2671" s="7" t="n">
        <v>151.591012</v>
      </c>
      <c r="H2671" s="7" t="s">
        <v>2718</v>
      </c>
    </row>
    <row r="2672" customFormat="false" ht="15" hidden="false" customHeight="false" outlineLevel="0" collapsed="false">
      <c r="A2672" s="7" t="s">
        <v>7168</v>
      </c>
      <c r="B2672" s="7" t="s">
        <v>6186</v>
      </c>
      <c r="C2672" s="7" t="s">
        <v>6189</v>
      </c>
      <c r="D2672" s="7" t="n">
        <v>2354</v>
      </c>
      <c r="E2672" s="7" t="s">
        <v>50</v>
      </c>
      <c r="F2672" s="7" t="n">
        <v>-30.940998</v>
      </c>
      <c r="G2672" s="7" t="n">
        <v>151.40217</v>
      </c>
      <c r="H2672" s="7" t="s">
        <v>3269</v>
      </c>
    </row>
    <row r="2673" customFormat="false" ht="15" hidden="false" customHeight="false" outlineLevel="0" collapsed="false">
      <c r="A2673" s="7" t="s">
        <v>7168</v>
      </c>
      <c r="B2673" s="7" t="s">
        <v>6190</v>
      </c>
      <c r="C2673" s="7" t="s">
        <v>6193</v>
      </c>
      <c r="D2673" s="7" t="n">
        <v>2832</v>
      </c>
      <c r="E2673" s="7" t="s">
        <v>50</v>
      </c>
      <c r="F2673" s="7" t="n">
        <v>-30.023677</v>
      </c>
      <c r="G2673" s="7" t="n">
        <v>148.117659</v>
      </c>
      <c r="H2673" s="7" t="s">
        <v>2718</v>
      </c>
    </row>
    <row r="2674" customFormat="false" ht="15" hidden="false" customHeight="false" outlineLevel="0" collapsed="false">
      <c r="A2674" s="7" t="s">
        <v>7168</v>
      </c>
      <c r="B2674" s="7" t="s">
        <v>6194</v>
      </c>
      <c r="C2674" s="7" t="s">
        <v>6197</v>
      </c>
      <c r="D2674" s="7" t="n">
        <v>2420</v>
      </c>
      <c r="E2674" s="7" t="s">
        <v>50</v>
      </c>
      <c r="F2674" s="7" t="n">
        <v>-32.49613996</v>
      </c>
      <c r="G2674" s="7" t="n">
        <v>151.6956798</v>
      </c>
      <c r="H2674" s="7" t="s">
        <v>2806</v>
      </c>
    </row>
    <row r="2675" customFormat="false" ht="15" hidden="false" customHeight="false" outlineLevel="0" collapsed="false">
      <c r="A2675" s="7" t="s">
        <v>7168</v>
      </c>
      <c r="B2675" s="7" t="s">
        <v>6198</v>
      </c>
      <c r="C2675" s="7" t="s">
        <v>6201</v>
      </c>
      <c r="D2675" s="7" t="n">
        <v>2588</v>
      </c>
      <c r="E2675" s="7" t="s">
        <v>50</v>
      </c>
      <c r="F2675" s="7" t="n">
        <v>-34.529114</v>
      </c>
      <c r="G2675" s="7" t="n">
        <v>148.162677</v>
      </c>
      <c r="H2675" s="7" t="s">
        <v>2718</v>
      </c>
    </row>
    <row r="2676" customFormat="false" ht="15" hidden="false" customHeight="false" outlineLevel="0" collapsed="false">
      <c r="A2676" s="7" t="s">
        <v>7168</v>
      </c>
      <c r="B2676" s="7" t="s">
        <v>6202</v>
      </c>
      <c r="C2676" s="7" t="s">
        <v>6205</v>
      </c>
      <c r="D2676" s="7" t="n">
        <v>2845</v>
      </c>
      <c r="E2676" s="7" t="s">
        <v>50</v>
      </c>
      <c r="F2676" s="7" t="n">
        <v>-33.411304</v>
      </c>
      <c r="G2676" s="7" t="n">
        <v>150.065125</v>
      </c>
      <c r="H2676" s="7" t="s">
        <v>2837</v>
      </c>
    </row>
    <row r="2677" customFormat="false" ht="15" hidden="false" customHeight="false" outlineLevel="0" collapsed="false">
      <c r="A2677" s="7" t="s">
        <v>7168</v>
      </c>
      <c r="B2677" s="7" t="s">
        <v>6206</v>
      </c>
      <c r="C2677" s="7" t="s">
        <v>6209</v>
      </c>
      <c r="D2677" s="7" t="n">
        <v>2845</v>
      </c>
      <c r="E2677" s="7" t="s">
        <v>50</v>
      </c>
      <c r="F2677" s="7" t="n">
        <v>-33.407534</v>
      </c>
      <c r="G2677" s="7" t="n">
        <v>150.06811</v>
      </c>
      <c r="H2677" s="7" t="s">
        <v>6210</v>
      </c>
    </row>
    <row r="2678" customFormat="false" ht="15" hidden="false" customHeight="false" outlineLevel="0" collapsed="false">
      <c r="A2678" s="7" t="s">
        <v>7168</v>
      </c>
      <c r="B2678" s="7" t="s">
        <v>6212</v>
      </c>
      <c r="C2678" s="7" t="s">
        <v>6215</v>
      </c>
      <c r="D2678" s="7" t="n">
        <v>2031</v>
      </c>
      <c r="E2678" s="7" t="s">
        <v>50</v>
      </c>
      <c r="F2678" s="7" t="n">
        <v>-33.910519</v>
      </c>
      <c r="G2678" s="7" t="n">
        <v>151.235208</v>
      </c>
      <c r="H2678" s="7" t="s">
        <v>3262</v>
      </c>
    </row>
    <row r="2679" customFormat="false" ht="15" hidden="false" customHeight="false" outlineLevel="0" collapsed="false">
      <c r="A2679" s="7" t="s">
        <v>7168</v>
      </c>
      <c r="B2679" s="7" t="s">
        <v>6216</v>
      </c>
      <c r="C2679" s="7" t="s">
        <v>6219</v>
      </c>
      <c r="D2679" s="7" t="n">
        <v>2304</v>
      </c>
      <c r="E2679" s="7" t="s">
        <v>50</v>
      </c>
      <c r="F2679" s="7" t="n">
        <v>-32.88705464</v>
      </c>
      <c r="G2679" s="7" t="n">
        <v>151.7098902</v>
      </c>
      <c r="H2679" s="7" t="s">
        <v>2806</v>
      </c>
    </row>
    <row r="2680" customFormat="false" ht="15" hidden="false" customHeight="false" outlineLevel="0" collapsed="false">
      <c r="A2680" s="7" t="s">
        <v>7168</v>
      </c>
      <c r="B2680" s="7" t="s">
        <v>6223</v>
      </c>
      <c r="C2680" s="7" t="s">
        <v>6226</v>
      </c>
      <c r="D2680" s="7" t="n">
        <v>2203</v>
      </c>
      <c r="E2680" s="7" t="s">
        <v>50</v>
      </c>
      <c r="F2680" s="7" t="n">
        <v>-33.89877075</v>
      </c>
      <c r="G2680" s="7" t="n">
        <v>151.1401223</v>
      </c>
      <c r="H2680" s="7" t="s">
        <v>2769</v>
      </c>
    </row>
    <row r="2681" customFormat="false" ht="15" hidden="false" customHeight="false" outlineLevel="0" collapsed="false">
      <c r="A2681" s="7" t="s">
        <v>7168</v>
      </c>
      <c r="B2681" s="7" t="s">
        <v>6227</v>
      </c>
      <c r="C2681" s="7" t="s">
        <v>6230</v>
      </c>
      <c r="D2681" s="7" t="n">
        <v>2304</v>
      </c>
      <c r="E2681" s="7" t="s">
        <v>50</v>
      </c>
      <c r="F2681" s="7" t="n">
        <v>-32.90276555</v>
      </c>
      <c r="G2681" s="7" t="n">
        <v>151.7316708</v>
      </c>
      <c r="H2681" s="7" t="s">
        <v>2786</v>
      </c>
    </row>
    <row r="2682" customFormat="false" ht="15" hidden="false" customHeight="false" outlineLevel="0" collapsed="false">
      <c r="A2682" s="7" t="s">
        <v>7168</v>
      </c>
      <c r="B2682" s="7" t="s">
        <v>6232</v>
      </c>
      <c r="C2682" s="7" t="s">
        <v>6235</v>
      </c>
      <c r="D2682" s="7" t="n">
        <v>2477</v>
      </c>
      <c r="E2682" s="7" t="s">
        <v>50</v>
      </c>
      <c r="F2682" s="7" t="n">
        <v>-28.950207</v>
      </c>
      <c r="G2682" s="7" t="n">
        <v>153.465201</v>
      </c>
      <c r="H2682" s="7" t="s">
        <v>2837</v>
      </c>
    </row>
    <row r="2683" customFormat="false" ht="15" hidden="false" customHeight="false" outlineLevel="0" collapsed="false">
      <c r="A2683" s="7" t="s">
        <v>7168</v>
      </c>
      <c r="B2683" s="7" t="s">
        <v>6236</v>
      </c>
      <c r="C2683" s="7" t="s">
        <v>6239</v>
      </c>
      <c r="D2683" s="7" t="n">
        <v>2422</v>
      </c>
      <c r="E2683" s="7" t="s">
        <v>50</v>
      </c>
      <c r="F2683" s="7" t="n">
        <v>-32.220766</v>
      </c>
      <c r="G2683" s="7" t="n">
        <v>151.937109</v>
      </c>
      <c r="H2683" s="7" t="s">
        <v>2718</v>
      </c>
    </row>
    <row r="2684" customFormat="false" ht="15" hidden="false" customHeight="false" outlineLevel="0" collapsed="false">
      <c r="A2684" s="7" t="s">
        <v>7168</v>
      </c>
      <c r="B2684" s="7" t="s">
        <v>6240</v>
      </c>
      <c r="C2684" s="7" t="s">
        <v>6243</v>
      </c>
      <c r="D2684" s="7" t="n">
        <v>2402</v>
      </c>
      <c r="E2684" s="7" t="s">
        <v>50</v>
      </c>
      <c r="F2684" s="7" t="n">
        <v>-29.542141</v>
      </c>
      <c r="G2684" s="7" t="n">
        <v>150.570258</v>
      </c>
      <c r="H2684" s="7" t="s">
        <v>2718</v>
      </c>
    </row>
    <row r="2685" customFormat="false" ht="15" hidden="false" customHeight="false" outlineLevel="0" collapsed="false">
      <c r="A2685" s="7" t="s">
        <v>7168</v>
      </c>
      <c r="B2685" s="7" t="s">
        <v>6244</v>
      </c>
      <c r="C2685" s="7" t="s">
        <v>6247</v>
      </c>
      <c r="D2685" s="7" t="n">
        <v>2402</v>
      </c>
      <c r="E2685" s="7" t="s">
        <v>50</v>
      </c>
      <c r="F2685" s="7" t="n">
        <v>-29.581643</v>
      </c>
      <c r="G2685" s="7" t="n">
        <v>150.537189</v>
      </c>
      <c r="H2685" s="7" t="s">
        <v>2718</v>
      </c>
    </row>
    <row r="2686" customFormat="false" ht="15" hidden="false" customHeight="false" outlineLevel="0" collapsed="false">
      <c r="A2686" s="7" t="s">
        <v>7168</v>
      </c>
      <c r="B2686" s="7" t="s">
        <v>6248</v>
      </c>
      <c r="C2686" s="7" t="s">
        <v>6251</v>
      </c>
      <c r="D2686" s="7" t="n">
        <v>2259</v>
      </c>
      <c r="E2686" s="7" t="s">
        <v>50</v>
      </c>
      <c r="F2686" s="7" t="n">
        <v>-33.24755931</v>
      </c>
      <c r="G2686" s="7" t="n">
        <v>151.4485623</v>
      </c>
      <c r="H2686" s="7" t="s">
        <v>2710</v>
      </c>
    </row>
    <row r="2687" customFormat="false" ht="15" hidden="false" customHeight="false" outlineLevel="0" collapsed="false">
      <c r="A2687" s="7" t="s">
        <v>7168</v>
      </c>
      <c r="B2687" s="7" t="s">
        <v>6254</v>
      </c>
      <c r="C2687" s="7" t="s">
        <v>6257</v>
      </c>
      <c r="D2687" s="7" t="n">
        <v>2074</v>
      </c>
      <c r="E2687" s="7" t="s">
        <v>50</v>
      </c>
      <c r="F2687" s="7" t="n">
        <v>-33.72428546</v>
      </c>
      <c r="G2687" s="7" t="n">
        <v>151.1217568</v>
      </c>
      <c r="H2687" s="7" t="s">
        <v>2710</v>
      </c>
    </row>
    <row r="2688" customFormat="false" ht="15" hidden="false" customHeight="false" outlineLevel="0" collapsed="false">
      <c r="A2688" s="7" t="s">
        <v>7168</v>
      </c>
      <c r="B2688" s="7" t="s">
        <v>6259</v>
      </c>
      <c r="C2688" s="7" t="s">
        <v>6262</v>
      </c>
      <c r="D2688" s="7" t="n">
        <v>2824</v>
      </c>
      <c r="E2688" s="7" t="s">
        <v>50</v>
      </c>
      <c r="F2688" s="7" t="n">
        <v>-31.701</v>
      </c>
      <c r="G2688" s="7" t="n">
        <v>147.835</v>
      </c>
      <c r="H2688" s="7" t="s">
        <v>2718</v>
      </c>
    </row>
    <row r="2689" customFormat="false" ht="15" hidden="false" customHeight="false" outlineLevel="0" collapsed="false">
      <c r="A2689" s="7" t="s">
        <v>7168</v>
      </c>
      <c r="B2689" s="7" t="s">
        <v>6263</v>
      </c>
      <c r="C2689" s="7" t="s">
        <v>6266</v>
      </c>
      <c r="D2689" s="7" t="n">
        <v>2101</v>
      </c>
      <c r="E2689" s="7" t="s">
        <v>50</v>
      </c>
      <c r="F2689" s="7" t="n">
        <v>-33.696788</v>
      </c>
      <c r="G2689" s="7" t="n">
        <v>151.301419</v>
      </c>
      <c r="H2689" s="7" t="s">
        <v>3439</v>
      </c>
    </row>
    <row r="2690" customFormat="false" ht="15" hidden="false" customHeight="false" outlineLevel="0" collapsed="false">
      <c r="A2690" s="7" t="s">
        <v>7168</v>
      </c>
      <c r="B2690" s="7" t="s">
        <v>6268</v>
      </c>
      <c r="C2690" s="7" t="s">
        <v>6271</v>
      </c>
      <c r="D2690" s="7" t="n">
        <v>2774</v>
      </c>
      <c r="E2690" s="7" t="s">
        <v>50</v>
      </c>
      <c r="F2690" s="7" t="n">
        <v>-33.72119644</v>
      </c>
      <c r="G2690" s="7" t="n">
        <v>150.6019792</v>
      </c>
      <c r="H2690" s="7" t="s">
        <v>2710</v>
      </c>
    </row>
    <row r="2691" customFormat="false" ht="15" hidden="false" customHeight="false" outlineLevel="0" collapsed="false">
      <c r="A2691" s="7" t="s">
        <v>7168</v>
      </c>
      <c r="B2691" s="7" t="s">
        <v>6274</v>
      </c>
      <c r="C2691" s="7" t="s">
        <v>6277</v>
      </c>
      <c r="D2691" s="7" t="n">
        <v>2100</v>
      </c>
      <c r="E2691" s="7" t="s">
        <v>50</v>
      </c>
      <c r="F2691" s="7" t="n">
        <v>-33.767001</v>
      </c>
      <c r="G2691" s="7" t="n">
        <v>151.269114</v>
      </c>
      <c r="H2691" s="7" t="s">
        <v>3003</v>
      </c>
    </row>
    <row r="2692" customFormat="false" ht="15" hidden="false" customHeight="false" outlineLevel="0" collapsed="false">
      <c r="A2692" s="7" t="s">
        <v>7168</v>
      </c>
      <c r="B2692" s="7" t="s">
        <v>6279</v>
      </c>
      <c r="C2692" s="7" t="s">
        <v>6282</v>
      </c>
      <c r="D2692" s="7" t="n">
        <v>2170</v>
      </c>
      <c r="E2692" s="7" t="s">
        <v>50</v>
      </c>
      <c r="F2692" s="7" t="n">
        <v>-33.91344996</v>
      </c>
      <c r="G2692" s="7" t="n">
        <v>150.9350364</v>
      </c>
      <c r="H2692" s="7" t="s">
        <v>2786</v>
      </c>
    </row>
    <row r="2693" customFormat="false" ht="15" hidden="false" customHeight="false" outlineLevel="0" collapsed="false">
      <c r="A2693" s="7" t="s">
        <v>7168</v>
      </c>
      <c r="B2693" s="7" t="s">
        <v>6285</v>
      </c>
      <c r="C2693" s="7" t="s">
        <v>6288</v>
      </c>
      <c r="D2693" s="7" t="n">
        <v>2233</v>
      </c>
      <c r="E2693" s="7" t="s">
        <v>50</v>
      </c>
      <c r="F2693" s="7" t="n">
        <v>-34.13438522</v>
      </c>
      <c r="G2693" s="7" t="n">
        <v>150.9945115</v>
      </c>
      <c r="H2693" s="7" t="s">
        <v>2710</v>
      </c>
    </row>
    <row r="2694" customFormat="false" ht="15" hidden="false" customHeight="false" outlineLevel="0" collapsed="false">
      <c r="A2694" s="7" t="s">
        <v>7168</v>
      </c>
      <c r="B2694" s="7" t="s">
        <v>6290</v>
      </c>
      <c r="C2694" s="7" t="s">
        <v>6293</v>
      </c>
      <c r="D2694" s="7" t="n">
        <v>2017</v>
      </c>
      <c r="E2694" s="7" t="s">
        <v>50</v>
      </c>
      <c r="F2694" s="7" t="n">
        <v>-33.897477</v>
      </c>
      <c r="G2694" s="7" t="n">
        <v>151.200173</v>
      </c>
      <c r="H2694" s="7" t="s">
        <v>2982</v>
      </c>
    </row>
    <row r="2695" customFormat="false" ht="15" hidden="false" customHeight="false" outlineLevel="0" collapsed="false">
      <c r="A2695" s="7" t="s">
        <v>7168</v>
      </c>
      <c r="B2695" s="7" t="s">
        <v>6294</v>
      </c>
      <c r="C2695" s="7" t="s">
        <v>6297</v>
      </c>
      <c r="D2695" s="7" t="n">
        <v>2030</v>
      </c>
      <c r="E2695" s="7" t="s">
        <v>50</v>
      </c>
      <c r="F2695" s="7" t="n">
        <v>-33.84343945</v>
      </c>
      <c r="G2695" s="7" t="n">
        <v>151.28104</v>
      </c>
      <c r="H2695" s="7" t="s">
        <v>2693</v>
      </c>
    </row>
    <row r="2696" customFormat="false" ht="15" hidden="false" customHeight="false" outlineLevel="0" collapsed="false">
      <c r="A2696" s="7" t="s">
        <v>7168</v>
      </c>
      <c r="B2696" s="7" t="s">
        <v>6300</v>
      </c>
      <c r="C2696" s="7" t="s">
        <v>6303</v>
      </c>
      <c r="D2696" s="7" t="n">
        <v>2446</v>
      </c>
      <c r="E2696" s="7" t="s">
        <v>50</v>
      </c>
      <c r="F2696" s="7" t="n">
        <v>-31.455909</v>
      </c>
      <c r="G2696" s="7" t="n">
        <v>152.736526</v>
      </c>
      <c r="H2696" s="7" t="s">
        <v>2937</v>
      </c>
    </row>
    <row r="2697" customFormat="false" ht="15" hidden="false" customHeight="false" outlineLevel="0" collapsed="false">
      <c r="A2697" s="7" t="s">
        <v>7168</v>
      </c>
      <c r="B2697" s="7" t="s">
        <v>6305</v>
      </c>
      <c r="C2697" s="7" t="s">
        <v>6308</v>
      </c>
      <c r="D2697" s="7" t="n">
        <v>2060</v>
      </c>
      <c r="E2697" s="7" t="s">
        <v>50</v>
      </c>
      <c r="F2697" s="7" t="n">
        <v>-33.83824525</v>
      </c>
      <c r="G2697" s="7" t="n">
        <v>151.1978555</v>
      </c>
      <c r="H2697" s="7" t="s">
        <v>2710</v>
      </c>
    </row>
    <row r="2698" customFormat="false" ht="15" hidden="false" customHeight="false" outlineLevel="0" collapsed="false">
      <c r="A2698" s="7" t="s">
        <v>7168</v>
      </c>
      <c r="B2698" s="7" t="s">
        <v>6311</v>
      </c>
      <c r="C2698" s="7" t="s">
        <v>6314</v>
      </c>
      <c r="D2698" s="7" t="n">
        <v>2388</v>
      </c>
      <c r="E2698" s="7" t="s">
        <v>50</v>
      </c>
      <c r="F2698" s="7" t="n">
        <v>-30.224656</v>
      </c>
      <c r="G2698" s="7" t="n">
        <v>149.444831</v>
      </c>
      <c r="H2698" s="7" t="s">
        <v>2718</v>
      </c>
    </row>
    <row r="2699" customFormat="false" ht="15" hidden="false" customHeight="false" outlineLevel="0" collapsed="false">
      <c r="A2699" s="7" t="s">
        <v>7168</v>
      </c>
      <c r="B2699" s="7" t="s">
        <v>6315</v>
      </c>
      <c r="C2699" s="7" t="s">
        <v>6318</v>
      </c>
      <c r="D2699" s="7" t="n">
        <v>2820</v>
      </c>
      <c r="E2699" s="7" t="s">
        <v>50</v>
      </c>
      <c r="F2699" s="7" t="n">
        <v>-32.554036</v>
      </c>
      <c r="G2699" s="7" t="n">
        <v>148.946832</v>
      </c>
      <c r="H2699" s="7" t="s">
        <v>3269</v>
      </c>
    </row>
    <row r="2700" customFormat="false" ht="15" hidden="false" customHeight="false" outlineLevel="0" collapsed="false">
      <c r="A2700" s="7" t="s">
        <v>7168</v>
      </c>
      <c r="B2700" s="7" t="s">
        <v>6320</v>
      </c>
      <c r="C2700" s="7" t="s">
        <v>6323</v>
      </c>
      <c r="D2700" s="7" t="n">
        <v>2648</v>
      </c>
      <c r="E2700" s="7" t="s">
        <v>50</v>
      </c>
      <c r="F2700" s="7" t="n">
        <v>-34.106135</v>
      </c>
      <c r="G2700" s="7" t="n">
        <v>141.919144</v>
      </c>
      <c r="H2700" s="7" t="s">
        <v>2718</v>
      </c>
    </row>
    <row r="2701" customFormat="false" ht="15" hidden="false" customHeight="false" outlineLevel="0" collapsed="false">
      <c r="A2701" s="7" t="s">
        <v>7168</v>
      </c>
      <c r="B2701" s="7" t="s">
        <v>6324</v>
      </c>
      <c r="C2701" s="7" t="s">
        <v>6327</v>
      </c>
      <c r="D2701" s="7" t="n">
        <v>2782</v>
      </c>
      <c r="E2701" s="7" t="s">
        <v>50</v>
      </c>
      <c r="F2701" s="7" t="n">
        <v>-33.70947192</v>
      </c>
      <c r="G2701" s="7" t="n">
        <v>150.3763114</v>
      </c>
      <c r="H2701" s="7" t="s">
        <v>2786</v>
      </c>
    </row>
    <row r="2702" customFormat="false" ht="15" hidden="false" customHeight="false" outlineLevel="0" collapsed="false">
      <c r="A2702" s="7" t="s">
        <v>7168</v>
      </c>
      <c r="B2702" s="7" t="s">
        <v>6329</v>
      </c>
      <c r="C2702" s="7" t="s">
        <v>6332</v>
      </c>
      <c r="D2702" s="7" t="n">
        <v>2009</v>
      </c>
      <c r="E2702" s="7" t="s">
        <v>50</v>
      </c>
      <c r="F2702" s="7" t="n">
        <v>-33.87436029</v>
      </c>
      <c r="G2702" s="7" t="n">
        <v>151.1939664</v>
      </c>
      <c r="H2702" s="7" t="s">
        <v>2769</v>
      </c>
    </row>
    <row r="2703" customFormat="false" ht="15" hidden="false" customHeight="false" outlineLevel="0" collapsed="false">
      <c r="A2703" s="7" t="s">
        <v>7168</v>
      </c>
      <c r="B2703" s="7" t="s">
        <v>6333</v>
      </c>
      <c r="C2703" s="7" t="s">
        <v>6336</v>
      </c>
      <c r="D2703" s="7" t="n">
        <v>2145</v>
      </c>
      <c r="E2703" s="7" t="s">
        <v>50</v>
      </c>
      <c r="F2703" s="7" t="n">
        <v>-33.80719295</v>
      </c>
      <c r="G2703" s="7" t="n">
        <v>150.9726376</v>
      </c>
      <c r="H2703" s="7" t="s">
        <v>2786</v>
      </c>
    </row>
    <row r="2704" customFormat="false" ht="15" hidden="false" customHeight="false" outlineLevel="0" collapsed="false">
      <c r="A2704" s="7" t="s">
        <v>7168</v>
      </c>
      <c r="B2704" s="7" t="s">
        <v>6338</v>
      </c>
      <c r="C2704" s="7" t="s">
        <v>6341</v>
      </c>
      <c r="D2704" s="7" t="n">
        <v>2747</v>
      </c>
      <c r="E2704" s="7" t="s">
        <v>50</v>
      </c>
      <c r="F2704" s="7" t="n">
        <v>-33.7592923</v>
      </c>
      <c r="G2704" s="7" t="n">
        <v>150.7583397</v>
      </c>
      <c r="H2704" s="7" t="s">
        <v>2710</v>
      </c>
    </row>
    <row r="2705" customFormat="false" ht="15" hidden="false" customHeight="false" outlineLevel="0" collapsed="false">
      <c r="A2705" s="7" t="s">
        <v>7168</v>
      </c>
      <c r="B2705" s="7" t="s">
        <v>6343</v>
      </c>
      <c r="C2705" s="7" t="s">
        <v>6346</v>
      </c>
      <c r="D2705" s="7" t="n">
        <v>2341</v>
      </c>
      <c r="E2705" s="7" t="s">
        <v>50</v>
      </c>
      <c r="F2705" s="7" t="n">
        <v>-31.350139</v>
      </c>
      <c r="G2705" s="7" t="n">
        <v>150.646464</v>
      </c>
      <c r="H2705" s="7" t="s">
        <v>2786</v>
      </c>
    </row>
    <row r="2706" customFormat="false" ht="15" hidden="false" customHeight="false" outlineLevel="0" collapsed="false">
      <c r="A2706" s="7" t="s">
        <v>7168</v>
      </c>
      <c r="B2706" s="7" t="s">
        <v>6347</v>
      </c>
      <c r="C2706" s="7" t="s">
        <v>6350</v>
      </c>
      <c r="D2706" s="7" t="n">
        <v>2341</v>
      </c>
      <c r="E2706" s="7" t="s">
        <v>50</v>
      </c>
      <c r="F2706" s="7" t="n">
        <v>-31.356568</v>
      </c>
      <c r="G2706" s="7" t="n">
        <v>150.646129</v>
      </c>
      <c r="H2706" s="7" t="s">
        <v>2718</v>
      </c>
    </row>
    <row r="2707" customFormat="false" ht="15" hidden="false" customHeight="false" outlineLevel="0" collapsed="false">
      <c r="A2707" s="7" t="s">
        <v>7168</v>
      </c>
      <c r="B2707" s="7" t="s">
        <v>6351</v>
      </c>
      <c r="C2707" s="7" t="s">
        <v>6354</v>
      </c>
      <c r="D2707" s="7" t="n">
        <v>2114</v>
      </c>
      <c r="E2707" s="7" t="s">
        <v>50</v>
      </c>
      <c r="F2707" s="7" t="n">
        <v>-33.80717213</v>
      </c>
      <c r="G2707" s="7" t="n">
        <v>151.0902289</v>
      </c>
      <c r="H2707" s="7" t="s">
        <v>2786</v>
      </c>
    </row>
    <row r="2708" customFormat="false" ht="15" hidden="false" customHeight="false" outlineLevel="0" collapsed="false">
      <c r="A2708" s="7" t="s">
        <v>7168</v>
      </c>
      <c r="B2708" s="7" t="s">
        <v>6357</v>
      </c>
      <c r="C2708" s="7" t="s">
        <v>6360</v>
      </c>
      <c r="D2708" s="7" t="n">
        <v>2671</v>
      </c>
      <c r="E2708" s="7" t="s">
        <v>50</v>
      </c>
      <c r="F2708" s="7" t="n">
        <v>-33.923826</v>
      </c>
      <c r="G2708" s="7" t="n">
        <v>147.205261</v>
      </c>
      <c r="H2708" s="7" t="s">
        <v>2718</v>
      </c>
    </row>
    <row r="2709" customFormat="false" ht="15" hidden="false" customHeight="false" outlineLevel="0" collapsed="false">
      <c r="A2709" s="7" t="s">
        <v>7168</v>
      </c>
      <c r="B2709" s="7" t="s">
        <v>6361</v>
      </c>
      <c r="C2709" s="7" t="s">
        <v>6364</v>
      </c>
      <c r="D2709" s="7" t="n">
        <v>2145</v>
      </c>
      <c r="E2709" s="7" t="s">
        <v>50</v>
      </c>
      <c r="F2709" s="7" t="n">
        <v>-33.804709</v>
      </c>
      <c r="G2709" s="7" t="n">
        <v>150.990075</v>
      </c>
      <c r="H2709" s="7" t="s">
        <v>2769</v>
      </c>
    </row>
    <row r="2710" customFormat="false" ht="15" hidden="false" customHeight="false" outlineLevel="0" collapsed="false">
      <c r="A2710" s="7" t="s">
        <v>7168</v>
      </c>
      <c r="B2710" s="7" t="s">
        <v>6365</v>
      </c>
      <c r="C2710" s="7" t="s">
        <v>6368</v>
      </c>
      <c r="D2710" s="7" t="n">
        <v>2145</v>
      </c>
      <c r="E2710" s="7" t="s">
        <v>50</v>
      </c>
      <c r="F2710" s="7" t="n">
        <v>-33.80852937</v>
      </c>
      <c r="G2710" s="7" t="n">
        <v>150.9880115</v>
      </c>
      <c r="H2710" s="7" t="s">
        <v>5283</v>
      </c>
    </row>
    <row r="2711" customFormat="false" ht="15" hidden="false" customHeight="false" outlineLevel="0" collapsed="false">
      <c r="A2711" s="7" t="s">
        <v>7168</v>
      </c>
      <c r="B2711" s="7" t="s">
        <v>6370</v>
      </c>
      <c r="C2711" s="7" t="s">
        <v>6373</v>
      </c>
      <c r="D2711" s="7" t="n">
        <v>2705</v>
      </c>
      <c r="E2711" s="7" t="s">
        <v>50</v>
      </c>
      <c r="F2711" s="7" t="n">
        <v>-34.51791</v>
      </c>
      <c r="G2711" s="7" t="n">
        <v>146.183194</v>
      </c>
      <c r="H2711" s="7" t="s">
        <v>2718</v>
      </c>
    </row>
    <row r="2712" customFormat="false" ht="15" hidden="false" customHeight="false" outlineLevel="0" collapsed="false">
      <c r="A2712" s="7" t="s">
        <v>7168</v>
      </c>
      <c r="B2712" s="7" t="s">
        <v>6374</v>
      </c>
      <c r="C2712" s="7" t="s">
        <v>6377</v>
      </c>
      <c r="D2712" s="7" t="n">
        <v>2836</v>
      </c>
      <c r="E2712" s="7" t="s">
        <v>50</v>
      </c>
      <c r="F2712" s="7" t="n">
        <v>-31.558417</v>
      </c>
      <c r="G2712" s="7" t="n">
        <v>143.37759</v>
      </c>
      <c r="H2712" s="7" t="s">
        <v>2718</v>
      </c>
    </row>
    <row r="2713" customFormat="false" ht="15" hidden="false" customHeight="false" outlineLevel="0" collapsed="false">
      <c r="A2713" s="7" t="s">
        <v>7168</v>
      </c>
      <c r="B2713" s="7" t="s">
        <v>6378</v>
      </c>
      <c r="C2713" s="7" t="s">
        <v>6381</v>
      </c>
      <c r="D2713" s="7" t="n">
        <v>2195</v>
      </c>
      <c r="E2713" s="7" t="s">
        <v>50</v>
      </c>
      <c r="F2713" s="7" t="n">
        <v>-33.92300854</v>
      </c>
      <c r="G2713" s="7" t="n">
        <v>151.0672762</v>
      </c>
      <c r="H2713" s="7" t="s">
        <v>3003</v>
      </c>
    </row>
    <row r="2714" customFormat="false" ht="15" hidden="false" customHeight="false" outlineLevel="0" collapsed="false">
      <c r="A2714" s="7" t="s">
        <v>7168</v>
      </c>
      <c r="B2714" s="7" t="s">
        <v>6385</v>
      </c>
      <c r="C2714" s="7" t="s">
        <v>6388</v>
      </c>
      <c r="D2714" s="7" t="n">
        <v>2339</v>
      </c>
      <c r="E2714" s="7" t="s">
        <v>50</v>
      </c>
      <c r="F2714" s="7" t="n">
        <v>-31.650065</v>
      </c>
      <c r="G2714" s="7" t="n">
        <v>150.726123</v>
      </c>
      <c r="H2714" s="7" t="s">
        <v>2806</v>
      </c>
    </row>
    <row r="2715" customFormat="false" ht="15" hidden="false" customHeight="false" outlineLevel="0" collapsed="false">
      <c r="A2715" s="7" t="s">
        <v>7168</v>
      </c>
      <c r="B2715" s="7" t="s">
        <v>6389</v>
      </c>
      <c r="C2715" s="7" t="s">
        <v>6392</v>
      </c>
      <c r="D2715" s="7" t="n">
        <v>2339</v>
      </c>
      <c r="E2715" s="7" t="s">
        <v>50</v>
      </c>
      <c r="F2715" s="7" t="n">
        <v>-31.649233</v>
      </c>
      <c r="G2715" s="7" t="n">
        <v>150.726537</v>
      </c>
      <c r="H2715" s="7" t="s">
        <v>2718</v>
      </c>
    </row>
    <row r="2716" customFormat="false" ht="15" hidden="false" customHeight="false" outlineLevel="0" collapsed="false">
      <c r="A2716" s="7" t="s">
        <v>7168</v>
      </c>
      <c r="B2716" s="7" t="s">
        <v>6393</v>
      </c>
      <c r="C2716" s="7" t="s">
        <v>6396</v>
      </c>
      <c r="D2716" s="7" t="n">
        <v>2756</v>
      </c>
      <c r="E2716" s="7" t="s">
        <v>50</v>
      </c>
      <c r="F2716" s="7" t="n">
        <v>-33.61392767</v>
      </c>
      <c r="G2716" s="7" t="n">
        <v>150.811408</v>
      </c>
      <c r="H2716" s="7" t="s">
        <v>2786</v>
      </c>
    </row>
    <row r="2717" customFormat="false" ht="15" hidden="false" customHeight="false" outlineLevel="0" collapsed="false">
      <c r="A2717" s="7" t="s">
        <v>7168</v>
      </c>
      <c r="B2717" s="7" t="s">
        <v>6399</v>
      </c>
      <c r="C2717" s="7" t="s">
        <v>6402</v>
      </c>
      <c r="D2717" s="7" t="n">
        <v>2579</v>
      </c>
      <c r="E2717" s="7" t="s">
        <v>50</v>
      </c>
      <c r="F2717" s="7" t="n">
        <v>-34.69218018</v>
      </c>
      <c r="G2717" s="7" t="n">
        <v>150.1583854</v>
      </c>
      <c r="H2717" s="7" t="s">
        <v>2806</v>
      </c>
    </row>
    <row r="2718" customFormat="false" ht="15" hidden="false" customHeight="false" outlineLevel="0" collapsed="false">
      <c r="A2718" s="7" t="s">
        <v>7168</v>
      </c>
      <c r="B2718" s="7" t="s">
        <v>6404</v>
      </c>
      <c r="C2718" s="7" t="s">
        <v>6407</v>
      </c>
      <c r="D2718" s="7" t="n">
        <v>2429</v>
      </c>
      <c r="E2718" s="7" t="s">
        <v>50</v>
      </c>
      <c r="F2718" s="7" t="n">
        <v>-31.86809</v>
      </c>
      <c r="G2718" s="7" t="n">
        <v>152.367636</v>
      </c>
      <c r="H2718" s="7" t="s">
        <v>2806</v>
      </c>
    </row>
    <row r="2719" customFormat="false" ht="15" hidden="false" customHeight="false" outlineLevel="0" collapsed="false">
      <c r="A2719" s="7" t="s">
        <v>7168</v>
      </c>
      <c r="B2719" s="7" t="s">
        <v>6409</v>
      </c>
      <c r="C2719" s="7" t="s">
        <v>6412</v>
      </c>
      <c r="D2719" s="7" t="n">
        <v>2429</v>
      </c>
      <c r="E2719" s="7" t="s">
        <v>50</v>
      </c>
      <c r="F2719" s="7" t="n">
        <v>-31.869226</v>
      </c>
      <c r="G2719" s="7" t="n">
        <v>152.374623</v>
      </c>
      <c r="H2719" s="7" t="s">
        <v>2837</v>
      </c>
    </row>
    <row r="2720" customFormat="false" ht="15" hidden="false" customHeight="false" outlineLevel="0" collapsed="false">
      <c r="A2720" s="7" t="s">
        <v>7168</v>
      </c>
      <c r="B2720" s="7" t="s">
        <v>6413</v>
      </c>
      <c r="C2720" s="7" t="s">
        <v>6416</v>
      </c>
      <c r="D2720" s="7" t="n">
        <v>2420</v>
      </c>
      <c r="E2720" s="7" t="s">
        <v>50</v>
      </c>
      <c r="F2720" s="7" t="n">
        <v>-32.4617735</v>
      </c>
      <c r="G2720" s="7" t="n">
        <v>151.743457</v>
      </c>
      <c r="H2720" s="7" t="s">
        <v>2806</v>
      </c>
    </row>
    <row r="2721" customFormat="false" ht="15" hidden="false" customHeight="false" outlineLevel="0" collapsed="false">
      <c r="A2721" s="7" t="s">
        <v>7168</v>
      </c>
      <c r="B2721" s="7" t="s">
        <v>6417</v>
      </c>
      <c r="C2721" s="7" t="s">
        <v>6420</v>
      </c>
      <c r="D2721" s="7" t="n">
        <v>2205</v>
      </c>
      <c r="E2721" s="7" t="s">
        <v>50</v>
      </c>
      <c r="F2721" s="7" t="n">
        <v>-33.92854683</v>
      </c>
      <c r="G2721" s="7" t="n">
        <v>151.1541132</v>
      </c>
      <c r="H2721" s="7" t="s">
        <v>2710</v>
      </c>
    </row>
    <row r="2722" customFormat="false" ht="15" hidden="false" customHeight="false" outlineLevel="0" collapsed="false">
      <c r="A2722" s="7" t="s">
        <v>7168</v>
      </c>
      <c r="B2722" s="7" t="s">
        <v>6423</v>
      </c>
      <c r="C2722" s="7" t="s">
        <v>6426</v>
      </c>
      <c r="D2722" s="7" t="n">
        <v>2477</v>
      </c>
      <c r="E2722" s="7" t="s">
        <v>50</v>
      </c>
      <c r="F2722" s="7" t="n">
        <v>-28.825911</v>
      </c>
      <c r="G2722" s="7" t="n">
        <v>153.415019</v>
      </c>
      <c r="H2722" s="7" t="s">
        <v>2718</v>
      </c>
    </row>
    <row r="2723" customFormat="false" ht="15" hidden="false" customHeight="false" outlineLevel="0" collapsed="false">
      <c r="A2723" s="7" t="s">
        <v>7168</v>
      </c>
      <c r="B2723" s="7" t="s">
        <v>6427</v>
      </c>
      <c r="C2723" s="7" t="s">
        <v>6430</v>
      </c>
      <c r="D2723" s="7" t="n">
        <v>2500</v>
      </c>
      <c r="E2723" s="7" t="s">
        <v>50</v>
      </c>
      <c r="F2723" s="7" t="n">
        <v>-34.42701617</v>
      </c>
      <c r="G2723" s="7" t="n">
        <v>150.8882431</v>
      </c>
      <c r="H2723" s="7" t="s">
        <v>2937</v>
      </c>
    </row>
    <row r="2724" customFormat="false" ht="15" hidden="false" customHeight="false" outlineLevel="0" collapsed="false">
      <c r="A2724" s="7" t="s">
        <v>7168</v>
      </c>
      <c r="B2724" s="7" t="s">
        <v>6433</v>
      </c>
      <c r="C2724" s="7" t="s">
        <v>6436</v>
      </c>
      <c r="D2724" s="7" t="n">
        <v>2065</v>
      </c>
      <c r="E2724" s="7" t="s">
        <v>50</v>
      </c>
      <c r="F2724" s="7" t="n">
        <v>-33.83179487</v>
      </c>
      <c r="G2724" s="7" t="n">
        <v>151.191895</v>
      </c>
      <c r="H2724" s="7" t="s">
        <v>2710</v>
      </c>
    </row>
    <row r="2725" customFormat="false" ht="15" hidden="false" customHeight="false" outlineLevel="0" collapsed="false">
      <c r="A2725" s="7" t="s">
        <v>7168</v>
      </c>
      <c r="B2725" s="7" t="s">
        <v>6438</v>
      </c>
      <c r="C2725" s="7" t="s">
        <v>6441</v>
      </c>
      <c r="D2725" s="7" t="n">
        <v>2550</v>
      </c>
      <c r="E2725" s="7" t="s">
        <v>50</v>
      </c>
      <c r="F2725" s="7" t="n">
        <v>-36.829958</v>
      </c>
      <c r="G2725" s="7" t="n">
        <v>149.813349</v>
      </c>
      <c r="H2725" s="7" t="s">
        <v>2718</v>
      </c>
    </row>
    <row r="2726" customFormat="false" ht="15" hidden="false" customHeight="false" outlineLevel="0" collapsed="false">
      <c r="A2726" s="7" t="s">
        <v>7168</v>
      </c>
      <c r="B2726" s="7" t="s">
        <v>6442</v>
      </c>
      <c r="C2726" s="7" t="s">
        <v>6445</v>
      </c>
      <c r="D2726" s="7" t="n">
        <v>2515</v>
      </c>
      <c r="E2726" s="7" t="s">
        <v>50</v>
      </c>
      <c r="F2726" s="7" t="n">
        <v>-34.27593294</v>
      </c>
      <c r="G2726" s="7" t="n">
        <v>150.953145</v>
      </c>
      <c r="H2726" s="7" t="s">
        <v>2806</v>
      </c>
    </row>
    <row r="2727" customFormat="false" ht="15" hidden="false" customHeight="false" outlineLevel="0" collapsed="false">
      <c r="A2727" s="7" t="s">
        <v>7168</v>
      </c>
      <c r="B2727" s="7" t="s">
        <v>6446</v>
      </c>
      <c r="C2727" s="7" t="s">
        <v>6449</v>
      </c>
      <c r="D2727" s="7" t="n">
        <v>2256</v>
      </c>
      <c r="E2727" s="7" t="s">
        <v>50</v>
      </c>
      <c r="F2727" s="7" t="n">
        <v>-33.49213536</v>
      </c>
      <c r="G2727" s="7" t="n">
        <v>151.2570108</v>
      </c>
      <c r="H2727" s="7" t="s">
        <v>2806</v>
      </c>
    </row>
    <row r="2728" customFormat="false" ht="15" hidden="false" customHeight="false" outlineLevel="0" collapsed="false">
      <c r="A2728" s="7" t="s">
        <v>7168</v>
      </c>
      <c r="B2728" s="7" t="s">
        <v>6451</v>
      </c>
      <c r="C2728" s="7" t="s">
        <v>6454</v>
      </c>
      <c r="D2728" s="7" t="n">
        <v>2729</v>
      </c>
      <c r="E2728" s="7" t="s">
        <v>50</v>
      </c>
      <c r="F2728" s="7" t="n">
        <v>-35.408567</v>
      </c>
      <c r="G2728" s="7" t="n">
        <v>148.121105</v>
      </c>
      <c r="H2728" s="7" t="s">
        <v>2718</v>
      </c>
    </row>
    <row r="2729" customFormat="false" ht="15" hidden="false" customHeight="false" outlineLevel="0" collapsed="false">
      <c r="A2729" s="7" t="s">
        <v>7168</v>
      </c>
      <c r="B2729" s="7" t="s">
        <v>6455</v>
      </c>
      <c r="C2729" s="7" t="s">
        <v>6458</v>
      </c>
      <c r="D2729" s="7" t="n">
        <v>2472</v>
      </c>
      <c r="E2729" s="7" t="s">
        <v>50</v>
      </c>
      <c r="F2729" s="7" t="n">
        <v>-29.071317</v>
      </c>
      <c r="G2729" s="7" t="n">
        <v>153.343813</v>
      </c>
      <c r="H2729" s="7" t="s">
        <v>2837</v>
      </c>
    </row>
    <row r="2730" customFormat="false" ht="15" hidden="false" customHeight="false" outlineLevel="0" collapsed="false">
      <c r="A2730" s="7" t="s">
        <v>7168</v>
      </c>
      <c r="B2730" s="7" t="s">
        <v>6459</v>
      </c>
      <c r="C2730" s="7" t="s">
        <v>6462</v>
      </c>
      <c r="D2730" s="7" t="n">
        <v>2778</v>
      </c>
      <c r="E2730" s="7" t="s">
        <v>50</v>
      </c>
      <c r="F2730" s="7" t="n">
        <v>-33.73544928</v>
      </c>
      <c r="G2730" s="7" t="n">
        <v>150.4819174</v>
      </c>
      <c r="H2730" s="7" t="s">
        <v>2710</v>
      </c>
    </row>
    <row r="2731" customFormat="false" ht="15" hidden="false" customHeight="false" outlineLevel="0" collapsed="false">
      <c r="A2731" s="7" t="s">
        <v>7168</v>
      </c>
      <c r="B2731" s="7" t="s">
        <v>6464</v>
      </c>
      <c r="C2731" s="7" t="s">
        <v>6467</v>
      </c>
      <c r="D2731" s="7" t="n">
        <v>2793</v>
      </c>
      <c r="E2731" s="7" t="s">
        <v>50</v>
      </c>
      <c r="F2731" s="7" t="n">
        <v>-33.743846</v>
      </c>
      <c r="G2731" s="7" t="n">
        <v>148.84842</v>
      </c>
      <c r="H2731" s="7" t="s">
        <v>2718</v>
      </c>
    </row>
    <row r="2732" customFormat="false" ht="15" hidden="false" customHeight="false" outlineLevel="0" collapsed="false">
      <c r="A2732" s="7" t="s">
        <v>7168</v>
      </c>
      <c r="B2732" s="7" t="s">
        <v>6468</v>
      </c>
      <c r="C2732" s="7" t="s">
        <v>6471</v>
      </c>
      <c r="D2732" s="7" t="n">
        <v>2230</v>
      </c>
      <c r="E2732" s="7" t="s">
        <v>50</v>
      </c>
      <c r="F2732" s="7" t="n">
        <v>-34.04771809</v>
      </c>
      <c r="G2732" s="7" t="n">
        <v>151.1439953</v>
      </c>
      <c r="H2732" s="7" t="s">
        <v>2710</v>
      </c>
    </row>
    <row r="2733" customFormat="false" ht="15" hidden="false" customHeight="false" outlineLevel="0" collapsed="false">
      <c r="A2733" s="7" t="s">
        <v>7168</v>
      </c>
      <c r="B2733" s="7" t="s">
        <v>6474</v>
      </c>
      <c r="C2733" s="7" t="s">
        <v>6477</v>
      </c>
      <c r="D2733" s="7" t="n">
        <v>2110</v>
      </c>
      <c r="E2733" s="7" t="s">
        <v>50</v>
      </c>
      <c r="F2733" s="7" t="n">
        <v>-33.83875627</v>
      </c>
      <c r="G2733" s="7" t="n">
        <v>151.1760428</v>
      </c>
      <c r="H2733" s="7" t="s">
        <v>2693</v>
      </c>
    </row>
    <row r="2734" customFormat="false" ht="15" hidden="false" customHeight="false" outlineLevel="0" collapsed="false">
      <c r="A2734" s="7" t="s">
        <v>7168</v>
      </c>
      <c r="B2734" s="7" t="s">
        <v>6479</v>
      </c>
      <c r="C2734" s="7" t="s">
        <v>6482</v>
      </c>
      <c r="D2734" s="7" t="n">
        <v>2469</v>
      </c>
      <c r="E2734" s="7" t="s">
        <v>50</v>
      </c>
      <c r="F2734" s="7" t="n">
        <v>-29.360244</v>
      </c>
      <c r="G2734" s="7" t="n">
        <v>153.282359</v>
      </c>
      <c r="H2734" s="7" t="s">
        <v>2718</v>
      </c>
    </row>
    <row r="2735" customFormat="false" ht="15" hidden="false" customHeight="false" outlineLevel="0" collapsed="false">
      <c r="A2735" s="7" t="s">
        <v>7168</v>
      </c>
      <c r="B2735" s="7" t="s">
        <v>6483</v>
      </c>
      <c r="C2735" s="7" t="s">
        <v>6486</v>
      </c>
      <c r="D2735" s="7" t="n">
        <v>2517</v>
      </c>
      <c r="E2735" s="7" t="s">
        <v>50</v>
      </c>
      <c r="F2735" s="7" t="n">
        <v>-34.35023047</v>
      </c>
      <c r="G2735" s="7" t="n">
        <v>150.9149538</v>
      </c>
      <c r="H2735" s="7" t="s">
        <v>2786</v>
      </c>
    </row>
    <row r="2736" customFormat="false" ht="15" hidden="false" customHeight="false" outlineLevel="0" collapsed="false">
      <c r="A2736" s="7" t="s">
        <v>7168</v>
      </c>
      <c r="B2736" s="7" t="s">
        <v>6489</v>
      </c>
      <c r="C2736" s="7" t="s">
        <v>6492</v>
      </c>
      <c r="D2736" s="7" t="n">
        <v>2256</v>
      </c>
      <c r="E2736" s="7" t="s">
        <v>50</v>
      </c>
      <c r="F2736" s="7" t="n">
        <v>-33.48511249</v>
      </c>
      <c r="G2736" s="7" t="n">
        <v>151.3236239</v>
      </c>
      <c r="H2736" s="7" t="s">
        <v>3764</v>
      </c>
    </row>
    <row r="2737" customFormat="false" ht="15" hidden="false" customHeight="false" outlineLevel="0" collapsed="false">
      <c r="A2737" s="7" t="s">
        <v>7168</v>
      </c>
      <c r="B2737" s="7" t="s">
        <v>6494</v>
      </c>
      <c r="C2737" s="7" t="s">
        <v>6497</v>
      </c>
      <c r="D2737" s="7" t="n">
        <v>2671</v>
      </c>
      <c r="E2737" s="7" t="s">
        <v>50</v>
      </c>
      <c r="F2737" s="7" t="n">
        <v>-33.925711</v>
      </c>
      <c r="G2737" s="7" t="n">
        <v>147.242402</v>
      </c>
      <c r="H2737" s="7" t="s">
        <v>2718</v>
      </c>
    </row>
    <row r="2738" customFormat="false" ht="15" hidden="false" customHeight="false" outlineLevel="0" collapsed="false">
      <c r="A2738" s="7" t="s">
        <v>7168</v>
      </c>
      <c r="B2738" s="7" t="s">
        <v>6498</v>
      </c>
      <c r="C2738" s="7" t="s">
        <v>6501</v>
      </c>
      <c r="D2738" s="7" t="n">
        <v>2259</v>
      </c>
      <c r="E2738" s="7" t="s">
        <v>50</v>
      </c>
      <c r="F2738" s="7" t="n">
        <v>-33.18044789</v>
      </c>
      <c r="G2738" s="7" t="n">
        <v>151.4871198</v>
      </c>
      <c r="H2738" s="7" t="s">
        <v>2710</v>
      </c>
    </row>
    <row r="2739" customFormat="false" ht="15" hidden="false" customHeight="false" outlineLevel="0" collapsed="false">
      <c r="A2739" s="7" t="s">
        <v>7168</v>
      </c>
      <c r="B2739" s="7" t="s">
        <v>6504</v>
      </c>
      <c r="C2739" s="7" t="s">
        <v>3261</v>
      </c>
      <c r="D2739" s="7" t="n">
        <v>2000</v>
      </c>
      <c r="E2739" s="7" t="s">
        <v>50</v>
      </c>
      <c r="F2739" s="7" t="n">
        <v>-33.86589799</v>
      </c>
      <c r="G2739" s="7" t="n">
        <v>151.2057893</v>
      </c>
      <c r="H2739" s="7" t="s">
        <v>5283</v>
      </c>
    </row>
    <row r="2740" customFormat="false" ht="15" hidden="false" customHeight="false" outlineLevel="0" collapsed="false">
      <c r="A2740" s="7" t="s">
        <v>7168</v>
      </c>
      <c r="B2740" s="7" t="s">
        <v>6509</v>
      </c>
      <c r="C2740" s="7" t="s">
        <v>6512</v>
      </c>
      <c r="D2740" s="7" t="n">
        <v>2259</v>
      </c>
      <c r="E2740" s="7" t="s">
        <v>50</v>
      </c>
      <c r="F2740" s="7" t="n">
        <v>-33.28547923</v>
      </c>
      <c r="G2740" s="7" t="n">
        <v>151.4252562</v>
      </c>
      <c r="H2740" s="7" t="s">
        <v>2786</v>
      </c>
    </row>
    <row r="2741" customFormat="false" ht="15" hidden="false" customHeight="false" outlineLevel="0" collapsed="false">
      <c r="A2741" s="7" t="s">
        <v>7168</v>
      </c>
      <c r="B2741" s="7" t="s">
        <v>6514</v>
      </c>
      <c r="C2741" s="7" t="s">
        <v>6517</v>
      </c>
      <c r="D2741" s="7" t="n">
        <v>2199</v>
      </c>
      <c r="E2741" s="7" t="s">
        <v>50</v>
      </c>
      <c r="F2741" s="7" t="n">
        <v>-33.90655337</v>
      </c>
      <c r="G2741" s="7" t="n">
        <v>151.0241519</v>
      </c>
      <c r="H2741" s="7" t="s">
        <v>2786</v>
      </c>
    </row>
    <row r="2742" customFormat="false" ht="15" hidden="false" customHeight="false" outlineLevel="0" collapsed="false">
      <c r="A2742" s="7" t="s">
        <v>7168</v>
      </c>
      <c r="B2742" s="7" t="s">
        <v>6519</v>
      </c>
      <c r="C2742" s="7" t="s">
        <v>6522</v>
      </c>
      <c r="D2742" s="7" t="n">
        <v>2116</v>
      </c>
      <c r="E2742" s="7" t="s">
        <v>50</v>
      </c>
      <c r="F2742" s="7" t="n">
        <v>-33.809963</v>
      </c>
      <c r="G2742" s="7" t="n">
        <v>151.029271</v>
      </c>
      <c r="H2742" s="7" t="s">
        <v>2769</v>
      </c>
    </row>
    <row r="2743" customFormat="false" ht="15" hidden="false" customHeight="false" outlineLevel="0" collapsed="false">
      <c r="A2743" s="7" t="s">
        <v>7168</v>
      </c>
      <c r="B2743" s="7" t="s">
        <v>6525</v>
      </c>
      <c r="C2743" s="7" t="s">
        <v>6528</v>
      </c>
      <c r="D2743" s="7" t="n">
        <v>2464</v>
      </c>
      <c r="E2743" s="7" t="s">
        <v>50</v>
      </c>
      <c r="F2743" s="7" t="n">
        <v>-29.438237</v>
      </c>
      <c r="G2743" s="7" t="n">
        <v>153.35663</v>
      </c>
      <c r="H2743" s="7" t="s">
        <v>2718</v>
      </c>
    </row>
    <row r="2744" customFormat="false" ht="15" hidden="false" customHeight="false" outlineLevel="0" collapsed="false">
      <c r="A2744" s="7" t="s">
        <v>7168</v>
      </c>
      <c r="B2744" s="7" t="s">
        <v>6529</v>
      </c>
      <c r="C2744" s="7" t="s">
        <v>6532</v>
      </c>
      <c r="D2744" s="7" t="n">
        <v>2464</v>
      </c>
      <c r="E2744" s="7" t="s">
        <v>50</v>
      </c>
      <c r="F2744" s="7" t="n">
        <v>-29.429468</v>
      </c>
      <c r="G2744" s="7" t="n">
        <v>153.326484</v>
      </c>
      <c r="H2744" s="7" t="s">
        <v>2837</v>
      </c>
    </row>
    <row r="2745" customFormat="false" ht="15" hidden="false" customHeight="false" outlineLevel="0" collapsed="false">
      <c r="A2745" s="7" t="s">
        <v>7168</v>
      </c>
      <c r="B2745" s="7" t="s">
        <v>6533</v>
      </c>
      <c r="C2745" s="7" t="s">
        <v>6536</v>
      </c>
      <c r="D2745" s="7" t="n">
        <v>2703</v>
      </c>
      <c r="E2745" s="7" t="s">
        <v>50</v>
      </c>
      <c r="F2745" s="7" t="n">
        <v>-34.60399</v>
      </c>
      <c r="G2745" s="7" t="n">
        <v>146.409827</v>
      </c>
      <c r="H2745" s="7" t="s">
        <v>2718</v>
      </c>
    </row>
    <row r="2746" customFormat="false" ht="15" hidden="false" customHeight="false" outlineLevel="0" collapsed="false">
      <c r="A2746" s="7" t="s">
        <v>7168</v>
      </c>
      <c r="B2746" s="7" t="s">
        <v>6537</v>
      </c>
      <c r="C2746" s="7" t="s">
        <v>6540</v>
      </c>
      <c r="D2746" s="7" t="n">
        <v>2875</v>
      </c>
      <c r="E2746" s="7" t="s">
        <v>50</v>
      </c>
      <c r="F2746" s="7" t="n">
        <v>-33.128795</v>
      </c>
      <c r="G2746" s="7" t="n">
        <v>147.576893</v>
      </c>
      <c r="H2746" s="7" t="s">
        <v>2718</v>
      </c>
    </row>
    <row r="2747" customFormat="false" ht="15" hidden="false" customHeight="false" outlineLevel="0" collapsed="false">
      <c r="A2747" s="7" t="s">
        <v>7168</v>
      </c>
      <c r="B2747" s="7" t="s">
        <v>6541</v>
      </c>
      <c r="C2747" s="7" t="s">
        <v>6544</v>
      </c>
      <c r="D2747" s="7" t="n">
        <v>3730</v>
      </c>
      <c r="E2747" s="7" t="s">
        <v>50</v>
      </c>
      <c r="F2747" s="7" t="n">
        <v>-30.475743</v>
      </c>
      <c r="G2747" s="7" t="n">
        <v>151.376383</v>
      </c>
      <c r="H2747" s="7" t="s">
        <v>2718</v>
      </c>
    </row>
    <row r="2748" customFormat="false" ht="15" hidden="false" customHeight="false" outlineLevel="0" collapsed="false">
      <c r="A2748" s="7" t="s">
        <v>7168</v>
      </c>
      <c r="B2748" s="7" t="s">
        <v>6545</v>
      </c>
      <c r="C2748" s="7" t="s">
        <v>6548</v>
      </c>
      <c r="D2748" s="7" t="n">
        <v>2358</v>
      </c>
      <c r="E2748" s="7" t="s">
        <v>50</v>
      </c>
      <c r="F2748" s="7" t="n">
        <v>-30.475743</v>
      </c>
      <c r="G2748" s="7" t="n">
        <v>151.376383</v>
      </c>
      <c r="H2748" s="7" t="s">
        <v>2718</v>
      </c>
    </row>
    <row r="2749" customFormat="false" ht="15" hidden="false" customHeight="false" outlineLevel="0" collapsed="false">
      <c r="A2749" s="7" t="s">
        <v>7168</v>
      </c>
      <c r="B2749" s="7" t="s">
        <v>6549</v>
      </c>
      <c r="C2749" s="7" t="s">
        <v>6552</v>
      </c>
      <c r="D2749" s="7" t="n">
        <v>2582</v>
      </c>
      <c r="E2749" s="7" t="s">
        <v>50</v>
      </c>
      <c r="F2749" s="7" t="n">
        <v>-34.808995</v>
      </c>
      <c r="G2749" s="7" t="n">
        <v>148.915387</v>
      </c>
      <c r="H2749" s="7" t="s">
        <v>2735</v>
      </c>
    </row>
    <row r="2750" customFormat="false" ht="15" hidden="false" customHeight="false" outlineLevel="0" collapsed="false">
      <c r="A2750" s="7" t="s">
        <v>7168</v>
      </c>
      <c r="B2750" s="7" t="s">
        <v>6555</v>
      </c>
      <c r="C2750" s="7" t="s">
        <v>6558</v>
      </c>
      <c r="D2750" s="7" t="n">
        <v>2582</v>
      </c>
      <c r="E2750" s="7" t="s">
        <v>50</v>
      </c>
      <c r="F2750" s="7" t="n">
        <v>-34.839966</v>
      </c>
      <c r="G2750" s="7" t="n">
        <v>148.910809</v>
      </c>
      <c r="H2750" s="7" t="s">
        <v>2837</v>
      </c>
    </row>
    <row r="2751" customFormat="false" ht="15" hidden="false" customHeight="false" outlineLevel="0" collapsed="false">
      <c r="A2751" s="7" t="s">
        <v>7168</v>
      </c>
      <c r="B2751" s="7" t="s">
        <v>6559</v>
      </c>
      <c r="C2751" s="7" t="s">
        <v>6562</v>
      </c>
      <c r="D2751" s="7" t="n">
        <v>2681</v>
      </c>
      <c r="E2751" s="7" t="s">
        <v>50</v>
      </c>
      <c r="F2751" s="7" t="n">
        <v>-34.250153</v>
      </c>
      <c r="G2751" s="7" t="n">
        <v>146.195033</v>
      </c>
      <c r="H2751" s="7" t="s">
        <v>2718</v>
      </c>
    </row>
    <row r="2752" customFormat="false" ht="15" hidden="false" customHeight="false" outlineLevel="0" collapsed="false">
      <c r="A2752" s="7" t="s">
        <v>7168</v>
      </c>
      <c r="B2752" s="7" t="s">
        <v>6563</v>
      </c>
      <c r="C2752" s="7" t="s">
        <v>6566</v>
      </c>
      <c r="D2752" s="7" t="n">
        <v>2161</v>
      </c>
      <c r="E2752" s="7" t="s">
        <v>50</v>
      </c>
      <c r="F2752" s="7" t="n">
        <v>-33.8647184</v>
      </c>
      <c r="G2752" s="7" t="n">
        <v>150.9710073</v>
      </c>
      <c r="H2752" s="7" t="s">
        <v>2806</v>
      </c>
    </row>
    <row r="2753" customFormat="false" ht="15" hidden="false" customHeight="false" outlineLevel="0" collapsed="false">
      <c r="A2753" s="7" t="s">
        <v>7168</v>
      </c>
      <c r="B2753" s="7" t="s">
        <v>6568</v>
      </c>
      <c r="C2753" s="7" t="s">
        <v>6571</v>
      </c>
      <c r="D2753" s="7" t="n">
        <v>2575</v>
      </c>
      <c r="E2753" s="7" t="s">
        <v>50</v>
      </c>
      <c r="F2753" s="7" t="n">
        <v>-34.37174006</v>
      </c>
      <c r="G2753" s="7" t="n">
        <v>150.5434957</v>
      </c>
      <c r="H2753" s="7" t="s">
        <v>2806</v>
      </c>
    </row>
    <row r="2754" customFormat="false" ht="15" hidden="false" customHeight="false" outlineLevel="0" collapsed="false">
      <c r="A2754" s="7" t="s">
        <v>7168</v>
      </c>
      <c r="B2754" s="7" t="s">
        <v>6572</v>
      </c>
      <c r="C2754" s="7" t="s">
        <v>6575</v>
      </c>
      <c r="D2754" s="7" t="n">
        <v>2795</v>
      </c>
      <c r="E2754" s="7" t="s">
        <v>50</v>
      </c>
      <c r="F2754" s="7" t="n">
        <v>-33.446496</v>
      </c>
      <c r="G2754" s="7" t="n">
        <v>149.829108</v>
      </c>
      <c r="H2754" s="7" t="s">
        <v>2718</v>
      </c>
    </row>
    <row r="2755" customFormat="false" ht="15" hidden="false" customHeight="false" outlineLevel="0" collapsed="false">
      <c r="A2755" s="7" t="s">
        <v>7168</v>
      </c>
      <c r="B2755" s="7" t="s">
        <v>6576</v>
      </c>
      <c r="C2755" s="7" t="s">
        <v>6579</v>
      </c>
      <c r="D2755" s="7" t="n">
        <v>2594</v>
      </c>
      <c r="E2755" s="7" t="s">
        <v>50</v>
      </c>
      <c r="F2755" s="7" t="n">
        <v>-34.311437</v>
      </c>
      <c r="G2755" s="7" t="n">
        <v>148.297143</v>
      </c>
      <c r="H2755" s="7" t="s">
        <v>2837</v>
      </c>
    </row>
    <row r="2756" customFormat="false" ht="15" hidden="false" customHeight="false" outlineLevel="0" collapsed="false">
      <c r="A2756" s="7" t="s">
        <v>7168</v>
      </c>
      <c r="B2756" s="7" t="s">
        <v>6580</v>
      </c>
      <c r="C2756" s="7" t="s">
        <v>6583</v>
      </c>
      <c r="D2756" s="7" t="n">
        <v>2790</v>
      </c>
      <c r="E2756" s="7" t="s">
        <v>50</v>
      </c>
      <c r="F2756" s="7" t="n">
        <v>-33.4718103</v>
      </c>
      <c r="G2756" s="7" t="n">
        <v>150.202088</v>
      </c>
      <c r="H2756" s="7" t="s">
        <v>2806</v>
      </c>
    </row>
    <row r="2757" customFormat="false" ht="15" hidden="false" customHeight="false" outlineLevel="0" collapsed="false">
      <c r="A2757" s="7" t="s">
        <v>7169</v>
      </c>
      <c r="B2757" s="7" t="s">
        <v>6591</v>
      </c>
      <c r="C2757" s="7" t="s">
        <v>6592</v>
      </c>
      <c r="D2757" s="7" t="n">
        <v>2015</v>
      </c>
      <c r="E2757" s="7" t="s">
        <v>7170</v>
      </c>
      <c r="F2757" s="7"/>
      <c r="G2757" s="7"/>
      <c r="H2757" s="7" t="s">
        <v>6593</v>
      </c>
    </row>
    <row r="2758" customFormat="false" ht="15" hidden="false" customHeight="false" outlineLevel="0" collapsed="false">
      <c r="A2758" s="7" t="s">
        <v>7169</v>
      </c>
      <c r="B2758" s="7" t="s">
        <v>6597</v>
      </c>
      <c r="C2758" s="7" t="s">
        <v>6592</v>
      </c>
      <c r="D2758" s="7" t="n">
        <v>2015</v>
      </c>
      <c r="E2758" s="7" t="s">
        <v>7170</v>
      </c>
      <c r="F2758" s="7"/>
      <c r="G2758" s="7"/>
      <c r="H2758" s="7" t="s">
        <v>6598</v>
      </c>
    </row>
    <row r="2759" customFormat="false" ht="15" hidden="false" customHeight="false" outlineLevel="0" collapsed="false">
      <c r="A2759" s="7" t="s">
        <v>7169</v>
      </c>
      <c r="B2759" s="7" t="s">
        <v>6600</v>
      </c>
      <c r="C2759" s="7" t="s">
        <v>6601</v>
      </c>
      <c r="D2759" s="7" t="n">
        <v>2000</v>
      </c>
      <c r="E2759" s="7" t="s">
        <v>7170</v>
      </c>
      <c r="F2759" s="7"/>
      <c r="G2759" s="7"/>
      <c r="H2759" s="7" t="s">
        <v>6602</v>
      </c>
    </row>
    <row r="2760" customFormat="false" ht="15" hidden="false" customHeight="false" outlineLevel="0" collapsed="false">
      <c r="A2760" s="7" t="s">
        <v>7169</v>
      </c>
      <c r="B2760" s="7" t="s">
        <v>6604</v>
      </c>
      <c r="C2760" s="7" t="s">
        <v>6605</v>
      </c>
      <c r="D2760" s="7" t="n">
        <v>2015</v>
      </c>
      <c r="E2760" s="7" t="s">
        <v>7170</v>
      </c>
      <c r="F2760" s="7"/>
      <c r="G2760" s="7"/>
      <c r="H2760" s="7" t="s">
        <v>6606</v>
      </c>
    </row>
    <row r="2761" customFormat="false" ht="15" hidden="false" customHeight="false" outlineLevel="0" collapsed="false">
      <c r="A2761" s="7" t="s">
        <v>7169</v>
      </c>
      <c r="B2761" s="7" t="s">
        <v>6608</v>
      </c>
      <c r="C2761" s="7" t="s">
        <v>6609</v>
      </c>
      <c r="D2761" s="7" t="n">
        <v>2011</v>
      </c>
      <c r="E2761" s="7" t="s">
        <v>7170</v>
      </c>
      <c r="F2761" s="7"/>
      <c r="G2761" s="7"/>
      <c r="H2761" s="7" t="s">
        <v>6610</v>
      </c>
    </row>
    <row r="2762" customFormat="false" ht="15" hidden="false" customHeight="false" outlineLevel="0" collapsed="false">
      <c r="A2762" s="7" t="s">
        <v>7169</v>
      </c>
      <c r="B2762" s="7" t="s">
        <v>6612</v>
      </c>
      <c r="C2762" s="7" t="s">
        <v>6613</v>
      </c>
      <c r="D2762" s="7" t="n">
        <v>2021</v>
      </c>
      <c r="E2762" s="7" t="s">
        <v>7170</v>
      </c>
      <c r="F2762" s="7"/>
      <c r="G2762" s="7"/>
      <c r="H2762" s="7" t="s">
        <v>6610</v>
      </c>
    </row>
    <row r="2763" customFormat="false" ht="15" hidden="false" customHeight="false" outlineLevel="0" collapsed="false">
      <c r="A2763" s="7" t="s">
        <v>7169</v>
      </c>
      <c r="B2763" s="7" t="s">
        <v>6617</v>
      </c>
      <c r="C2763" s="7" t="s">
        <v>6618</v>
      </c>
      <c r="D2763" s="7" t="n">
        <v>2021</v>
      </c>
      <c r="E2763" s="7" t="s">
        <v>7170</v>
      </c>
      <c r="F2763" s="7"/>
      <c r="G2763" s="7"/>
      <c r="H2763" s="7" t="s">
        <v>6610</v>
      </c>
    </row>
    <row r="2764" customFormat="false" ht="15" hidden="false" customHeight="false" outlineLevel="0" collapsed="false">
      <c r="A2764" s="7" t="s">
        <v>7169</v>
      </c>
      <c r="B2764" s="7" t="s">
        <v>6620</v>
      </c>
      <c r="C2764" s="7" t="s">
        <v>6592</v>
      </c>
      <c r="D2764" s="7" t="n">
        <v>2015</v>
      </c>
      <c r="E2764" s="7" t="s">
        <v>7170</v>
      </c>
      <c r="F2764" s="7"/>
      <c r="G2764" s="7"/>
      <c r="H2764" s="7" t="s">
        <v>6621</v>
      </c>
    </row>
    <row r="2765" customFormat="false" ht="15" hidden="false" customHeight="false" outlineLevel="0" collapsed="false">
      <c r="A2765" s="7" t="s">
        <v>7169</v>
      </c>
      <c r="B2765" s="7" t="s">
        <v>6623</v>
      </c>
      <c r="C2765" s="7" t="s">
        <v>6601</v>
      </c>
      <c r="D2765" s="7" t="n">
        <v>2000</v>
      </c>
      <c r="E2765" s="7" t="s">
        <v>7170</v>
      </c>
      <c r="F2765" s="7"/>
      <c r="G2765" s="7"/>
      <c r="H2765" s="7" t="s">
        <v>6610</v>
      </c>
    </row>
    <row r="2766" customFormat="false" ht="15" hidden="false" customHeight="false" outlineLevel="0" collapsed="false">
      <c r="A2766" s="7" t="s">
        <v>7169</v>
      </c>
      <c r="B2766" s="7" t="s">
        <v>6625</v>
      </c>
      <c r="C2766" s="7" t="s">
        <v>6601</v>
      </c>
      <c r="D2766" s="7" t="n">
        <v>2000</v>
      </c>
      <c r="E2766" s="7" t="s">
        <v>7170</v>
      </c>
      <c r="F2766" s="7"/>
      <c r="G2766" s="7"/>
      <c r="H2766" s="7" t="s">
        <v>6602</v>
      </c>
    </row>
    <row r="2767" customFormat="false" ht="15" hidden="false" customHeight="false" outlineLevel="0" collapsed="false">
      <c r="A2767" s="7" t="s">
        <v>7169</v>
      </c>
      <c r="B2767" s="7" t="s">
        <v>6627</v>
      </c>
      <c r="C2767" s="7" t="s">
        <v>6628</v>
      </c>
      <c r="D2767" s="7" t="n">
        <v>2010</v>
      </c>
      <c r="E2767" s="7" t="s">
        <v>7170</v>
      </c>
      <c r="F2767" s="7"/>
      <c r="G2767" s="7"/>
      <c r="H2767" s="7" t="s">
        <v>6610</v>
      </c>
    </row>
    <row r="2768" customFormat="false" ht="15" hidden="false" customHeight="false" outlineLevel="0" collapsed="false">
      <c r="A2768" s="7" t="s">
        <v>7169</v>
      </c>
      <c r="B2768" s="7" t="s">
        <v>6630</v>
      </c>
      <c r="C2768" s="7" t="s">
        <v>6631</v>
      </c>
      <c r="D2768" s="7" t="n">
        <v>2043</v>
      </c>
      <c r="E2768" s="7" t="s">
        <v>7170</v>
      </c>
      <c r="F2768" s="7"/>
      <c r="G2768" s="7"/>
      <c r="H2768" s="7" t="s">
        <v>6593</v>
      </c>
    </row>
    <row r="2769" customFormat="false" ht="15" hidden="false" customHeight="false" outlineLevel="0" collapsed="false">
      <c r="A2769" s="7" t="s">
        <v>7169</v>
      </c>
      <c r="B2769" s="7" t="s">
        <v>6633</v>
      </c>
      <c r="C2769" s="7" t="s">
        <v>6634</v>
      </c>
      <c r="D2769" s="7" t="n">
        <v>2038</v>
      </c>
      <c r="E2769" s="7" t="s">
        <v>7170</v>
      </c>
      <c r="F2769" s="7"/>
      <c r="G2769" s="7"/>
      <c r="H2769" s="7" t="s">
        <v>6593</v>
      </c>
    </row>
    <row r="2770" customFormat="false" ht="15" hidden="false" customHeight="false" outlineLevel="0" collapsed="false">
      <c r="A2770" s="7" t="s">
        <v>7169</v>
      </c>
      <c r="B2770" s="7" t="s">
        <v>6636</v>
      </c>
      <c r="C2770" s="7" t="s">
        <v>6637</v>
      </c>
      <c r="D2770" s="7" t="n">
        <v>2018</v>
      </c>
      <c r="E2770" s="7" t="s">
        <v>7170</v>
      </c>
      <c r="F2770" s="7"/>
      <c r="G2770" s="7"/>
      <c r="H2770" s="7" t="s">
        <v>6610</v>
      </c>
    </row>
    <row r="2771" customFormat="false" ht="15" hidden="false" customHeight="false" outlineLevel="0" collapsed="false">
      <c r="A2771" s="7" t="s">
        <v>7169</v>
      </c>
      <c r="B2771" s="7" t="s">
        <v>6638</v>
      </c>
      <c r="C2771" s="7" t="s">
        <v>6592</v>
      </c>
      <c r="D2771" s="7" t="n">
        <v>2015</v>
      </c>
      <c r="E2771" s="7" t="s">
        <v>7170</v>
      </c>
      <c r="F2771" s="7"/>
      <c r="G2771" s="7"/>
      <c r="H2771" s="7" t="s">
        <v>6593</v>
      </c>
    </row>
    <row r="2772" customFormat="false" ht="15" hidden="false" customHeight="false" outlineLevel="0" collapsed="false">
      <c r="A2772" s="7" t="s">
        <v>7169</v>
      </c>
      <c r="B2772" s="7" t="s">
        <v>6640</v>
      </c>
      <c r="C2772" s="7" t="s">
        <v>6631</v>
      </c>
      <c r="D2772" s="7" t="n">
        <v>2043</v>
      </c>
      <c r="E2772" s="7" t="s">
        <v>7170</v>
      </c>
      <c r="F2772" s="7"/>
      <c r="G2772" s="7"/>
      <c r="H2772" s="7" t="s">
        <v>6610</v>
      </c>
    </row>
    <row r="2773" customFormat="false" ht="15" hidden="false" customHeight="false" outlineLevel="0" collapsed="false">
      <c r="A2773" s="7" t="s">
        <v>7169</v>
      </c>
      <c r="B2773" s="7" t="s">
        <v>6642</v>
      </c>
      <c r="C2773" s="7" t="s">
        <v>6643</v>
      </c>
      <c r="D2773" s="7" t="n">
        <v>2017</v>
      </c>
      <c r="E2773" s="7" t="s">
        <v>7170</v>
      </c>
      <c r="F2773" s="7"/>
      <c r="G2773" s="7"/>
      <c r="H2773" s="7" t="s">
        <v>6593</v>
      </c>
    </row>
    <row r="2774" customFormat="false" ht="15" hidden="false" customHeight="false" outlineLevel="0" collapsed="false">
      <c r="A2774" s="7" t="s">
        <v>7169</v>
      </c>
      <c r="B2774" s="7" t="s">
        <v>6645</v>
      </c>
      <c r="C2774" s="7" t="s">
        <v>6643</v>
      </c>
      <c r="D2774" s="7" t="n">
        <v>2017</v>
      </c>
      <c r="E2774" s="7" t="s">
        <v>7170</v>
      </c>
      <c r="F2774" s="7"/>
      <c r="G2774" s="7"/>
      <c r="H2774" s="7" t="s">
        <v>6602</v>
      </c>
    </row>
    <row r="2775" customFormat="false" ht="15" hidden="false" customHeight="false" outlineLevel="0" collapsed="false">
      <c r="A2775" s="7" t="s">
        <v>7169</v>
      </c>
      <c r="B2775" s="7" t="s">
        <v>6647</v>
      </c>
      <c r="C2775" s="7" t="s">
        <v>6648</v>
      </c>
      <c r="D2775" s="7" t="n">
        <v>2000</v>
      </c>
      <c r="E2775" s="7" t="s">
        <v>7170</v>
      </c>
      <c r="F2775" s="7"/>
      <c r="G2775" s="7"/>
      <c r="H2775" s="7" t="s">
        <v>6610</v>
      </c>
    </row>
    <row r="2776" customFormat="false" ht="15" hidden="false" customHeight="false" outlineLevel="0" collapsed="false">
      <c r="A2776" s="7" t="s">
        <v>7169</v>
      </c>
      <c r="B2776" s="7" t="s">
        <v>6650</v>
      </c>
      <c r="C2776" s="7" t="s">
        <v>6631</v>
      </c>
      <c r="D2776" s="7" t="n">
        <v>2043</v>
      </c>
      <c r="E2776" s="7" t="s">
        <v>7170</v>
      </c>
      <c r="F2776" s="7"/>
      <c r="G2776" s="7"/>
      <c r="H2776" s="7" t="s">
        <v>6610</v>
      </c>
    </row>
    <row r="2777" customFormat="false" ht="15" hidden="false" customHeight="false" outlineLevel="0" collapsed="false">
      <c r="A2777" s="7" t="s">
        <v>7169</v>
      </c>
      <c r="B2777" s="7" t="s">
        <v>6652</v>
      </c>
      <c r="C2777" s="7" t="s">
        <v>6653</v>
      </c>
      <c r="D2777" s="7" t="n">
        <v>2016</v>
      </c>
      <c r="E2777" s="7" t="s">
        <v>7170</v>
      </c>
      <c r="F2777" s="7"/>
      <c r="G2777" s="7"/>
      <c r="H2777" s="7" t="s">
        <v>6610</v>
      </c>
    </row>
    <row r="2778" customFormat="false" ht="15" hidden="false" customHeight="false" outlineLevel="0" collapsed="false">
      <c r="A2778" s="7" t="s">
        <v>7169</v>
      </c>
      <c r="B2778" s="7" t="s">
        <v>6654</v>
      </c>
      <c r="C2778" s="7" t="s">
        <v>6655</v>
      </c>
      <c r="D2778" s="7" t="n">
        <v>2007</v>
      </c>
      <c r="E2778" s="7" t="s">
        <v>7170</v>
      </c>
      <c r="F2778" s="7"/>
      <c r="G2778" s="7"/>
      <c r="H2778" s="7" t="s">
        <v>6602</v>
      </c>
    </row>
    <row r="2779" customFormat="false" ht="15" hidden="false" customHeight="false" outlineLevel="0" collapsed="false">
      <c r="A2779" s="7" t="s">
        <v>7169</v>
      </c>
      <c r="B2779" s="7" t="s">
        <v>6656</v>
      </c>
      <c r="C2779" s="7" t="s">
        <v>6628</v>
      </c>
      <c r="D2779" s="7" t="n">
        <v>2010</v>
      </c>
      <c r="E2779" s="7" t="s">
        <v>7170</v>
      </c>
      <c r="F2779" s="7"/>
      <c r="G2779" s="7"/>
      <c r="H2779" s="7" t="s">
        <v>6610</v>
      </c>
    </row>
    <row r="2780" customFormat="false" ht="15" hidden="false" customHeight="false" outlineLevel="0" collapsed="false">
      <c r="A2780" s="7" t="s">
        <v>7169</v>
      </c>
      <c r="B2780" s="7" t="s">
        <v>6657</v>
      </c>
      <c r="C2780" s="7" t="s">
        <v>6631</v>
      </c>
      <c r="D2780" s="7" t="n">
        <v>2043</v>
      </c>
      <c r="E2780" s="7" t="s">
        <v>7170</v>
      </c>
      <c r="F2780" s="7"/>
      <c r="G2780" s="7"/>
      <c r="H2780" s="7" t="s">
        <v>6658</v>
      </c>
    </row>
    <row r="2781" customFormat="false" ht="15" hidden="false" customHeight="false" outlineLevel="0" collapsed="false">
      <c r="A2781" s="7" t="s">
        <v>7169</v>
      </c>
      <c r="B2781" s="7" t="s">
        <v>6659</v>
      </c>
      <c r="C2781" s="7" t="s">
        <v>6643</v>
      </c>
      <c r="D2781" s="7" t="n">
        <v>2017</v>
      </c>
      <c r="E2781" s="7" t="s">
        <v>7170</v>
      </c>
      <c r="F2781" s="7"/>
      <c r="G2781" s="7"/>
      <c r="H2781" s="7" t="s">
        <v>6610</v>
      </c>
    </row>
    <row r="2782" customFormat="false" ht="15" hidden="false" customHeight="false" outlineLevel="0" collapsed="false">
      <c r="A2782" s="7" t="s">
        <v>7169</v>
      </c>
      <c r="B2782" s="7" t="s">
        <v>6661</v>
      </c>
      <c r="C2782" s="7" t="s">
        <v>6609</v>
      </c>
      <c r="D2782" s="7" t="n">
        <v>2011</v>
      </c>
      <c r="E2782" s="7" t="s">
        <v>7170</v>
      </c>
      <c r="F2782" s="7"/>
      <c r="G2782" s="7"/>
      <c r="H2782" s="7" t="s">
        <v>6621</v>
      </c>
    </row>
    <row r="2783" customFormat="false" ht="15" hidden="false" customHeight="false" outlineLevel="0" collapsed="false">
      <c r="A2783" s="7" t="s">
        <v>7169</v>
      </c>
      <c r="B2783" s="7" t="s">
        <v>6663</v>
      </c>
      <c r="C2783" s="7" t="s">
        <v>6664</v>
      </c>
      <c r="D2783" s="7" t="n">
        <v>2037</v>
      </c>
      <c r="E2783" s="7" t="s">
        <v>7170</v>
      </c>
      <c r="F2783" s="7"/>
      <c r="G2783" s="7"/>
      <c r="H2783" s="7" t="s">
        <v>6593</v>
      </c>
    </row>
    <row r="2784" customFormat="false" ht="15" hidden="false" customHeight="false" outlineLevel="0" collapsed="false">
      <c r="A2784" s="7" t="s">
        <v>7169</v>
      </c>
      <c r="B2784" s="7" t="s">
        <v>6666</v>
      </c>
      <c r="C2784" s="7" t="s">
        <v>6667</v>
      </c>
      <c r="D2784" s="7" t="n">
        <v>2000</v>
      </c>
      <c r="E2784" s="7" t="s">
        <v>7170</v>
      </c>
      <c r="F2784" s="7"/>
      <c r="G2784" s="7"/>
      <c r="H2784" s="7" t="s">
        <v>6621</v>
      </c>
    </row>
    <row r="2785" customFormat="false" ht="15" hidden="false" customHeight="false" outlineLevel="0" collapsed="false">
      <c r="A2785" s="7" t="s">
        <v>7169</v>
      </c>
      <c r="B2785" s="7" t="s">
        <v>6669</v>
      </c>
      <c r="C2785" s="7" t="s">
        <v>6670</v>
      </c>
      <c r="D2785" s="7" t="n">
        <v>2042</v>
      </c>
      <c r="E2785" s="7" t="s">
        <v>7170</v>
      </c>
      <c r="F2785" s="7"/>
      <c r="G2785" s="7"/>
      <c r="H2785" s="7" t="s">
        <v>6610</v>
      </c>
    </row>
    <row r="2786" customFormat="false" ht="15" hidden="false" customHeight="false" outlineLevel="0" collapsed="false">
      <c r="A2786" s="7" t="s">
        <v>7169</v>
      </c>
      <c r="B2786" s="7" t="s">
        <v>6671</v>
      </c>
      <c r="C2786" s="7" t="s">
        <v>6672</v>
      </c>
      <c r="D2786" s="7" t="n">
        <v>2050</v>
      </c>
      <c r="E2786" s="7" t="s">
        <v>7170</v>
      </c>
      <c r="F2786" s="7"/>
      <c r="G2786" s="7"/>
      <c r="H2786" s="7" t="s">
        <v>6610</v>
      </c>
    </row>
    <row r="2787" customFormat="false" ht="15" hidden="false" customHeight="false" outlineLevel="0" collapsed="false">
      <c r="A2787" s="7" t="s">
        <v>7169</v>
      </c>
      <c r="B2787" s="7" t="s">
        <v>6673</v>
      </c>
      <c r="C2787" s="7" t="s">
        <v>6674</v>
      </c>
      <c r="D2787" s="7" t="n">
        <v>2000</v>
      </c>
      <c r="E2787" s="7" t="s">
        <v>7170</v>
      </c>
      <c r="F2787" s="7"/>
      <c r="G2787" s="7"/>
      <c r="H2787" s="7" t="s">
        <v>6675</v>
      </c>
    </row>
    <row r="2788" customFormat="false" ht="15" hidden="false" customHeight="false" outlineLevel="0" collapsed="false">
      <c r="A2788" s="7" t="s">
        <v>7169</v>
      </c>
      <c r="B2788" s="7" t="s">
        <v>6676</v>
      </c>
      <c r="C2788" s="7" t="s">
        <v>6643</v>
      </c>
      <c r="D2788" s="7" t="n">
        <v>2017</v>
      </c>
      <c r="E2788" s="7" t="s">
        <v>7170</v>
      </c>
      <c r="F2788" s="7"/>
      <c r="G2788" s="7"/>
      <c r="H2788" s="7" t="s">
        <v>6610</v>
      </c>
    </row>
    <row r="2789" customFormat="false" ht="15" hidden="false" customHeight="false" outlineLevel="0" collapsed="false">
      <c r="A2789" s="7" t="s">
        <v>7169</v>
      </c>
      <c r="B2789" s="7" t="s">
        <v>6678</v>
      </c>
      <c r="C2789" s="7" t="s">
        <v>6679</v>
      </c>
      <c r="D2789" s="7" t="n">
        <v>2009</v>
      </c>
      <c r="E2789" s="7" t="s">
        <v>7170</v>
      </c>
      <c r="F2789" s="7"/>
      <c r="G2789" s="7"/>
      <c r="H2789" s="7" t="s">
        <v>6621</v>
      </c>
    </row>
    <row r="2790" customFormat="false" ht="15" hidden="false" customHeight="false" outlineLevel="0" collapsed="false">
      <c r="A2790" s="7" t="s">
        <v>7169</v>
      </c>
      <c r="B2790" s="7" t="s">
        <v>6681</v>
      </c>
      <c r="C2790" s="7" t="s">
        <v>6664</v>
      </c>
      <c r="D2790" s="7" t="n">
        <v>2037</v>
      </c>
      <c r="E2790" s="7" t="s">
        <v>7170</v>
      </c>
      <c r="F2790" s="7"/>
      <c r="G2790" s="7"/>
      <c r="H2790" s="7" t="s">
        <v>6610</v>
      </c>
    </row>
    <row r="2791" customFormat="false" ht="15" hidden="false" customHeight="false" outlineLevel="0" collapsed="false">
      <c r="A2791" s="7" t="s">
        <v>7169</v>
      </c>
      <c r="B2791" s="7" t="s">
        <v>6618</v>
      </c>
      <c r="C2791" s="7" t="s">
        <v>6618</v>
      </c>
      <c r="D2791" s="7" t="n">
        <v>2021</v>
      </c>
      <c r="E2791" s="7" t="s">
        <v>7170</v>
      </c>
      <c r="F2791" s="7"/>
      <c r="G2791" s="7"/>
      <c r="H2791" s="7" t="s">
        <v>6610</v>
      </c>
    </row>
    <row r="2792" customFormat="false" ht="15" hidden="false" customHeight="false" outlineLevel="0" collapsed="false">
      <c r="A2792" s="7" t="s">
        <v>7169</v>
      </c>
      <c r="B2792" s="7" t="s">
        <v>6682</v>
      </c>
      <c r="C2792" s="7" t="s">
        <v>6618</v>
      </c>
      <c r="D2792" s="7" t="n">
        <v>2021</v>
      </c>
      <c r="E2792" s="7" t="s">
        <v>7170</v>
      </c>
      <c r="F2792" s="7"/>
      <c r="G2792" s="7"/>
      <c r="H2792" s="7" t="s">
        <v>6610</v>
      </c>
    </row>
    <row r="2793" customFormat="false" ht="15" hidden="false" customHeight="false" outlineLevel="0" collapsed="false">
      <c r="A2793" s="7" t="s">
        <v>7169</v>
      </c>
      <c r="B2793" s="7" t="s">
        <v>6683</v>
      </c>
      <c r="C2793" s="7" t="s">
        <v>6643</v>
      </c>
      <c r="D2793" s="7" t="n">
        <v>2017</v>
      </c>
      <c r="E2793" s="7" t="s">
        <v>7170</v>
      </c>
      <c r="F2793" s="7"/>
      <c r="G2793" s="7"/>
      <c r="H2793" s="7" t="s">
        <v>6610</v>
      </c>
    </row>
    <row r="2794" customFormat="false" ht="15" hidden="false" customHeight="false" outlineLevel="0" collapsed="false">
      <c r="A2794" s="7" t="s">
        <v>7169</v>
      </c>
      <c r="B2794" s="7" t="s">
        <v>6684</v>
      </c>
      <c r="C2794" s="7" t="s">
        <v>6648</v>
      </c>
      <c r="D2794" s="7" t="n">
        <v>2000</v>
      </c>
      <c r="E2794" s="7" t="s">
        <v>7170</v>
      </c>
      <c r="F2794" s="7"/>
      <c r="G2794" s="7"/>
      <c r="H2794" s="7" t="s">
        <v>6610</v>
      </c>
    </row>
    <row r="2795" customFormat="false" ht="15" hidden="false" customHeight="false" outlineLevel="0" collapsed="false">
      <c r="A2795" s="7" t="s">
        <v>7169</v>
      </c>
      <c r="B2795" s="7" t="s">
        <v>6685</v>
      </c>
      <c r="C2795" s="7" t="s">
        <v>6592</v>
      </c>
      <c r="D2795" s="7" t="n">
        <v>2015</v>
      </c>
      <c r="E2795" s="7" t="s">
        <v>7170</v>
      </c>
      <c r="F2795" s="7"/>
      <c r="G2795" s="7"/>
      <c r="H2795" s="7" t="s">
        <v>6686</v>
      </c>
    </row>
    <row r="2796" customFormat="false" ht="15" hidden="false" customHeight="false" outlineLevel="0" collapsed="false">
      <c r="A2796" s="7" t="s">
        <v>7169</v>
      </c>
      <c r="B2796" s="7" t="s">
        <v>6688</v>
      </c>
      <c r="C2796" s="7" t="s">
        <v>6664</v>
      </c>
      <c r="D2796" s="7" t="n">
        <v>2037</v>
      </c>
      <c r="E2796" s="7" t="s">
        <v>7170</v>
      </c>
      <c r="F2796" s="7"/>
      <c r="G2796" s="7"/>
      <c r="H2796" s="7" t="s">
        <v>6658</v>
      </c>
    </row>
    <row r="2797" customFormat="false" ht="15" hidden="false" customHeight="false" outlineLevel="0" collapsed="false">
      <c r="A2797" s="7" t="s">
        <v>7169</v>
      </c>
      <c r="B2797" s="7" t="s">
        <v>6690</v>
      </c>
      <c r="C2797" s="7" t="s">
        <v>6679</v>
      </c>
      <c r="D2797" s="7" t="n">
        <v>2009</v>
      </c>
      <c r="E2797" s="7" t="s">
        <v>7170</v>
      </c>
      <c r="F2797" s="7"/>
      <c r="G2797" s="7"/>
      <c r="H2797" s="7" t="s">
        <v>6610</v>
      </c>
    </row>
    <row r="2798" customFormat="false" ht="15" hidden="false" customHeight="false" outlineLevel="0" collapsed="false">
      <c r="A2798" s="7" t="s">
        <v>7169</v>
      </c>
      <c r="B2798" s="7" t="s">
        <v>6691</v>
      </c>
      <c r="C2798" s="7" t="s">
        <v>6628</v>
      </c>
      <c r="D2798" s="7" t="n">
        <v>2010</v>
      </c>
      <c r="E2798" s="7" t="s">
        <v>7170</v>
      </c>
      <c r="F2798" s="7"/>
      <c r="G2798" s="7"/>
      <c r="H2798" s="7" t="s">
        <v>6610</v>
      </c>
    </row>
    <row r="2799" customFormat="false" ht="15" hidden="false" customHeight="false" outlineLevel="0" collapsed="false">
      <c r="A2799" s="7" t="s">
        <v>7169</v>
      </c>
      <c r="B2799" s="7" t="s">
        <v>6693</v>
      </c>
      <c r="C2799" s="7" t="s">
        <v>6628</v>
      </c>
      <c r="D2799" s="7" t="n">
        <v>2010</v>
      </c>
      <c r="E2799" s="7" t="s">
        <v>7170</v>
      </c>
      <c r="F2799" s="7"/>
      <c r="G2799" s="7"/>
      <c r="H2799" s="7" t="s">
        <v>6602</v>
      </c>
    </row>
    <row r="2800" customFormat="false" ht="15" hidden="false" customHeight="false" outlineLevel="0" collapsed="false">
      <c r="A2800" s="7" t="s">
        <v>7169</v>
      </c>
      <c r="B2800" s="7" t="s">
        <v>6694</v>
      </c>
      <c r="C2800" s="7" t="s">
        <v>6628</v>
      </c>
      <c r="D2800" s="7" t="n">
        <v>2010</v>
      </c>
      <c r="E2800" s="7" t="s">
        <v>7170</v>
      </c>
      <c r="F2800" s="7"/>
      <c r="G2800" s="7"/>
      <c r="H2800" s="7" t="s">
        <v>6606</v>
      </c>
    </row>
    <row r="2801" customFormat="false" ht="15" hidden="false" customHeight="false" outlineLevel="0" collapsed="false">
      <c r="A2801" s="7" t="s">
        <v>7169</v>
      </c>
      <c r="B2801" s="7" t="s">
        <v>6696</v>
      </c>
      <c r="C2801" s="7" t="s">
        <v>6679</v>
      </c>
      <c r="D2801" s="7" t="n">
        <v>2009</v>
      </c>
      <c r="E2801" s="7" t="s">
        <v>7170</v>
      </c>
      <c r="F2801" s="7"/>
      <c r="G2801" s="7"/>
      <c r="H2801" s="7" t="s">
        <v>6621</v>
      </c>
    </row>
    <row r="2802" customFormat="false" ht="15" hidden="false" customHeight="false" outlineLevel="0" collapsed="false">
      <c r="A2802" s="7" t="s">
        <v>7169</v>
      </c>
      <c r="B2802" s="7" t="s">
        <v>6697</v>
      </c>
      <c r="C2802" s="7" t="s">
        <v>6653</v>
      </c>
      <c r="D2802" s="7" t="n">
        <v>2016</v>
      </c>
      <c r="E2802" s="7" t="s">
        <v>7170</v>
      </c>
      <c r="F2802" s="7"/>
      <c r="G2802" s="7"/>
      <c r="H2802" s="7" t="s">
        <v>6621</v>
      </c>
    </row>
    <row r="2803" customFormat="false" ht="15" hidden="false" customHeight="false" outlineLevel="0" collapsed="false">
      <c r="A2803" s="7" t="s">
        <v>7169</v>
      </c>
      <c r="B2803" s="7" t="s">
        <v>6699</v>
      </c>
      <c r="C2803" s="7" t="s">
        <v>6653</v>
      </c>
      <c r="D2803" s="7" t="n">
        <v>2016</v>
      </c>
      <c r="E2803" s="7" t="s">
        <v>7170</v>
      </c>
      <c r="F2803" s="7"/>
      <c r="G2803" s="7"/>
      <c r="H2803" s="7" t="s">
        <v>6593</v>
      </c>
    </row>
    <row r="2804" customFormat="false" ht="15" hidden="false" customHeight="false" outlineLevel="0" collapsed="false">
      <c r="A2804" s="7" t="s">
        <v>7169</v>
      </c>
      <c r="B2804" s="7" t="s">
        <v>6701</v>
      </c>
      <c r="C2804" s="7" t="s">
        <v>6653</v>
      </c>
      <c r="D2804" s="7" t="n">
        <v>2016</v>
      </c>
      <c r="E2804" s="7" t="s">
        <v>7170</v>
      </c>
      <c r="F2804" s="7"/>
      <c r="G2804" s="7"/>
      <c r="H2804" s="7" t="s">
        <v>6610</v>
      </c>
    </row>
    <row r="2805" customFormat="false" ht="15" hidden="false" customHeight="false" outlineLevel="0" collapsed="false">
      <c r="A2805" s="7" t="s">
        <v>7169</v>
      </c>
      <c r="B2805" s="7" t="s">
        <v>6703</v>
      </c>
      <c r="C2805" s="7" t="s">
        <v>6704</v>
      </c>
      <c r="D2805" s="7" t="n">
        <v>2011</v>
      </c>
      <c r="E2805" s="7" t="s">
        <v>7170</v>
      </c>
      <c r="F2805" s="7"/>
      <c r="G2805" s="7"/>
      <c r="H2805" s="7" t="s">
        <v>6593</v>
      </c>
    </row>
    <row r="2806" customFormat="false" ht="15" hidden="false" customHeight="false" outlineLevel="0" collapsed="false">
      <c r="A2806" s="7" t="s">
        <v>7169</v>
      </c>
      <c r="B2806" s="7" t="s">
        <v>6706</v>
      </c>
      <c r="C2806" s="7" t="s">
        <v>6707</v>
      </c>
      <c r="D2806" s="7" t="n">
        <v>2011</v>
      </c>
      <c r="E2806" s="7" t="s">
        <v>7170</v>
      </c>
      <c r="F2806" s="7"/>
      <c r="G2806" s="7"/>
      <c r="H2806" s="7" t="s">
        <v>6621</v>
      </c>
    </row>
    <row r="2807" customFormat="false" ht="15" hidden="false" customHeight="false" outlineLevel="0" collapsed="false">
      <c r="A2807" s="7" t="s">
        <v>7169</v>
      </c>
      <c r="B2807" s="7" t="s">
        <v>6708</v>
      </c>
      <c r="C2807" s="7" t="s">
        <v>6653</v>
      </c>
      <c r="D2807" s="7" t="n">
        <v>2016</v>
      </c>
      <c r="E2807" s="7" t="s">
        <v>7170</v>
      </c>
      <c r="F2807" s="7"/>
      <c r="G2807" s="7"/>
      <c r="H2807" s="7" t="s">
        <v>6621</v>
      </c>
    </row>
    <row r="2808" customFormat="false" ht="15" hidden="false" customHeight="false" outlineLevel="0" collapsed="false">
      <c r="A2808" s="7" t="s">
        <v>7169</v>
      </c>
      <c r="B2808" s="7" t="s">
        <v>6709</v>
      </c>
      <c r="C2808" s="7" t="s">
        <v>6704</v>
      </c>
      <c r="D2808" s="7" t="n">
        <v>2011</v>
      </c>
      <c r="E2808" s="7" t="s">
        <v>7170</v>
      </c>
      <c r="F2808" s="7"/>
      <c r="G2808" s="7"/>
      <c r="H2808" s="7" t="s">
        <v>6606</v>
      </c>
    </row>
    <row r="2809" customFormat="false" ht="15" hidden="false" customHeight="false" outlineLevel="0" collapsed="false">
      <c r="A2809" s="7" t="s">
        <v>7169</v>
      </c>
      <c r="B2809" s="7" t="s">
        <v>6711</v>
      </c>
      <c r="C2809" s="7" t="s">
        <v>6664</v>
      </c>
      <c r="D2809" s="7" t="n">
        <v>2037</v>
      </c>
      <c r="E2809" s="7" t="s">
        <v>7170</v>
      </c>
      <c r="F2809" s="7"/>
      <c r="G2809" s="7"/>
      <c r="H2809" s="7" t="s">
        <v>6621</v>
      </c>
    </row>
    <row r="2810" customFormat="false" ht="15" hidden="false" customHeight="false" outlineLevel="0" collapsed="false">
      <c r="A2810" s="7" t="s">
        <v>7169</v>
      </c>
      <c r="B2810" s="7" t="s">
        <v>6712</v>
      </c>
      <c r="C2810" s="7" t="s">
        <v>6664</v>
      </c>
      <c r="D2810" s="7" t="n">
        <v>2037</v>
      </c>
      <c r="E2810" s="7" t="s">
        <v>7170</v>
      </c>
      <c r="F2810" s="7"/>
      <c r="G2810" s="7"/>
      <c r="H2810" s="7" t="s">
        <v>6606</v>
      </c>
    </row>
    <row r="2811" customFormat="false" ht="15" hidden="false" customHeight="false" outlineLevel="0" collapsed="false">
      <c r="A2811" s="7" t="s">
        <v>7169</v>
      </c>
      <c r="B2811" s="7" t="s">
        <v>6713</v>
      </c>
      <c r="C2811" s="7" t="s">
        <v>6592</v>
      </c>
      <c r="D2811" s="7" t="n">
        <v>2015</v>
      </c>
      <c r="E2811" s="7" t="s">
        <v>7170</v>
      </c>
      <c r="F2811" s="7"/>
      <c r="G2811" s="7"/>
      <c r="H2811" s="7" t="s">
        <v>6610</v>
      </c>
    </row>
    <row r="2812" customFormat="false" ht="15" hidden="false" customHeight="false" outlineLevel="0" collapsed="false">
      <c r="A2812" s="7" t="s">
        <v>7169</v>
      </c>
      <c r="B2812" s="7" t="s">
        <v>6715</v>
      </c>
      <c r="C2812" s="7" t="s">
        <v>6634</v>
      </c>
      <c r="D2812" s="7" t="n">
        <v>2038</v>
      </c>
      <c r="E2812" s="7" t="s">
        <v>7170</v>
      </c>
      <c r="F2812" s="7"/>
      <c r="G2812" s="7"/>
      <c r="H2812" s="7" t="s">
        <v>6593</v>
      </c>
    </row>
    <row r="2813" customFormat="false" ht="15" hidden="false" customHeight="false" outlineLevel="0" collapsed="false">
      <c r="A2813" s="7" t="s">
        <v>7169</v>
      </c>
      <c r="B2813" s="7" t="s">
        <v>6717</v>
      </c>
      <c r="C2813" s="7" t="s">
        <v>6601</v>
      </c>
      <c r="D2813" s="7" t="n">
        <v>2000</v>
      </c>
      <c r="E2813" s="7" t="s">
        <v>7170</v>
      </c>
      <c r="F2813" s="7"/>
      <c r="G2813" s="7"/>
      <c r="H2813" s="7" t="s">
        <v>6610</v>
      </c>
    </row>
    <row r="2814" customFormat="false" ht="15" hidden="false" customHeight="false" outlineLevel="0" collapsed="false">
      <c r="A2814" s="7" t="s">
        <v>7169</v>
      </c>
      <c r="B2814" s="7" t="s">
        <v>6720</v>
      </c>
      <c r="C2814" s="7" t="s">
        <v>6601</v>
      </c>
      <c r="D2814" s="7" t="n">
        <v>2000</v>
      </c>
      <c r="E2814" s="7" t="s">
        <v>7170</v>
      </c>
      <c r="F2814" s="7"/>
      <c r="G2814" s="7"/>
      <c r="H2814" s="7" t="s">
        <v>6610</v>
      </c>
    </row>
    <row r="2815" customFormat="false" ht="15" hidden="false" customHeight="false" outlineLevel="0" collapsed="false">
      <c r="A2815" s="7" t="s">
        <v>7169</v>
      </c>
      <c r="B2815" s="7" t="s">
        <v>6723</v>
      </c>
      <c r="C2815" s="7" t="s">
        <v>6637</v>
      </c>
      <c r="D2815" s="7" t="n">
        <v>2018</v>
      </c>
      <c r="E2815" s="7" t="s">
        <v>7170</v>
      </c>
      <c r="F2815" s="7"/>
      <c r="G2815" s="7"/>
      <c r="H2815" s="7" t="s">
        <v>6606</v>
      </c>
    </row>
    <row r="2816" customFormat="false" ht="15" hidden="false" customHeight="false" outlineLevel="0" collapsed="false">
      <c r="A2816" s="7" t="s">
        <v>7169</v>
      </c>
      <c r="B2816" s="7" t="s">
        <v>6725</v>
      </c>
      <c r="C2816" s="7" t="s">
        <v>6637</v>
      </c>
      <c r="D2816" s="7" t="n">
        <v>2018</v>
      </c>
      <c r="E2816" s="7" t="s">
        <v>7170</v>
      </c>
      <c r="F2816" s="7"/>
      <c r="G2816" s="7"/>
      <c r="H2816" s="7" t="s">
        <v>6593</v>
      </c>
    </row>
    <row r="2817" customFormat="false" ht="15" hidden="false" customHeight="false" outlineLevel="0" collapsed="false">
      <c r="A2817" s="7" t="s">
        <v>7169</v>
      </c>
      <c r="B2817" s="7" t="s">
        <v>6726</v>
      </c>
      <c r="C2817" s="7" t="s">
        <v>6655</v>
      </c>
      <c r="D2817" s="7" t="n">
        <v>2007</v>
      </c>
      <c r="E2817" s="7" t="s">
        <v>7170</v>
      </c>
      <c r="F2817" s="7"/>
      <c r="G2817" s="7"/>
      <c r="H2817" s="7" t="s">
        <v>6621</v>
      </c>
    </row>
    <row r="2818" customFormat="false" ht="15" hidden="false" customHeight="false" outlineLevel="0" collapsed="false">
      <c r="A2818" s="7" t="s">
        <v>7169</v>
      </c>
      <c r="B2818" s="7" t="s">
        <v>6728</v>
      </c>
      <c r="C2818" s="7" t="s">
        <v>6729</v>
      </c>
      <c r="D2818" s="7" t="n">
        <v>2008</v>
      </c>
      <c r="E2818" s="7" t="s">
        <v>7170</v>
      </c>
      <c r="F2818" s="7"/>
      <c r="G2818" s="7"/>
      <c r="H2818" s="7" t="s">
        <v>6610</v>
      </c>
    </row>
    <row r="2819" customFormat="false" ht="15" hidden="false" customHeight="false" outlineLevel="0" collapsed="false">
      <c r="A2819" s="7" t="s">
        <v>7169</v>
      </c>
      <c r="B2819" s="7" t="s">
        <v>6730</v>
      </c>
      <c r="C2819" s="7" t="s">
        <v>6729</v>
      </c>
      <c r="D2819" s="7" t="n">
        <v>2008</v>
      </c>
      <c r="E2819" s="7" t="s">
        <v>7170</v>
      </c>
      <c r="F2819" s="7"/>
      <c r="G2819" s="7"/>
      <c r="H2819" s="7" t="s">
        <v>6602</v>
      </c>
    </row>
    <row r="2820" customFormat="false" ht="15" hidden="false" customHeight="false" outlineLevel="0" collapsed="false">
      <c r="A2820" s="7" t="s">
        <v>7169</v>
      </c>
      <c r="B2820" s="7" t="s">
        <v>6731</v>
      </c>
      <c r="C2820" s="7" t="s">
        <v>6732</v>
      </c>
      <c r="D2820" s="7" t="n">
        <v>2017</v>
      </c>
      <c r="E2820" s="7" t="s">
        <v>7170</v>
      </c>
      <c r="F2820" s="7"/>
      <c r="G2820" s="7"/>
      <c r="H2820" s="7" t="s">
        <v>6610</v>
      </c>
    </row>
    <row r="2821" customFormat="false" ht="15" hidden="false" customHeight="false" outlineLevel="0" collapsed="false">
      <c r="A2821" s="7" t="s">
        <v>7169</v>
      </c>
      <c r="B2821" s="7" t="s">
        <v>6733</v>
      </c>
      <c r="C2821" s="7" t="s">
        <v>6732</v>
      </c>
      <c r="D2821" s="7" t="n">
        <v>2017</v>
      </c>
      <c r="E2821" s="7" t="s">
        <v>7170</v>
      </c>
      <c r="F2821" s="7"/>
      <c r="G2821" s="7"/>
      <c r="H2821" s="7" t="s">
        <v>6593</v>
      </c>
    </row>
    <row r="2822" customFormat="false" ht="15" hidden="false" customHeight="false" outlineLevel="0" collapsed="false">
      <c r="A2822" s="7" t="s">
        <v>7169</v>
      </c>
      <c r="B2822" s="7" t="s">
        <v>6735</v>
      </c>
      <c r="C2822" s="7" t="s">
        <v>6732</v>
      </c>
      <c r="D2822" s="7" t="n">
        <v>2017</v>
      </c>
      <c r="E2822" s="7" t="s">
        <v>7170</v>
      </c>
      <c r="F2822" s="7"/>
      <c r="G2822" s="7"/>
      <c r="H2822" s="7" t="s">
        <v>6610</v>
      </c>
    </row>
    <row r="2823" customFormat="false" ht="15" hidden="false" customHeight="false" outlineLevel="0" collapsed="false">
      <c r="A2823" s="7" t="s">
        <v>7169</v>
      </c>
      <c r="B2823" s="7" t="s">
        <v>6736</v>
      </c>
      <c r="C2823" s="7" t="s">
        <v>6664</v>
      </c>
      <c r="D2823" s="7" t="n">
        <v>2037</v>
      </c>
      <c r="E2823" s="7" t="s">
        <v>7170</v>
      </c>
      <c r="F2823" s="7"/>
      <c r="G2823" s="7"/>
      <c r="H2823" s="7" t="s">
        <v>6610</v>
      </c>
    </row>
    <row r="2824" customFormat="false" ht="15" hidden="false" customHeight="false" outlineLevel="0" collapsed="false">
      <c r="A2824" s="7" t="s">
        <v>7169</v>
      </c>
      <c r="B2824" s="7" t="s">
        <v>6738</v>
      </c>
      <c r="C2824" s="7" t="s">
        <v>6664</v>
      </c>
      <c r="D2824" s="7" t="n">
        <v>2037</v>
      </c>
      <c r="E2824" s="7" t="s">
        <v>7170</v>
      </c>
      <c r="F2824" s="7"/>
      <c r="G2824" s="7"/>
      <c r="H2824" s="7" t="s">
        <v>6593</v>
      </c>
    </row>
    <row r="2825" customFormat="false" ht="15" hidden="false" customHeight="false" outlineLevel="0" collapsed="false">
      <c r="A2825" s="7" t="s">
        <v>7169</v>
      </c>
      <c r="B2825" s="7" t="s">
        <v>6739</v>
      </c>
      <c r="C2825" s="7" t="s">
        <v>6609</v>
      </c>
      <c r="D2825" s="7" t="n">
        <v>2011</v>
      </c>
      <c r="E2825" s="7" t="s">
        <v>7170</v>
      </c>
      <c r="F2825" s="7"/>
      <c r="G2825" s="7"/>
      <c r="H2825" s="7" t="s">
        <v>6610</v>
      </c>
    </row>
    <row r="2826" customFormat="false" ht="15" hidden="false" customHeight="false" outlineLevel="0" collapsed="false">
      <c r="A2826" s="7" t="s">
        <v>7169</v>
      </c>
      <c r="B2826" s="7" t="s">
        <v>6740</v>
      </c>
      <c r="C2826" s="7" t="s">
        <v>6732</v>
      </c>
      <c r="D2826" s="7" t="n">
        <v>2017</v>
      </c>
      <c r="E2826" s="7" t="s">
        <v>7170</v>
      </c>
      <c r="F2826" s="7"/>
      <c r="G2826" s="7"/>
      <c r="H2826" s="7" t="s">
        <v>6610</v>
      </c>
    </row>
    <row r="2827" customFormat="false" ht="15" hidden="false" customHeight="false" outlineLevel="0" collapsed="false">
      <c r="A2827" s="7" t="s">
        <v>7171</v>
      </c>
      <c r="B2827" s="7" t="s">
        <v>6744</v>
      </c>
      <c r="C2827" s="7"/>
      <c r="D2827" s="7" t="n">
        <v>2100</v>
      </c>
      <c r="E2827" s="7" t="s">
        <v>7172</v>
      </c>
      <c r="F2827" s="7" t="n">
        <v>-33.765369</v>
      </c>
      <c r="G2827" s="7" t="n">
        <v>151.249993</v>
      </c>
      <c r="H2827" s="7"/>
    </row>
    <row r="2828" customFormat="false" ht="15" hidden="false" customHeight="false" outlineLevel="0" collapsed="false">
      <c r="A2828" s="7" t="s">
        <v>7171</v>
      </c>
      <c r="B2828" s="7" t="s">
        <v>6746</v>
      </c>
      <c r="C2828" s="7"/>
      <c r="D2828" s="7" t="n">
        <v>2205</v>
      </c>
      <c r="E2828" s="7" t="s">
        <v>7172</v>
      </c>
      <c r="F2828" s="7" t="n">
        <v>-33.936614</v>
      </c>
      <c r="G2828" s="7" t="n">
        <v>151.146872</v>
      </c>
      <c r="H2828" s="7"/>
    </row>
    <row r="2829" customFormat="false" ht="15" hidden="false" customHeight="false" outlineLevel="0" collapsed="false">
      <c r="A2829" s="7" t="s">
        <v>7171</v>
      </c>
      <c r="B2829" s="7" t="s">
        <v>6747</v>
      </c>
      <c r="C2829" s="7"/>
      <c r="D2829" s="7" t="n">
        <v>2064</v>
      </c>
      <c r="E2829" s="7" t="s">
        <v>7172</v>
      </c>
      <c r="F2829" s="7" t="n">
        <v>-33.808261</v>
      </c>
      <c r="G2829" s="7" t="n">
        <v>151.185398</v>
      </c>
      <c r="H2829" s="7"/>
    </row>
    <row r="2830" customFormat="false" ht="15" hidden="false" customHeight="false" outlineLevel="0" collapsed="false">
      <c r="A2830" s="7" t="s">
        <v>7171</v>
      </c>
      <c r="B2830" s="7" t="s">
        <v>6748</v>
      </c>
      <c r="C2830" s="7"/>
      <c r="D2830" s="7" t="n">
        <v>2131</v>
      </c>
      <c r="E2830" s="7" t="s">
        <v>7172</v>
      </c>
      <c r="F2830" s="7" t="n">
        <v>-33.888146</v>
      </c>
      <c r="G2830" s="7" t="n">
        <v>151.125513</v>
      </c>
      <c r="H2830" s="7"/>
    </row>
    <row r="2831" customFormat="false" ht="15" hidden="false" customHeight="false" outlineLevel="0" collapsed="false">
      <c r="A2831" s="7" t="s">
        <v>7171</v>
      </c>
      <c r="B2831" s="7" t="s">
        <v>6749</v>
      </c>
      <c r="C2831" s="7"/>
      <c r="D2831" s="7" t="n">
        <v>2144</v>
      </c>
      <c r="E2831" s="7" t="s">
        <v>7172</v>
      </c>
      <c r="F2831" s="7" t="n">
        <v>-33.849239</v>
      </c>
      <c r="G2831" s="7" t="n">
        <v>151.032397</v>
      </c>
      <c r="H2831" s="7"/>
    </row>
    <row r="2832" customFormat="false" ht="15" hidden="false" customHeight="false" outlineLevel="0" collapsed="false">
      <c r="A2832" s="7" t="s">
        <v>7171</v>
      </c>
      <c r="B2832" s="7" t="s">
        <v>6750</v>
      </c>
      <c r="C2832" s="7"/>
      <c r="D2832" s="7" t="n">
        <v>2106</v>
      </c>
      <c r="E2832" s="7" t="s">
        <v>7173</v>
      </c>
      <c r="F2832" s="7" t="n">
        <v>-33.635878</v>
      </c>
      <c r="G2832" s="7" t="n">
        <v>151.32961</v>
      </c>
      <c r="H2832" s="7"/>
    </row>
    <row r="2833" customFormat="false" ht="15" hidden="false" customHeight="false" outlineLevel="0" collapsed="false">
      <c r="A2833" s="7" t="s">
        <v>7171</v>
      </c>
      <c r="B2833" s="7" t="s">
        <v>6752</v>
      </c>
      <c r="C2833" s="7"/>
      <c r="D2833" s="7" t="n">
        <v>2093</v>
      </c>
      <c r="E2833" s="7" t="s">
        <v>7172</v>
      </c>
      <c r="F2833" s="7" t="n">
        <v>-33.794565</v>
      </c>
      <c r="G2833" s="7" t="n">
        <v>151.26477</v>
      </c>
      <c r="H2833" s="7"/>
    </row>
    <row r="2834" customFormat="false" ht="15" hidden="false" customHeight="false" outlineLevel="0" collapsed="false">
      <c r="A2834" s="7" t="s">
        <v>7171</v>
      </c>
      <c r="B2834" s="7" t="s">
        <v>6753</v>
      </c>
      <c r="C2834" s="7"/>
      <c r="D2834" s="7" t="n">
        <v>2093</v>
      </c>
      <c r="E2834" s="7" t="s">
        <v>7172</v>
      </c>
      <c r="F2834" s="7" t="n">
        <v>-33.793587</v>
      </c>
      <c r="G2834" s="7" t="n">
        <v>151.265011</v>
      </c>
      <c r="H2834" s="7"/>
    </row>
    <row r="2835" customFormat="false" ht="15" hidden="false" customHeight="false" outlineLevel="0" collapsed="false">
      <c r="A2835" s="7" t="s">
        <v>7171</v>
      </c>
      <c r="B2835" s="7" t="s">
        <v>6754</v>
      </c>
      <c r="C2835" s="7"/>
      <c r="D2835" s="7" t="n">
        <v>2041</v>
      </c>
      <c r="E2835" s="7" t="s">
        <v>7172</v>
      </c>
      <c r="F2835" s="7" t="n">
        <v>-33.857399</v>
      </c>
      <c r="G2835" s="7" t="n">
        <v>151.180707</v>
      </c>
      <c r="H2835" s="7"/>
    </row>
    <row r="2836" customFormat="false" ht="15" hidden="false" customHeight="false" outlineLevel="0" collapsed="false">
      <c r="A2836" s="7" t="s">
        <v>7171</v>
      </c>
      <c r="B2836" s="7" t="s">
        <v>6755</v>
      </c>
      <c r="C2836" s="7"/>
      <c r="D2836" s="7" t="n">
        <v>2200</v>
      </c>
      <c r="E2836" s="7" t="s">
        <v>7172</v>
      </c>
      <c r="F2836" s="7" t="n">
        <v>-33.917361</v>
      </c>
      <c r="G2836" s="7" t="n">
        <v>151.034524</v>
      </c>
      <c r="H2836" s="7"/>
    </row>
    <row r="2837" customFormat="false" ht="15" hidden="false" customHeight="false" outlineLevel="0" collapsed="false">
      <c r="A2837" s="7" t="s">
        <v>7171</v>
      </c>
      <c r="B2837" s="7" t="s">
        <v>6756</v>
      </c>
      <c r="C2837" s="7"/>
      <c r="D2837" s="7" t="n">
        <v>2153</v>
      </c>
      <c r="E2837" s="7" t="s">
        <v>7172</v>
      </c>
      <c r="F2837" s="7" t="n">
        <v>-33.7599</v>
      </c>
      <c r="G2837" s="7" t="n">
        <v>150.991972</v>
      </c>
      <c r="H2837" s="7"/>
    </row>
    <row r="2838" customFormat="false" ht="15" hidden="false" customHeight="false" outlineLevel="0" collapsed="false">
      <c r="A2838" s="7" t="s">
        <v>7171</v>
      </c>
      <c r="B2838" s="7" t="s">
        <v>6757</v>
      </c>
      <c r="C2838" s="7"/>
      <c r="D2838" s="7" t="n">
        <v>2119</v>
      </c>
      <c r="E2838" s="7" t="s">
        <v>7172</v>
      </c>
      <c r="F2838" s="7" t="n">
        <v>-33.749355</v>
      </c>
      <c r="G2838" s="7" t="n">
        <v>151.065602</v>
      </c>
      <c r="H2838" s="7"/>
    </row>
    <row r="2839" customFormat="false" ht="15" hidden="false" customHeight="false" outlineLevel="0" collapsed="false">
      <c r="A2839" s="7" t="s">
        <v>7171</v>
      </c>
      <c r="B2839" s="7" t="s">
        <v>6758</v>
      </c>
      <c r="C2839" s="7"/>
      <c r="D2839" s="7" t="n">
        <v>2153</v>
      </c>
      <c r="E2839" s="7" t="s">
        <v>7172</v>
      </c>
      <c r="F2839" s="7" t="n">
        <v>-33.736692</v>
      </c>
      <c r="G2839" s="7" t="n">
        <v>150.949254</v>
      </c>
      <c r="H2839" s="7"/>
    </row>
    <row r="2840" customFormat="false" ht="15" hidden="false" customHeight="false" outlineLevel="0" collapsed="false">
      <c r="A2840" s="7" t="s">
        <v>7171</v>
      </c>
      <c r="B2840" s="7" t="s">
        <v>6759</v>
      </c>
      <c r="C2840" s="7"/>
      <c r="D2840" s="7" t="n">
        <v>2192</v>
      </c>
      <c r="E2840" s="7" t="s">
        <v>7172</v>
      </c>
      <c r="F2840" s="7" t="n">
        <v>-33.917715</v>
      </c>
      <c r="G2840" s="7" t="n">
        <v>151.088004</v>
      </c>
      <c r="H2840" s="7"/>
    </row>
    <row r="2841" customFormat="false" ht="15" hidden="false" customHeight="false" outlineLevel="0" collapsed="false">
      <c r="A2841" s="7" t="s">
        <v>7171</v>
      </c>
      <c r="B2841" s="7" t="s">
        <v>6760</v>
      </c>
      <c r="C2841" s="7"/>
      <c r="D2841" s="7" t="n">
        <v>2192</v>
      </c>
      <c r="E2841" s="7" t="s">
        <v>7172</v>
      </c>
      <c r="F2841" s="7" t="n">
        <v>-33.919135</v>
      </c>
      <c r="G2841" s="7" t="n">
        <v>151.089284</v>
      </c>
      <c r="H2841" s="7"/>
    </row>
    <row r="2842" customFormat="false" ht="15" hidden="false" customHeight="false" outlineLevel="0" collapsed="false">
      <c r="A2842" s="7" t="s">
        <v>7171</v>
      </c>
      <c r="B2842" s="7" t="s">
        <v>6761</v>
      </c>
      <c r="C2842" s="7"/>
      <c r="D2842" s="7" t="n">
        <v>2209</v>
      </c>
      <c r="E2842" s="7" t="s">
        <v>7172</v>
      </c>
      <c r="F2842" s="7" t="n">
        <v>-33.949191</v>
      </c>
      <c r="G2842" s="7" t="n">
        <v>151.081514</v>
      </c>
      <c r="H2842" s="7"/>
    </row>
    <row r="2843" customFormat="false" ht="15" hidden="false" customHeight="false" outlineLevel="0" collapsed="false">
      <c r="A2843" s="7" t="s">
        <v>7171</v>
      </c>
      <c r="B2843" s="7" t="s">
        <v>6762</v>
      </c>
      <c r="C2843" s="7"/>
      <c r="D2843" s="7" t="n">
        <v>2207</v>
      </c>
      <c r="E2843" s="7" t="s">
        <v>7174</v>
      </c>
      <c r="F2843" s="7" t="n">
        <v>-33.949718</v>
      </c>
      <c r="G2843" s="7" t="n">
        <v>151.126352</v>
      </c>
      <c r="H2843" s="7"/>
    </row>
    <row r="2844" customFormat="false" ht="15" hidden="false" customHeight="false" outlineLevel="0" collapsed="false">
      <c r="A2844" s="7" t="s">
        <v>7171</v>
      </c>
      <c r="B2844" s="7" t="s">
        <v>6764</v>
      </c>
      <c r="C2844" s="7"/>
      <c r="D2844" s="7" t="n">
        <v>2148</v>
      </c>
      <c r="E2844" s="7" t="s">
        <v>7172</v>
      </c>
      <c r="F2844" s="7" t="n">
        <v>-33.769018</v>
      </c>
      <c r="G2844" s="7" t="n">
        <v>150.906936</v>
      </c>
      <c r="H2844" s="7"/>
    </row>
    <row r="2845" customFormat="false" ht="15" hidden="false" customHeight="false" outlineLevel="0" collapsed="false">
      <c r="A2845" s="7" t="s">
        <v>7171</v>
      </c>
      <c r="B2845" s="7" t="s">
        <v>6765</v>
      </c>
      <c r="C2845" s="7"/>
      <c r="D2845" s="7" t="n">
        <v>2022</v>
      </c>
      <c r="E2845" s="7" t="s">
        <v>7172</v>
      </c>
      <c r="F2845" s="7" t="n">
        <v>-33.891842</v>
      </c>
      <c r="G2845" s="7" t="n">
        <v>151.249856</v>
      </c>
      <c r="H2845" s="7"/>
    </row>
    <row r="2846" customFormat="false" ht="15" hidden="false" customHeight="false" outlineLevel="0" collapsed="false">
      <c r="A2846" s="7" t="s">
        <v>7171</v>
      </c>
      <c r="B2846" s="7" t="s">
        <v>6766</v>
      </c>
      <c r="C2846" s="7"/>
      <c r="D2846" s="7" t="n">
        <v>2216</v>
      </c>
      <c r="E2846" s="7" t="s">
        <v>7172</v>
      </c>
      <c r="F2846" s="7" t="n">
        <v>-33.959919</v>
      </c>
      <c r="G2846" s="7" t="n">
        <v>151.15625</v>
      </c>
      <c r="H2846" s="7"/>
    </row>
    <row r="2847" customFormat="false" ht="15" hidden="false" customHeight="false" outlineLevel="0" collapsed="false">
      <c r="A2847" s="7" t="s">
        <v>7171</v>
      </c>
      <c r="B2847" s="7" t="s">
        <v>6767</v>
      </c>
      <c r="C2847" s="7"/>
      <c r="D2847" s="7" t="n">
        <v>2100</v>
      </c>
      <c r="E2847" s="7" t="s">
        <v>7172</v>
      </c>
      <c r="F2847" s="7" t="n">
        <v>-33.763105</v>
      </c>
      <c r="G2847" s="7" t="n">
        <v>151.271898</v>
      </c>
      <c r="H2847" s="7"/>
    </row>
    <row r="2848" customFormat="false" ht="15" hidden="false" customHeight="false" outlineLevel="0" collapsed="false">
      <c r="A2848" s="7" t="s">
        <v>7171</v>
      </c>
      <c r="B2848" s="7" t="s">
        <v>6768</v>
      </c>
      <c r="C2848" s="7"/>
      <c r="D2848" s="7" t="n">
        <v>2100</v>
      </c>
      <c r="E2848" s="7" t="s">
        <v>7172</v>
      </c>
      <c r="F2848" s="7" t="n">
        <v>-33.766256</v>
      </c>
      <c r="G2848" s="7" t="n">
        <v>151.26564</v>
      </c>
      <c r="H2848" s="7"/>
    </row>
    <row r="2849" customFormat="false" ht="15" hidden="false" customHeight="false" outlineLevel="0" collapsed="false">
      <c r="A2849" s="7" t="s">
        <v>7171</v>
      </c>
      <c r="B2849" s="7" t="s">
        <v>6769</v>
      </c>
      <c r="C2849" s="7"/>
      <c r="D2849" s="7" t="n">
        <v>2134</v>
      </c>
      <c r="E2849" s="7" t="s">
        <v>7172</v>
      </c>
      <c r="F2849" s="7" t="n">
        <v>-33.876842</v>
      </c>
      <c r="G2849" s="7" t="n">
        <v>151.104424</v>
      </c>
      <c r="H2849" s="7"/>
    </row>
    <row r="2850" customFormat="false" ht="15" hidden="false" customHeight="false" outlineLevel="0" collapsed="false">
      <c r="A2850" s="7" t="s">
        <v>7171</v>
      </c>
      <c r="B2850" s="7" t="s">
        <v>6770</v>
      </c>
      <c r="C2850" s="7"/>
      <c r="D2850" s="7" t="n">
        <v>2166</v>
      </c>
      <c r="E2850" s="7" t="s">
        <v>7172</v>
      </c>
      <c r="F2850" s="7" t="n">
        <v>-33.894585</v>
      </c>
      <c r="G2850" s="7" t="n">
        <v>150.938291</v>
      </c>
      <c r="H2850" s="7"/>
    </row>
    <row r="2851" customFormat="false" ht="15" hidden="false" customHeight="false" outlineLevel="0" collapsed="false">
      <c r="A2851" s="7" t="s">
        <v>7171</v>
      </c>
      <c r="B2851" s="7" t="s">
        <v>6771</v>
      </c>
      <c r="C2851" s="7"/>
      <c r="D2851" s="7" t="n">
        <v>2570</v>
      </c>
      <c r="E2851" s="7" t="s">
        <v>7172</v>
      </c>
      <c r="F2851" s="7" t="n">
        <v>-34.054795</v>
      </c>
      <c r="G2851" s="7" t="n">
        <v>150.69582</v>
      </c>
      <c r="H2851" s="7"/>
    </row>
    <row r="2852" customFormat="false" ht="15" hidden="false" customHeight="false" outlineLevel="0" collapsed="false">
      <c r="A2852" s="7" t="s">
        <v>7171</v>
      </c>
      <c r="B2852" s="7" t="s">
        <v>6772</v>
      </c>
      <c r="C2852" s="7"/>
      <c r="D2852" s="7" t="n">
        <v>2560</v>
      </c>
      <c r="E2852" s="7" t="s">
        <v>7172</v>
      </c>
      <c r="F2852" s="7" t="n">
        <v>-34.075177</v>
      </c>
      <c r="G2852" s="7" t="n">
        <v>150.799086</v>
      </c>
      <c r="H2852" s="7"/>
    </row>
    <row r="2853" customFormat="false" ht="15" hidden="false" customHeight="false" outlineLevel="0" collapsed="false">
      <c r="A2853" s="7" t="s">
        <v>7171</v>
      </c>
      <c r="B2853" s="7" t="s">
        <v>6773</v>
      </c>
      <c r="C2853" s="7"/>
      <c r="D2853" s="7" t="n">
        <v>2560</v>
      </c>
      <c r="E2853" s="7" t="s">
        <v>7172</v>
      </c>
      <c r="F2853" s="7" t="n">
        <v>-34.072234</v>
      </c>
      <c r="G2853" s="7" t="n">
        <v>150.797745</v>
      </c>
      <c r="H2853" s="7"/>
    </row>
    <row r="2854" customFormat="false" ht="15" hidden="false" customHeight="false" outlineLevel="0" collapsed="false">
      <c r="A2854" s="7" t="s">
        <v>7171</v>
      </c>
      <c r="B2854" s="7" t="s">
        <v>6774</v>
      </c>
      <c r="C2854" s="7"/>
      <c r="D2854" s="7" t="n">
        <v>2560</v>
      </c>
      <c r="E2854" s="7" t="s">
        <v>7174</v>
      </c>
      <c r="F2854" s="7" t="n">
        <v>-34.069235</v>
      </c>
      <c r="G2854" s="7" t="n">
        <v>150.811961</v>
      </c>
      <c r="H2854" s="7"/>
    </row>
    <row r="2855" customFormat="false" ht="15" hidden="false" customHeight="false" outlineLevel="0" collapsed="false">
      <c r="A2855" s="7" t="s">
        <v>7171</v>
      </c>
      <c r="B2855" s="7" t="s">
        <v>6775</v>
      </c>
      <c r="C2855" s="7"/>
      <c r="D2855" s="7" t="n">
        <v>2560</v>
      </c>
      <c r="E2855" s="7" t="s">
        <v>7172</v>
      </c>
      <c r="F2855" s="7" t="n">
        <v>-34.064772</v>
      </c>
      <c r="G2855" s="7" t="n">
        <v>150.814278</v>
      </c>
      <c r="H2855" s="7"/>
    </row>
    <row r="2856" customFormat="false" ht="15" hidden="false" customHeight="false" outlineLevel="0" collapsed="false">
      <c r="A2856" s="7" t="s">
        <v>7171</v>
      </c>
      <c r="B2856" s="7" t="s">
        <v>6776</v>
      </c>
      <c r="C2856" s="7"/>
      <c r="D2856" s="7" t="n">
        <v>2050</v>
      </c>
      <c r="E2856" s="7" t="s">
        <v>7174</v>
      </c>
      <c r="F2856" s="7" t="n">
        <v>-33.888815</v>
      </c>
      <c r="G2856" s="7" t="n">
        <v>151.181835</v>
      </c>
      <c r="H2856" s="7"/>
    </row>
    <row r="2857" customFormat="false" ht="15" hidden="false" customHeight="false" outlineLevel="0" collapsed="false">
      <c r="A2857" s="7" t="s">
        <v>7171</v>
      </c>
      <c r="B2857" s="7" t="s">
        <v>6777</v>
      </c>
      <c r="C2857" s="7"/>
      <c r="D2857" s="7" t="n">
        <v>2194</v>
      </c>
      <c r="E2857" s="7" t="s">
        <v>7172</v>
      </c>
      <c r="F2857" s="7" t="n">
        <v>-33.9100186</v>
      </c>
      <c r="G2857" s="7" t="n">
        <v>151.103884</v>
      </c>
      <c r="H2857" s="7"/>
    </row>
    <row r="2858" customFormat="false" ht="15" hidden="false" customHeight="false" outlineLevel="0" collapsed="false">
      <c r="A2858" s="7" t="s">
        <v>7171</v>
      </c>
      <c r="B2858" s="7" t="s">
        <v>6778</v>
      </c>
      <c r="C2858" s="7"/>
      <c r="D2858" s="7" t="n">
        <v>2166</v>
      </c>
      <c r="E2858" s="7" t="s">
        <v>7172</v>
      </c>
      <c r="F2858" s="7" t="n">
        <v>-33.887675</v>
      </c>
      <c r="G2858" s="7" t="n">
        <v>150.942956</v>
      </c>
      <c r="H2858" s="7"/>
    </row>
    <row r="2859" customFormat="false" ht="15" hidden="false" customHeight="false" outlineLevel="0" collapsed="false">
      <c r="A2859" s="7" t="s">
        <v>7171</v>
      </c>
      <c r="B2859" s="7" t="s">
        <v>6779</v>
      </c>
      <c r="C2859" s="7"/>
      <c r="D2859" s="7" t="n">
        <v>2229</v>
      </c>
      <c r="E2859" s="7" t="s">
        <v>7172</v>
      </c>
      <c r="F2859" s="7" t="n">
        <v>-34.0421237</v>
      </c>
      <c r="G2859" s="7" t="n">
        <v>151.122587</v>
      </c>
      <c r="H2859" s="7"/>
    </row>
    <row r="2860" customFormat="false" ht="15" hidden="false" customHeight="false" outlineLevel="0" collapsed="false">
      <c r="A2860" s="7" t="s">
        <v>7171</v>
      </c>
      <c r="B2860" s="7" t="s">
        <v>6780</v>
      </c>
      <c r="C2860" s="7"/>
      <c r="D2860" s="7" t="n">
        <v>2218</v>
      </c>
      <c r="E2860" s="7" t="s">
        <v>7172</v>
      </c>
      <c r="F2860" s="7" t="n">
        <v>-33.9687049</v>
      </c>
      <c r="G2860" s="7" t="n">
        <v>151.1238518</v>
      </c>
      <c r="H2860" s="7"/>
    </row>
    <row r="2861" customFormat="false" ht="15" hidden="false" customHeight="false" outlineLevel="0" collapsed="false">
      <c r="A2861" s="7" t="s">
        <v>7171</v>
      </c>
      <c r="B2861" s="7" t="s">
        <v>6781</v>
      </c>
      <c r="C2861" s="7"/>
      <c r="D2861" s="7" t="n">
        <v>2154</v>
      </c>
      <c r="E2861" s="7" t="s">
        <v>7172</v>
      </c>
      <c r="F2861" s="7" t="n">
        <v>-33.731874</v>
      </c>
      <c r="G2861" s="7" t="n">
        <v>151.006248</v>
      </c>
      <c r="H2861" s="7"/>
    </row>
    <row r="2862" customFormat="false" ht="15" hidden="false" customHeight="false" outlineLevel="0" collapsed="false">
      <c r="A2862" s="7" t="s">
        <v>7171</v>
      </c>
      <c r="B2862" s="7" t="s">
        <v>6782</v>
      </c>
      <c r="C2862" s="7"/>
      <c r="D2862" s="7" t="n">
        <v>2000</v>
      </c>
      <c r="E2862" s="7" t="s">
        <v>7172</v>
      </c>
      <c r="F2862" s="7" t="n">
        <v>-33.882302</v>
      </c>
      <c r="G2862" s="7" t="n">
        <v>151.205833</v>
      </c>
      <c r="H2862" s="7"/>
    </row>
    <row r="2863" customFormat="false" ht="15" hidden="false" customHeight="false" outlineLevel="0" collapsed="false">
      <c r="A2863" s="7" t="s">
        <v>7171</v>
      </c>
      <c r="B2863" s="7" t="s">
        <v>6783</v>
      </c>
      <c r="C2863" s="7"/>
      <c r="D2863" s="7" t="n">
        <v>2162</v>
      </c>
      <c r="E2863" s="7" t="s">
        <v>7172</v>
      </c>
      <c r="F2863" s="7" t="n">
        <v>-33.884019</v>
      </c>
      <c r="G2863" s="7" t="n">
        <v>151.00039</v>
      </c>
      <c r="H2863" s="7"/>
    </row>
    <row r="2864" customFormat="false" ht="15" hidden="false" customHeight="false" outlineLevel="0" collapsed="false">
      <c r="A2864" s="7" t="s">
        <v>7171</v>
      </c>
      <c r="B2864" s="7" t="s">
        <v>6784</v>
      </c>
      <c r="C2864" s="7"/>
      <c r="D2864" s="7" t="n">
        <v>2067</v>
      </c>
      <c r="E2864" s="7" t="s">
        <v>7172</v>
      </c>
      <c r="F2864" s="7" t="n">
        <v>-33.797092</v>
      </c>
      <c r="G2864" s="7" t="n">
        <v>151.180175</v>
      </c>
      <c r="H2864" s="7"/>
    </row>
    <row r="2865" customFormat="false" ht="15" hidden="false" customHeight="false" outlineLevel="0" collapsed="false">
      <c r="A2865" s="7" t="s">
        <v>7171</v>
      </c>
      <c r="B2865" s="7" t="s">
        <v>6785</v>
      </c>
      <c r="C2865" s="7"/>
      <c r="D2865" s="7" t="n">
        <v>2000</v>
      </c>
      <c r="E2865" s="7" t="s">
        <v>7172</v>
      </c>
      <c r="F2865" s="7" t="n">
        <v>-33.874334</v>
      </c>
      <c r="G2865" s="7" t="n">
        <v>151.206352</v>
      </c>
      <c r="H2865" s="7"/>
    </row>
    <row r="2866" customFormat="false" ht="15" hidden="false" customHeight="false" outlineLevel="0" collapsed="false">
      <c r="A2866" s="7" t="s">
        <v>7171</v>
      </c>
      <c r="B2866" s="7" t="s">
        <v>6786</v>
      </c>
      <c r="C2866" s="7"/>
      <c r="D2866" s="7" t="n">
        <v>2000</v>
      </c>
      <c r="E2866" s="7" t="s">
        <v>7172</v>
      </c>
      <c r="F2866" s="7" t="n">
        <v>-33.864411</v>
      </c>
      <c r="G2866" s="7" t="n">
        <v>151.210725</v>
      </c>
      <c r="H2866" s="7"/>
    </row>
    <row r="2867" customFormat="false" ht="15" hidden="false" customHeight="false" outlineLevel="0" collapsed="false">
      <c r="A2867" s="7" t="s">
        <v>7171</v>
      </c>
      <c r="B2867" s="7" t="s">
        <v>6787</v>
      </c>
      <c r="C2867" s="7"/>
      <c r="D2867" s="7" t="n">
        <v>2000</v>
      </c>
      <c r="E2867" s="7" t="s">
        <v>7172</v>
      </c>
      <c r="F2867" s="7" t="n">
        <v>-33.866116</v>
      </c>
      <c r="G2867" s="7" t="n">
        <v>151.206347</v>
      </c>
      <c r="H2867" s="7"/>
    </row>
    <row r="2868" customFormat="false" ht="15" hidden="false" customHeight="false" outlineLevel="0" collapsed="false">
      <c r="A2868" s="7" t="s">
        <v>7171</v>
      </c>
      <c r="B2868" s="7" t="s">
        <v>6788</v>
      </c>
      <c r="C2868" s="7"/>
      <c r="D2868" s="7" t="n">
        <v>2010</v>
      </c>
      <c r="E2868" s="7" t="s">
        <v>7172</v>
      </c>
      <c r="F2868" s="7" t="n">
        <v>-33.876283</v>
      </c>
      <c r="G2868" s="7" t="n">
        <v>151.212393</v>
      </c>
      <c r="H2868" s="7"/>
    </row>
    <row r="2869" customFormat="false" ht="15" hidden="false" customHeight="false" outlineLevel="0" collapsed="false">
      <c r="A2869" s="7" t="s">
        <v>7171</v>
      </c>
      <c r="B2869" s="7" t="s">
        <v>6789</v>
      </c>
      <c r="C2869" s="7"/>
      <c r="D2869" s="7" t="n">
        <v>2000</v>
      </c>
      <c r="E2869" s="7" t="s">
        <v>7172</v>
      </c>
      <c r="F2869" s="7" t="n">
        <v>-33.860812</v>
      </c>
      <c r="G2869" s="7" t="n">
        <v>151.206432</v>
      </c>
      <c r="H2869" s="7"/>
    </row>
    <row r="2870" customFormat="false" ht="15" hidden="false" customHeight="false" outlineLevel="0" collapsed="false">
      <c r="A2870" s="7" t="s">
        <v>7171</v>
      </c>
      <c r="B2870" s="7" t="s">
        <v>6790</v>
      </c>
      <c r="C2870" s="7"/>
      <c r="D2870" s="7" t="n">
        <v>2000</v>
      </c>
      <c r="E2870" s="7" t="s">
        <v>7172</v>
      </c>
      <c r="F2870" s="7" t="n">
        <v>-33.871787</v>
      </c>
      <c r="G2870" s="7" t="n">
        <v>151.21011</v>
      </c>
      <c r="H2870" s="7"/>
    </row>
    <row r="2871" customFormat="false" ht="15" hidden="false" customHeight="false" outlineLevel="0" collapsed="false">
      <c r="A2871" s="7" t="s">
        <v>7171</v>
      </c>
      <c r="B2871" s="7" t="s">
        <v>6791</v>
      </c>
      <c r="C2871" s="7"/>
      <c r="D2871" s="7" t="n">
        <v>2000</v>
      </c>
      <c r="E2871" s="7" t="s">
        <v>7172</v>
      </c>
      <c r="F2871" s="7" t="n">
        <v>-33.8580709</v>
      </c>
      <c r="G2871" s="7" t="n">
        <v>151.2090423</v>
      </c>
      <c r="H2871" s="7"/>
    </row>
    <row r="2872" customFormat="false" ht="15" hidden="false" customHeight="false" outlineLevel="0" collapsed="false">
      <c r="A2872" s="7" t="s">
        <v>7171</v>
      </c>
      <c r="B2872" s="7" t="s">
        <v>6792</v>
      </c>
      <c r="C2872" s="7"/>
      <c r="D2872" s="7" t="n">
        <v>2000</v>
      </c>
      <c r="E2872" s="7" t="s">
        <v>7172</v>
      </c>
      <c r="F2872" s="7" t="n">
        <v>-33.8544134</v>
      </c>
      <c r="G2872" s="7" t="n">
        <v>151.2082389</v>
      </c>
      <c r="H2872" s="7"/>
    </row>
    <row r="2873" customFormat="false" ht="15" hidden="false" customHeight="false" outlineLevel="0" collapsed="false">
      <c r="A2873" s="7" t="s">
        <v>7171</v>
      </c>
      <c r="B2873" s="7" t="s">
        <v>6793</v>
      </c>
      <c r="C2873" s="7"/>
      <c r="D2873" s="7" t="n">
        <v>2000</v>
      </c>
      <c r="E2873" s="7" t="s">
        <v>7172</v>
      </c>
      <c r="F2873" s="7" t="n">
        <v>-33.864313</v>
      </c>
      <c r="G2873" s="7" t="n">
        <v>151.2068523</v>
      </c>
      <c r="H2873" s="7"/>
    </row>
    <row r="2874" customFormat="false" ht="15" hidden="false" customHeight="false" outlineLevel="0" collapsed="false">
      <c r="A2874" s="7" t="s">
        <v>7171</v>
      </c>
      <c r="B2874" s="7" t="s">
        <v>6794</v>
      </c>
      <c r="C2874" s="7"/>
      <c r="D2874" s="7" t="n">
        <v>2000</v>
      </c>
      <c r="E2874" s="7" t="s">
        <v>7172</v>
      </c>
      <c r="F2874" s="7" t="n">
        <v>-33.8641691</v>
      </c>
      <c r="G2874" s="7" t="n">
        <v>151.204075</v>
      </c>
      <c r="H2874" s="7"/>
    </row>
    <row r="2875" customFormat="false" ht="15" hidden="false" customHeight="false" outlineLevel="0" collapsed="false">
      <c r="A2875" s="7" t="s">
        <v>7171</v>
      </c>
      <c r="B2875" s="7" t="s">
        <v>6795</v>
      </c>
      <c r="C2875" s="7"/>
      <c r="D2875" s="7" t="n">
        <v>2000</v>
      </c>
      <c r="E2875" s="7" t="s">
        <v>7172</v>
      </c>
      <c r="F2875" s="7" t="n">
        <v>-33.8606623</v>
      </c>
      <c r="G2875" s="7" t="n">
        <v>151.2036817</v>
      </c>
      <c r="H2875" s="7"/>
    </row>
    <row r="2876" customFormat="false" ht="15" hidden="false" customHeight="false" outlineLevel="0" collapsed="false">
      <c r="A2876" s="7" t="s">
        <v>7171</v>
      </c>
      <c r="B2876" s="7" t="s">
        <v>6796</v>
      </c>
      <c r="C2876" s="7"/>
      <c r="D2876" s="7" t="n">
        <v>2000</v>
      </c>
      <c r="E2876" s="7" t="s">
        <v>7172</v>
      </c>
      <c r="F2876" s="7" t="n">
        <v>-33.8683429</v>
      </c>
      <c r="G2876" s="7" t="n">
        <v>151.2019863</v>
      </c>
      <c r="H2876" s="7"/>
    </row>
    <row r="2877" customFormat="false" ht="15" hidden="false" customHeight="false" outlineLevel="0" collapsed="false">
      <c r="A2877" s="7" t="s">
        <v>7171</v>
      </c>
      <c r="B2877" s="7" t="s">
        <v>6797</v>
      </c>
      <c r="C2877" s="7"/>
      <c r="D2877" s="7" t="n">
        <v>2000</v>
      </c>
      <c r="E2877" s="7" t="s">
        <v>7172</v>
      </c>
      <c r="F2877" s="7" t="n">
        <v>-33.8765288</v>
      </c>
      <c r="G2877" s="7" t="n">
        <v>151.2073556</v>
      </c>
      <c r="H2877" s="7"/>
    </row>
    <row r="2878" customFormat="false" ht="15" hidden="false" customHeight="false" outlineLevel="0" collapsed="false">
      <c r="A2878" s="7" t="s">
        <v>7171</v>
      </c>
      <c r="B2878" s="7" t="s">
        <v>6798</v>
      </c>
      <c r="C2878" s="7"/>
      <c r="D2878" s="7" t="n">
        <v>2000</v>
      </c>
      <c r="E2878" s="7" t="s">
        <v>7172</v>
      </c>
      <c r="F2878" s="7" t="n">
        <v>-33.8597135</v>
      </c>
      <c r="G2878" s="7" t="n">
        <v>151.2133691</v>
      </c>
      <c r="H2878" s="7"/>
    </row>
    <row r="2879" customFormat="false" ht="15" hidden="false" customHeight="false" outlineLevel="0" collapsed="false">
      <c r="A2879" s="7" t="s">
        <v>7171</v>
      </c>
      <c r="B2879" s="7" t="s">
        <v>6799</v>
      </c>
      <c r="C2879" s="7"/>
      <c r="D2879" s="7" t="n">
        <v>2000</v>
      </c>
      <c r="E2879" s="7" t="s">
        <v>7172</v>
      </c>
      <c r="F2879" s="7" t="n">
        <v>-33.8707353</v>
      </c>
      <c r="G2879" s="7" t="n">
        <v>151.2086762</v>
      </c>
      <c r="H2879" s="7"/>
    </row>
    <row r="2880" customFormat="false" ht="15" hidden="false" customHeight="false" outlineLevel="0" collapsed="false">
      <c r="A2880" s="7" t="s">
        <v>7171</v>
      </c>
      <c r="B2880" s="7" t="s">
        <v>6800</v>
      </c>
      <c r="C2880" s="7"/>
      <c r="D2880" s="7" t="n">
        <v>2000</v>
      </c>
      <c r="E2880" s="7" t="s">
        <v>7172</v>
      </c>
      <c r="F2880" s="7" t="n">
        <v>-33.865429</v>
      </c>
      <c r="G2880" s="7" t="n">
        <v>151.209192</v>
      </c>
      <c r="H2880" s="7"/>
    </row>
    <row r="2881" customFormat="false" ht="15" hidden="false" customHeight="false" outlineLevel="0" collapsed="false">
      <c r="A2881" s="7" t="s">
        <v>7171</v>
      </c>
      <c r="B2881" s="7" t="s">
        <v>6801</v>
      </c>
      <c r="C2881" s="7"/>
      <c r="D2881" s="7" t="n">
        <v>2000</v>
      </c>
      <c r="E2881" s="7" t="s">
        <v>7172</v>
      </c>
      <c r="F2881" s="7" t="n">
        <v>-33.8657218</v>
      </c>
      <c r="G2881" s="7" t="n">
        <v>151.2112174</v>
      </c>
      <c r="H2881" s="7"/>
    </row>
    <row r="2882" customFormat="false" ht="15" hidden="false" customHeight="false" outlineLevel="0" collapsed="false">
      <c r="A2882" s="7" t="s">
        <v>7171</v>
      </c>
      <c r="B2882" s="7" t="s">
        <v>6802</v>
      </c>
      <c r="C2882" s="7"/>
      <c r="D2882" s="7" t="n">
        <v>2000</v>
      </c>
      <c r="E2882" s="7" t="s">
        <v>7172</v>
      </c>
      <c r="F2882" s="7" t="n">
        <v>-33.862911</v>
      </c>
      <c r="G2882" s="7" t="n">
        <v>151.211994</v>
      </c>
      <c r="H2882" s="7"/>
    </row>
    <row r="2883" customFormat="false" ht="15" hidden="false" customHeight="false" outlineLevel="0" collapsed="false">
      <c r="A2883" s="7" t="s">
        <v>7171</v>
      </c>
      <c r="B2883" s="7" t="s">
        <v>6803</v>
      </c>
      <c r="C2883" s="7"/>
      <c r="D2883" s="7" t="n">
        <v>2000</v>
      </c>
      <c r="E2883" s="7" t="s">
        <v>7172</v>
      </c>
      <c r="F2883" s="7" t="n">
        <v>-33.86583</v>
      </c>
      <c r="G2883" s="7" t="n">
        <v>151.211103</v>
      </c>
      <c r="H2883" s="7"/>
    </row>
    <row r="2884" customFormat="false" ht="15" hidden="false" customHeight="false" outlineLevel="0" collapsed="false">
      <c r="A2884" s="7" t="s">
        <v>7171</v>
      </c>
      <c r="B2884" s="7" t="s">
        <v>6804</v>
      </c>
      <c r="C2884" s="7"/>
      <c r="D2884" s="7" t="n">
        <v>2000</v>
      </c>
      <c r="E2884" s="7" t="s">
        <v>7172</v>
      </c>
      <c r="F2884" s="7" t="n">
        <v>-33.8663235</v>
      </c>
      <c r="G2884" s="7" t="n">
        <v>151.2025547</v>
      </c>
      <c r="H2884" s="7"/>
    </row>
    <row r="2885" customFormat="false" ht="15" hidden="false" customHeight="false" outlineLevel="0" collapsed="false">
      <c r="A2885" s="7" t="s">
        <v>7171</v>
      </c>
      <c r="B2885" s="7" t="s">
        <v>6805</v>
      </c>
      <c r="C2885" s="7"/>
      <c r="D2885" s="7" t="n">
        <v>2000</v>
      </c>
      <c r="E2885" s="7" t="s">
        <v>7172</v>
      </c>
      <c r="F2885" s="7" t="n">
        <v>-33.8716268</v>
      </c>
      <c r="G2885" s="7" t="n">
        <v>151.2039853</v>
      </c>
      <c r="H2885" s="7"/>
    </row>
    <row r="2886" customFormat="false" ht="15" hidden="false" customHeight="false" outlineLevel="0" collapsed="false">
      <c r="A2886" s="7" t="s">
        <v>7171</v>
      </c>
      <c r="B2886" s="7" t="s">
        <v>6806</v>
      </c>
      <c r="C2886" s="7"/>
      <c r="D2886" s="7" t="n">
        <v>2000</v>
      </c>
      <c r="E2886" s="7" t="s">
        <v>7172</v>
      </c>
      <c r="F2886" s="7" t="n">
        <v>-33.869984</v>
      </c>
      <c r="G2886" s="7" t="n">
        <v>151.203694</v>
      </c>
      <c r="H2886" s="7"/>
    </row>
    <row r="2887" customFormat="false" ht="15" hidden="false" customHeight="false" outlineLevel="0" collapsed="false">
      <c r="A2887" s="7" t="s">
        <v>7171</v>
      </c>
      <c r="B2887" s="7" t="s">
        <v>6807</v>
      </c>
      <c r="C2887" s="7"/>
      <c r="D2887" s="7" t="n">
        <v>2000</v>
      </c>
      <c r="E2887" s="7" t="s">
        <v>7172</v>
      </c>
      <c r="F2887" s="7" t="n">
        <v>-33.881679</v>
      </c>
      <c r="G2887" s="7" t="n">
        <v>151.202773</v>
      </c>
      <c r="H2887" s="7"/>
    </row>
    <row r="2888" customFormat="false" ht="15" hidden="false" customHeight="false" outlineLevel="0" collapsed="false">
      <c r="A2888" s="7" t="s">
        <v>7171</v>
      </c>
      <c r="B2888" s="7" t="s">
        <v>6808</v>
      </c>
      <c r="C2888" s="7"/>
      <c r="D2888" s="7" t="n">
        <v>2000</v>
      </c>
      <c r="E2888" s="7" t="s">
        <v>7172</v>
      </c>
      <c r="F2888" s="7" t="n">
        <v>-33.869012</v>
      </c>
      <c r="G2888" s="7" t="n">
        <v>151.206058</v>
      </c>
      <c r="H2888" s="7"/>
    </row>
    <row r="2889" customFormat="false" ht="15" hidden="false" customHeight="false" outlineLevel="0" collapsed="false">
      <c r="A2889" s="7" t="s">
        <v>7171</v>
      </c>
      <c r="B2889" s="7" t="s">
        <v>6809</v>
      </c>
      <c r="C2889" s="7"/>
      <c r="D2889" s="7" t="n">
        <v>2000</v>
      </c>
      <c r="E2889" s="7" t="s">
        <v>7172</v>
      </c>
      <c r="F2889" s="7" t="n">
        <v>-33.866102</v>
      </c>
      <c r="G2889" s="7" t="n">
        <v>151.2057183</v>
      </c>
      <c r="H2889" s="7"/>
    </row>
    <row r="2890" customFormat="false" ht="15" hidden="false" customHeight="false" outlineLevel="0" collapsed="false">
      <c r="A2890" s="7" t="s">
        <v>7171</v>
      </c>
      <c r="B2890" s="7" t="s">
        <v>6810</v>
      </c>
      <c r="C2890" s="7"/>
      <c r="D2890" s="7" t="n">
        <v>2097</v>
      </c>
      <c r="E2890" s="7" t="s">
        <v>7172</v>
      </c>
      <c r="F2890" s="7" t="n">
        <v>-33.7320237</v>
      </c>
      <c r="G2890" s="7" t="n">
        <v>151.30074</v>
      </c>
      <c r="H2890" s="7"/>
    </row>
    <row r="2891" customFormat="false" ht="15" hidden="false" customHeight="false" outlineLevel="0" collapsed="false">
      <c r="A2891" s="7" t="s">
        <v>7171</v>
      </c>
      <c r="B2891" s="7" t="s">
        <v>6811</v>
      </c>
      <c r="C2891" s="7"/>
      <c r="D2891" s="7" t="n">
        <v>2101</v>
      </c>
      <c r="E2891" s="7" t="s">
        <v>7174</v>
      </c>
      <c r="F2891" s="7" t="n">
        <v>-33.727539</v>
      </c>
      <c r="G2891" s="7" t="n">
        <v>151.286566</v>
      </c>
      <c r="H2891" s="7"/>
    </row>
    <row r="2892" customFormat="false" ht="15" hidden="false" customHeight="false" outlineLevel="0" collapsed="false">
      <c r="A2892" s="7" t="s">
        <v>7171</v>
      </c>
      <c r="B2892" s="7" t="s">
        <v>6812</v>
      </c>
      <c r="C2892" s="7"/>
      <c r="D2892" s="7" t="n">
        <v>2138</v>
      </c>
      <c r="E2892" s="7" t="s">
        <v>7174</v>
      </c>
      <c r="F2892" s="7" t="n">
        <v>-33.836949</v>
      </c>
      <c r="G2892" s="7" t="n">
        <v>151.092104</v>
      </c>
      <c r="H2892" s="7"/>
    </row>
    <row r="2893" customFormat="false" ht="15" hidden="false" customHeight="false" outlineLevel="0" collapsed="false">
      <c r="A2893" s="7" t="s">
        <v>7171</v>
      </c>
      <c r="B2893" s="7" t="s">
        <v>6813</v>
      </c>
      <c r="C2893" s="7"/>
      <c r="D2893" s="7" t="n">
        <v>2034</v>
      </c>
      <c r="E2893" s="7" t="s">
        <v>7172</v>
      </c>
      <c r="F2893" s="7" t="n">
        <v>-33.918934</v>
      </c>
      <c r="G2893" s="7" t="n">
        <v>151.257509</v>
      </c>
      <c r="H2893" s="7"/>
    </row>
    <row r="2894" customFormat="false" ht="15" hidden="false" customHeight="false" outlineLevel="0" collapsed="false">
      <c r="A2894" s="7" t="s">
        <v>7171</v>
      </c>
      <c r="B2894" s="7" t="s">
        <v>6814</v>
      </c>
      <c r="C2894" s="7"/>
      <c r="D2894" s="7" t="n">
        <v>2090</v>
      </c>
      <c r="E2894" s="7" t="s">
        <v>7172</v>
      </c>
      <c r="F2894" s="7" t="n">
        <v>-33.8289209</v>
      </c>
      <c r="G2894" s="7" t="n">
        <v>151.22927</v>
      </c>
      <c r="H2894" s="7"/>
    </row>
    <row r="2895" customFormat="false" ht="15" hidden="false" customHeight="false" outlineLevel="0" collapsed="false">
      <c r="A2895" s="7" t="s">
        <v>7171</v>
      </c>
      <c r="B2895" s="7" t="s">
        <v>6815</v>
      </c>
      <c r="C2895" s="7"/>
      <c r="D2895" s="7" t="n">
        <v>2230</v>
      </c>
      <c r="E2895" s="7" t="s">
        <v>7172</v>
      </c>
      <c r="F2895" s="7" t="n">
        <v>-34.0561605</v>
      </c>
      <c r="G2895" s="7" t="n">
        <v>151.1518522</v>
      </c>
      <c r="H2895" s="7"/>
    </row>
    <row r="2896" customFormat="false" ht="15" hidden="false" customHeight="false" outlineLevel="0" collapsed="false">
      <c r="A2896" s="7" t="s">
        <v>7171</v>
      </c>
      <c r="B2896" s="7" t="s">
        <v>6816</v>
      </c>
      <c r="C2896" s="7"/>
      <c r="D2896" s="7" t="n">
        <v>2065</v>
      </c>
      <c r="E2896" s="7" t="s">
        <v>7172</v>
      </c>
      <c r="F2896" s="7" t="n">
        <v>-33.826864</v>
      </c>
      <c r="G2896" s="7" t="n">
        <v>151.202324</v>
      </c>
      <c r="H2896" s="7"/>
    </row>
    <row r="2897" customFormat="false" ht="15" hidden="false" customHeight="false" outlineLevel="0" collapsed="false">
      <c r="A2897" s="7" t="s">
        <v>7171</v>
      </c>
      <c r="B2897" s="7" t="s">
        <v>6817</v>
      </c>
      <c r="C2897" s="7"/>
      <c r="D2897" s="7" t="n">
        <v>2009</v>
      </c>
      <c r="E2897" s="7" t="s">
        <v>7172</v>
      </c>
      <c r="F2897" s="7" t="n">
        <v>-33.869162</v>
      </c>
      <c r="G2897" s="7" t="n">
        <v>151.198175</v>
      </c>
      <c r="H2897" s="7"/>
    </row>
    <row r="2898" customFormat="false" ht="15" hidden="false" customHeight="false" outlineLevel="0" collapsed="false">
      <c r="A2898" s="7" t="s">
        <v>7171</v>
      </c>
      <c r="B2898" s="7" t="s">
        <v>6818</v>
      </c>
      <c r="C2898" s="7"/>
      <c r="D2898" s="7" t="n">
        <v>2000</v>
      </c>
      <c r="E2898" s="7" t="s">
        <v>7172</v>
      </c>
      <c r="F2898" s="7" t="n">
        <v>-33.873048</v>
      </c>
      <c r="G2898" s="7" t="n">
        <v>151.198661</v>
      </c>
      <c r="H2898" s="7"/>
    </row>
    <row r="2899" customFormat="false" ht="15" hidden="false" customHeight="false" outlineLevel="0" collapsed="false">
      <c r="A2899" s="7" t="s">
        <v>7171</v>
      </c>
      <c r="B2899" s="7" t="s">
        <v>6819</v>
      </c>
      <c r="C2899" s="7"/>
      <c r="D2899" s="7" t="n">
        <v>2009</v>
      </c>
      <c r="E2899" s="7" t="s">
        <v>7172</v>
      </c>
      <c r="F2899" s="7" t="n">
        <v>-33.871172</v>
      </c>
      <c r="G2899" s="7" t="n">
        <v>151.197583</v>
      </c>
      <c r="H2899" s="7"/>
    </row>
    <row r="2900" customFormat="false" ht="15" hidden="false" customHeight="false" outlineLevel="0" collapsed="false">
      <c r="A2900" s="7" t="s">
        <v>7171</v>
      </c>
      <c r="B2900" s="7" t="s">
        <v>6820</v>
      </c>
      <c r="C2900" s="7"/>
      <c r="D2900" s="7" t="n">
        <v>2099</v>
      </c>
      <c r="E2900" s="7" t="s">
        <v>7172</v>
      </c>
      <c r="F2900" s="7" t="n">
        <v>-33.754521</v>
      </c>
      <c r="G2900" s="7" t="n">
        <v>151.285275</v>
      </c>
      <c r="H2900" s="7"/>
    </row>
    <row r="2901" customFormat="false" ht="15" hidden="false" customHeight="false" outlineLevel="0" collapsed="false">
      <c r="A2901" s="7" t="s">
        <v>7171</v>
      </c>
      <c r="B2901" s="7" t="s">
        <v>6821</v>
      </c>
      <c r="C2901" s="7"/>
      <c r="D2901" s="7" t="n">
        <v>2099</v>
      </c>
      <c r="E2901" s="7" t="s">
        <v>7172</v>
      </c>
      <c r="F2901" s="7" t="n">
        <v>-33.7528204</v>
      </c>
      <c r="G2901" s="7" t="n">
        <v>151.28877</v>
      </c>
      <c r="H2901" s="7"/>
    </row>
    <row r="2902" customFormat="false" ht="15" hidden="false" customHeight="false" outlineLevel="0" collapsed="false">
      <c r="A2902" s="7" t="s">
        <v>7171</v>
      </c>
      <c r="B2902" s="7" t="s">
        <v>6822</v>
      </c>
      <c r="C2902" s="7"/>
      <c r="D2902" s="7" t="n">
        <v>2028</v>
      </c>
      <c r="E2902" s="7" t="s">
        <v>7172</v>
      </c>
      <c r="F2902" s="7" t="n">
        <v>-33.8772746</v>
      </c>
      <c r="G2902" s="7" t="n">
        <v>151.2412465</v>
      </c>
      <c r="H2902" s="7"/>
    </row>
    <row r="2903" customFormat="false" ht="15" hidden="false" customHeight="false" outlineLevel="0" collapsed="false">
      <c r="A2903" s="7" t="s">
        <v>7171</v>
      </c>
      <c r="B2903" s="7" t="s">
        <v>6823</v>
      </c>
      <c r="C2903" s="7"/>
      <c r="D2903" s="7" t="n">
        <v>2207</v>
      </c>
      <c r="E2903" s="7" t="s">
        <v>7174</v>
      </c>
      <c r="F2903" s="7" t="n">
        <v>-33.9262495</v>
      </c>
      <c r="G2903" s="7" t="n">
        <v>151.1252358</v>
      </c>
      <c r="H2903" s="7"/>
    </row>
    <row r="2904" customFormat="false" ht="15" hidden="false" customHeight="false" outlineLevel="0" collapsed="false">
      <c r="A2904" s="7" t="s">
        <v>7171</v>
      </c>
      <c r="B2904" s="7" t="s">
        <v>6824</v>
      </c>
      <c r="C2904" s="7"/>
      <c r="D2904" s="7" t="n">
        <v>2036</v>
      </c>
      <c r="E2904" s="7" t="s">
        <v>7172</v>
      </c>
      <c r="F2904" s="7" t="n">
        <v>-33.9442013</v>
      </c>
      <c r="G2904" s="7" t="n">
        <v>151.2265951</v>
      </c>
      <c r="H2904" s="7"/>
    </row>
    <row r="2905" customFormat="false" ht="15" hidden="false" customHeight="false" outlineLevel="0" collapsed="false">
      <c r="A2905" s="7" t="s">
        <v>7171</v>
      </c>
      <c r="B2905" s="7" t="s">
        <v>6825</v>
      </c>
      <c r="C2905" s="7"/>
      <c r="D2905" s="7" t="n">
        <v>2122</v>
      </c>
      <c r="E2905" s="7" t="s">
        <v>7172</v>
      </c>
      <c r="F2905" s="7" t="n">
        <v>-33.789995</v>
      </c>
      <c r="G2905" s="7" t="n">
        <v>151.082744</v>
      </c>
      <c r="H2905" s="7"/>
    </row>
    <row r="2906" customFormat="false" ht="15" hidden="false" customHeight="false" outlineLevel="0" collapsed="false">
      <c r="A2906" s="7" t="s">
        <v>7171</v>
      </c>
      <c r="B2906" s="7" t="s">
        <v>6826</v>
      </c>
      <c r="C2906" s="7"/>
      <c r="D2906" s="7" t="n">
        <v>2122</v>
      </c>
      <c r="E2906" s="7" t="s">
        <v>7172</v>
      </c>
      <c r="F2906" s="7" t="n">
        <v>-33.790001</v>
      </c>
      <c r="G2906" s="7" t="n">
        <v>151.081907</v>
      </c>
      <c r="H2906" s="7"/>
    </row>
    <row r="2907" customFormat="false" ht="15" hidden="false" customHeight="false" outlineLevel="0" collapsed="false">
      <c r="A2907" s="7" t="s">
        <v>7171</v>
      </c>
      <c r="B2907" s="7" t="s">
        <v>6827</v>
      </c>
      <c r="C2907" s="7"/>
      <c r="D2907" s="7" t="n">
        <v>2027</v>
      </c>
      <c r="E2907" s="7" t="s">
        <v>7172</v>
      </c>
      <c r="F2907" s="7" t="n">
        <v>-33.87881</v>
      </c>
      <c r="G2907" s="7" t="n">
        <v>151.235522</v>
      </c>
      <c r="H2907" s="7"/>
    </row>
    <row r="2908" customFormat="false" ht="15" hidden="false" customHeight="false" outlineLevel="0" collapsed="false">
      <c r="A2908" s="7" t="s">
        <v>7171</v>
      </c>
      <c r="B2908" s="7" t="s">
        <v>6828</v>
      </c>
      <c r="C2908" s="7"/>
      <c r="D2908" s="7" t="n">
        <v>2233</v>
      </c>
      <c r="E2908" s="7" t="s">
        <v>7172</v>
      </c>
      <c r="F2908" s="7" t="n">
        <v>-34.066371</v>
      </c>
      <c r="G2908" s="7" t="n">
        <v>151.0136187</v>
      </c>
      <c r="H2908" s="7"/>
    </row>
    <row r="2909" customFormat="false" ht="15" hidden="false" customHeight="false" outlineLevel="0" collapsed="false">
      <c r="A2909" s="7" t="s">
        <v>7171</v>
      </c>
      <c r="B2909" s="7" t="s">
        <v>6829</v>
      </c>
      <c r="C2909" s="7"/>
      <c r="D2909" s="7" t="n">
        <v>2121</v>
      </c>
      <c r="E2909" s="7" t="s">
        <v>7172</v>
      </c>
      <c r="F2909" s="7" t="n">
        <v>-33.773372</v>
      </c>
      <c r="G2909" s="7" t="n">
        <v>151.082693</v>
      </c>
      <c r="H2909" s="7"/>
    </row>
    <row r="2910" customFormat="false" ht="15" hidden="false" customHeight="false" outlineLevel="0" collapsed="false">
      <c r="A2910" s="7" t="s">
        <v>7171</v>
      </c>
      <c r="B2910" s="7" t="s">
        <v>6830</v>
      </c>
      <c r="C2910" s="7"/>
      <c r="D2910" s="7" t="n">
        <v>2116</v>
      </c>
      <c r="E2910" s="7" t="s">
        <v>7173</v>
      </c>
      <c r="F2910" s="7" t="n">
        <v>-33.814436</v>
      </c>
      <c r="G2910" s="7" t="n">
        <v>151.055313</v>
      </c>
      <c r="H2910" s="7"/>
    </row>
    <row r="2911" customFormat="false" ht="15" hidden="false" customHeight="false" outlineLevel="0" collapsed="false">
      <c r="A2911" s="7" t="s">
        <v>7171</v>
      </c>
      <c r="B2911" s="7" t="s">
        <v>6831</v>
      </c>
      <c r="C2911" s="7"/>
      <c r="D2911" s="7" t="n">
        <v>2164</v>
      </c>
      <c r="E2911" s="7" t="s">
        <v>7174</v>
      </c>
      <c r="F2911" s="7" t="n">
        <v>-33.86457</v>
      </c>
      <c r="G2911" s="7" t="n">
        <v>150.938485</v>
      </c>
      <c r="H2911" s="7"/>
    </row>
    <row r="2912" customFormat="false" ht="15" hidden="false" customHeight="false" outlineLevel="0" collapsed="false">
      <c r="A2912" s="7" t="s">
        <v>7171</v>
      </c>
      <c r="B2912" s="7" t="s">
        <v>6832</v>
      </c>
      <c r="C2912" s="7"/>
      <c r="D2912" s="7" t="n">
        <v>2165</v>
      </c>
      <c r="E2912" s="7" t="s">
        <v>7172</v>
      </c>
      <c r="F2912" s="7" t="n">
        <v>-33.872601</v>
      </c>
      <c r="G2912" s="7" t="n">
        <v>150.955857</v>
      </c>
      <c r="H2912" s="7"/>
    </row>
    <row r="2913" customFormat="false" ht="15" hidden="false" customHeight="false" outlineLevel="0" collapsed="false">
      <c r="A2913" s="7" t="s">
        <v>7171</v>
      </c>
      <c r="B2913" s="7" t="s">
        <v>6833</v>
      </c>
      <c r="C2913" s="7"/>
      <c r="D2913" s="7" t="n">
        <v>2046</v>
      </c>
      <c r="E2913" s="7" t="s">
        <v>7174</v>
      </c>
      <c r="F2913" s="7" t="n">
        <v>-33.86837</v>
      </c>
      <c r="G2913" s="7" t="n">
        <v>151.128991</v>
      </c>
      <c r="H2913" s="7"/>
    </row>
    <row r="2914" customFormat="false" ht="15" hidden="false" customHeight="false" outlineLevel="0" collapsed="false">
      <c r="A2914" s="7" t="s">
        <v>7171</v>
      </c>
      <c r="B2914" s="7" t="s">
        <v>6834</v>
      </c>
      <c r="C2914" s="7"/>
      <c r="D2914" s="7" t="n">
        <v>2087</v>
      </c>
      <c r="E2914" s="7" t="s">
        <v>7172</v>
      </c>
      <c r="F2914" s="7" t="n">
        <v>-33.7623167</v>
      </c>
      <c r="G2914" s="7" t="n">
        <v>151.21663</v>
      </c>
      <c r="H2914" s="7"/>
    </row>
    <row r="2915" customFormat="false" ht="15" hidden="false" customHeight="false" outlineLevel="0" collapsed="false">
      <c r="A2915" s="7" t="s">
        <v>7171</v>
      </c>
      <c r="B2915" s="7" t="s">
        <v>6835</v>
      </c>
      <c r="C2915" s="7"/>
      <c r="D2915" s="7" t="n">
        <v>2086</v>
      </c>
      <c r="E2915" s="7" t="s">
        <v>7173</v>
      </c>
      <c r="F2915" s="7" t="n">
        <v>-33.750522</v>
      </c>
      <c r="G2915" s="7" t="n">
        <v>151.225059</v>
      </c>
      <c r="H2915" s="7"/>
    </row>
    <row r="2916" customFormat="false" ht="15" hidden="false" customHeight="false" outlineLevel="0" collapsed="false">
      <c r="A2916" s="7" t="s">
        <v>7171</v>
      </c>
      <c r="B2916" s="7" t="s">
        <v>6836</v>
      </c>
      <c r="C2916" s="7"/>
      <c r="D2916" s="7" t="n">
        <v>2096</v>
      </c>
      <c r="E2916" s="7" t="s">
        <v>7172</v>
      </c>
      <c r="F2916" s="7" t="n">
        <v>-33.7789001</v>
      </c>
      <c r="G2916" s="7" t="n">
        <v>151.28528</v>
      </c>
      <c r="H2916" s="7"/>
    </row>
    <row r="2917" customFormat="false" ht="15" hidden="false" customHeight="false" outlineLevel="0" collapsed="false">
      <c r="A2917" s="7" t="s">
        <v>7171</v>
      </c>
      <c r="B2917" s="7" t="s">
        <v>6837</v>
      </c>
      <c r="C2917" s="7"/>
      <c r="D2917" s="7" t="n">
        <v>2111</v>
      </c>
      <c r="E2917" s="7" t="s">
        <v>7172</v>
      </c>
      <c r="F2917" s="7" t="n">
        <v>-33.8304</v>
      </c>
      <c r="G2917" s="7" t="n">
        <v>151.126228</v>
      </c>
      <c r="H2917" s="7"/>
    </row>
    <row r="2918" customFormat="false" ht="15" hidden="false" customHeight="false" outlineLevel="0" collapsed="false">
      <c r="A2918" s="7" t="s">
        <v>7171</v>
      </c>
      <c r="B2918" s="7" t="s">
        <v>6838</v>
      </c>
      <c r="C2918" s="7"/>
      <c r="D2918" s="7" t="n">
        <v>2167</v>
      </c>
      <c r="E2918" s="7" t="s">
        <v>7172</v>
      </c>
      <c r="F2918" s="7" t="n">
        <v>-33.971963</v>
      </c>
      <c r="G2918" s="7" t="n">
        <v>150.893875</v>
      </c>
      <c r="H2918" s="7"/>
    </row>
    <row r="2919" customFormat="false" ht="15" hidden="false" customHeight="false" outlineLevel="0" collapsed="false">
      <c r="A2919" s="7" t="s">
        <v>7171</v>
      </c>
      <c r="B2919" s="7" t="s">
        <v>6839</v>
      </c>
      <c r="C2919" s="7"/>
      <c r="D2919" s="7" t="n">
        <v>2072</v>
      </c>
      <c r="E2919" s="7" t="s">
        <v>7172</v>
      </c>
      <c r="F2919" s="7" t="n">
        <v>-33.756332</v>
      </c>
      <c r="G2919" s="7" t="n">
        <v>151.154069</v>
      </c>
      <c r="H2919" s="7"/>
    </row>
    <row r="2920" customFormat="false" ht="15" hidden="false" customHeight="false" outlineLevel="0" collapsed="false">
      <c r="A2920" s="7" t="s">
        <v>7171</v>
      </c>
      <c r="B2920" s="7" t="s">
        <v>6840</v>
      </c>
      <c r="C2920" s="7"/>
      <c r="D2920" s="7" t="n">
        <v>2161</v>
      </c>
      <c r="E2920" s="7" t="s">
        <v>7173</v>
      </c>
      <c r="F2920" s="7" t="n">
        <v>-33.853363</v>
      </c>
      <c r="G2920" s="7" t="n">
        <v>151.008286</v>
      </c>
      <c r="H2920" s="7"/>
    </row>
    <row r="2921" customFormat="false" ht="15" hidden="false" customHeight="false" outlineLevel="0" collapsed="false">
      <c r="A2921" s="7" t="s">
        <v>7171</v>
      </c>
      <c r="B2921" s="7" t="s">
        <v>6841</v>
      </c>
      <c r="C2921" s="7"/>
      <c r="D2921" s="7" t="n">
        <v>2142</v>
      </c>
      <c r="E2921" s="7" t="s">
        <v>7172</v>
      </c>
      <c r="F2921" s="7" t="n">
        <v>-33.833065</v>
      </c>
      <c r="G2921" s="7" t="n">
        <v>151.01103</v>
      </c>
      <c r="H2921" s="7"/>
    </row>
    <row r="2922" customFormat="false" ht="15" hidden="false" customHeight="false" outlineLevel="0" collapsed="false">
      <c r="A2922" s="7" t="s">
        <v>7171</v>
      </c>
      <c r="B2922" s="7" t="s">
        <v>6842</v>
      </c>
      <c r="C2922" s="7"/>
      <c r="D2922" s="7" t="n">
        <v>2161</v>
      </c>
      <c r="E2922" s="7" t="s">
        <v>7172</v>
      </c>
      <c r="F2922" s="7" t="n">
        <v>-33.853647</v>
      </c>
      <c r="G2922" s="7" t="n">
        <v>150.984633</v>
      </c>
      <c r="H2922" s="7"/>
    </row>
    <row r="2923" customFormat="false" ht="15" hidden="false" customHeight="false" outlineLevel="0" collapsed="false">
      <c r="A2923" s="7" t="s">
        <v>7171</v>
      </c>
      <c r="B2923" s="7" t="s">
        <v>6843</v>
      </c>
      <c r="C2923" s="7"/>
      <c r="D2923" s="7" t="n">
        <v>2227</v>
      </c>
      <c r="E2923" s="7" t="s">
        <v>7172</v>
      </c>
      <c r="F2923" s="7" t="n">
        <v>-34.034649</v>
      </c>
      <c r="G2923" s="7" t="n">
        <v>151.085378</v>
      </c>
      <c r="H2923" s="7"/>
    </row>
    <row r="2924" customFormat="false" ht="15" hidden="false" customHeight="false" outlineLevel="0" collapsed="false">
      <c r="A2924" s="7" t="s">
        <v>7171</v>
      </c>
      <c r="B2924" s="7" t="s">
        <v>6844</v>
      </c>
      <c r="C2924" s="7"/>
      <c r="D2924" s="7" t="n">
        <v>2127</v>
      </c>
      <c r="E2924" s="7" t="s">
        <v>7172</v>
      </c>
      <c r="F2924" s="7" t="n">
        <v>-33.848403</v>
      </c>
      <c r="G2924" s="7" t="n">
        <v>151.068312</v>
      </c>
      <c r="H2924" s="7"/>
    </row>
    <row r="2925" customFormat="false" ht="15" hidden="false" customHeight="false" outlineLevel="0" collapsed="false">
      <c r="A2925" s="7" t="s">
        <v>7171</v>
      </c>
      <c r="B2925" s="7" t="s">
        <v>6845</v>
      </c>
      <c r="C2925" s="7"/>
      <c r="D2925" s="7" t="n">
        <v>2077</v>
      </c>
      <c r="E2925" s="7" t="s">
        <v>7172</v>
      </c>
      <c r="F2925" s="7" t="n">
        <v>-33.702937</v>
      </c>
      <c r="G2925" s="7" t="n">
        <v>151.100849</v>
      </c>
      <c r="H2925" s="7"/>
    </row>
    <row r="2926" customFormat="false" ht="15" hidden="false" customHeight="false" outlineLevel="0" collapsed="false">
      <c r="A2926" s="7" t="s">
        <v>7171</v>
      </c>
      <c r="B2926" s="7" t="s">
        <v>6846</v>
      </c>
      <c r="C2926" s="7"/>
      <c r="D2926" s="7" t="n">
        <v>2077</v>
      </c>
      <c r="E2926" s="7" t="s">
        <v>7172</v>
      </c>
      <c r="F2926" s="7" t="n">
        <v>-33.7032515</v>
      </c>
      <c r="G2926" s="7" t="n">
        <v>151.09786</v>
      </c>
      <c r="H2926" s="7"/>
    </row>
    <row r="2927" customFormat="false" ht="15" hidden="false" customHeight="false" outlineLevel="0" collapsed="false">
      <c r="A2927" s="7" t="s">
        <v>7171</v>
      </c>
      <c r="B2927" s="7" t="s">
        <v>6847</v>
      </c>
      <c r="C2927" s="7"/>
      <c r="D2927" s="7" t="n">
        <v>2220</v>
      </c>
      <c r="E2927" s="7" t="s">
        <v>7172</v>
      </c>
      <c r="F2927" s="7" t="n">
        <v>-33.9665576</v>
      </c>
      <c r="G2927" s="7" t="n">
        <v>151.1021966</v>
      </c>
      <c r="H2927" s="7"/>
    </row>
    <row r="2928" customFormat="false" ht="15" hidden="false" customHeight="false" outlineLevel="0" collapsed="false">
      <c r="A2928" s="7" t="s">
        <v>7171</v>
      </c>
      <c r="B2928" s="7" t="s">
        <v>6848</v>
      </c>
      <c r="C2928" s="7"/>
      <c r="D2928" s="7" t="n">
        <v>2220</v>
      </c>
      <c r="E2928" s="7" t="s">
        <v>7172</v>
      </c>
      <c r="F2928" s="7" t="n">
        <v>-33.9679993</v>
      </c>
      <c r="G2928" s="7" t="n">
        <v>151.1019645</v>
      </c>
      <c r="H2928" s="7"/>
    </row>
    <row r="2929" customFormat="false" ht="15" hidden="false" customHeight="false" outlineLevel="0" collapsed="false">
      <c r="A2929" s="7" t="s">
        <v>7171</v>
      </c>
      <c r="B2929" s="7" t="s">
        <v>6849</v>
      </c>
      <c r="C2929" s="7"/>
      <c r="D2929" s="7" t="n">
        <v>2565</v>
      </c>
      <c r="E2929" s="7" t="s">
        <v>7172</v>
      </c>
      <c r="F2929" s="7" t="n">
        <v>-33.997307</v>
      </c>
      <c r="G2929" s="7" t="n">
        <v>150.865061</v>
      </c>
      <c r="H2929" s="7"/>
    </row>
    <row r="2930" customFormat="false" ht="15" hidden="false" customHeight="false" outlineLevel="0" collapsed="false">
      <c r="A2930" s="7" t="s">
        <v>7171</v>
      </c>
      <c r="B2930" s="7" t="s">
        <v>6850</v>
      </c>
      <c r="C2930" s="7"/>
      <c r="D2930" s="7" t="n">
        <v>2226</v>
      </c>
      <c r="E2930" s="7" t="s">
        <v>7172</v>
      </c>
      <c r="F2930" s="7" t="n">
        <v>-34.0155629</v>
      </c>
      <c r="G2930" s="7" t="n">
        <v>151.0648395</v>
      </c>
      <c r="H2930" s="7"/>
    </row>
    <row r="2931" customFormat="false" ht="15" hidden="false" customHeight="false" outlineLevel="0" collapsed="false">
      <c r="A2931" s="7" t="s">
        <v>7171</v>
      </c>
      <c r="B2931" s="7" t="s">
        <v>6851</v>
      </c>
      <c r="C2931" s="7"/>
      <c r="D2931" s="7" t="n">
        <v>2011</v>
      </c>
      <c r="E2931" s="7" t="s">
        <v>7172</v>
      </c>
      <c r="F2931" s="7" t="n">
        <v>-33.8750066</v>
      </c>
      <c r="G2931" s="7" t="n">
        <v>151.2234911</v>
      </c>
      <c r="H2931" s="7"/>
    </row>
    <row r="2932" customFormat="false" ht="15" hidden="false" customHeight="false" outlineLevel="0" collapsed="false">
      <c r="A2932" s="7" t="s">
        <v>7171</v>
      </c>
      <c r="B2932" s="7" t="s">
        <v>6852</v>
      </c>
      <c r="C2932" s="7"/>
      <c r="D2932" s="7" t="n">
        <v>2011</v>
      </c>
      <c r="E2932" s="7" t="s">
        <v>7172</v>
      </c>
      <c r="F2932" s="7" t="n">
        <v>-33.8733285</v>
      </c>
      <c r="G2932" s="7" t="n">
        <v>151.224542</v>
      </c>
      <c r="H2932" s="7"/>
    </row>
    <row r="2933" customFormat="false" ht="15" hidden="false" customHeight="false" outlineLevel="0" collapsed="false">
      <c r="A2933" s="7" t="s">
        <v>7171</v>
      </c>
      <c r="B2933" s="7" t="s">
        <v>6853</v>
      </c>
      <c r="C2933" s="7"/>
      <c r="D2933" s="7" t="n">
        <v>2208</v>
      </c>
      <c r="E2933" s="7" t="s">
        <v>7172</v>
      </c>
      <c r="F2933" s="7" t="n">
        <v>-33.9411524</v>
      </c>
      <c r="G2933" s="7" t="n">
        <v>151.1007847</v>
      </c>
      <c r="H2933" s="7"/>
    </row>
    <row r="2934" customFormat="false" ht="15" hidden="false" customHeight="false" outlineLevel="0" collapsed="false">
      <c r="A2934" s="7" t="s">
        <v>7171</v>
      </c>
      <c r="B2934" s="7" t="s">
        <v>6854</v>
      </c>
      <c r="C2934" s="7"/>
      <c r="D2934" s="7" t="n">
        <v>2232</v>
      </c>
      <c r="E2934" s="7" t="s">
        <v>7172</v>
      </c>
      <c r="F2934" s="7" t="n">
        <v>-34.0346219</v>
      </c>
      <c r="G2934" s="7" t="n">
        <v>151.0710452</v>
      </c>
      <c r="H2934" s="7"/>
    </row>
    <row r="2935" customFormat="false" ht="15" hidden="false" customHeight="false" outlineLevel="0" collapsed="false">
      <c r="A2935" s="7" t="s">
        <v>7171</v>
      </c>
      <c r="B2935" s="7" t="s">
        <v>6855</v>
      </c>
      <c r="C2935" s="7"/>
      <c r="D2935" s="7" t="n">
        <v>2195</v>
      </c>
      <c r="E2935" s="7" t="s">
        <v>7172</v>
      </c>
      <c r="F2935" s="7" t="n">
        <v>-33.9202366</v>
      </c>
      <c r="G2935" s="7" t="n">
        <v>151.0765869</v>
      </c>
      <c r="H2935" s="7"/>
    </row>
    <row r="2936" customFormat="false" ht="15" hidden="false" customHeight="false" outlineLevel="0" collapsed="false">
      <c r="A2936" s="7" t="s">
        <v>7171</v>
      </c>
      <c r="B2936" s="7" t="s">
        <v>6856</v>
      </c>
      <c r="C2936" s="7"/>
      <c r="D2936" s="7" t="n">
        <v>2066</v>
      </c>
      <c r="E2936" s="7" t="s">
        <v>7172</v>
      </c>
      <c r="F2936" s="7" t="n">
        <v>-33.815036</v>
      </c>
      <c r="G2936" s="7" t="n">
        <v>151.169923</v>
      </c>
      <c r="H2936" s="7"/>
    </row>
    <row r="2937" customFormat="false" ht="15" hidden="false" customHeight="false" outlineLevel="0" collapsed="false">
      <c r="A2937" s="7" t="s">
        <v>7171</v>
      </c>
      <c r="B2937" s="7" t="s">
        <v>6857</v>
      </c>
      <c r="C2937" s="7"/>
      <c r="D2937" s="7" t="n">
        <v>2560</v>
      </c>
      <c r="E2937" s="7" t="s">
        <v>7172</v>
      </c>
      <c r="F2937" s="7" t="n">
        <v>-34.051457</v>
      </c>
      <c r="G2937" s="7" t="n">
        <v>150.830101</v>
      </c>
      <c r="H2937" s="7"/>
    </row>
    <row r="2938" customFormat="false" ht="15" hidden="false" customHeight="false" outlineLevel="0" collapsed="false">
      <c r="A2938" s="7" t="s">
        <v>7171</v>
      </c>
      <c r="B2938" s="7" t="s">
        <v>6858</v>
      </c>
      <c r="C2938" s="7"/>
      <c r="D2938" s="7" t="n">
        <v>2141</v>
      </c>
      <c r="E2938" s="7" t="s">
        <v>7172</v>
      </c>
      <c r="F2938" s="7" t="n">
        <v>-33.862807</v>
      </c>
      <c r="G2938" s="7" t="n">
        <v>151.043756</v>
      </c>
      <c r="H2938" s="7"/>
    </row>
    <row r="2939" customFormat="false" ht="15" hidden="false" customHeight="false" outlineLevel="0" collapsed="false">
      <c r="A2939" s="7" t="s">
        <v>7171</v>
      </c>
      <c r="B2939" s="7" t="s">
        <v>6859</v>
      </c>
      <c r="C2939" s="7"/>
      <c r="D2939" s="7" t="n">
        <v>2070</v>
      </c>
      <c r="E2939" s="7" t="s">
        <v>7172</v>
      </c>
      <c r="F2939" s="7" t="n">
        <v>-33.775454</v>
      </c>
      <c r="G2939" s="7" t="n">
        <v>151.169511</v>
      </c>
      <c r="H2939" s="7"/>
    </row>
    <row r="2940" customFormat="false" ht="15" hidden="false" customHeight="false" outlineLevel="0" collapsed="false">
      <c r="A2940" s="7" t="s">
        <v>7171</v>
      </c>
      <c r="B2940" s="7" t="s">
        <v>6860</v>
      </c>
      <c r="C2940" s="7"/>
      <c r="D2940" s="7" t="n">
        <v>2170</v>
      </c>
      <c r="E2940" s="7" t="s">
        <v>7172</v>
      </c>
      <c r="F2940" s="7" t="n">
        <v>-33.924681</v>
      </c>
      <c r="G2940" s="7" t="n">
        <v>150.927111</v>
      </c>
      <c r="H2940" s="7"/>
    </row>
    <row r="2941" customFormat="false" ht="15" hidden="false" customHeight="false" outlineLevel="0" collapsed="false">
      <c r="A2941" s="7" t="s">
        <v>7171</v>
      </c>
      <c r="B2941" s="7" t="s">
        <v>6861</v>
      </c>
      <c r="C2941" s="7"/>
      <c r="D2941" s="7" t="n">
        <v>2170</v>
      </c>
      <c r="E2941" s="7" t="s">
        <v>7174</v>
      </c>
      <c r="F2941" s="7" t="n">
        <v>-33.919287</v>
      </c>
      <c r="G2941" s="7" t="n">
        <v>150.925492</v>
      </c>
      <c r="H2941" s="7"/>
    </row>
    <row r="2942" customFormat="false" ht="15" hidden="false" customHeight="false" outlineLevel="0" collapsed="false">
      <c r="A2942" s="7" t="s">
        <v>7171</v>
      </c>
      <c r="B2942" s="7" t="s">
        <v>6862</v>
      </c>
      <c r="C2942" s="7"/>
      <c r="D2942" s="7" t="n">
        <v>2170</v>
      </c>
      <c r="E2942" s="7" t="s">
        <v>7173</v>
      </c>
      <c r="F2942" s="7" t="n">
        <v>-33.932094</v>
      </c>
      <c r="G2942" s="7" t="n">
        <v>150.896572</v>
      </c>
      <c r="H2942" s="7"/>
    </row>
    <row r="2943" customFormat="false" ht="15" hidden="false" customHeight="false" outlineLevel="0" collapsed="false">
      <c r="A2943" s="7" t="s">
        <v>7171</v>
      </c>
      <c r="B2943" s="7" t="s">
        <v>6863</v>
      </c>
      <c r="C2943" s="7"/>
      <c r="D2943" s="7" t="n">
        <v>2113</v>
      </c>
      <c r="E2943" s="7" t="s">
        <v>7172</v>
      </c>
      <c r="F2943" s="7" t="n">
        <v>-33.782945</v>
      </c>
      <c r="G2943" s="7" t="n">
        <v>151.120588</v>
      </c>
      <c r="H2943" s="7"/>
    </row>
    <row r="2944" customFormat="false" ht="15" hidden="false" customHeight="false" outlineLevel="0" collapsed="false">
      <c r="A2944" s="7" t="s">
        <v>7171</v>
      </c>
      <c r="B2944" s="7" t="s">
        <v>6864</v>
      </c>
      <c r="C2944" s="7"/>
      <c r="D2944" s="7" t="n">
        <v>2095</v>
      </c>
      <c r="E2944" s="7" t="s">
        <v>7172</v>
      </c>
      <c r="F2944" s="7" t="n">
        <v>-33.798663</v>
      </c>
      <c r="G2944" s="7" t="n">
        <v>151.28457</v>
      </c>
      <c r="H2944" s="7"/>
    </row>
    <row r="2945" customFormat="false" ht="15" hidden="false" customHeight="false" outlineLevel="0" collapsed="false">
      <c r="A2945" s="7" t="s">
        <v>7171</v>
      </c>
      <c r="B2945" s="7" t="s">
        <v>6865</v>
      </c>
      <c r="C2945" s="7"/>
      <c r="D2945" s="7" t="n">
        <v>2095</v>
      </c>
      <c r="E2945" s="7" t="s">
        <v>7174</v>
      </c>
      <c r="F2945" s="7" t="n">
        <v>-33.7958734</v>
      </c>
      <c r="G2945" s="7" t="n">
        <v>151.2876362</v>
      </c>
      <c r="H2945" s="7"/>
    </row>
    <row r="2946" customFormat="false" ht="15" hidden="false" customHeight="false" outlineLevel="0" collapsed="false">
      <c r="A2946" s="7" t="s">
        <v>7171</v>
      </c>
      <c r="B2946" s="7" t="s">
        <v>6866</v>
      </c>
      <c r="C2946" s="7"/>
      <c r="D2946" s="7" t="n">
        <v>2035</v>
      </c>
      <c r="E2946" s="7" t="s">
        <v>7172</v>
      </c>
      <c r="F2946" s="7" t="n">
        <v>-33.9417671</v>
      </c>
      <c r="G2946" s="7" t="n">
        <v>151.2401856</v>
      </c>
      <c r="H2946" s="7"/>
    </row>
    <row r="2947" customFormat="false" ht="15" hidden="false" customHeight="false" outlineLevel="0" collapsed="false">
      <c r="A2947" s="7" t="s">
        <v>7171</v>
      </c>
      <c r="B2947" s="7" t="s">
        <v>6867</v>
      </c>
      <c r="C2947" s="7"/>
      <c r="D2947" s="7" t="n">
        <v>2204</v>
      </c>
      <c r="E2947" s="7" t="s">
        <v>7172</v>
      </c>
      <c r="F2947" s="7" t="n">
        <v>-33.9140456</v>
      </c>
      <c r="G2947" s="7" t="n">
        <v>151.1530944</v>
      </c>
      <c r="H2947" s="7"/>
    </row>
    <row r="2948" customFormat="false" ht="15" hidden="false" customHeight="false" outlineLevel="0" collapsed="false">
      <c r="A2948" s="7" t="s">
        <v>7171</v>
      </c>
      <c r="B2948" s="7" t="s">
        <v>6868</v>
      </c>
      <c r="C2948" s="7"/>
      <c r="D2948" s="7" t="n">
        <v>2020</v>
      </c>
      <c r="E2948" s="7" t="s">
        <v>7172</v>
      </c>
      <c r="F2948" s="7" t="n">
        <v>-33.9231827</v>
      </c>
      <c r="G2948" s="7" t="n">
        <v>151.1872391</v>
      </c>
      <c r="H2948" s="7"/>
    </row>
    <row r="2949" customFormat="false" ht="15" hidden="false" customHeight="false" outlineLevel="0" collapsed="false">
      <c r="A2949" s="7" t="s">
        <v>7171</v>
      </c>
      <c r="B2949" s="7" t="s">
        <v>6869</v>
      </c>
      <c r="C2949" s="7"/>
      <c r="D2949" s="7" t="n">
        <v>2234</v>
      </c>
      <c r="E2949" s="7" t="s">
        <v>7172</v>
      </c>
      <c r="F2949" s="7" t="n">
        <v>-34.0140617</v>
      </c>
      <c r="G2949" s="7" t="n">
        <v>151.0159941</v>
      </c>
      <c r="H2949" s="7"/>
    </row>
    <row r="2950" customFormat="false" ht="15" hidden="false" customHeight="false" outlineLevel="0" collapsed="false">
      <c r="A2950" s="7" t="s">
        <v>7171</v>
      </c>
      <c r="B2950" s="7" t="s">
        <v>6870</v>
      </c>
      <c r="C2950" s="7"/>
      <c r="D2950" s="7" t="n">
        <v>2170</v>
      </c>
      <c r="E2950" s="7" t="s">
        <v>7173</v>
      </c>
      <c r="F2950" s="7" t="n">
        <v>-33.920168</v>
      </c>
      <c r="G2950" s="7" t="n">
        <v>150.883509</v>
      </c>
      <c r="H2950" s="7"/>
    </row>
    <row r="2951" customFormat="false" ht="15" hidden="false" customHeight="false" outlineLevel="0" collapsed="false">
      <c r="A2951" s="7" t="s">
        <v>7171</v>
      </c>
      <c r="B2951" s="7" t="s">
        <v>6871</v>
      </c>
      <c r="C2951" s="7"/>
      <c r="D2951" s="7" t="n">
        <v>2000</v>
      </c>
      <c r="E2951" s="7" t="s">
        <v>7172</v>
      </c>
      <c r="F2951" s="7" t="n">
        <v>-33.855521</v>
      </c>
      <c r="G2951" s="7" t="n">
        <v>151.210087</v>
      </c>
      <c r="H2951" s="7"/>
    </row>
    <row r="2952" customFormat="false" ht="15" hidden="false" customHeight="false" outlineLevel="0" collapsed="false">
      <c r="A2952" s="7" t="s">
        <v>7171</v>
      </c>
      <c r="B2952" s="7" t="s">
        <v>6872</v>
      </c>
      <c r="C2952" s="7"/>
      <c r="D2952" s="7" t="n">
        <v>2061</v>
      </c>
      <c r="E2952" s="7" t="s">
        <v>7172</v>
      </c>
      <c r="F2952" s="7" t="n">
        <v>-33.8456542</v>
      </c>
      <c r="G2952" s="7" t="n">
        <v>151.2124455</v>
      </c>
      <c r="H2952" s="7"/>
    </row>
    <row r="2953" customFormat="false" ht="15" hidden="false" customHeight="false" outlineLevel="0" collapsed="false">
      <c r="A2953" s="7" t="s">
        <v>7171</v>
      </c>
      <c r="B2953" s="7" t="s">
        <v>6873</v>
      </c>
      <c r="C2953" s="7"/>
      <c r="D2953" s="7" t="n">
        <v>2566</v>
      </c>
      <c r="E2953" s="7" t="s">
        <v>7172</v>
      </c>
      <c r="F2953" s="7" t="n">
        <v>-34.027299</v>
      </c>
      <c r="G2953" s="7" t="n">
        <v>150.842808</v>
      </c>
      <c r="H2953" s="7"/>
    </row>
    <row r="2954" customFormat="false" ht="15" hidden="false" customHeight="false" outlineLevel="0" collapsed="false">
      <c r="A2954" s="7" t="s">
        <v>7171</v>
      </c>
      <c r="B2954" s="7" t="s">
        <v>6874</v>
      </c>
      <c r="C2954" s="7"/>
      <c r="D2954" s="7" t="n">
        <v>2228</v>
      </c>
      <c r="E2954" s="7" t="s">
        <v>7172</v>
      </c>
      <c r="F2954" s="7" t="n">
        <v>-34.035689</v>
      </c>
      <c r="G2954" s="7" t="n">
        <v>151.102541</v>
      </c>
      <c r="H2954" s="7"/>
    </row>
    <row r="2955" customFormat="false" ht="15" hidden="false" customHeight="false" outlineLevel="0" collapsed="false">
      <c r="A2955" s="7" t="s">
        <v>7171</v>
      </c>
      <c r="B2955" s="7" t="s">
        <v>6875</v>
      </c>
      <c r="C2955" s="7"/>
      <c r="D2955" s="7" t="n">
        <v>2103</v>
      </c>
      <c r="E2955" s="7" t="s">
        <v>7172</v>
      </c>
      <c r="F2955" s="7" t="n">
        <v>-33.67697</v>
      </c>
      <c r="G2955" s="7" t="n">
        <v>151.303657</v>
      </c>
      <c r="H2955" s="7"/>
    </row>
    <row r="2956" customFormat="false" ht="15" hidden="false" customHeight="false" outlineLevel="0" collapsed="false">
      <c r="A2956" s="7" t="s">
        <v>7171</v>
      </c>
      <c r="B2956" s="7" t="s">
        <v>6876</v>
      </c>
      <c r="C2956" s="7"/>
      <c r="D2956" s="7" t="n">
        <v>2170</v>
      </c>
      <c r="E2956" s="7" t="s">
        <v>7174</v>
      </c>
      <c r="F2956" s="7" t="n">
        <v>-33.933179</v>
      </c>
      <c r="G2956" s="7" t="n">
        <v>150.948671</v>
      </c>
      <c r="H2956" s="7"/>
    </row>
    <row r="2957" customFormat="false" ht="15" hidden="false" customHeight="false" outlineLevel="0" collapsed="false">
      <c r="A2957" s="7" t="s">
        <v>7171</v>
      </c>
      <c r="B2957" s="7" t="s">
        <v>6877</v>
      </c>
      <c r="C2957" s="7"/>
      <c r="D2957" s="7" t="n">
        <v>2223</v>
      </c>
      <c r="E2957" s="7" t="s">
        <v>7172</v>
      </c>
      <c r="F2957" s="7" t="n">
        <v>-33.971041</v>
      </c>
      <c r="G2957" s="7" t="n">
        <v>151.080568</v>
      </c>
      <c r="H2957" s="7"/>
    </row>
    <row r="2958" customFormat="false" ht="15" hidden="false" customHeight="false" outlineLevel="0" collapsed="false">
      <c r="A2958" s="7" t="s">
        <v>7171</v>
      </c>
      <c r="B2958" s="7" t="s">
        <v>6878</v>
      </c>
      <c r="C2958" s="7"/>
      <c r="D2958" s="7" t="n">
        <v>2770</v>
      </c>
      <c r="E2958" s="7" t="s">
        <v>7172</v>
      </c>
      <c r="F2958" s="7" t="n">
        <v>-33.769166</v>
      </c>
      <c r="G2958" s="7" t="n">
        <v>150.820301</v>
      </c>
      <c r="H2958" s="7"/>
    </row>
    <row r="2959" customFormat="false" ht="15" hidden="false" customHeight="false" outlineLevel="0" collapsed="false">
      <c r="A2959" s="7" t="s">
        <v>7171</v>
      </c>
      <c r="B2959" s="7" t="s">
        <v>6879</v>
      </c>
      <c r="C2959" s="7"/>
      <c r="D2959" s="7" t="n">
        <v>2101</v>
      </c>
      <c r="E2959" s="7" t="s">
        <v>7172</v>
      </c>
      <c r="F2959" s="7" t="n">
        <v>-33.713984</v>
      </c>
      <c r="G2959" s="7" t="n">
        <v>151.297182</v>
      </c>
      <c r="H2959" s="7"/>
    </row>
    <row r="2960" customFormat="false" ht="15" hidden="false" customHeight="false" outlineLevel="0" collapsed="false">
      <c r="A2960" s="7" t="s">
        <v>7171</v>
      </c>
      <c r="B2960" s="7" t="s">
        <v>6880</v>
      </c>
      <c r="C2960" s="7"/>
      <c r="D2960" s="7" t="n">
        <v>2089</v>
      </c>
      <c r="E2960" s="7" t="s">
        <v>7172</v>
      </c>
      <c r="F2960" s="7" t="n">
        <v>-33.832034</v>
      </c>
      <c r="G2960" s="7" t="n">
        <v>151.22398</v>
      </c>
      <c r="H2960" s="7"/>
    </row>
    <row r="2961" customFormat="false" ht="15" hidden="false" customHeight="false" outlineLevel="0" collapsed="false">
      <c r="A2961" s="7" t="s">
        <v>7171</v>
      </c>
      <c r="B2961" s="7" t="s">
        <v>6881</v>
      </c>
      <c r="C2961" s="7"/>
      <c r="D2961" s="7" t="n">
        <v>2042</v>
      </c>
      <c r="E2961" s="7" t="s">
        <v>7172</v>
      </c>
      <c r="F2961" s="7" t="n">
        <v>-33.8960721</v>
      </c>
      <c r="G2961" s="7" t="n">
        <v>151.1806939</v>
      </c>
      <c r="H2961" s="7"/>
    </row>
    <row r="2962" customFormat="false" ht="15" hidden="false" customHeight="false" outlineLevel="0" collapsed="false">
      <c r="A2962" s="7" t="s">
        <v>7171</v>
      </c>
      <c r="B2962" s="7" t="s">
        <v>6882</v>
      </c>
      <c r="C2962" s="7"/>
      <c r="D2962" s="7" t="n">
        <v>2113</v>
      </c>
      <c r="E2962" s="7" t="s">
        <v>7172</v>
      </c>
      <c r="F2962" s="7" t="n">
        <v>-33.776285</v>
      </c>
      <c r="G2962" s="7" t="n">
        <v>151.119471</v>
      </c>
      <c r="H2962" s="7"/>
    </row>
    <row r="2963" customFormat="false" ht="15" hidden="false" customHeight="false" outlineLevel="0" collapsed="false">
      <c r="A2963" s="7" t="s">
        <v>7171</v>
      </c>
      <c r="B2963" s="7" t="s">
        <v>6883</v>
      </c>
      <c r="C2963" s="7"/>
      <c r="D2963" s="7" t="n">
        <v>2113</v>
      </c>
      <c r="E2963" s="7" t="s">
        <v>7172</v>
      </c>
      <c r="F2963" s="7" t="n">
        <v>-33.772743</v>
      </c>
      <c r="G2963" s="7" t="n">
        <v>151.117075</v>
      </c>
      <c r="H2963" s="7"/>
    </row>
    <row r="2964" customFormat="false" ht="15" hidden="false" customHeight="false" outlineLevel="0" collapsed="false">
      <c r="A2964" s="7" t="s">
        <v>7171</v>
      </c>
      <c r="B2964" s="7" t="s">
        <v>6884</v>
      </c>
      <c r="C2964" s="7"/>
      <c r="D2964" s="7" t="n">
        <v>2060</v>
      </c>
      <c r="E2964" s="7" t="s">
        <v>7172</v>
      </c>
      <c r="F2964" s="7" t="n">
        <v>-33.8410318</v>
      </c>
      <c r="G2964" s="7" t="n">
        <v>151.208103</v>
      </c>
      <c r="H2964" s="7"/>
    </row>
    <row r="2965" customFormat="false" ht="15" hidden="false" customHeight="false" outlineLevel="0" collapsed="false">
      <c r="A2965" s="7" t="s">
        <v>7171</v>
      </c>
      <c r="B2965" s="7" t="s">
        <v>6885</v>
      </c>
      <c r="C2965" s="7"/>
      <c r="D2965" s="7" t="n">
        <v>2060</v>
      </c>
      <c r="E2965" s="7" t="s">
        <v>7172</v>
      </c>
      <c r="F2965" s="7" t="n">
        <v>-33.834958</v>
      </c>
      <c r="G2965" s="7" t="n">
        <v>151.208611</v>
      </c>
      <c r="H2965" s="7"/>
    </row>
    <row r="2966" customFormat="false" ht="15" hidden="false" customHeight="false" outlineLevel="0" collapsed="false">
      <c r="A2966" s="7" t="s">
        <v>7171</v>
      </c>
      <c r="B2966" s="7" t="s">
        <v>6886</v>
      </c>
      <c r="C2966" s="7"/>
      <c r="D2966" s="7" t="n">
        <v>2060</v>
      </c>
      <c r="E2966" s="7" t="s">
        <v>7172</v>
      </c>
      <c r="F2966" s="7" t="n">
        <v>-33.837124</v>
      </c>
      <c r="G2966" s="7" t="n">
        <v>151.207244</v>
      </c>
      <c r="H2966" s="7"/>
    </row>
    <row r="2967" customFormat="false" ht="15" hidden="false" customHeight="false" outlineLevel="0" collapsed="false">
      <c r="A2967" s="7" t="s">
        <v>7171</v>
      </c>
      <c r="B2967" s="7" t="s">
        <v>6887</v>
      </c>
      <c r="C2967" s="7"/>
      <c r="D2967" s="7" t="n">
        <v>2211</v>
      </c>
      <c r="E2967" s="7" t="s">
        <v>7172</v>
      </c>
      <c r="F2967" s="7" t="n">
        <v>-33.9522328</v>
      </c>
      <c r="G2967" s="7" t="n">
        <v>151.0310296</v>
      </c>
      <c r="H2967" s="7"/>
    </row>
    <row r="2968" customFormat="false" ht="15" hidden="false" customHeight="false" outlineLevel="0" collapsed="false">
      <c r="A2968" s="7" t="s">
        <v>7171</v>
      </c>
      <c r="B2968" s="7" t="s">
        <v>6888</v>
      </c>
      <c r="C2968" s="7"/>
      <c r="D2968" s="7" t="n">
        <v>2150</v>
      </c>
      <c r="E2968" s="7" t="s">
        <v>7172</v>
      </c>
      <c r="F2968" s="7" t="n">
        <v>-33.814634</v>
      </c>
      <c r="G2968" s="7" t="n">
        <v>151.00933</v>
      </c>
      <c r="H2968" s="7"/>
    </row>
    <row r="2969" customFormat="false" ht="15" hidden="false" customHeight="false" outlineLevel="0" collapsed="false">
      <c r="A2969" s="7" t="s">
        <v>7171</v>
      </c>
      <c r="B2969" s="7" t="s">
        <v>6889</v>
      </c>
      <c r="C2969" s="7"/>
      <c r="D2969" s="7" t="n">
        <v>2150</v>
      </c>
      <c r="E2969" s="7" t="s">
        <v>7172</v>
      </c>
      <c r="F2969" s="7" t="n">
        <v>-33.810455</v>
      </c>
      <c r="G2969" s="7" t="n">
        <v>151.004644</v>
      </c>
      <c r="H2969" s="7"/>
    </row>
    <row r="2970" customFormat="false" ht="15" hidden="false" customHeight="false" outlineLevel="0" collapsed="false">
      <c r="A2970" s="7" t="s">
        <v>7171</v>
      </c>
      <c r="B2970" s="7" t="s">
        <v>6890</v>
      </c>
      <c r="C2970" s="7"/>
      <c r="D2970" s="7" t="n">
        <v>2150</v>
      </c>
      <c r="E2970" s="7" t="s">
        <v>7172</v>
      </c>
      <c r="F2970" s="7" t="n">
        <v>-33.81799</v>
      </c>
      <c r="G2970" s="7" t="n">
        <v>151.004671</v>
      </c>
      <c r="H2970" s="7"/>
    </row>
    <row r="2971" customFormat="false" ht="15" hidden="false" customHeight="false" outlineLevel="0" collapsed="false">
      <c r="A2971" s="7" t="s">
        <v>7171</v>
      </c>
      <c r="B2971" s="7" t="s">
        <v>6891</v>
      </c>
      <c r="C2971" s="7"/>
      <c r="D2971" s="7" t="n">
        <v>2150</v>
      </c>
      <c r="E2971" s="7" t="s">
        <v>7172</v>
      </c>
      <c r="F2971" s="7" t="n">
        <v>-33.813387</v>
      </c>
      <c r="G2971" s="7" t="n">
        <v>151.002916</v>
      </c>
      <c r="H2971" s="7"/>
    </row>
    <row r="2972" customFormat="false" ht="15" hidden="false" customHeight="false" outlineLevel="0" collapsed="false">
      <c r="A2972" s="7" t="s">
        <v>7171</v>
      </c>
      <c r="B2972" s="7" t="s">
        <v>6892</v>
      </c>
      <c r="C2972" s="7"/>
      <c r="D2972" s="7" t="n">
        <v>2150</v>
      </c>
      <c r="E2972" s="7" t="s">
        <v>7172</v>
      </c>
      <c r="F2972" s="7" t="n">
        <v>-33.814591</v>
      </c>
      <c r="G2972" s="7" t="n">
        <v>151.001013</v>
      </c>
      <c r="H2972" s="7"/>
    </row>
    <row r="2973" customFormat="false" ht="15" hidden="false" customHeight="false" outlineLevel="0" collapsed="false">
      <c r="A2973" s="7" t="s">
        <v>7171</v>
      </c>
      <c r="B2973" s="7" t="s">
        <v>6893</v>
      </c>
      <c r="C2973" s="7"/>
      <c r="D2973" s="7" t="n">
        <v>2150</v>
      </c>
      <c r="E2973" s="7" t="s">
        <v>7172</v>
      </c>
      <c r="F2973" s="7" t="n">
        <v>-33.812423</v>
      </c>
      <c r="G2973" s="7" t="n">
        <v>151.004495</v>
      </c>
      <c r="H2973" s="7"/>
    </row>
    <row r="2974" customFormat="false" ht="15" hidden="false" customHeight="false" outlineLevel="0" collapsed="false">
      <c r="A2974" s="7" t="s">
        <v>7171</v>
      </c>
      <c r="B2974" s="7" t="s">
        <v>6894</v>
      </c>
      <c r="C2974" s="7"/>
      <c r="D2974" s="7" t="n">
        <v>2150</v>
      </c>
      <c r="E2974" s="7" t="s">
        <v>7172</v>
      </c>
      <c r="F2974" s="7" t="n">
        <v>-33.808098</v>
      </c>
      <c r="G2974" s="7" t="n">
        <v>151.00397</v>
      </c>
      <c r="H2974" s="7"/>
    </row>
    <row r="2975" customFormat="false" ht="15" hidden="false" customHeight="false" outlineLevel="0" collapsed="false">
      <c r="A2975" s="7" t="s">
        <v>7171</v>
      </c>
      <c r="B2975" s="7" t="s">
        <v>6895</v>
      </c>
      <c r="C2975" s="7"/>
      <c r="D2975" s="7" t="n">
        <v>2151</v>
      </c>
      <c r="E2975" s="7" t="s">
        <v>7174</v>
      </c>
      <c r="F2975" s="7" t="n">
        <v>-33.797777</v>
      </c>
      <c r="G2975" s="7" t="n">
        <v>151.00516</v>
      </c>
      <c r="H2975" s="7"/>
    </row>
    <row r="2976" customFormat="false" ht="15" hidden="false" customHeight="false" outlineLevel="0" collapsed="false">
      <c r="A2976" s="7" t="s">
        <v>7171</v>
      </c>
      <c r="B2976" s="7" t="s">
        <v>6896</v>
      </c>
      <c r="C2976" s="7"/>
      <c r="D2976" s="7" t="n">
        <v>2145</v>
      </c>
      <c r="E2976" s="7" t="s">
        <v>7172</v>
      </c>
      <c r="F2976" s="7" t="n">
        <v>-33.801803</v>
      </c>
      <c r="G2976" s="7" t="n">
        <v>150.956233</v>
      </c>
      <c r="H2976" s="7"/>
    </row>
    <row r="2977" customFormat="false" ht="15" hidden="false" customHeight="false" outlineLevel="0" collapsed="false">
      <c r="A2977" s="7" t="s">
        <v>7171</v>
      </c>
      <c r="B2977" s="7" t="s">
        <v>6897</v>
      </c>
      <c r="C2977" s="7"/>
      <c r="D2977" s="7" t="n">
        <v>2120</v>
      </c>
      <c r="E2977" s="7" t="s">
        <v>7172</v>
      </c>
      <c r="F2977" s="7" t="n">
        <v>-33.737637</v>
      </c>
      <c r="G2977" s="7" t="n">
        <v>151.071881</v>
      </c>
      <c r="H2977" s="7"/>
    </row>
    <row r="2978" customFormat="false" ht="15" hidden="false" customHeight="false" outlineLevel="0" collapsed="false">
      <c r="A2978" s="7" t="s">
        <v>7171</v>
      </c>
      <c r="B2978" s="7" t="s">
        <v>6898</v>
      </c>
      <c r="C2978" s="7"/>
      <c r="D2978" s="7" t="n">
        <v>2750</v>
      </c>
      <c r="E2978" s="7" t="s">
        <v>7172</v>
      </c>
      <c r="F2978" s="7" t="n">
        <v>-33.756916</v>
      </c>
      <c r="G2978" s="7" t="n">
        <v>150.68481</v>
      </c>
      <c r="H2978" s="7"/>
    </row>
    <row r="2979" customFormat="false" ht="15" hidden="false" customHeight="false" outlineLevel="0" collapsed="false">
      <c r="A2979" s="7" t="s">
        <v>7171</v>
      </c>
      <c r="B2979" s="7" t="s">
        <v>6899</v>
      </c>
      <c r="C2979" s="7"/>
      <c r="D2979" s="7" t="n">
        <v>2750</v>
      </c>
      <c r="E2979" s="7" t="s">
        <v>7172</v>
      </c>
      <c r="F2979" s="7" t="n">
        <v>-33.750436</v>
      </c>
      <c r="G2979" s="7" t="n">
        <v>150.695121</v>
      </c>
      <c r="H2979" s="7"/>
    </row>
    <row r="2980" customFormat="false" ht="15" hidden="false" customHeight="false" outlineLevel="0" collapsed="false">
      <c r="A2980" s="7" t="s">
        <v>7171</v>
      </c>
      <c r="B2980" s="7" t="s">
        <v>6900</v>
      </c>
      <c r="C2980" s="7"/>
      <c r="D2980" s="7" t="n">
        <v>2750</v>
      </c>
      <c r="E2980" s="7" t="s">
        <v>7172</v>
      </c>
      <c r="F2980" s="7" t="n">
        <v>-33.756649</v>
      </c>
      <c r="G2980" s="7" t="n">
        <v>150.69272</v>
      </c>
      <c r="H2980" s="7"/>
    </row>
    <row r="2981" customFormat="false" ht="15" hidden="false" customHeight="false" outlineLevel="0" collapsed="false">
      <c r="A2981" s="7" t="s">
        <v>7171</v>
      </c>
      <c r="B2981" s="7" t="s">
        <v>6901</v>
      </c>
      <c r="C2981" s="7"/>
      <c r="D2981" s="7" t="n">
        <v>2222</v>
      </c>
      <c r="E2981" s="7" t="s">
        <v>7172</v>
      </c>
      <c r="F2981" s="7" t="n">
        <v>-33.9658061</v>
      </c>
      <c r="G2981" s="7" t="n">
        <v>151.0892047</v>
      </c>
      <c r="H2981" s="7"/>
    </row>
    <row r="2982" customFormat="false" ht="15" hidden="false" customHeight="false" outlineLevel="0" collapsed="false">
      <c r="A2982" s="7" t="s">
        <v>7171</v>
      </c>
      <c r="B2982" s="7" t="s">
        <v>6902</v>
      </c>
      <c r="C2982" s="7"/>
      <c r="D2982" s="7" t="n">
        <v>2196</v>
      </c>
      <c r="E2982" s="7" t="s">
        <v>7172</v>
      </c>
      <c r="F2982" s="7" t="n">
        <v>-33.926037</v>
      </c>
      <c r="G2982" s="7" t="n">
        <v>151.055694</v>
      </c>
      <c r="H2982" s="7"/>
    </row>
    <row r="2983" customFormat="false" ht="15" hidden="false" customHeight="false" outlineLevel="0" collapsed="false">
      <c r="A2983" s="7" t="s">
        <v>7171</v>
      </c>
      <c r="B2983" s="7" t="s">
        <v>6903</v>
      </c>
      <c r="C2983" s="7"/>
      <c r="D2983" s="7" t="n">
        <v>2073</v>
      </c>
      <c r="E2983" s="7" t="s">
        <v>7172</v>
      </c>
      <c r="F2983" s="7" t="n">
        <v>-33.744688</v>
      </c>
      <c r="G2983" s="7" t="n">
        <v>151.142434</v>
      </c>
      <c r="H2983" s="7"/>
    </row>
    <row r="2984" customFormat="false" ht="15" hidden="false" customHeight="false" outlineLevel="0" collapsed="false">
      <c r="A2984" s="7" t="s">
        <v>7171</v>
      </c>
      <c r="B2984" s="7" t="s">
        <v>6904</v>
      </c>
      <c r="C2984" s="7"/>
      <c r="D2984" s="7" t="n">
        <v>2218</v>
      </c>
      <c r="E2984" s="7" t="s">
        <v>7173</v>
      </c>
      <c r="F2984" s="7" t="n">
        <v>-33.983744</v>
      </c>
      <c r="G2984" s="7" t="n">
        <v>151.13659</v>
      </c>
      <c r="H2984" s="7"/>
    </row>
    <row r="2985" customFormat="false" ht="15" hidden="false" customHeight="false" outlineLevel="0" collapsed="false">
      <c r="A2985" s="7" t="s">
        <v>7171</v>
      </c>
      <c r="B2985" s="7" t="s">
        <v>6905</v>
      </c>
      <c r="C2985" s="7"/>
      <c r="D2985" s="7" t="n">
        <v>2015</v>
      </c>
      <c r="E2985" s="7" t="s">
        <v>7172</v>
      </c>
      <c r="F2985" s="7" t="n">
        <v>-33.892624</v>
      </c>
      <c r="G2985" s="7" t="n">
        <v>151.19935</v>
      </c>
      <c r="H2985" s="7"/>
    </row>
    <row r="2986" customFormat="false" ht="15" hidden="false" customHeight="false" outlineLevel="0" collapsed="false">
      <c r="A2986" s="7" t="s">
        <v>7171</v>
      </c>
      <c r="B2986" s="7" t="s">
        <v>6906</v>
      </c>
      <c r="C2986" s="7"/>
      <c r="D2986" s="7" t="n">
        <v>2212</v>
      </c>
      <c r="E2986" s="7" t="s">
        <v>7172</v>
      </c>
      <c r="F2986" s="7" t="n">
        <v>-33.95274</v>
      </c>
      <c r="G2986" s="7" t="n">
        <v>151.015214</v>
      </c>
      <c r="H2986" s="7"/>
    </row>
    <row r="2987" customFormat="false" ht="15" hidden="false" customHeight="false" outlineLevel="0" collapsed="false">
      <c r="A2987" s="7" t="s">
        <v>7171</v>
      </c>
      <c r="B2987" s="7" t="s">
        <v>6907</v>
      </c>
      <c r="C2987" s="7"/>
      <c r="D2987" s="7" t="n">
        <v>2138</v>
      </c>
      <c r="E2987" s="7" t="s">
        <v>7172</v>
      </c>
      <c r="F2987" s="7" t="n">
        <v>-33.833751</v>
      </c>
      <c r="G2987" s="7" t="n">
        <v>151.085366</v>
      </c>
      <c r="H2987" s="7"/>
    </row>
    <row r="2988" customFormat="false" ht="15" hidden="false" customHeight="false" outlineLevel="0" collapsed="false">
      <c r="A2988" s="7" t="s">
        <v>7171</v>
      </c>
      <c r="B2988" s="7" t="s">
        <v>6908</v>
      </c>
      <c r="C2988" s="7"/>
      <c r="D2988" s="7" t="n">
        <v>2753</v>
      </c>
      <c r="E2988" s="7" t="s">
        <v>7172</v>
      </c>
      <c r="F2988" s="7" t="n">
        <v>-33.598748</v>
      </c>
      <c r="G2988" s="7" t="n">
        <v>150.752213</v>
      </c>
      <c r="H2988" s="7"/>
    </row>
    <row r="2989" customFormat="false" ht="15" hidden="false" customHeight="false" outlineLevel="0" collapsed="false">
      <c r="A2989" s="7" t="s">
        <v>7171</v>
      </c>
      <c r="B2989" s="7" t="s">
        <v>6909</v>
      </c>
      <c r="C2989" s="7"/>
      <c r="D2989" s="7" t="n">
        <v>2765</v>
      </c>
      <c r="E2989" s="7" t="s">
        <v>7172</v>
      </c>
      <c r="F2989" s="7" t="n">
        <v>-33.679044</v>
      </c>
      <c r="G2989" s="7" t="n">
        <v>150.860476</v>
      </c>
      <c r="H2989" s="7"/>
    </row>
    <row r="2990" customFormat="false" ht="15" hidden="false" customHeight="false" outlineLevel="0" collapsed="false">
      <c r="A2990" s="7" t="s">
        <v>7171</v>
      </c>
      <c r="B2990" s="7" t="s">
        <v>6910</v>
      </c>
      <c r="C2990" s="7"/>
      <c r="D2990" s="7" t="n">
        <v>2210</v>
      </c>
      <c r="E2990" s="7" t="s">
        <v>7172</v>
      </c>
      <c r="F2990" s="7" t="n">
        <v>-33.9520943</v>
      </c>
      <c r="G2990" s="7" t="n">
        <v>151.0522144</v>
      </c>
      <c r="H2990" s="7"/>
    </row>
    <row r="2991" customFormat="false" ht="15" hidden="false" customHeight="false" outlineLevel="0" collapsed="false">
      <c r="A2991" s="7" t="s">
        <v>7171</v>
      </c>
      <c r="B2991" s="7" t="s">
        <v>6911</v>
      </c>
      <c r="C2991" s="7"/>
      <c r="D2991" s="7" t="n">
        <v>2216</v>
      </c>
      <c r="E2991" s="7" t="s">
        <v>7172</v>
      </c>
      <c r="F2991" s="7" t="n">
        <v>-33.9518157</v>
      </c>
      <c r="G2991" s="7" t="n">
        <v>151.1360321</v>
      </c>
      <c r="H2991" s="7"/>
    </row>
    <row r="2992" customFormat="false" ht="15" hidden="false" customHeight="false" outlineLevel="0" collapsed="false">
      <c r="A2992" s="7" t="s">
        <v>7171</v>
      </c>
      <c r="B2992" s="7" t="s">
        <v>6912</v>
      </c>
      <c r="C2992" s="7"/>
      <c r="D2992" s="7" t="n">
        <v>2216</v>
      </c>
      <c r="E2992" s="7" t="s">
        <v>7172</v>
      </c>
      <c r="F2992" s="7" t="n">
        <v>-33.9526305</v>
      </c>
      <c r="G2992" s="7" t="n">
        <v>151.1391714</v>
      </c>
      <c r="H2992" s="7"/>
    </row>
    <row r="2993" customFormat="false" ht="15" hidden="false" customHeight="false" outlineLevel="0" collapsed="false">
      <c r="A2993" s="7" t="s">
        <v>7171</v>
      </c>
      <c r="B2993" s="7" t="s">
        <v>6913</v>
      </c>
      <c r="C2993" s="7"/>
      <c r="D2993" s="7" t="n">
        <v>2142</v>
      </c>
      <c r="E2993" s="7" t="s">
        <v>7172</v>
      </c>
      <c r="F2993" s="7" t="n">
        <v>-33.8191563</v>
      </c>
      <c r="G2993" s="7" t="n">
        <v>151.0207245</v>
      </c>
      <c r="H2993" s="7"/>
    </row>
    <row r="2994" customFormat="false" ht="15" hidden="false" customHeight="false" outlineLevel="0" collapsed="false">
      <c r="A2994" s="7" t="s">
        <v>7171</v>
      </c>
      <c r="B2994" s="7" t="s">
        <v>6914</v>
      </c>
      <c r="C2994" s="7"/>
      <c r="D2994" s="7" t="n">
        <v>2142</v>
      </c>
      <c r="E2994" s="7" t="s">
        <v>7174</v>
      </c>
      <c r="F2994" s="7" t="n">
        <v>-33.823879</v>
      </c>
      <c r="G2994" s="7" t="n">
        <v>151.020489</v>
      </c>
      <c r="H2994" s="7"/>
    </row>
    <row r="2995" customFormat="false" ht="15" hidden="false" customHeight="false" outlineLevel="0" collapsed="false">
      <c r="A2995" s="7" t="s">
        <v>7171</v>
      </c>
      <c r="B2995" s="7" t="s">
        <v>6915</v>
      </c>
      <c r="C2995" s="7"/>
      <c r="D2995" s="7" t="n">
        <v>2196</v>
      </c>
      <c r="E2995" s="7" t="s">
        <v>7172</v>
      </c>
      <c r="F2995" s="7" t="n">
        <v>-33.935302</v>
      </c>
      <c r="G2995" s="7" t="n">
        <v>151.069983</v>
      </c>
      <c r="H2995" s="7"/>
    </row>
    <row r="2996" customFormat="false" ht="15" hidden="false" customHeight="false" outlineLevel="0" collapsed="false">
      <c r="A2996" s="7" t="s">
        <v>7171</v>
      </c>
      <c r="B2996" s="7" t="s">
        <v>6916</v>
      </c>
      <c r="C2996" s="7"/>
      <c r="D2996" s="7" t="n">
        <v>2069</v>
      </c>
      <c r="E2996" s="7" t="s">
        <v>7172</v>
      </c>
      <c r="F2996" s="7" t="n">
        <v>-33.7845207</v>
      </c>
      <c r="G2996" s="7" t="n">
        <v>151.178175</v>
      </c>
      <c r="H2996" s="7"/>
    </row>
    <row r="2997" customFormat="false" ht="15" hidden="false" customHeight="false" outlineLevel="0" collapsed="false">
      <c r="A2997" s="7" t="s">
        <v>7171</v>
      </c>
      <c r="B2997" s="7" t="s">
        <v>6917</v>
      </c>
      <c r="C2997" s="7"/>
      <c r="D2997" s="7" t="n">
        <v>2155</v>
      </c>
      <c r="E2997" s="7" t="s">
        <v>7172</v>
      </c>
      <c r="F2997" s="7" t="n">
        <v>-33.692089</v>
      </c>
      <c r="G2997" s="7" t="n">
        <v>150.924694</v>
      </c>
      <c r="H2997" s="7"/>
    </row>
    <row r="2998" customFormat="false" ht="15" hidden="false" customHeight="false" outlineLevel="0" collapsed="false">
      <c r="A2998" s="7" t="s">
        <v>7171</v>
      </c>
      <c r="B2998" s="7" t="s">
        <v>6918</v>
      </c>
      <c r="C2998" s="7"/>
      <c r="D2998" s="7" t="n">
        <v>2027</v>
      </c>
      <c r="E2998" s="7" t="s">
        <v>7172</v>
      </c>
      <c r="F2998" s="7" t="n">
        <v>-33.876026</v>
      </c>
      <c r="G2998" s="7" t="n">
        <v>151.229102</v>
      </c>
      <c r="H2998" s="7"/>
    </row>
    <row r="2999" customFormat="false" ht="15" hidden="false" customHeight="false" outlineLevel="0" collapsed="false">
      <c r="A2999" s="7" t="s">
        <v>7171</v>
      </c>
      <c r="B2999" s="7" t="s">
        <v>6919</v>
      </c>
      <c r="C2999" s="7"/>
      <c r="D2999" s="7" t="n">
        <v>2112</v>
      </c>
      <c r="E2999" s="7" t="s">
        <v>7172</v>
      </c>
      <c r="F2999" s="7" t="n">
        <v>-33.81111</v>
      </c>
      <c r="G2999" s="7" t="n">
        <v>151.106634</v>
      </c>
      <c r="H2999" s="7"/>
    </row>
    <row r="3000" customFormat="false" ht="15" hidden="false" customHeight="false" outlineLevel="0" collapsed="false">
      <c r="A3000" s="7" t="s">
        <v>7171</v>
      </c>
      <c r="B3000" s="7" t="s">
        <v>6920</v>
      </c>
      <c r="C3000" s="7"/>
      <c r="D3000" s="7" t="n">
        <v>2114</v>
      </c>
      <c r="E3000" s="7" t="s">
        <v>7174</v>
      </c>
      <c r="F3000" s="7" t="n">
        <v>-33.795419</v>
      </c>
      <c r="G3000" s="7" t="n">
        <v>151.09071</v>
      </c>
      <c r="H3000" s="7"/>
    </row>
    <row r="3001" customFormat="false" ht="15" hidden="false" customHeight="false" outlineLevel="0" collapsed="false">
      <c r="A3001" s="7" t="s">
        <v>7171</v>
      </c>
      <c r="B3001" s="7" t="s">
        <v>6921</v>
      </c>
      <c r="C3001" s="7"/>
      <c r="D3001" s="7" t="n">
        <v>2093</v>
      </c>
      <c r="E3001" s="7" t="s">
        <v>7174</v>
      </c>
      <c r="F3001" s="7" t="n">
        <v>-33.7975899</v>
      </c>
      <c r="G3001" s="7" t="n">
        <v>151.250552</v>
      </c>
      <c r="H3001" s="7"/>
    </row>
    <row r="3002" customFormat="false" ht="15" hidden="false" customHeight="false" outlineLevel="0" collapsed="false">
      <c r="A3002" s="7" t="s">
        <v>7171</v>
      </c>
      <c r="B3002" s="7" t="s">
        <v>6922</v>
      </c>
      <c r="C3002" s="7"/>
      <c r="D3002" s="7" t="n">
        <v>2147</v>
      </c>
      <c r="E3002" s="7" t="s">
        <v>7172</v>
      </c>
      <c r="F3002" s="7" t="n">
        <v>-33.775324</v>
      </c>
      <c r="G3002" s="7" t="n">
        <v>150.932631</v>
      </c>
      <c r="H3002" s="7"/>
    </row>
    <row r="3003" customFormat="false" ht="15" hidden="false" customHeight="false" outlineLevel="0" collapsed="false">
      <c r="A3003" s="7" t="s">
        <v>7171</v>
      </c>
      <c r="B3003" s="7" t="s">
        <v>5763</v>
      </c>
      <c r="C3003" s="7"/>
      <c r="D3003" s="7" t="n">
        <v>2147</v>
      </c>
      <c r="E3003" s="7" t="s">
        <v>7172</v>
      </c>
      <c r="F3003" s="7" t="n">
        <v>-33.773658</v>
      </c>
      <c r="G3003" s="7" t="n">
        <v>150.936141</v>
      </c>
      <c r="H3003" s="7"/>
    </row>
    <row r="3004" customFormat="false" ht="15" hidden="false" customHeight="false" outlineLevel="0" collapsed="false">
      <c r="A3004" s="7" t="s">
        <v>7171</v>
      </c>
      <c r="B3004" s="7" t="s">
        <v>6923</v>
      </c>
      <c r="C3004" s="7"/>
      <c r="D3004" s="7" t="n">
        <v>2065</v>
      </c>
      <c r="E3004" s="7" t="s">
        <v>7172</v>
      </c>
      <c r="F3004" s="7" t="n">
        <v>-33.823151</v>
      </c>
      <c r="G3004" s="7" t="n">
        <v>151.192091</v>
      </c>
      <c r="H3004" s="7"/>
    </row>
    <row r="3005" customFormat="false" ht="15" hidden="false" customHeight="false" outlineLevel="0" collapsed="false">
      <c r="A3005" s="7" t="s">
        <v>7171</v>
      </c>
      <c r="B3005" s="7" t="s">
        <v>6924</v>
      </c>
      <c r="C3005" s="7"/>
      <c r="D3005" s="7" t="n">
        <v>2760</v>
      </c>
      <c r="E3005" s="7" t="s">
        <v>7172</v>
      </c>
      <c r="F3005" s="7" t="n">
        <v>-33.762675</v>
      </c>
      <c r="G3005" s="7" t="n">
        <v>150.775118</v>
      </c>
      <c r="H3005" s="7"/>
    </row>
    <row r="3006" customFormat="false" ht="15" hidden="false" customHeight="false" outlineLevel="0" collapsed="false">
      <c r="A3006" s="7" t="s">
        <v>7171</v>
      </c>
      <c r="B3006" s="7" t="s">
        <v>6925</v>
      </c>
      <c r="C3006" s="7"/>
      <c r="D3006" s="7" t="n">
        <v>2164</v>
      </c>
      <c r="E3006" s="7" t="s">
        <v>7174</v>
      </c>
      <c r="F3006" s="7" t="n">
        <v>-33.853416</v>
      </c>
      <c r="G3006" s="7" t="n">
        <v>150.939817</v>
      </c>
      <c r="H3006" s="7"/>
    </row>
    <row r="3007" customFormat="false" ht="15" hidden="false" customHeight="false" outlineLevel="0" collapsed="false">
      <c r="A3007" s="7" t="s">
        <v>7171</v>
      </c>
      <c r="B3007" s="7" t="s">
        <v>6926</v>
      </c>
      <c r="C3007" s="7"/>
      <c r="D3007" s="7" t="n">
        <v>2009</v>
      </c>
      <c r="E3007" s="7" t="s">
        <v>7172</v>
      </c>
      <c r="F3007" s="7" t="n">
        <v>-33.8674093</v>
      </c>
      <c r="G3007" s="7" t="n">
        <v>151.1942017</v>
      </c>
      <c r="H3007" s="7"/>
    </row>
    <row r="3008" customFormat="false" ht="15" hidden="false" customHeight="false" outlineLevel="0" collapsed="false">
      <c r="A3008" s="7" t="s">
        <v>7171</v>
      </c>
      <c r="B3008" s="7" t="s">
        <v>6927</v>
      </c>
      <c r="C3008" s="7"/>
      <c r="D3008" s="7" t="n">
        <v>2135</v>
      </c>
      <c r="E3008" s="7" t="s">
        <v>7172</v>
      </c>
      <c r="F3008" s="7" t="n">
        <v>-33.871514</v>
      </c>
      <c r="G3008" s="7" t="n">
        <v>151.09483</v>
      </c>
      <c r="H3008" s="7"/>
    </row>
    <row r="3009" customFormat="false" ht="15" hidden="false" customHeight="false" outlineLevel="0" collapsed="false">
      <c r="A3009" s="7" t="s">
        <v>7171</v>
      </c>
      <c r="B3009" s="7" t="s">
        <v>6928</v>
      </c>
      <c r="C3009" s="7"/>
      <c r="D3009" s="7" t="n">
        <v>2135</v>
      </c>
      <c r="E3009" s="7" t="s">
        <v>7172</v>
      </c>
      <c r="F3009" s="7" t="n">
        <v>-33.87222</v>
      </c>
      <c r="G3009" s="7" t="n">
        <v>151.094182</v>
      </c>
      <c r="H3009" s="7"/>
    </row>
    <row r="3010" customFormat="false" ht="15" hidden="false" customHeight="false" outlineLevel="0" collapsed="false">
      <c r="A3010" s="7" t="s">
        <v>7171</v>
      </c>
      <c r="B3010" s="7" t="s">
        <v>6929</v>
      </c>
      <c r="C3010" s="7"/>
      <c r="D3010" s="7" t="n">
        <v>2010</v>
      </c>
      <c r="E3010" s="7" t="s">
        <v>7172</v>
      </c>
      <c r="F3010" s="7" t="n">
        <v>-33.878216</v>
      </c>
      <c r="G3010" s="7" t="n">
        <v>151.213877</v>
      </c>
      <c r="H3010" s="7"/>
    </row>
    <row r="3011" customFormat="false" ht="15" hidden="false" customHeight="false" outlineLevel="0" collapsed="false">
      <c r="A3011" s="7" t="s">
        <v>7171</v>
      </c>
      <c r="B3011" s="7" t="s">
        <v>6930</v>
      </c>
      <c r="C3011" s="7"/>
      <c r="D3011" s="7" t="n">
        <v>2232</v>
      </c>
      <c r="E3011" s="7" t="s">
        <v>7172</v>
      </c>
      <c r="F3011" s="7" t="n">
        <v>-34.031925</v>
      </c>
      <c r="G3011" s="7" t="n">
        <v>151.058254</v>
      </c>
      <c r="H3011" s="7"/>
    </row>
    <row r="3012" customFormat="false" ht="15" hidden="false" customHeight="false" outlineLevel="0" collapsed="false">
      <c r="A3012" s="7" t="s">
        <v>7171</v>
      </c>
      <c r="B3012" s="7" t="s">
        <v>6931</v>
      </c>
      <c r="C3012" s="7"/>
      <c r="D3012" s="7" t="n">
        <v>2232</v>
      </c>
      <c r="E3012" s="7" t="s">
        <v>7172</v>
      </c>
      <c r="F3012" s="7" t="n">
        <v>-34.0327411</v>
      </c>
      <c r="G3012" s="7" t="n">
        <v>151.0573405</v>
      </c>
      <c r="H3012" s="7"/>
    </row>
    <row r="3013" customFormat="false" ht="15" hidden="false" customHeight="false" outlineLevel="0" collapsed="false">
      <c r="A3013" s="7" t="s">
        <v>7171</v>
      </c>
      <c r="B3013" s="7" t="s">
        <v>6932</v>
      </c>
      <c r="C3013" s="7"/>
      <c r="D3013" s="7" t="n">
        <v>2044</v>
      </c>
      <c r="E3013" s="7" t="s">
        <v>7172</v>
      </c>
      <c r="F3013" s="7" t="n">
        <v>-33.914176</v>
      </c>
      <c r="G3013" s="7" t="n">
        <v>151.166162</v>
      </c>
      <c r="H3013" s="7"/>
    </row>
    <row r="3014" customFormat="false" ht="15" hidden="false" customHeight="false" outlineLevel="0" collapsed="false">
      <c r="A3014" s="7" t="s">
        <v>7171</v>
      </c>
      <c r="B3014" s="7" t="s">
        <v>6933</v>
      </c>
      <c r="C3014" s="7"/>
      <c r="D3014" s="7" t="n">
        <v>2117</v>
      </c>
      <c r="E3014" s="7" t="s">
        <v>7174</v>
      </c>
      <c r="F3014" s="7" t="n">
        <v>-33.795288</v>
      </c>
      <c r="G3014" s="7" t="n">
        <v>151.045494</v>
      </c>
      <c r="H3014" s="7"/>
    </row>
    <row r="3015" customFormat="false" ht="15" hidden="false" customHeight="false" outlineLevel="0" collapsed="false">
      <c r="A3015" s="7" t="s">
        <v>7171</v>
      </c>
      <c r="B3015" s="7" t="s">
        <v>6934</v>
      </c>
      <c r="C3015" s="7"/>
      <c r="D3015" s="7" t="n">
        <v>2146</v>
      </c>
      <c r="E3015" s="7" t="s">
        <v>7172</v>
      </c>
      <c r="F3015" s="7" t="n">
        <v>-33.78679</v>
      </c>
      <c r="G3015" s="7" t="n">
        <v>150.950982</v>
      </c>
      <c r="H3015" s="7"/>
    </row>
    <row r="3016" customFormat="false" ht="15" hidden="false" customHeight="false" outlineLevel="0" collapsed="false">
      <c r="A3016" s="7" t="s">
        <v>7171</v>
      </c>
      <c r="B3016" s="7" t="s">
        <v>6935</v>
      </c>
      <c r="C3016" s="7"/>
      <c r="D3016" s="7" t="n">
        <v>2074</v>
      </c>
      <c r="E3016" s="7" t="s">
        <v>7172</v>
      </c>
      <c r="F3016" s="7" t="n">
        <v>-33.7320533</v>
      </c>
      <c r="G3016" s="7" t="n">
        <v>151.1286354</v>
      </c>
      <c r="H3016" s="7"/>
    </row>
    <row r="3017" customFormat="false" ht="15" hidden="false" customHeight="false" outlineLevel="0" collapsed="false">
      <c r="A3017" s="7" t="s">
        <v>7171</v>
      </c>
      <c r="B3017" s="7" t="s">
        <v>6936</v>
      </c>
      <c r="C3017" s="7"/>
      <c r="D3017" s="7" t="n">
        <v>2076</v>
      </c>
      <c r="E3017" s="7" t="s">
        <v>7172</v>
      </c>
      <c r="F3017" s="7" t="n">
        <v>-33.7182713</v>
      </c>
      <c r="G3017" s="7" t="n">
        <v>151.1167886</v>
      </c>
      <c r="H3017" s="7"/>
    </row>
    <row r="3018" customFormat="false" ht="15" hidden="false" customHeight="false" outlineLevel="0" collapsed="false">
      <c r="A3018" s="7" t="s">
        <v>7171</v>
      </c>
      <c r="B3018" s="7" t="s">
        <v>6937</v>
      </c>
      <c r="C3018" s="7"/>
      <c r="D3018" s="7" t="n">
        <v>2145</v>
      </c>
      <c r="E3018" s="7" t="s">
        <v>7172</v>
      </c>
      <c r="F3018" s="7" t="n">
        <v>-33.807214</v>
      </c>
      <c r="G3018" s="7" t="n">
        <v>150.971924</v>
      </c>
      <c r="H3018" s="7"/>
    </row>
    <row r="3019" customFormat="false" ht="15" hidden="false" customHeight="false" outlineLevel="0" collapsed="false">
      <c r="A3019" s="7" t="s">
        <v>7171</v>
      </c>
      <c r="B3019" s="7" t="s">
        <v>6938</v>
      </c>
      <c r="C3019" s="7"/>
      <c r="D3019" s="7" t="n">
        <v>2114</v>
      </c>
      <c r="E3019" s="7" t="s">
        <v>7172</v>
      </c>
      <c r="F3019" s="7" t="n">
        <v>-33.806983</v>
      </c>
      <c r="G3019" s="7" t="n">
        <v>151.089551</v>
      </c>
      <c r="H3019" s="7"/>
    </row>
    <row r="3020" customFormat="false" ht="15" hidden="false" customHeight="false" outlineLevel="0" collapsed="false">
      <c r="A3020" s="7" t="s">
        <v>7171</v>
      </c>
      <c r="B3020" s="7" t="s">
        <v>6939</v>
      </c>
      <c r="C3020" s="7"/>
      <c r="D3020" s="7" t="n">
        <v>2145</v>
      </c>
      <c r="E3020" s="7" t="s">
        <v>7172</v>
      </c>
      <c r="F3020" s="7" t="n">
        <v>-33.80264</v>
      </c>
      <c r="G3020" s="7" t="n">
        <v>150.99214</v>
      </c>
      <c r="H3020" s="7"/>
    </row>
    <row r="3021" customFormat="false" ht="15" hidden="false" customHeight="false" outlineLevel="0" collapsed="false">
      <c r="A3021" s="7" t="s">
        <v>7171</v>
      </c>
      <c r="B3021" s="7" t="s">
        <v>6940</v>
      </c>
      <c r="C3021" s="7"/>
      <c r="D3021" s="7" t="n">
        <v>2145</v>
      </c>
      <c r="E3021" s="7" t="s">
        <v>7172</v>
      </c>
      <c r="F3021" s="7" t="n">
        <v>-33.807974</v>
      </c>
      <c r="G3021" s="7" t="n">
        <v>150.987552</v>
      </c>
      <c r="H3021" s="7"/>
    </row>
    <row r="3022" customFormat="false" ht="15" hidden="false" customHeight="false" outlineLevel="0" collapsed="false">
      <c r="A3022" s="7" t="s">
        <v>7171</v>
      </c>
      <c r="B3022" s="7" t="s">
        <v>6941</v>
      </c>
      <c r="C3022" s="7"/>
      <c r="D3022" s="7" t="n">
        <v>2756</v>
      </c>
      <c r="E3022" s="7" t="s">
        <v>7172</v>
      </c>
      <c r="F3022" s="7" t="n">
        <v>-33.613495</v>
      </c>
      <c r="G3022" s="7" t="n">
        <v>150.811589</v>
      </c>
      <c r="H3022" s="7"/>
    </row>
    <row r="3023" customFormat="false" ht="15" hidden="false" customHeight="false" outlineLevel="0" collapsed="false">
      <c r="A3023" s="7" t="s">
        <v>7171</v>
      </c>
      <c r="B3023" s="7" t="s">
        <v>6942</v>
      </c>
      <c r="C3023" s="7"/>
      <c r="D3023" s="7" t="n">
        <v>2153</v>
      </c>
      <c r="E3023" s="7" t="s">
        <v>7173</v>
      </c>
      <c r="F3023" s="7" t="n">
        <v>-33.773623</v>
      </c>
      <c r="G3023" s="7" t="n">
        <v>150.970697</v>
      </c>
      <c r="H3023" s="7"/>
    </row>
    <row r="3024" customFormat="false" ht="15" hidden="false" customHeight="false" outlineLevel="0" collapsed="false">
      <c r="A3024" s="7" t="s">
        <v>7171</v>
      </c>
      <c r="B3024" s="7" t="s">
        <v>6943</v>
      </c>
      <c r="C3024" s="7"/>
      <c r="D3024" s="7" t="n">
        <v>2011</v>
      </c>
      <c r="E3024" s="7" t="s">
        <v>7174</v>
      </c>
      <c r="F3024" s="7" t="n">
        <v>-33.869144</v>
      </c>
      <c r="G3024" s="7" t="n">
        <v>151.220044</v>
      </c>
      <c r="H3024" s="7"/>
    </row>
  </sheetData>
  <autoFilter ref="A1:H30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2026-10-06T20:14:46Z</dcterms:created>
  <dc:creator>openpyxl</dc:creator>
  <dc:description/>
  <dc:language>en-US</dc:language>
  <cp:lastModifiedBy/>
  <dcterms:modified xsi:type="dcterms:W3CDTF">2026-10-06T20:14:47Z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